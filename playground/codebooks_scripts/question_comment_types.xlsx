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wsl.localhost\Ubuntu\home\yochayc\INES\playground\"/>
    </mc:Choice>
  </mc:AlternateContent>
  <xr:revisionPtr revIDLastSave="0" documentId="13_ncr:1_{F20760AE-7904-4F9A-A2AF-38D22ECE4A91}" xr6:coauthVersionLast="47" xr6:coauthVersionMax="47" xr10:uidLastSave="{00000000-0000-0000-0000-000000000000}"/>
  <bookViews>
    <workbookView xWindow="-108" yWindow="-108" windowWidth="23256" windowHeight="12456" tabRatio="995" firstSheet="2" activeTab="3" xr2:uid="{270DBEFA-2A01-4AE1-A3A4-9752F577362B}"/>
  </bookViews>
  <sheets>
    <sheet name="Comments_Output" sheetId="22" r:id="rId1"/>
    <sheet name="Comment types" sheetId="23" r:id="rId2"/>
    <sheet name="survey_codes_dict" sheetId="24" r:id="rId3"/>
    <sheet name="דמוגרפיה" sheetId="1" r:id="rId4"/>
    <sheet name="ישראל כללי" sheetId="2" r:id="rId5"/>
    <sheet name="עניין פוליטי" sheetId="20" r:id="rId6"/>
    <sheet name="ימין-שמאל" sheetId="12" r:id="rId7"/>
    <sheet name="זיקה רגשית" sheetId="14" r:id="rId8"/>
    <sheet name="תכונות" sheetId="17" r:id="rId9"/>
    <sheet name="הצבעה" sheetId="10" r:id="rId10"/>
    <sheet name="ציפיות" sheetId="18" r:id="rId11"/>
    <sheet name="סוגיות" sheetId="19" r:id="rId12"/>
    <sheet name="כלכלה-חברה" sheetId="7" r:id="rId13"/>
    <sheet name="דת ומדינה" sheetId="8" r:id="rId14"/>
    <sheet name="חוץ וביטחון" sheetId="9" r:id="rId15"/>
    <sheet name="שלום" sheetId="3" r:id="rId16"/>
    <sheet name="דמוקרטיה" sheetId="11" r:id="rId17"/>
    <sheet name="תקשורת" sheetId="13" r:id="rId18"/>
    <sheet name="ידע כללי" sheetId="15" r:id="rId19"/>
    <sheet name="מגדר" sheetId="16" r:id="rId20"/>
    <sheet name="ייצוגיות" sheetId="6" r:id="rId21"/>
    <sheet name="שחיתות" sheetId="5" r:id="rId22"/>
    <sheet name="ערבים בלבד" sheetId="4" r:id="rId23"/>
  </sheets>
  <definedNames>
    <definedName name="_xlnm._FilterDatabase" localSheetId="7" hidden="1">'זיקה רגשית'!$A$1:$AH$184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2" l="1"/>
  <c r="K3" i="22"/>
  <c r="K4" i="22"/>
  <c r="K5" i="22"/>
  <c r="K6" i="22"/>
  <c r="K7" i="22"/>
  <c r="K8" i="22"/>
  <c r="K9" i="22"/>
  <c r="K10" i="22"/>
  <c r="K11" i="22"/>
  <c r="K12" i="22"/>
  <c r="K13" i="22"/>
  <c r="K14" i="22"/>
  <c r="K15" i="22"/>
  <c r="K16" i="22"/>
  <c r="K17" i="22"/>
  <c r="K18" i="22"/>
  <c r="K19" i="22"/>
  <c r="K21" i="22"/>
  <c r="K22" i="22"/>
  <c r="K24" i="22"/>
  <c r="K25" i="22"/>
  <c r="K26" i="22"/>
  <c r="K27" i="22"/>
  <c r="K28" i="22"/>
  <c r="K30" i="22"/>
  <c r="K31" i="22"/>
  <c r="K33" i="22"/>
  <c r="K34" i="22"/>
  <c r="K35" i="22"/>
  <c r="K36" i="22"/>
  <c r="K37" i="22"/>
  <c r="K38" i="22"/>
  <c r="K39" i="22"/>
  <c r="K40" i="22"/>
  <c r="K41" i="22"/>
  <c r="K42" i="22"/>
  <c r="K43" i="22"/>
  <c r="K44" i="22"/>
  <c r="K46" i="22"/>
  <c r="K47" i="22"/>
  <c r="K48" i="22"/>
  <c r="K49" i="22"/>
  <c r="K50" i="22"/>
  <c r="K51" i="22"/>
  <c r="K52" i="22"/>
  <c r="K53" i="22"/>
  <c r="K55" i="22"/>
  <c r="K56" i="22"/>
  <c r="K57" i="22"/>
  <c r="K58" i="22"/>
  <c r="K59" i="22"/>
  <c r="K60" i="22"/>
  <c r="K61" i="22"/>
  <c r="K62" i="22"/>
  <c r="K63" i="22"/>
  <c r="K64" i="22"/>
  <c r="K65" i="22"/>
  <c r="K66" i="22"/>
  <c r="K67" i="22"/>
  <c r="K68" i="22"/>
  <c r="K69" i="22"/>
  <c r="K70" i="22"/>
  <c r="K71" i="22"/>
  <c r="K72" i="22"/>
  <c r="K73" i="22"/>
  <c r="K74" i="22"/>
  <c r="K75" i="22"/>
  <c r="K76" i="22"/>
  <c r="K77" i="22"/>
  <c r="K78" i="22"/>
  <c r="K79" i="22"/>
  <c r="K80" i="22"/>
  <c r="K81" i="22"/>
  <c r="K82" i="22"/>
  <c r="K83" i="22"/>
  <c r="K84" i="22"/>
  <c r="K85" i="22"/>
  <c r="K86" i="22"/>
  <c r="K87" i="22"/>
  <c r="K88" i="22"/>
  <c r="K89" i="22"/>
  <c r="K90" i="22"/>
  <c r="K91" i="22"/>
  <c r="K92" i="22"/>
  <c r="K93" i="22"/>
  <c r="K94" i="22"/>
  <c r="K95" i="22"/>
  <c r="K96" i="22"/>
  <c r="K97" i="22"/>
  <c r="K98" i="22"/>
  <c r="K99" i="22"/>
  <c r="K100" i="22"/>
  <c r="K101" i="22"/>
  <c r="K102" i="22"/>
  <c r="K103" i="22"/>
  <c r="K104" i="22"/>
  <c r="K105" i="22"/>
  <c r="K106" i="22"/>
  <c r="K107" i="22"/>
  <c r="K108" i="22"/>
  <c r="K109" i="22"/>
  <c r="K110" i="22"/>
  <c r="K111" i="22"/>
  <c r="K112" i="22"/>
  <c r="K113" i="22"/>
  <c r="K114" i="22"/>
  <c r="K115" i="22"/>
  <c r="K116" i="22"/>
  <c r="K117" i="22"/>
  <c r="K118" i="22"/>
  <c r="K119" i="22"/>
  <c r="K120" i="22"/>
  <c r="K121" i="22"/>
  <c r="K122" i="22"/>
  <c r="K123" i="22"/>
  <c r="K124" i="22"/>
  <c r="K125" i="22"/>
  <c r="K126" i="22"/>
  <c r="K127" i="22"/>
  <c r="K128" i="22"/>
  <c r="K129" i="22"/>
  <c r="K130" i="22"/>
  <c r="K131" i="22"/>
  <c r="K132" i="22"/>
  <c r="K133" i="22"/>
  <c r="K134" i="22"/>
  <c r="K135" i="22"/>
  <c r="K136" i="22"/>
  <c r="K137" i="22"/>
  <c r="K138" i="22"/>
  <c r="K139" i="22"/>
  <c r="K140" i="22"/>
  <c r="K141" i="22"/>
  <c r="K142" i="22"/>
  <c r="K143" i="22"/>
  <c r="K144" i="22"/>
  <c r="K145" i="22"/>
  <c r="K147" i="22"/>
  <c r="K148" i="22"/>
  <c r="K149" i="22"/>
  <c r="K150" i="22"/>
  <c r="K151" i="22"/>
  <c r="K152" i="22"/>
  <c r="K153" i="22"/>
  <c r="K154" i="22"/>
  <c r="K155" i="22"/>
  <c r="K156" i="22"/>
  <c r="K157" i="22"/>
  <c r="K158" i="22"/>
  <c r="K159" i="22"/>
  <c r="K160" i="22"/>
  <c r="K161" i="22"/>
  <c r="K166" i="22"/>
  <c r="K167" i="22"/>
  <c r="K168" i="22"/>
  <c r="K169" i="22"/>
  <c r="K170" i="22"/>
  <c r="K171" i="22"/>
  <c r="K172" i="22"/>
  <c r="K173" i="22"/>
  <c r="K174" i="22"/>
  <c r="K175" i="22"/>
  <c r="K176" i="22"/>
  <c r="K177" i="22"/>
  <c r="K178" i="22"/>
  <c r="K179" i="22"/>
  <c r="K180" i="22"/>
  <c r="K181" i="22"/>
  <c r="K182" i="22"/>
  <c r="K183" i="22"/>
  <c r="K184" i="22"/>
  <c r="K185" i="22"/>
  <c r="K186" i="22"/>
  <c r="K187" i="22"/>
  <c r="K188" i="22"/>
  <c r="K189" i="22"/>
  <c r="K190" i="22"/>
  <c r="K191" i="22"/>
  <c r="K192" i="22"/>
  <c r="K193" i="22"/>
  <c r="K194" i="22"/>
  <c r="K195" i="22"/>
  <c r="K196" i="22"/>
  <c r="K197" i="22"/>
  <c r="K198" i="22"/>
  <c r="K199" i="22"/>
  <c r="K200" i="22"/>
  <c r="K201" i="22"/>
  <c r="K202" i="22"/>
  <c r="K203" i="22"/>
  <c r="K204" i="22"/>
  <c r="K205" i="22"/>
  <c r="K206" i="22"/>
  <c r="K207" i="22"/>
  <c r="K208" i="22"/>
  <c r="K209" i="22"/>
  <c r="K210" i="22"/>
  <c r="K211" i="22"/>
  <c r="K212" i="22"/>
  <c r="K213" i="22"/>
  <c r="K214" i="22"/>
  <c r="K215" i="22"/>
  <c r="K216" i="22"/>
  <c r="K217" i="22"/>
  <c r="K218" i="22"/>
  <c r="K219" i="22"/>
  <c r="K220" i="22"/>
  <c r="K221" i="22"/>
  <c r="K223" i="22"/>
  <c r="K224" i="22"/>
  <c r="K225" i="22"/>
  <c r="K226" i="22"/>
  <c r="K227" i="22"/>
  <c r="K228" i="22"/>
  <c r="K229" i="22"/>
  <c r="K230" i="22"/>
  <c r="K231" i="22"/>
  <c r="K232" i="22"/>
  <c r="K233" i="22"/>
  <c r="K234" i="22"/>
  <c r="K235" i="22"/>
  <c r="K236" i="22"/>
  <c r="K237" i="22"/>
  <c r="K238" i="22"/>
  <c r="K239" i="22"/>
  <c r="K240" i="22"/>
  <c r="K241" i="22"/>
  <c r="K242" i="22"/>
  <c r="K243" i="22"/>
  <c r="K244" i="22"/>
  <c r="K245" i="22"/>
  <c r="K246" i="22"/>
  <c r="K247" i="22"/>
  <c r="K248" i="22"/>
  <c r="K249" i="22"/>
  <c r="K250" i="22"/>
  <c r="K251" i="22"/>
  <c r="K252" i="22"/>
  <c r="K253" i="22"/>
  <c r="K254" i="22"/>
  <c r="K255" i="22"/>
  <c r="K256" i="22"/>
  <c r="K257" i="22"/>
  <c r="K258" i="22"/>
  <c r="K259" i="22"/>
  <c r="K260" i="22"/>
  <c r="K261" i="22"/>
  <c r="K262" i="22"/>
  <c r="K263" i="22"/>
  <c r="K264" i="22"/>
  <c r="K265" i="22"/>
  <c r="K266" i="22"/>
  <c r="K267" i="22"/>
  <c r="K268" i="22"/>
  <c r="K269" i="22"/>
  <c r="K270" i="22"/>
  <c r="K271" i="22"/>
  <c r="K272" i="22"/>
  <c r="K273" i="22"/>
  <c r="K274" i="22"/>
  <c r="K275" i="22"/>
  <c r="K276" i="22"/>
  <c r="K277" i="22"/>
  <c r="K278" i="22"/>
  <c r="K279" i="22"/>
  <c r="K280" i="22"/>
  <c r="K281" i="22"/>
  <c r="K282" i="22"/>
  <c r="K283" i="22"/>
  <c r="K284" i="22"/>
  <c r="K285" i="22"/>
  <c r="K286" i="22"/>
  <c r="K287" i="22"/>
  <c r="K288" i="22"/>
  <c r="K289" i="22"/>
  <c r="K290" i="22"/>
  <c r="K291" i="22"/>
  <c r="K292" i="22"/>
  <c r="K293" i="22"/>
  <c r="K294" i="22"/>
  <c r="K295" i="22"/>
  <c r="K296" i="22"/>
  <c r="K298" i="22"/>
  <c r="K299" i="22"/>
  <c r="K300" i="22"/>
  <c r="K301" i="22"/>
  <c r="K302" i="22"/>
  <c r="K303" i="22"/>
  <c r="K304" i="22"/>
  <c r="K305" i="22"/>
  <c r="K306" i="22"/>
  <c r="K307" i="22"/>
  <c r="K308" i="22"/>
  <c r="K309" i="22"/>
  <c r="K310" i="22"/>
  <c r="K311" i="22"/>
  <c r="K312" i="22"/>
  <c r="K313" i="22"/>
  <c r="K314" i="22"/>
  <c r="K315" i="22"/>
  <c r="K316" i="22"/>
  <c r="K317" i="22"/>
  <c r="K318" i="22"/>
  <c r="K319" i="22"/>
  <c r="K320" i="22"/>
  <c r="K321" i="22"/>
  <c r="K322" i="22"/>
  <c r="K323" i="22"/>
  <c r="K324" i="22"/>
  <c r="K325" i="22"/>
  <c r="K326" i="22"/>
  <c r="K327" i="22"/>
  <c r="K328" i="22"/>
  <c r="K329" i="22"/>
  <c r="K330" i="22"/>
  <c r="K331" i="22"/>
  <c r="K332" i="22"/>
  <c r="K333" i="22"/>
  <c r="K334" i="22"/>
  <c r="K335" i="22"/>
  <c r="K336" i="22"/>
  <c r="K337" i="22"/>
  <c r="K338" i="22"/>
  <c r="K339" i="22"/>
  <c r="K340" i="22"/>
  <c r="K341" i="22"/>
  <c r="K342" i="22"/>
  <c r="K343" i="22"/>
  <c r="K345" i="22"/>
  <c r="K346" i="22"/>
  <c r="K347" i="22"/>
  <c r="K348" i="22"/>
  <c r="K349" i="22"/>
  <c r="K350" i="22"/>
  <c r="K352" i="22"/>
  <c r="K354" i="22"/>
  <c r="K355" i="22"/>
  <c r="K356" i="22"/>
  <c r="K357" i="22"/>
  <c r="K359" i="22"/>
  <c r="K360" i="22"/>
  <c r="K361" i="22"/>
  <c r="K363" i="22"/>
  <c r="K364" i="22"/>
  <c r="K365" i="22"/>
  <c r="K366" i="22"/>
  <c r="K369" i="22"/>
  <c r="K371" i="22"/>
  <c r="K372" i="22"/>
  <c r="K373" i="22"/>
  <c r="K374" i="22"/>
  <c r="K375" i="22"/>
  <c r="K376" i="22"/>
  <c r="K377" i="22"/>
  <c r="K378" i="22"/>
  <c r="K379" i="22"/>
  <c r="K380" i="22"/>
  <c r="K381" i="22"/>
  <c r="K382" i="22"/>
  <c r="K383" i="22"/>
  <c r="K385" i="22"/>
  <c r="K386" i="22"/>
  <c r="K389" i="22"/>
  <c r="K390" i="22"/>
  <c r="K391" i="22"/>
  <c r="K392" i="22"/>
  <c r="K393" i="22"/>
  <c r="K394" i="22"/>
  <c r="K398" i="22"/>
  <c r="K400" i="22"/>
  <c r="K401" i="22"/>
  <c r="K402" i="22"/>
  <c r="K403" i="22"/>
  <c r="K404" i="22"/>
  <c r="K405" i="22"/>
  <c r="K406" i="22"/>
  <c r="K411" i="22"/>
  <c r="K412" i="22"/>
  <c r="K413" i="22"/>
  <c r="K414" i="22"/>
  <c r="K415" i="22"/>
  <c r="K416" i="22"/>
  <c r="K435" i="22"/>
  <c r="K436" i="22"/>
  <c r="K437" i="22"/>
  <c r="K438" i="22"/>
  <c r="K439" i="22"/>
  <c r="K440" i="22"/>
  <c r="K441" i="22"/>
  <c r="K442" i="22"/>
  <c r="K443" i="22"/>
  <c r="K444" i="22"/>
  <c r="K445" i="22"/>
  <c r="K446" i="22"/>
  <c r="K447" i="22"/>
  <c r="K448" i="22"/>
  <c r="K449" i="22"/>
  <c r="K450" i="22"/>
  <c r="K451" i="22"/>
  <c r="K452" i="22"/>
  <c r="K453" i="22"/>
  <c r="K454" i="22"/>
  <c r="K455" i="22"/>
  <c r="K456" i="22"/>
  <c r="K457" i="22"/>
  <c r="K458" i="22"/>
  <c r="K459" i="22"/>
  <c r="K460" i="22"/>
  <c r="K461" i="22"/>
  <c r="K462" i="22"/>
  <c r="K463" i="22"/>
  <c r="K464" i="22"/>
  <c r="K465" i="22"/>
  <c r="K466" i="22"/>
  <c r="K467" i="22"/>
  <c r="K468" i="22"/>
  <c r="K469" i="22"/>
  <c r="K470" i="22"/>
  <c r="K471" i="22"/>
  <c r="K472" i="22"/>
  <c r="K473" i="22"/>
  <c r="K474" i="22"/>
  <c r="K475" i="22"/>
  <c r="K476" i="22"/>
  <c r="K477" i="22"/>
  <c r="K478" i="22"/>
  <c r="K479" i="22"/>
  <c r="K480" i="22"/>
  <c r="K481" i="22"/>
  <c r="K482" i="22"/>
  <c r="K483" i="22"/>
  <c r="K484" i="22"/>
  <c r="K485" i="22"/>
  <c r="K486" i="22"/>
  <c r="K487" i="22"/>
  <c r="K488" i="22"/>
  <c r="K489" i="22"/>
  <c r="K490" i="22"/>
  <c r="K491" i="22"/>
  <c r="K492" i="22"/>
  <c r="K493" i="22"/>
  <c r="K494" i="22"/>
  <c r="K495" i="22"/>
  <c r="K496" i="22"/>
  <c r="K497" i="22"/>
  <c r="K498" i="22"/>
  <c r="K499" i="22"/>
  <c r="K500" i="22"/>
  <c r="K501" i="22"/>
  <c r="K502" i="22"/>
  <c r="K503" i="22"/>
  <c r="K504" i="22"/>
  <c r="K505" i="22"/>
  <c r="K506" i="22"/>
  <c r="K507" i="22"/>
  <c r="K508" i="22"/>
  <c r="K509" i="22"/>
  <c r="K510" i="22"/>
  <c r="K511" i="22"/>
  <c r="K512" i="22"/>
  <c r="K513" i="22"/>
  <c r="K514" i="22"/>
  <c r="K515" i="22"/>
  <c r="K516" i="22"/>
  <c r="K517" i="22"/>
  <c r="K518" i="22"/>
  <c r="K519" i="22"/>
  <c r="K520" i="22"/>
  <c r="K521" i="22"/>
  <c r="K522" i="22"/>
  <c r="K523" i="22"/>
  <c r="K524" i="22"/>
  <c r="K525" i="22"/>
  <c r="K526" i="22"/>
  <c r="K527" i="22"/>
  <c r="K528" i="22"/>
  <c r="K529" i="22"/>
  <c r="K530" i="22"/>
  <c r="K531" i="22"/>
  <c r="K532" i="22"/>
  <c r="K533" i="22"/>
  <c r="K534" i="22"/>
  <c r="K535" i="22"/>
  <c r="K536" i="22"/>
  <c r="K537" i="22"/>
  <c r="K538" i="22"/>
  <c r="K539" i="22"/>
  <c r="K540" i="22"/>
  <c r="K541" i="22"/>
  <c r="K542" i="22"/>
  <c r="K543" i="22"/>
  <c r="K544" i="22"/>
  <c r="K545" i="22"/>
  <c r="K546" i="22"/>
  <c r="K547" i="22"/>
  <c r="K548" i="22"/>
  <c r="K549" i="22"/>
  <c r="K550" i="22"/>
  <c r="K551" i="22"/>
  <c r="K552" i="22"/>
  <c r="K553" i="22"/>
  <c r="K554" i="22"/>
  <c r="K555" i="22"/>
  <c r="K556" i="22"/>
  <c r="K557" i="22"/>
  <c r="K559" i="22"/>
  <c r="K560" i="22"/>
  <c r="K561" i="22"/>
  <c r="K562" i="22"/>
  <c r="K564" i="22"/>
  <c r="K565" i="22"/>
  <c r="K566" i="22"/>
  <c r="K568" i="22"/>
  <c r="K569" i="22"/>
  <c r="K570" i="22"/>
  <c r="K571" i="22"/>
  <c r="K572" i="22"/>
  <c r="K573" i="22"/>
  <c r="K574" i="22"/>
  <c r="K575" i="22"/>
  <c r="K577" i="22"/>
  <c r="K578" i="22"/>
  <c r="K579" i="22"/>
  <c r="K580" i="22"/>
  <c r="K581" i="22"/>
  <c r="K582" i="22"/>
  <c r="K583" i="22"/>
  <c r="K584" i="22"/>
  <c r="K585" i="22"/>
  <c r="K586" i="22"/>
  <c r="K587" i="22"/>
  <c r="K588" i="22"/>
  <c r="K590" i="22"/>
  <c r="K591" i="22"/>
  <c r="K592" i="22"/>
  <c r="K593" i="22"/>
  <c r="K594" i="22"/>
  <c r="K595" i="22"/>
  <c r="K596" i="22"/>
  <c r="K597" i="22"/>
  <c r="K599" i="22"/>
  <c r="K600" i="22"/>
  <c r="K601" i="22"/>
  <c r="K602" i="22"/>
  <c r="K603" i="22"/>
  <c r="K604" i="22"/>
  <c r="K632" i="22"/>
  <c r="K633" i="22"/>
  <c r="K634" i="22"/>
  <c r="K635" i="22"/>
  <c r="K636" i="22"/>
  <c r="K637" i="22"/>
  <c r="K638" i="22"/>
  <c r="K647" i="22"/>
  <c r="K648" i="22"/>
  <c r="K649" i="22"/>
  <c r="K650" i="22"/>
  <c r="K651" i="22"/>
  <c r="K652" i="22"/>
  <c r="K653" i="22"/>
  <c r="K654" i="22"/>
  <c r="K655" i="22"/>
  <c r="K656" i="22"/>
  <c r="K657" i="22"/>
  <c r="K658" i="22"/>
  <c r="K659" i="22"/>
  <c r="K660" i="22"/>
  <c r="K661" i="22"/>
  <c r="K662" i="22"/>
  <c r="K663" i="22"/>
  <c r="K664" i="22"/>
  <c r="K665" i="22"/>
  <c r="K666" i="22"/>
  <c r="K667" i="22"/>
  <c r="K668" i="22"/>
  <c r="K669" i="22"/>
  <c r="K670" i="22"/>
  <c r="K671" i="22"/>
  <c r="K672" i="22"/>
  <c r="K673" i="22"/>
  <c r="K674" i="22"/>
  <c r="K675" i="22"/>
  <c r="K676" i="22"/>
  <c r="K677" i="22"/>
  <c r="K678" i="22"/>
  <c r="K679" i="22"/>
  <c r="K682" i="22"/>
  <c r="K683" i="22"/>
  <c r="K686" i="22"/>
  <c r="K687" i="22"/>
  <c r="K688" i="22"/>
  <c r="K691" i="22"/>
  <c r="K693" i="22"/>
  <c r="K694" i="22"/>
  <c r="K695" i="22"/>
  <c r="K696" i="22"/>
  <c r="K697" i="22"/>
  <c r="K698" i="22"/>
  <c r="K699" i="22"/>
  <c r="K701" i="22"/>
  <c r="K702" i="22"/>
  <c r="K703" i="22"/>
  <c r="K704" i="22"/>
  <c r="K705" i="22"/>
  <c r="K706" i="22"/>
  <c r="K707" i="22"/>
  <c r="K710" i="22"/>
  <c r="K711" i="22"/>
  <c r="K714" i="22"/>
  <c r="K715" i="22"/>
  <c r="K716" i="22"/>
  <c r="K717" i="22"/>
  <c r="K718" i="22"/>
  <c r="K719" i="22"/>
  <c r="K720" i="22"/>
  <c r="K721" i="22"/>
  <c r="K722" i="22"/>
  <c r="K723" i="22"/>
  <c r="K724" i="22"/>
  <c r="K725" i="22"/>
  <c r="K727" i="22"/>
  <c r="K728" i="22"/>
  <c r="K729" i="22"/>
  <c r="K731" i="22"/>
  <c r="K732" i="22"/>
  <c r="K733" i="22"/>
  <c r="K734" i="22"/>
  <c r="K735" i="22"/>
  <c r="K736" i="22"/>
  <c r="K737" i="22"/>
  <c r="K738" i="22"/>
  <c r="K739" i="22"/>
  <c r="K740" i="22"/>
  <c r="K741" i="22"/>
  <c r="K742" i="22"/>
  <c r="K743" i="22"/>
  <c r="K744" i="22"/>
  <c r="K745" i="22"/>
  <c r="K746" i="22"/>
  <c r="K747" i="22"/>
  <c r="K748" i="22"/>
  <c r="K749" i="22"/>
  <c r="K750" i="22"/>
  <c r="K751" i="22"/>
  <c r="K753" i="22"/>
  <c r="K754" i="22"/>
  <c r="K756" i="22"/>
  <c r="K757" i="22"/>
  <c r="K761" i="22"/>
  <c r="K762" i="22"/>
  <c r="K763" i="22"/>
  <c r="K764" i="22"/>
  <c r="K765" i="22"/>
  <c r="K768" i="22"/>
  <c r="K769" i="22"/>
  <c r="K770" i="22"/>
  <c r="K771" i="22"/>
  <c r="K772" i="22"/>
  <c r="K773" i="22"/>
  <c r="K774" i="22"/>
  <c r="K775" i="22"/>
  <c r="K776" i="22"/>
  <c r="K777" i="22"/>
  <c r="K778" i="22"/>
  <c r="K779" i="22"/>
  <c r="K780" i="22"/>
  <c r="K781" i="22"/>
  <c r="K782" i="22"/>
  <c r="K783" i="22"/>
  <c r="K784" i="22"/>
  <c r="K785" i="22"/>
  <c r="K786" i="22"/>
  <c r="K787" i="22"/>
  <c r="K788" i="22"/>
  <c r="K789" i="22"/>
  <c r="K791" i="22"/>
  <c r="K792" i="22"/>
  <c r="K793" i="22"/>
  <c r="K794" i="22"/>
  <c r="K795" i="22"/>
  <c r="K796" i="22"/>
  <c r="K798" i="22"/>
  <c r="K799" i="22"/>
  <c r="K800" i="22"/>
  <c r="K801" i="22"/>
  <c r="K802" i="22"/>
  <c r="K803" i="22"/>
  <c r="K804" i="22"/>
  <c r="K805" i="22"/>
  <c r="K806" i="22"/>
  <c r="K809" i="22"/>
  <c r="K810" i="22"/>
  <c r="K811" i="22"/>
  <c r="K812" i="22"/>
  <c r="K813" i="22"/>
  <c r="K814" i="22"/>
  <c r="K815" i="22"/>
  <c r="K816" i="22"/>
  <c r="K817" i="22"/>
  <c r="K818" i="22"/>
  <c r="K819" i="22"/>
  <c r="K820" i="22"/>
  <c r="K821" i="22"/>
  <c r="K822" i="22"/>
  <c r="K823" i="22"/>
  <c r="K824" i="22"/>
  <c r="K825" i="22"/>
  <c r="K826" i="22"/>
  <c r="K827" i="22"/>
  <c r="K828" i="22"/>
  <c r="K829" i="22"/>
  <c r="K830" i="22"/>
  <c r="K831" i="22"/>
  <c r="K832" i="22"/>
  <c r="K833" i="22"/>
  <c r="K834" i="22"/>
  <c r="K835" i="22"/>
  <c r="K836" i="22"/>
  <c r="K837" i="22"/>
  <c r="K838" i="22"/>
  <c r="K839" i="22"/>
  <c r="K840" i="22"/>
  <c r="K841" i="22"/>
  <c r="K842" i="22"/>
  <c r="K843" i="22"/>
  <c r="K844" i="22"/>
  <c r="K845" i="22"/>
  <c r="K846" i="22"/>
  <c r="K847" i="22"/>
  <c r="K848" i="22"/>
  <c r="K849" i="22"/>
  <c r="K850" i="22"/>
  <c r="K851" i="22"/>
  <c r="K853" i="22"/>
  <c r="K854" i="22"/>
  <c r="K855" i="22"/>
  <c r="K856" i="22"/>
  <c r="K857" i="22"/>
  <c r="K858" i="22"/>
  <c r="K859" i="22"/>
  <c r="K860" i="22"/>
  <c r="K861" i="22"/>
  <c r="K862" i="22"/>
  <c r="K863" i="22"/>
  <c r="K864" i="22"/>
  <c r="K865" i="22"/>
  <c r="K866" i="22"/>
  <c r="K867" i="22"/>
  <c r="K868" i="22"/>
  <c r="K869" i="22"/>
  <c r="K870" i="22"/>
  <c r="K871" i="22"/>
  <c r="K872" i="22"/>
  <c r="K873" i="22"/>
  <c r="K874" i="22"/>
  <c r="K877" i="22"/>
  <c r="K878" i="22"/>
  <c r="K879" i="22"/>
  <c r="K880" i="22"/>
  <c r="K881" i="22"/>
  <c r="K882" i="22"/>
  <c r="K883" i="22"/>
  <c r="K884" i="22"/>
  <c r="K885" i="22"/>
  <c r="K886" i="22"/>
  <c r="K887" i="22"/>
  <c r="K888" i="22"/>
  <c r="K889" i="22"/>
  <c r="K890" i="22"/>
  <c r="K891" i="22"/>
  <c r="K892" i="22"/>
  <c r="K893" i="22"/>
  <c r="K894" i="22"/>
  <c r="K895" i="22"/>
  <c r="K896" i="22"/>
  <c r="K897" i="22"/>
  <c r="K898" i="22"/>
  <c r="K899" i="22"/>
  <c r="K900" i="22"/>
  <c r="K901" i="22"/>
  <c r="K903" i="22"/>
  <c r="K904" i="22"/>
  <c r="K905" i="22"/>
  <c r="K906" i="22"/>
  <c r="K907" i="22"/>
  <c r="K908" i="22"/>
  <c r="K909" i="22"/>
  <c r="K910" i="22"/>
  <c r="K911" i="22"/>
  <c r="K912" i="22"/>
  <c r="K913" i="22"/>
  <c r="K914" i="22"/>
  <c r="K915" i="22"/>
  <c r="K916" i="22"/>
  <c r="K917" i="22"/>
  <c r="K918" i="22"/>
  <c r="K919" i="22"/>
  <c r="K920" i="22"/>
  <c r="K921" i="22"/>
  <c r="K922" i="22"/>
  <c r="K923" i="22"/>
  <c r="K924" i="22"/>
  <c r="K925" i="22"/>
  <c r="K926" i="22"/>
  <c r="K927" i="22"/>
  <c r="K928" i="22"/>
  <c r="K929" i="22"/>
  <c r="K930" i="22"/>
  <c r="K931" i="22"/>
  <c r="K932" i="22"/>
  <c r="K933" i="22"/>
  <c r="K934" i="22"/>
  <c r="K935" i="22"/>
  <c r="K936" i="22"/>
  <c r="K937" i="22"/>
  <c r="K938" i="22"/>
  <c r="K939" i="22"/>
  <c r="K940" i="22"/>
  <c r="K941" i="22"/>
  <c r="K942" i="22"/>
  <c r="K943" i="22"/>
  <c r="K944" i="22"/>
  <c r="K945" i="22"/>
  <c r="K946" i="22"/>
  <c r="K947" i="22"/>
  <c r="K948" i="22"/>
  <c r="K949" i="22"/>
  <c r="K950" i="22"/>
  <c r="K951" i="22"/>
  <c r="K952" i="22"/>
  <c r="K953" i="22"/>
  <c r="K954" i="22"/>
  <c r="K955" i="22"/>
  <c r="K956" i="22"/>
  <c r="K957" i="22"/>
  <c r="K958" i="22"/>
  <c r="K959" i="22"/>
  <c r="K960" i="22"/>
  <c r="K961" i="22"/>
  <c r="K962" i="22"/>
  <c r="K963" i="22"/>
  <c r="K964" i="22"/>
  <c r="K965" i="22"/>
  <c r="K966" i="22"/>
  <c r="K967" i="22"/>
  <c r="K968" i="22"/>
  <c r="K969" i="22"/>
  <c r="K970" i="22"/>
  <c r="K971" i="22"/>
  <c r="K972" i="22"/>
  <c r="K973" i="22"/>
  <c r="K978" i="22"/>
  <c r="K979" i="22"/>
  <c r="K980" i="22"/>
  <c r="K981" i="22"/>
  <c r="K983" i="22"/>
  <c r="K984" i="22"/>
  <c r="K985" i="22"/>
  <c r="K986" i="22"/>
  <c r="K987" i="22"/>
  <c r="K988" i="22"/>
  <c r="K989" i="22"/>
  <c r="K990" i="22"/>
  <c r="K991" i="22"/>
  <c r="K992" i="22"/>
  <c r="K993" i="22"/>
  <c r="K994" i="22"/>
  <c r="K995" i="22"/>
  <c r="K996" i="22"/>
  <c r="K997" i="22"/>
  <c r="K998" i="22"/>
  <c r="K999" i="22"/>
  <c r="K1000" i="22"/>
  <c r="K1001" i="22"/>
  <c r="K1002" i="22"/>
  <c r="K1003" i="22"/>
  <c r="K1004" i="22"/>
  <c r="K1005" i="22"/>
  <c r="K1006" i="22"/>
  <c r="K1007" i="22"/>
  <c r="K1008" i="22"/>
  <c r="K1009" i="22"/>
  <c r="K1010" i="22"/>
  <c r="K1011" i="22"/>
  <c r="K1012" i="22"/>
  <c r="K1014" i="22"/>
  <c r="K1015" i="22"/>
  <c r="K1016" i="22"/>
  <c r="K1017" i="22"/>
  <c r="K1018" i="22"/>
  <c r="K1019" i="22"/>
  <c r="K1020" i="22"/>
  <c r="K1021" i="22"/>
  <c r="K1022" i="22"/>
  <c r="K1023" i="22"/>
  <c r="K1024" i="22"/>
  <c r="K1025" i="22"/>
  <c r="K1026" i="22"/>
  <c r="K1027" i="22"/>
  <c r="K1028" i="22"/>
  <c r="K1029" i="22"/>
  <c r="K1030" i="22"/>
  <c r="K1031" i="22"/>
  <c r="K1032" i="22"/>
  <c r="K1033" i="22"/>
  <c r="K1034" i="22"/>
  <c r="K1035" i="22"/>
  <c r="K1036" i="22"/>
  <c r="K1037" i="22"/>
  <c r="K1038" i="22"/>
  <c r="K1039" i="22"/>
  <c r="K1040" i="22"/>
  <c r="K1041" i="22"/>
  <c r="K1042" i="22"/>
  <c r="K1043" i="22"/>
  <c r="K1044" i="22"/>
  <c r="K1045" i="22"/>
  <c r="K1046" i="22"/>
  <c r="K1047" i="22"/>
  <c r="K1048" i="22"/>
  <c r="K1049" i="22"/>
  <c r="K1050" i="22"/>
  <c r="K1051" i="22"/>
  <c r="K1052" i="22"/>
  <c r="K1053" i="22"/>
  <c r="K1054" i="22"/>
  <c r="K1055" i="22"/>
  <c r="K1056" i="22"/>
  <c r="K1057" i="22"/>
  <c r="K1058" i="22"/>
  <c r="K1059" i="22"/>
  <c r="K1060" i="22"/>
  <c r="K1061" i="22"/>
  <c r="K1062" i="22"/>
  <c r="K1063" i="22"/>
  <c r="K1064" i="22"/>
  <c r="K1065" i="22"/>
  <c r="K1066" i="22"/>
  <c r="K1067" i="22"/>
  <c r="K1068" i="22"/>
  <c r="K1069" i="22"/>
  <c r="K1070" i="22"/>
  <c r="K1071" i="22"/>
  <c r="K1072" i="22"/>
  <c r="K1073" i="22"/>
  <c r="K1074" i="22"/>
  <c r="K1077" i="22"/>
  <c r="K1078" i="22"/>
  <c r="K1079" i="22"/>
  <c r="K1080" i="22"/>
  <c r="K1081" i="22"/>
  <c r="K1082" i="22"/>
  <c r="K1083" i="22"/>
  <c r="K1084" i="22"/>
  <c r="K1085" i="22"/>
  <c r="K1086" i="22"/>
  <c r="K1087" i="22"/>
  <c r="K1088" i="22"/>
  <c r="K1089" i="22"/>
  <c r="K1090" i="22"/>
  <c r="K1091" i="22"/>
  <c r="K1092" i="22"/>
  <c r="K1093" i="22"/>
  <c r="K1094" i="22"/>
  <c r="K1095" i="22"/>
  <c r="K1096" i="22"/>
  <c r="K1097" i="22"/>
  <c r="K1098" i="22"/>
  <c r="K1099" i="22"/>
  <c r="K1100" i="22"/>
  <c r="K1101" i="22"/>
  <c r="K1102" i="22"/>
  <c r="K1103" i="22"/>
  <c r="K1104" i="22"/>
  <c r="K1105" i="22"/>
  <c r="K1106" i="22"/>
  <c r="K1107" i="22"/>
  <c r="K1108" i="22"/>
  <c r="K1109" i="22"/>
  <c r="K1110" i="22"/>
  <c r="K1111" i="22"/>
  <c r="K1112" i="22"/>
  <c r="K1113" i="22"/>
  <c r="K1114" i="22"/>
  <c r="K1115" i="22"/>
  <c r="K1116" i="22"/>
  <c r="K1117" i="22"/>
  <c r="K1118" i="22"/>
  <c r="K1119" i="22"/>
  <c r="K1120" i="22"/>
  <c r="K1121" i="22"/>
  <c r="K1122" i="22"/>
  <c r="K1123" i="22"/>
  <c r="K1124" i="22"/>
  <c r="K1125" i="22"/>
  <c r="K1126" i="22"/>
  <c r="K1127" i="22"/>
  <c r="K1128" i="22"/>
  <c r="K1129" i="22"/>
  <c r="K1130" i="22"/>
  <c r="K1131" i="22"/>
  <c r="K1132" i="22"/>
  <c r="K1133" i="22"/>
  <c r="K1134" i="22"/>
  <c r="K1135" i="22"/>
  <c r="K1136" i="22"/>
  <c r="K1137" i="22"/>
  <c r="K1138" i="22"/>
  <c r="K1139" i="22"/>
  <c r="K1140" i="22"/>
  <c r="K1141" i="22"/>
  <c r="K1142" i="22"/>
  <c r="K1143" i="22"/>
  <c r="K1144" i="22"/>
  <c r="K1145" i="22"/>
  <c r="K1146" i="22"/>
  <c r="K1147" i="22"/>
  <c r="K1148" i="22"/>
  <c r="K1149" i="22"/>
  <c r="K1150" i="22"/>
  <c r="K1151" i="22"/>
  <c r="K1152" i="22"/>
  <c r="K1153" i="22"/>
  <c r="K1154" i="22"/>
  <c r="K1155" i="22"/>
  <c r="K1156" i="22"/>
  <c r="K1158" i="22"/>
  <c r="K1159" i="22"/>
  <c r="K1160" i="22"/>
  <c r="K1161" i="22"/>
  <c r="K1162" i="22"/>
  <c r="K1163" i="22"/>
  <c r="K1164" i="22"/>
  <c r="K1165" i="22"/>
  <c r="K1166" i="22"/>
  <c r="K1167" i="22"/>
  <c r="K1168" i="22"/>
  <c r="K1169" i="22"/>
  <c r="K1170" i="22"/>
  <c r="K1171" i="22"/>
  <c r="K1172" i="22"/>
  <c r="K1173" i="22"/>
  <c r="K1174" i="22"/>
  <c r="K1175" i="22"/>
  <c r="K1176" i="22"/>
  <c r="K1177" i="22"/>
  <c r="K1178" i="22"/>
  <c r="K1179" i="22"/>
  <c r="K1180" i="22"/>
  <c r="K1181" i="22"/>
  <c r="K1182" i="22"/>
  <c r="K1183" i="22"/>
  <c r="K1184" i="22"/>
  <c r="K1185" i="22"/>
  <c r="K1186" i="22"/>
  <c r="K1187" i="22"/>
  <c r="K1188" i="22"/>
  <c r="K1189" i="22"/>
  <c r="K1190" i="22"/>
  <c r="K1191" i="22"/>
  <c r="K1192" i="22"/>
  <c r="K1193" i="22"/>
  <c r="K1194" i="22"/>
  <c r="K1195" i="22"/>
  <c r="K1196" i="22"/>
  <c r="K1197" i="22"/>
  <c r="K1198" i="22"/>
  <c r="K1199" i="22"/>
  <c r="K1200" i="22"/>
  <c r="K1201" i="22"/>
  <c r="K1202" i="22"/>
  <c r="K1203" i="22"/>
  <c r="K1204" i="22"/>
  <c r="K1205" i="22"/>
  <c r="K1206" i="22"/>
  <c r="K1207" i="22"/>
  <c r="K1208" i="22"/>
  <c r="K1209" i="22"/>
  <c r="K1210" i="22"/>
  <c r="K1211" i="22"/>
  <c r="K1212" i="22"/>
  <c r="K1214" i="22"/>
  <c r="K1215" i="22"/>
  <c r="K1216" i="22"/>
  <c r="K1217" i="22"/>
  <c r="K1218" i="22"/>
  <c r="K1219" i="22"/>
  <c r="K1220" i="22"/>
  <c r="K1221" i="22"/>
  <c r="K1222" i="22"/>
  <c r="K1223" i="22"/>
  <c r="K1224" i="22"/>
  <c r="K1225" i="22"/>
  <c r="K1226" i="22"/>
  <c r="K1227" i="22"/>
  <c r="K1228" i="22"/>
  <c r="K1229" i="22"/>
  <c r="K1230" i="22"/>
  <c r="K1231" i="22"/>
  <c r="K1232" i="22"/>
  <c r="K1233" i="22"/>
  <c r="K1234" i="22"/>
  <c r="K1235" i="22"/>
  <c r="K1236" i="22"/>
  <c r="K1237" i="22"/>
  <c r="K1238" i="22"/>
  <c r="K1239" i="22"/>
  <c r="K1240" i="22"/>
  <c r="K1241" i="22"/>
  <c r="K1242" i="22"/>
  <c r="K1243" i="22"/>
  <c r="K1244" i="22"/>
  <c r="K1245" i="22"/>
  <c r="K1246" i="22"/>
  <c r="K1247" i="22"/>
  <c r="K1248" i="22"/>
  <c r="K1249" i="22"/>
  <c r="K1250" i="22"/>
  <c r="K1251" i="22"/>
  <c r="K1252" i="22"/>
  <c r="K1253" i="22"/>
  <c r="K1254" i="22"/>
  <c r="K1255" i="22"/>
  <c r="K1256" i="22"/>
  <c r="K1257" i="22"/>
  <c r="K1258" i="22"/>
  <c r="K1259" i="22"/>
  <c r="K1260" i="22"/>
  <c r="K1261" i="22"/>
  <c r="K1262" i="22"/>
  <c r="K1263" i="22"/>
  <c r="K1264" i="22"/>
  <c r="K1265" i="22"/>
  <c r="K1266" i="22"/>
  <c r="K1267" i="22"/>
  <c r="K1268" i="22"/>
  <c r="K1269" i="22"/>
  <c r="K1270" i="22"/>
  <c r="K1271" i="22"/>
  <c r="K1272" i="22"/>
  <c r="K1273" i="22"/>
  <c r="K1274" i="22"/>
  <c r="K1275" i="22"/>
  <c r="K1276" i="22"/>
  <c r="K1277" i="22"/>
  <c r="K1278" i="22"/>
  <c r="K1279" i="22"/>
  <c r="K1280" i="22"/>
  <c r="K1282" i="22"/>
  <c r="K1283" i="22"/>
  <c r="K1284" i="22"/>
  <c r="K1285" i="22"/>
  <c r="K1286" i="22"/>
  <c r="K1287" i="22"/>
  <c r="K1288" i="22"/>
  <c r="K1289" i="22"/>
  <c r="K1290" i="22"/>
  <c r="K1291" i="22"/>
  <c r="K1292" i="22"/>
  <c r="K1293" i="22"/>
  <c r="K1294" i="22"/>
  <c r="K1295" i="22"/>
  <c r="K1296" i="22"/>
  <c r="K1297" i="22"/>
  <c r="K1298" i="22"/>
  <c r="K1299" i="22"/>
  <c r="K1300" i="22"/>
  <c r="K1301" i="22"/>
  <c r="K1302" i="22"/>
  <c r="K1303" i="22"/>
  <c r="K1304" i="22"/>
  <c r="K1305" i="22"/>
  <c r="K1306" i="22"/>
  <c r="K1307" i="22"/>
  <c r="K1308" i="22"/>
  <c r="K1309" i="22"/>
  <c r="K1310" i="22"/>
  <c r="K1311" i="22"/>
  <c r="K1312" i="22"/>
  <c r="K1313" i="22"/>
  <c r="K1314" i="22"/>
  <c r="K1315" i="22"/>
  <c r="K1316" i="22"/>
  <c r="K1317" i="22"/>
  <c r="K1318" i="22"/>
  <c r="K1319" i="22"/>
  <c r="K1320" i="22"/>
  <c r="K1321" i="22"/>
  <c r="K1322" i="22"/>
  <c r="K1323" i="22"/>
  <c r="K1324" i="22"/>
  <c r="K1325" i="22"/>
  <c r="K1326" i="22"/>
  <c r="K1327" i="22"/>
  <c r="K1328" i="22"/>
  <c r="K1329" i="22"/>
  <c r="K1330" i="22"/>
  <c r="K1331" i="22"/>
  <c r="K1332" i="22"/>
  <c r="K1333" i="22"/>
  <c r="K1334" i="22"/>
  <c r="K1335" i="22"/>
  <c r="K1336" i="22"/>
  <c r="K1337" i="22"/>
  <c r="K1338" i="22"/>
  <c r="K1339" i="22"/>
  <c r="K1340" i="22"/>
  <c r="K1341" i="22"/>
  <c r="K1342" i="22"/>
  <c r="K1343" i="22"/>
  <c r="K1344" i="22"/>
  <c r="K1345" i="22"/>
  <c r="K1346" i="22"/>
  <c r="K1347" i="22"/>
  <c r="K1348" i="22"/>
  <c r="K1349" i="22"/>
  <c r="K1350" i="22"/>
  <c r="K1351" i="22"/>
  <c r="K1352" i="22"/>
  <c r="K1353" i="22"/>
  <c r="K1354" i="22"/>
  <c r="K1355" i="22"/>
  <c r="K1356" i="22"/>
  <c r="K1357" i="22"/>
  <c r="K1358" i="22"/>
  <c r="K1359" i="22"/>
  <c r="K1360" i="22"/>
  <c r="K1361" i="22"/>
  <c r="K1362" i="22"/>
  <c r="K1363" i="22"/>
  <c r="K1364" i="22"/>
  <c r="K1365" i="22"/>
  <c r="K1366" i="22"/>
  <c r="K1367" i="22"/>
  <c r="K1368" i="22"/>
  <c r="K1369" i="22"/>
  <c r="K1370" i="22"/>
  <c r="K1371" i="22"/>
  <c r="K1372" i="22"/>
  <c r="K1373" i="22"/>
  <c r="K1374" i="22"/>
  <c r="K1375" i="22"/>
  <c r="K1376" i="22"/>
  <c r="K1377" i="22"/>
  <c r="K1378" i="22"/>
  <c r="K1379" i="22"/>
  <c r="K1380" i="22"/>
  <c r="K1381" i="22"/>
  <c r="K1382" i="22"/>
  <c r="K1383" i="22"/>
  <c r="K1384" i="22"/>
  <c r="K1385" i="22"/>
  <c r="K1386" i="22"/>
  <c r="K1387" i="22"/>
  <c r="K1388" i="22"/>
  <c r="K1389" i="22"/>
  <c r="K1390" i="22"/>
  <c r="K1391" i="22"/>
  <c r="K1392" i="22"/>
  <c r="K1393" i="22"/>
  <c r="K1394" i="22"/>
  <c r="K1395" i="22"/>
  <c r="K1396" i="22"/>
  <c r="K1397" i="22"/>
  <c r="K1398" i="22"/>
  <c r="K1399" i="22"/>
  <c r="K1400" i="22"/>
  <c r="K1401" i="22"/>
  <c r="K1402" i="22"/>
  <c r="K1403" i="22"/>
  <c r="K1405" i="22"/>
  <c r="K1406" i="22"/>
  <c r="K1407" i="22"/>
  <c r="K1408" i="22"/>
  <c r="K1409" i="22"/>
  <c r="K1410" i="22"/>
  <c r="K1411" i="22"/>
  <c r="K1412" i="22"/>
  <c r="K1413" i="22"/>
  <c r="K1414" i="22"/>
  <c r="K1415" i="22"/>
  <c r="K1416" i="22"/>
  <c r="K1417" i="22"/>
  <c r="K1418" i="22"/>
  <c r="K1419" i="22"/>
  <c r="K1420" i="22"/>
  <c r="K1421" i="22"/>
  <c r="K1422" i="22"/>
  <c r="K1423" i="22"/>
  <c r="K1424" i="22"/>
  <c r="K1425" i="22"/>
  <c r="K1426" i="22"/>
  <c r="K1427" i="22"/>
  <c r="K1428" i="22"/>
  <c r="K1429" i="22"/>
  <c r="K1430" i="22"/>
  <c r="K1431" i="22"/>
  <c r="K1432" i="22"/>
  <c r="K1433" i="22"/>
  <c r="K1434" i="22"/>
  <c r="K1435" i="22"/>
  <c r="K1436" i="22"/>
  <c r="K1437" i="22"/>
  <c r="K1438" i="22"/>
  <c r="K1440" i="22"/>
  <c r="K1441" i="22"/>
  <c r="K1442" i="22"/>
  <c r="K1443" i="22"/>
  <c r="K1444" i="22"/>
  <c r="K1445" i="22"/>
  <c r="K1446" i="22"/>
  <c r="K1447" i="22"/>
  <c r="K1448" i="22"/>
  <c r="K1449" i="22"/>
  <c r="K1450" i="22"/>
  <c r="K1451" i="22"/>
  <c r="K1452" i="22"/>
  <c r="K1453" i="22"/>
  <c r="K1454" i="22"/>
  <c r="K1455" i="22"/>
  <c r="K1456" i="22"/>
  <c r="K1457" i="22"/>
  <c r="K1458" i="22"/>
  <c r="K1460" i="22"/>
  <c r="K1461" i="22"/>
  <c r="K1462" i="22"/>
  <c r="K1463" i="22"/>
  <c r="K1464" i="22"/>
  <c r="K1465" i="22"/>
  <c r="K1466" i="22"/>
  <c r="K1467" i="22"/>
  <c r="K1468" i="22"/>
  <c r="K1469" i="22"/>
  <c r="K1471" i="22"/>
  <c r="K1472" i="22"/>
  <c r="H2" i="22"/>
  <c r="H3" i="22"/>
  <c r="H4" i="22"/>
  <c r="H5" i="22"/>
  <c r="H6" i="22"/>
  <c r="H7"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H85" i="22"/>
  <c r="H86" i="22"/>
  <c r="H87" i="22"/>
  <c r="H88" i="22"/>
  <c r="H89" i="22"/>
  <c r="H90" i="22"/>
  <c r="H91" i="22"/>
  <c r="H92" i="22"/>
  <c r="H93" i="22"/>
  <c r="H94" i="22"/>
  <c r="H95" i="22"/>
  <c r="H96" i="22"/>
  <c r="H97" i="22"/>
  <c r="H98" i="22"/>
  <c r="H99" i="22"/>
  <c r="H100" i="22"/>
  <c r="H101" i="22"/>
  <c r="H102" i="22"/>
  <c r="H103" i="22"/>
  <c r="H104" i="22"/>
  <c r="H105" i="22"/>
  <c r="H106" i="22"/>
  <c r="H107" i="22"/>
  <c r="H108" i="22"/>
  <c r="H109" i="22"/>
  <c r="H110" i="22"/>
  <c r="H111" i="22"/>
  <c r="H112" i="22"/>
  <c r="H113" i="22"/>
  <c r="H114" i="22"/>
  <c r="H115" i="22"/>
  <c r="H116" i="22"/>
  <c r="H117" i="22"/>
  <c r="H118" i="22"/>
  <c r="H119" i="22"/>
  <c r="H120" i="22"/>
  <c r="H121" i="22"/>
  <c r="H122" i="22"/>
  <c r="H123" i="22"/>
  <c r="H124" i="22"/>
  <c r="H125" i="22"/>
  <c r="H126" i="22"/>
  <c r="H127" i="22"/>
  <c r="H128" i="22"/>
  <c r="H129" i="22"/>
  <c r="H130" i="22"/>
  <c r="H131" i="22"/>
  <c r="H132" i="22"/>
  <c r="H133" i="22"/>
  <c r="H134" i="22"/>
  <c r="H135" i="22"/>
  <c r="H136" i="22"/>
  <c r="H137" i="22"/>
  <c r="H138" i="22"/>
  <c r="H139" i="22"/>
  <c r="H140" i="22"/>
  <c r="H141" i="22"/>
  <c r="H142" i="22"/>
  <c r="H143" i="22"/>
  <c r="H144" i="22"/>
  <c r="H145" i="22"/>
  <c r="H146" i="22"/>
  <c r="H147" i="22"/>
  <c r="H148" i="22"/>
  <c r="H149" i="22"/>
  <c r="H150" i="22"/>
  <c r="H151" i="22"/>
  <c r="H152" i="22"/>
  <c r="H153" i="22"/>
  <c r="H154" i="22"/>
  <c r="H155" i="22"/>
  <c r="H156" i="22"/>
  <c r="H157" i="22"/>
  <c r="H158" i="22"/>
  <c r="H159" i="22"/>
  <c r="H160" i="22"/>
  <c r="H161" i="22"/>
  <c r="H162" i="22"/>
  <c r="H163" i="22"/>
  <c r="H164" i="22"/>
  <c r="H165" i="22"/>
  <c r="H166" i="22"/>
  <c r="H167" i="22"/>
  <c r="H168" i="22"/>
  <c r="H169" i="22"/>
  <c r="H170" i="22"/>
  <c r="H171" i="22"/>
  <c r="H172" i="22"/>
  <c r="H173" i="22"/>
  <c r="H174" i="22"/>
  <c r="H175" i="22"/>
  <c r="H176" i="22"/>
  <c r="H177" i="22"/>
  <c r="H178" i="22"/>
  <c r="H179" i="22"/>
  <c r="H180" i="22"/>
  <c r="H181" i="22"/>
  <c r="H182" i="22"/>
  <c r="H183" i="22"/>
  <c r="H184" i="22"/>
  <c r="H185" i="22"/>
  <c r="H186" i="22"/>
  <c r="H187" i="22"/>
  <c r="H188" i="22"/>
  <c r="H189" i="22"/>
  <c r="H190" i="22"/>
  <c r="H191" i="22"/>
  <c r="H192" i="22"/>
  <c r="H193" i="22"/>
  <c r="H194" i="22"/>
  <c r="H195" i="22"/>
  <c r="H196" i="22"/>
  <c r="H197" i="22"/>
  <c r="H198" i="22"/>
  <c r="H199" i="22"/>
  <c r="H200" i="22"/>
  <c r="H201" i="22"/>
  <c r="H202" i="22"/>
  <c r="H203" i="22"/>
  <c r="H204" i="22"/>
  <c r="H205" i="22"/>
  <c r="H206" i="22"/>
  <c r="H207" i="22"/>
  <c r="H208" i="22"/>
  <c r="H209" i="22"/>
  <c r="H210" i="22"/>
  <c r="H211" i="22"/>
  <c r="H212" i="22"/>
  <c r="H213" i="22"/>
  <c r="H214" i="22"/>
  <c r="H215" i="22"/>
  <c r="H216" i="22"/>
  <c r="H217" i="22"/>
  <c r="H218" i="22"/>
  <c r="H219" i="22"/>
  <c r="H220" i="22"/>
  <c r="H221" i="22"/>
  <c r="H222" i="22"/>
  <c r="H223" i="22"/>
  <c r="H224" i="22"/>
  <c r="H225" i="22"/>
  <c r="H226" i="22"/>
  <c r="H227" i="22"/>
  <c r="H228" i="22"/>
  <c r="H229" i="22"/>
  <c r="H230" i="22"/>
  <c r="H231" i="22"/>
  <c r="H232" i="22"/>
  <c r="H233" i="22"/>
  <c r="H234" i="22"/>
  <c r="H235" i="22"/>
  <c r="H236" i="22"/>
  <c r="H237" i="22"/>
  <c r="H238" i="22"/>
  <c r="H239" i="22"/>
  <c r="H240" i="22"/>
  <c r="H241" i="22"/>
  <c r="H242" i="22"/>
  <c r="H243" i="22"/>
  <c r="H244" i="22"/>
  <c r="H245" i="22"/>
  <c r="H246" i="22"/>
  <c r="H247" i="22"/>
  <c r="H248" i="22"/>
  <c r="H249" i="22"/>
  <c r="H250" i="22"/>
  <c r="H251" i="22"/>
  <c r="H252" i="22"/>
  <c r="H253" i="22"/>
  <c r="H254" i="22"/>
  <c r="H255" i="22"/>
  <c r="H256" i="22"/>
  <c r="H257" i="22"/>
  <c r="H258" i="22"/>
  <c r="H259" i="22"/>
  <c r="H260" i="22"/>
  <c r="H261" i="22"/>
  <c r="H262" i="22"/>
  <c r="H263" i="22"/>
  <c r="H264" i="22"/>
  <c r="H265" i="22"/>
  <c r="H266" i="22"/>
  <c r="H267" i="22"/>
  <c r="H268" i="22"/>
  <c r="H269" i="22"/>
  <c r="H270" i="22"/>
  <c r="H271" i="22"/>
  <c r="H272" i="22"/>
  <c r="H273" i="22"/>
  <c r="H274" i="22"/>
  <c r="H275" i="22"/>
  <c r="H276" i="22"/>
  <c r="H277" i="22"/>
  <c r="H278" i="22"/>
  <c r="H279" i="22"/>
  <c r="H280" i="22"/>
  <c r="H281" i="22"/>
  <c r="H282" i="22"/>
  <c r="H283" i="22"/>
  <c r="H284" i="22"/>
  <c r="H285" i="22"/>
  <c r="H286" i="22"/>
  <c r="H287" i="22"/>
  <c r="H288" i="22"/>
  <c r="H289" i="22"/>
  <c r="H290" i="22"/>
  <c r="H291" i="22"/>
  <c r="H292" i="22"/>
  <c r="H293" i="22"/>
  <c r="H294" i="22"/>
  <c r="H295" i="22"/>
  <c r="H296" i="22"/>
  <c r="H297" i="22"/>
  <c r="H298" i="22"/>
  <c r="H299" i="22"/>
  <c r="H300" i="22"/>
  <c r="H301" i="22"/>
  <c r="H302" i="22"/>
  <c r="H303" i="22"/>
  <c r="H304" i="22"/>
  <c r="H305" i="22"/>
  <c r="H306" i="22"/>
  <c r="H307" i="22"/>
  <c r="H308" i="22"/>
  <c r="H309" i="22"/>
  <c r="H310" i="22"/>
  <c r="H311" i="22"/>
  <c r="H312" i="22"/>
  <c r="H313" i="22"/>
  <c r="H314" i="22"/>
  <c r="H315" i="22"/>
  <c r="H316" i="22"/>
  <c r="H317" i="22"/>
  <c r="H318" i="22"/>
  <c r="H319" i="22"/>
  <c r="H320" i="22"/>
  <c r="H321" i="22"/>
  <c r="H322" i="22"/>
  <c r="H323" i="22"/>
  <c r="H324" i="22"/>
  <c r="H325" i="22"/>
  <c r="H326" i="22"/>
  <c r="H327" i="22"/>
  <c r="H328" i="22"/>
  <c r="H329" i="22"/>
  <c r="H330" i="22"/>
  <c r="H331" i="22"/>
  <c r="H332" i="22"/>
  <c r="H333" i="22"/>
  <c r="H334" i="22"/>
  <c r="H335" i="22"/>
  <c r="H336" i="22"/>
  <c r="H337" i="22"/>
  <c r="H338" i="22"/>
  <c r="H339" i="22"/>
  <c r="H340" i="22"/>
  <c r="H341" i="22"/>
  <c r="H342" i="22"/>
  <c r="H343" i="22"/>
  <c r="H344" i="22"/>
  <c r="H345" i="22"/>
  <c r="H346" i="22"/>
  <c r="H347" i="22"/>
  <c r="H348" i="22"/>
  <c r="H349" i="22"/>
  <c r="H350" i="22"/>
  <c r="H351" i="22"/>
  <c r="H352" i="22"/>
  <c r="H353" i="22"/>
  <c r="H354" i="22"/>
  <c r="H355" i="22"/>
  <c r="H356" i="22"/>
  <c r="H357" i="22"/>
  <c r="H358" i="22"/>
  <c r="H359" i="22"/>
  <c r="H360" i="22"/>
  <c r="H361" i="22"/>
  <c r="H362" i="22"/>
  <c r="H363" i="22"/>
  <c r="H364" i="22"/>
  <c r="H365" i="22"/>
  <c r="H366" i="22"/>
  <c r="H367" i="22"/>
  <c r="H368" i="22"/>
  <c r="H369" i="22"/>
  <c r="H370" i="22"/>
  <c r="H371" i="22"/>
  <c r="H372" i="22"/>
  <c r="H373" i="22"/>
  <c r="H374" i="22"/>
  <c r="H375" i="22"/>
  <c r="H376" i="22"/>
  <c r="H377" i="22"/>
  <c r="H378" i="22"/>
  <c r="H379" i="22"/>
  <c r="H380" i="22"/>
  <c r="H381" i="22"/>
  <c r="H382" i="22"/>
  <c r="H383" i="22"/>
  <c r="H384" i="22"/>
  <c r="H385" i="22"/>
  <c r="H386" i="22"/>
  <c r="H387" i="22"/>
  <c r="H388" i="22"/>
  <c r="H389" i="22"/>
  <c r="H390" i="22"/>
  <c r="H391" i="22"/>
  <c r="H392" i="22"/>
  <c r="H393" i="22"/>
  <c r="H394" i="22"/>
  <c r="H395" i="22"/>
  <c r="H396" i="22"/>
  <c r="H397" i="22"/>
  <c r="H398" i="22"/>
  <c r="H399" i="22"/>
  <c r="H400" i="22"/>
  <c r="H401" i="22"/>
  <c r="H402" i="22"/>
  <c r="H403" i="22"/>
  <c r="H404" i="22"/>
  <c r="H405" i="22"/>
  <c r="H406" i="22"/>
  <c r="H407" i="22"/>
  <c r="H408" i="22"/>
  <c r="H409" i="22"/>
  <c r="H410" i="22"/>
  <c r="H411" i="22"/>
  <c r="H412" i="22"/>
  <c r="H413" i="22"/>
  <c r="H414" i="22"/>
  <c r="H415" i="22"/>
  <c r="H416" i="22"/>
  <c r="H417" i="22"/>
  <c r="H418" i="22"/>
  <c r="H419" i="22"/>
  <c r="H420" i="22"/>
  <c r="H421" i="22"/>
  <c r="H422" i="22"/>
  <c r="H423" i="22"/>
  <c r="H424" i="22"/>
  <c r="H425" i="22"/>
  <c r="H426" i="22"/>
  <c r="H427" i="22"/>
  <c r="H428" i="22"/>
  <c r="H429" i="22"/>
  <c r="H430" i="22"/>
  <c r="H431" i="22"/>
  <c r="H432" i="22"/>
  <c r="H433" i="22"/>
  <c r="H434" i="22"/>
  <c r="H435" i="22"/>
  <c r="H436" i="22"/>
  <c r="H437" i="22"/>
  <c r="H438" i="22"/>
  <c r="H439" i="22"/>
  <c r="H440" i="22"/>
  <c r="H441" i="22"/>
  <c r="H442" i="22"/>
  <c r="H443" i="22"/>
  <c r="H444" i="22"/>
  <c r="H445" i="22"/>
  <c r="H446" i="22"/>
  <c r="H447" i="22"/>
  <c r="H448" i="22"/>
  <c r="H449" i="22"/>
  <c r="H450" i="22"/>
  <c r="H451" i="22"/>
  <c r="H452" i="22"/>
  <c r="H453" i="22"/>
  <c r="H454" i="22"/>
  <c r="H455" i="22"/>
  <c r="H456" i="22"/>
  <c r="H457" i="22"/>
  <c r="H458" i="22"/>
  <c r="H459" i="22"/>
  <c r="H460" i="22"/>
  <c r="H461" i="22"/>
  <c r="H462" i="22"/>
  <c r="H463" i="22"/>
  <c r="H464" i="22"/>
  <c r="H465" i="22"/>
  <c r="H466" i="22"/>
  <c r="H467" i="22"/>
  <c r="H468" i="22"/>
  <c r="H469" i="22"/>
  <c r="H470" i="22"/>
  <c r="H471" i="22"/>
  <c r="H472" i="22"/>
  <c r="H473" i="22"/>
  <c r="H474" i="22"/>
  <c r="H475" i="22"/>
  <c r="H476" i="22"/>
  <c r="H477" i="22"/>
  <c r="H478" i="22"/>
  <c r="H479" i="22"/>
  <c r="H480" i="22"/>
  <c r="H481" i="22"/>
  <c r="H482" i="22"/>
  <c r="H483" i="22"/>
  <c r="H484" i="22"/>
  <c r="H485" i="22"/>
  <c r="H486" i="22"/>
  <c r="H487" i="22"/>
  <c r="H488" i="22"/>
  <c r="H489" i="22"/>
  <c r="H490" i="22"/>
  <c r="H491" i="22"/>
  <c r="H492" i="22"/>
  <c r="H493" i="22"/>
  <c r="H494" i="22"/>
  <c r="H495" i="22"/>
  <c r="H496" i="22"/>
  <c r="H497" i="22"/>
  <c r="H498" i="22"/>
  <c r="H499" i="22"/>
  <c r="H500" i="22"/>
  <c r="H501" i="22"/>
  <c r="H502" i="22"/>
  <c r="H503" i="22"/>
  <c r="H504" i="22"/>
  <c r="H505" i="22"/>
  <c r="H506" i="22"/>
  <c r="H507" i="22"/>
  <c r="H508" i="22"/>
  <c r="H509" i="22"/>
  <c r="H510" i="22"/>
  <c r="H511" i="22"/>
  <c r="H512" i="22"/>
  <c r="H513" i="22"/>
  <c r="H514" i="22"/>
  <c r="H515" i="22"/>
  <c r="H516" i="22"/>
  <c r="H517" i="22"/>
  <c r="H518" i="22"/>
  <c r="H519" i="22"/>
  <c r="H520" i="22"/>
  <c r="H521" i="22"/>
  <c r="H522" i="22"/>
  <c r="H523" i="22"/>
  <c r="H524" i="22"/>
  <c r="H525" i="22"/>
  <c r="H526" i="22"/>
  <c r="H527" i="22"/>
  <c r="H528" i="22"/>
  <c r="H529" i="22"/>
  <c r="H530" i="22"/>
  <c r="H531" i="22"/>
  <c r="H532" i="22"/>
  <c r="H533" i="22"/>
  <c r="H534" i="22"/>
  <c r="H535" i="22"/>
  <c r="H536" i="22"/>
  <c r="H537" i="22"/>
  <c r="H538" i="22"/>
  <c r="H539" i="22"/>
  <c r="H540" i="22"/>
  <c r="H541" i="22"/>
  <c r="H542" i="22"/>
  <c r="H543" i="22"/>
  <c r="H544" i="22"/>
  <c r="H545" i="22"/>
  <c r="H546" i="22"/>
  <c r="H547" i="22"/>
  <c r="H548" i="22"/>
  <c r="H549" i="22"/>
  <c r="H550" i="22"/>
  <c r="H551" i="22"/>
  <c r="H552" i="22"/>
  <c r="H553" i="22"/>
  <c r="H554" i="22"/>
  <c r="H555" i="22"/>
  <c r="H556" i="22"/>
  <c r="H557" i="22"/>
  <c r="H558" i="22"/>
  <c r="H559" i="22"/>
  <c r="H560" i="22"/>
  <c r="H561" i="22"/>
  <c r="H562" i="22"/>
  <c r="H563" i="22"/>
  <c r="H564" i="22"/>
  <c r="H565" i="22"/>
  <c r="H566" i="22"/>
  <c r="H567" i="22"/>
  <c r="H568" i="22"/>
  <c r="H569" i="22"/>
  <c r="H570" i="22"/>
  <c r="H571" i="22"/>
  <c r="H572" i="22"/>
  <c r="H573" i="22"/>
  <c r="H574" i="22"/>
  <c r="H575" i="22"/>
  <c r="H576" i="22"/>
  <c r="H577" i="22"/>
  <c r="H578" i="22"/>
  <c r="H579" i="22"/>
  <c r="H580" i="22"/>
  <c r="H581" i="22"/>
  <c r="H582" i="22"/>
  <c r="H583" i="22"/>
  <c r="H584" i="22"/>
  <c r="H585" i="22"/>
  <c r="H586" i="22"/>
  <c r="H587" i="22"/>
  <c r="H588" i="22"/>
  <c r="H589" i="22"/>
  <c r="H590" i="22"/>
  <c r="H591" i="22"/>
  <c r="H592" i="22"/>
  <c r="H593" i="22"/>
  <c r="H594" i="22"/>
  <c r="H595" i="22"/>
  <c r="H596" i="22"/>
  <c r="H597" i="22"/>
  <c r="H598" i="22"/>
  <c r="H599" i="22"/>
  <c r="H600" i="22"/>
  <c r="H601" i="22"/>
  <c r="H602" i="22"/>
  <c r="H603" i="22"/>
  <c r="H604" i="22"/>
  <c r="H605" i="22"/>
  <c r="H606" i="22"/>
  <c r="H607" i="22"/>
  <c r="H608" i="22"/>
  <c r="H609" i="22"/>
  <c r="H610" i="22"/>
  <c r="H611" i="22"/>
  <c r="H612" i="22"/>
  <c r="H613" i="22"/>
  <c r="H614" i="22"/>
  <c r="H615" i="22"/>
  <c r="H616" i="22"/>
  <c r="H617" i="22"/>
  <c r="H618" i="22"/>
  <c r="H619" i="22"/>
  <c r="H620" i="22"/>
  <c r="H621" i="22"/>
  <c r="H622" i="22"/>
  <c r="H623" i="22"/>
  <c r="H624" i="22"/>
  <c r="H625" i="22"/>
  <c r="H626" i="22"/>
  <c r="H627" i="22"/>
  <c r="H628" i="22"/>
  <c r="H629" i="22"/>
  <c r="H630" i="22"/>
  <c r="H631" i="22"/>
  <c r="H632" i="22"/>
  <c r="H633" i="22"/>
  <c r="H634" i="22"/>
  <c r="H635" i="22"/>
  <c r="H636" i="22"/>
  <c r="H637" i="22"/>
  <c r="H638" i="22"/>
  <c r="H639" i="22"/>
  <c r="H640" i="22"/>
  <c r="H641" i="22"/>
  <c r="H642" i="22"/>
  <c r="H643" i="22"/>
  <c r="H644" i="22"/>
  <c r="H645" i="22"/>
  <c r="H646" i="22"/>
  <c r="H647" i="22"/>
  <c r="H648" i="22"/>
  <c r="H649" i="22"/>
  <c r="H650" i="22"/>
  <c r="H651" i="22"/>
  <c r="H652" i="22"/>
  <c r="H653" i="22"/>
  <c r="H654" i="22"/>
  <c r="H655" i="22"/>
  <c r="H656" i="22"/>
  <c r="H657" i="22"/>
  <c r="H658" i="22"/>
  <c r="H659" i="22"/>
  <c r="H660" i="22"/>
  <c r="H661" i="22"/>
  <c r="H662" i="22"/>
  <c r="H663" i="22"/>
  <c r="H664" i="22"/>
  <c r="H665" i="22"/>
  <c r="H666" i="22"/>
  <c r="H667" i="22"/>
  <c r="H668" i="22"/>
  <c r="H669" i="22"/>
  <c r="H670" i="22"/>
  <c r="H671" i="22"/>
  <c r="H672" i="22"/>
  <c r="H673" i="22"/>
  <c r="H674" i="22"/>
  <c r="H675" i="22"/>
  <c r="H676" i="22"/>
  <c r="H677" i="22"/>
  <c r="H678" i="22"/>
  <c r="H679" i="22"/>
  <c r="H680" i="22"/>
  <c r="H681" i="22"/>
  <c r="H682" i="22"/>
  <c r="H683" i="22"/>
  <c r="H684" i="22"/>
  <c r="H685" i="22"/>
  <c r="H686" i="22"/>
  <c r="H687" i="22"/>
  <c r="H688" i="22"/>
  <c r="H689" i="22"/>
  <c r="H690" i="22"/>
  <c r="H691" i="22"/>
  <c r="H692" i="22"/>
  <c r="H693" i="22"/>
  <c r="H694" i="22"/>
  <c r="H695" i="22"/>
  <c r="H696" i="22"/>
  <c r="H697" i="22"/>
  <c r="H698" i="22"/>
  <c r="H699" i="22"/>
  <c r="H700" i="22"/>
  <c r="H701" i="22"/>
  <c r="H702" i="22"/>
  <c r="H703" i="22"/>
  <c r="H704" i="22"/>
  <c r="H705" i="22"/>
  <c r="H706" i="22"/>
  <c r="H707" i="22"/>
  <c r="H708" i="22"/>
  <c r="H709" i="22"/>
  <c r="H710" i="22"/>
  <c r="H711" i="22"/>
  <c r="H712" i="22"/>
  <c r="H713" i="22"/>
  <c r="H714" i="22"/>
  <c r="H715" i="22"/>
  <c r="H716" i="22"/>
  <c r="H717" i="22"/>
  <c r="H718" i="22"/>
  <c r="H719" i="22"/>
  <c r="H720" i="22"/>
  <c r="H721" i="22"/>
  <c r="H722" i="22"/>
  <c r="H723" i="22"/>
  <c r="H724" i="22"/>
  <c r="H725" i="22"/>
  <c r="H726" i="22"/>
  <c r="H727" i="22"/>
  <c r="H728" i="22"/>
  <c r="H729" i="22"/>
  <c r="H730" i="22"/>
  <c r="H731" i="22"/>
  <c r="H732" i="22"/>
  <c r="H733" i="22"/>
  <c r="H734" i="22"/>
  <c r="H735" i="22"/>
  <c r="H736" i="22"/>
  <c r="H737" i="22"/>
  <c r="H738" i="22"/>
  <c r="H739" i="22"/>
  <c r="H740" i="22"/>
  <c r="H741" i="22"/>
  <c r="H742" i="22"/>
  <c r="H743" i="22"/>
  <c r="H744" i="22"/>
  <c r="H745" i="22"/>
  <c r="H746" i="22"/>
  <c r="H747" i="22"/>
  <c r="H748" i="22"/>
  <c r="H749" i="22"/>
  <c r="H750" i="22"/>
  <c r="H751" i="22"/>
  <c r="H752" i="22"/>
  <c r="H753" i="22"/>
  <c r="H754" i="22"/>
  <c r="H755" i="22"/>
  <c r="H756" i="22"/>
  <c r="H757" i="22"/>
  <c r="H758" i="22"/>
  <c r="H759" i="22"/>
  <c r="H760" i="22"/>
  <c r="H761" i="22"/>
  <c r="H762" i="22"/>
  <c r="H763" i="22"/>
  <c r="H764" i="22"/>
  <c r="H765" i="22"/>
  <c r="H766" i="22"/>
  <c r="H767" i="22"/>
  <c r="H768" i="22"/>
  <c r="H769" i="22"/>
  <c r="H770" i="22"/>
  <c r="H771" i="22"/>
  <c r="H772" i="22"/>
  <c r="H773" i="22"/>
  <c r="H774" i="22"/>
  <c r="H775" i="22"/>
  <c r="H776" i="22"/>
  <c r="H777" i="22"/>
  <c r="H778" i="22"/>
  <c r="H779" i="22"/>
  <c r="H780" i="22"/>
  <c r="H781" i="22"/>
  <c r="H782" i="22"/>
  <c r="H783" i="22"/>
  <c r="H784" i="22"/>
  <c r="H785" i="22"/>
  <c r="H786" i="22"/>
  <c r="H787" i="22"/>
  <c r="H788" i="22"/>
  <c r="H789" i="22"/>
  <c r="H790" i="22"/>
  <c r="H791" i="22"/>
  <c r="H792" i="22"/>
  <c r="H793" i="22"/>
  <c r="H794" i="22"/>
  <c r="H795" i="22"/>
  <c r="H796" i="22"/>
  <c r="H797" i="22"/>
  <c r="H798" i="22"/>
  <c r="H799" i="22"/>
  <c r="H800" i="22"/>
  <c r="H801" i="22"/>
  <c r="H802" i="22"/>
  <c r="H803" i="22"/>
  <c r="H804" i="22"/>
  <c r="H805" i="22"/>
  <c r="H806" i="22"/>
  <c r="H807" i="22"/>
  <c r="H808" i="22"/>
  <c r="H809" i="22"/>
  <c r="H810" i="22"/>
  <c r="H811" i="22"/>
  <c r="H812" i="22"/>
  <c r="H813" i="22"/>
  <c r="H814" i="22"/>
  <c r="H815" i="22"/>
  <c r="H816" i="22"/>
  <c r="H817" i="22"/>
  <c r="H818" i="22"/>
  <c r="H819" i="22"/>
  <c r="H820" i="22"/>
  <c r="H821" i="22"/>
  <c r="H822" i="22"/>
  <c r="H823" i="22"/>
  <c r="H824" i="22"/>
  <c r="H825" i="22"/>
  <c r="H826" i="22"/>
  <c r="H827" i="22"/>
  <c r="H828" i="22"/>
  <c r="H829" i="22"/>
  <c r="H830" i="22"/>
  <c r="H831" i="22"/>
  <c r="H832" i="22"/>
  <c r="H833" i="22"/>
  <c r="H834" i="22"/>
  <c r="H835" i="22"/>
  <c r="H836" i="22"/>
  <c r="H837" i="22"/>
  <c r="H838" i="22"/>
  <c r="H839" i="22"/>
  <c r="H840" i="22"/>
  <c r="H841" i="22"/>
  <c r="H842" i="22"/>
  <c r="H843" i="22"/>
  <c r="H844" i="22"/>
  <c r="H845" i="22"/>
  <c r="H846" i="22"/>
  <c r="H847" i="22"/>
  <c r="H848" i="22"/>
  <c r="H849" i="22"/>
  <c r="H850" i="22"/>
  <c r="H851" i="22"/>
  <c r="H852" i="22"/>
  <c r="H853" i="22"/>
  <c r="H854" i="22"/>
  <c r="H855" i="22"/>
  <c r="H856" i="22"/>
  <c r="H857" i="22"/>
  <c r="H858" i="22"/>
  <c r="H859" i="22"/>
  <c r="H860" i="22"/>
  <c r="H861" i="22"/>
  <c r="H862" i="22"/>
  <c r="H863" i="22"/>
  <c r="H864" i="22"/>
  <c r="H865" i="22"/>
  <c r="H866" i="22"/>
  <c r="H867" i="22"/>
  <c r="H868" i="22"/>
  <c r="H869" i="22"/>
  <c r="H870" i="22"/>
  <c r="H871" i="22"/>
  <c r="H872" i="22"/>
  <c r="H873" i="22"/>
  <c r="H874" i="22"/>
  <c r="H875" i="22"/>
  <c r="H876" i="22"/>
  <c r="H877" i="22"/>
  <c r="H878" i="22"/>
  <c r="H879" i="22"/>
  <c r="H880" i="22"/>
  <c r="H881" i="22"/>
  <c r="H882" i="22"/>
  <c r="H883" i="22"/>
  <c r="H884" i="22"/>
  <c r="H885" i="22"/>
  <c r="H886" i="22"/>
  <c r="H887" i="22"/>
  <c r="H888" i="22"/>
  <c r="H889" i="22"/>
  <c r="H890" i="22"/>
  <c r="H891" i="22"/>
  <c r="H892" i="22"/>
  <c r="H893" i="22"/>
  <c r="H894" i="22"/>
  <c r="H895" i="22"/>
  <c r="H896" i="22"/>
  <c r="H897" i="22"/>
  <c r="H898" i="22"/>
  <c r="H899" i="22"/>
  <c r="H900" i="22"/>
  <c r="H901" i="22"/>
  <c r="H902" i="22"/>
  <c r="H903" i="22"/>
  <c r="H904" i="22"/>
  <c r="H905" i="22"/>
  <c r="H906" i="22"/>
  <c r="H907" i="22"/>
  <c r="H908" i="22"/>
  <c r="H909" i="22"/>
  <c r="H910" i="22"/>
  <c r="H911" i="22"/>
  <c r="H912" i="22"/>
  <c r="H913" i="22"/>
  <c r="H914" i="22"/>
  <c r="H915" i="22"/>
  <c r="H916" i="22"/>
  <c r="H917" i="22"/>
  <c r="H918" i="22"/>
  <c r="H919" i="22"/>
  <c r="H920" i="22"/>
  <c r="H921" i="22"/>
  <c r="H922" i="22"/>
  <c r="H923" i="22"/>
  <c r="H924" i="22"/>
  <c r="H925" i="22"/>
  <c r="H926" i="22"/>
  <c r="H927" i="22"/>
  <c r="H928" i="22"/>
  <c r="H929" i="22"/>
  <c r="H930" i="22"/>
  <c r="H931" i="22"/>
  <c r="H932" i="22"/>
  <c r="H933" i="22"/>
  <c r="H934" i="22"/>
  <c r="H935" i="22"/>
  <c r="H936" i="22"/>
  <c r="H937" i="22"/>
  <c r="H938" i="22"/>
  <c r="H939" i="22"/>
  <c r="H940" i="22"/>
  <c r="H941" i="22"/>
  <c r="H942" i="22"/>
  <c r="H943" i="22"/>
  <c r="H944" i="22"/>
  <c r="H945" i="22"/>
  <c r="H946" i="22"/>
  <c r="H947" i="22"/>
  <c r="H948" i="22"/>
  <c r="H949" i="22"/>
  <c r="H950" i="22"/>
  <c r="H951" i="22"/>
  <c r="H952" i="22"/>
  <c r="H953" i="22"/>
  <c r="H954" i="22"/>
  <c r="H955" i="22"/>
  <c r="H956" i="22"/>
  <c r="H957" i="22"/>
  <c r="H958" i="22"/>
  <c r="H959" i="22"/>
  <c r="H960" i="22"/>
  <c r="H961" i="22"/>
  <c r="H962" i="22"/>
  <c r="H963" i="22"/>
  <c r="H964" i="22"/>
  <c r="H965" i="22"/>
  <c r="H966" i="22"/>
  <c r="H967" i="22"/>
  <c r="H968" i="22"/>
  <c r="H969" i="22"/>
  <c r="H970" i="22"/>
  <c r="H971" i="22"/>
  <c r="H972" i="22"/>
  <c r="H973" i="22"/>
  <c r="H974" i="22"/>
  <c r="H975" i="22"/>
  <c r="H976" i="22"/>
  <c r="H977" i="22"/>
  <c r="H978" i="22"/>
  <c r="H979" i="22"/>
  <c r="H980" i="22"/>
  <c r="H981" i="22"/>
  <c r="H982" i="22"/>
  <c r="H983" i="22"/>
  <c r="H984" i="22"/>
  <c r="H985" i="22"/>
  <c r="H986" i="22"/>
  <c r="H987" i="22"/>
  <c r="H988" i="22"/>
  <c r="H989" i="22"/>
  <c r="H990" i="22"/>
  <c r="H991" i="22"/>
  <c r="H992" i="22"/>
  <c r="H993" i="22"/>
  <c r="H994" i="22"/>
  <c r="H995" i="22"/>
  <c r="H996" i="22"/>
  <c r="H997" i="22"/>
  <c r="H998" i="22"/>
  <c r="H999" i="22"/>
  <c r="H1000" i="22"/>
  <c r="H1001" i="22"/>
  <c r="H1002" i="22"/>
  <c r="H1003" i="22"/>
  <c r="H1004" i="22"/>
  <c r="H1005" i="22"/>
  <c r="H1006" i="22"/>
  <c r="H1007" i="22"/>
  <c r="H1008" i="22"/>
  <c r="H1009" i="22"/>
  <c r="H1010" i="22"/>
  <c r="H1011" i="22"/>
  <c r="H1012" i="22"/>
  <c r="H1013" i="22"/>
  <c r="H1014" i="22"/>
  <c r="H1015" i="22"/>
  <c r="H1016" i="22"/>
  <c r="H1017" i="22"/>
  <c r="H1018" i="22"/>
  <c r="H1019" i="22"/>
  <c r="H1020" i="22"/>
  <c r="H1021" i="22"/>
  <c r="H1022" i="22"/>
  <c r="H1023" i="22"/>
  <c r="H1024" i="22"/>
  <c r="H1025" i="22"/>
  <c r="H1026" i="22"/>
  <c r="H1027" i="22"/>
  <c r="H1028" i="22"/>
  <c r="H1029" i="22"/>
  <c r="H1030" i="22"/>
  <c r="H1031" i="22"/>
  <c r="H1032" i="22"/>
  <c r="H1033" i="22"/>
  <c r="H1034" i="22"/>
  <c r="H1035" i="22"/>
  <c r="H1036" i="22"/>
  <c r="H1037" i="22"/>
  <c r="H1038" i="22"/>
  <c r="H1039" i="22"/>
  <c r="H1040" i="22"/>
  <c r="H1041" i="22"/>
  <c r="H1042" i="22"/>
  <c r="H1043" i="22"/>
  <c r="H1044" i="22"/>
  <c r="H1045" i="22"/>
  <c r="H1046" i="22"/>
  <c r="H1047" i="22"/>
  <c r="H1048" i="22"/>
  <c r="H1049" i="22"/>
  <c r="H1050" i="22"/>
  <c r="H1051" i="22"/>
  <c r="H1052" i="22"/>
  <c r="H1053" i="22"/>
  <c r="H1054" i="22"/>
  <c r="H1055" i="22"/>
  <c r="H1056" i="22"/>
  <c r="H1057" i="22"/>
  <c r="H1058" i="22"/>
  <c r="H1059" i="22"/>
  <c r="H1060" i="22"/>
  <c r="H1061" i="22"/>
  <c r="H1062" i="22"/>
  <c r="H1063" i="22"/>
  <c r="H1064" i="22"/>
  <c r="H1065" i="22"/>
  <c r="H1066" i="22"/>
  <c r="H1067" i="22"/>
  <c r="H1068" i="22"/>
  <c r="H1069" i="22"/>
  <c r="H1070" i="22"/>
  <c r="H1071" i="22"/>
  <c r="H1072" i="22"/>
  <c r="H1073" i="22"/>
  <c r="H1074" i="22"/>
  <c r="H1075" i="22"/>
  <c r="H1076" i="22"/>
  <c r="H1077" i="22"/>
  <c r="H1078" i="22"/>
  <c r="H1079" i="22"/>
  <c r="H1080" i="22"/>
  <c r="H1081" i="22"/>
  <c r="H1082" i="22"/>
  <c r="H1083" i="22"/>
  <c r="H1084" i="22"/>
  <c r="H1085" i="22"/>
  <c r="H1086" i="22"/>
  <c r="H1087" i="22"/>
  <c r="H1088" i="22"/>
  <c r="H1089" i="22"/>
  <c r="H1090" i="22"/>
  <c r="H1091" i="22"/>
  <c r="H1092" i="22"/>
  <c r="H1093" i="22"/>
  <c r="H1094" i="22"/>
  <c r="H1095" i="22"/>
  <c r="H1096" i="22"/>
  <c r="H1097" i="22"/>
  <c r="H1098" i="22"/>
  <c r="H1099" i="22"/>
  <c r="H1100" i="22"/>
  <c r="H1101" i="22"/>
  <c r="H1102" i="22"/>
  <c r="H1103" i="22"/>
  <c r="H1104" i="22"/>
  <c r="H1105" i="22"/>
  <c r="H1106" i="22"/>
  <c r="H1107" i="22"/>
  <c r="H1108" i="22"/>
  <c r="H1109" i="22"/>
  <c r="H1110" i="22"/>
  <c r="H1111" i="22"/>
  <c r="H1112" i="22"/>
  <c r="H1113" i="22"/>
  <c r="H1114" i="22"/>
  <c r="H1115" i="22"/>
  <c r="H1116" i="22"/>
  <c r="H1117" i="22"/>
  <c r="H1118" i="22"/>
  <c r="H1119" i="22"/>
  <c r="H1120" i="22"/>
  <c r="H1121" i="22"/>
  <c r="H1122" i="22"/>
  <c r="H1123" i="22"/>
  <c r="H1124" i="22"/>
  <c r="H1125" i="22"/>
  <c r="H1126" i="22"/>
  <c r="H1127" i="22"/>
  <c r="H1128" i="22"/>
  <c r="H1129" i="22"/>
  <c r="H1130" i="22"/>
  <c r="H1131" i="22"/>
  <c r="H1132" i="22"/>
  <c r="H1133" i="22"/>
  <c r="H1134" i="22"/>
  <c r="H1135" i="22"/>
  <c r="H1136" i="22"/>
  <c r="H1137" i="22"/>
  <c r="H1138" i="22"/>
  <c r="H1139" i="22"/>
  <c r="H1140" i="22"/>
  <c r="H1141" i="22"/>
  <c r="H1142" i="22"/>
  <c r="H1143" i="22"/>
  <c r="H1144" i="22"/>
  <c r="H1145" i="22"/>
  <c r="H1146" i="22"/>
  <c r="H1147" i="22"/>
  <c r="H1148" i="22"/>
  <c r="H1149" i="22"/>
  <c r="H1150" i="22"/>
  <c r="H1151" i="22"/>
  <c r="H1152" i="22"/>
  <c r="H1153" i="22"/>
  <c r="H1154" i="22"/>
  <c r="H1155" i="22"/>
  <c r="H1156" i="22"/>
  <c r="H1157" i="22"/>
  <c r="H1158" i="22"/>
  <c r="H1159" i="22"/>
  <c r="H1160" i="22"/>
  <c r="H1161" i="22"/>
  <c r="H1162" i="22"/>
  <c r="H1163" i="22"/>
  <c r="H1164" i="22"/>
  <c r="H1165" i="22"/>
  <c r="H1166" i="22"/>
  <c r="H1167" i="22"/>
  <c r="H1168" i="22"/>
  <c r="H1169" i="22"/>
  <c r="H1170" i="22"/>
  <c r="H1171" i="22"/>
  <c r="H1172" i="22"/>
  <c r="H1173" i="22"/>
  <c r="H1174" i="22"/>
  <c r="H1175" i="22"/>
  <c r="H1176" i="22"/>
  <c r="H1177" i="22"/>
  <c r="H1178" i="22"/>
  <c r="H1179" i="22"/>
  <c r="H1180" i="22"/>
  <c r="H1181" i="22"/>
  <c r="H1182" i="22"/>
  <c r="H1183" i="22"/>
  <c r="H1184" i="22"/>
  <c r="H1185" i="22"/>
  <c r="H1186" i="22"/>
  <c r="H1187" i="22"/>
  <c r="H1188" i="22"/>
  <c r="H1189" i="22"/>
  <c r="H1190" i="22"/>
  <c r="H1191" i="22"/>
  <c r="H1192" i="22"/>
  <c r="H1193" i="22"/>
  <c r="H1194" i="22"/>
  <c r="H1195" i="22"/>
  <c r="H1196" i="22"/>
  <c r="H1197" i="22"/>
  <c r="H1198" i="22"/>
  <c r="H1199" i="22"/>
  <c r="H1200" i="22"/>
  <c r="H1201" i="22"/>
  <c r="H1202" i="22"/>
  <c r="H1203" i="22"/>
  <c r="H1204" i="22"/>
  <c r="H1205" i="22"/>
  <c r="H1206" i="22"/>
  <c r="H1207" i="22"/>
  <c r="H1208" i="22"/>
  <c r="H1209" i="22"/>
  <c r="H1210" i="22"/>
  <c r="H1211" i="22"/>
  <c r="H1212" i="22"/>
  <c r="H1213" i="22"/>
  <c r="H1214" i="22"/>
  <c r="H1215" i="22"/>
  <c r="H1216" i="22"/>
  <c r="H1217" i="22"/>
  <c r="H1218" i="22"/>
  <c r="H1219" i="22"/>
  <c r="H1220" i="22"/>
  <c r="H1221" i="22"/>
  <c r="H1222" i="22"/>
  <c r="H1223" i="22"/>
  <c r="H1224" i="22"/>
  <c r="H1225" i="22"/>
  <c r="H1226" i="22"/>
  <c r="H1227" i="22"/>
  <c r="H1228" i="22"/>
  <c r="H1229" i="22"/>
  <c r="H1230" i="22"/>
  <c r="H1231" i="22"/>
  <c r="H1232" i="22"/>
  <c r="H1233" i="22"/>
  <c r="H1234" i="22"/>
  <c r="H1235" i="22"/>
  <c r="H1236" i="22"/>
  <c r="H1237" i="22"/>
  <c r="H1238" i="22"/>
  <c r="H1239" i="22"/>
  <c r="H1240" i="22"/>
  <c r="H1241" i="22"/>
  <c r="H1242" i="22"/>
  <c r="H1243" i="22"/>
  <c r="H1244" i="22"/>
  <c r="H1245" i="22"/>
  <c r="H1246" i="22"/>
  <c r="H1247" i="22"/>
  <c r="H1248" i="22"/>
  <c r="H1249" i="22"/>
  <c r="H1250" i="22"/>
  <c r="H1251" i="22"/>
  <c r="H1252" i="22"/>
  <c r="H1253" i="22"/>
  <c r="H1254" i="22"/>
  <c r="H1255" i="22"/>
  <c r="H1256" i="22"/>
  <c r="H1257" i="22"/>
  <c r="H1258" i="22"/>
  <c r="H1259" i="22"/>
  <c r="H1260" i="22"/>
  <c r="H1261" i="22"/>
  <c r="H1262" i="22"/>
  <c r="H1263" i="22"/>
  <c r="H1264" i="22"/>
  <c r="H1265" i="22"/>
  <c r="H1266" i="22"/>
  <c r="H1267" i="22"/>
  <c r="H1268" i="22"/>
  <c r="H1269" i="22"/>
  <c r="H1270" i="22"/>
  <c r="H1271" i="22"/>
  <c r="H1272" i="22"/>
  <c r="H1273" i="22"/>
  <c r="H1274" i="22"/>
  <c r="H1275" i="22"/>
  <c r="H1276" i="22"/>
  <c r="H1277" i="22"/>
  <c r="H1278" i="22"/>
  <c r="H1279" i="22"/>
  <c r="H1280" i="22"/>
  <c r="H1281" i="22"/>
  <c r="H1282" i="22"/>
  <c r="H1283" i="22"/>
  <c r="H1284" i="22"/>
  <c r="H1285" i="22"/>
  <c r="H1286" i="22"/>
  <c r="H1287" i="22"/>
  <c r="H1288" i="22"/>
  <c r="H1289" i="22"/>
  <c r="H1290" i="22"/>
  <c r="H1291" i="22"/>
  <c r="H1292" i="22"/>
  <c r="H1293" i="22"/>
  <c r="H1294" i="22"/>
  <c r="H1295" i="22"/>
  <c r="H1296" i="22"/>
  <c r="H1297" i="22"/>
  <c r="H1298" i="22"/>
  <c r="H1299" i="22"/>
  <c r="H1300" i="22"/>
  <c r="H1301" i="22"/>
  <c r="H1302" i="22"/>
  <c r="H1303" i="22"/>
  <c r="H1304" i="22"/>
  <c r="H1305" i="22"/>
  <c r="H1306" i="22"/>
  <c r="H1307" i="22"/>
  <c r="H1308" i="22"/>
  <c r="H1309" i="22"/>
  <c r="H1310" i="22"/>
  <c r="H1311" i="22"/>
  <c r="H1312" i="22"/>
  <c r="H1313" i="22"/>
  <c r="H1314" i="22"/>
  <c r="H1315" i="22"/>
  <c r="H1316" i="22"/>
  <c r="H1317" i="22"/>
  <c r="H1318" i="22"/>
  <c r="H1319" i="22"/>
  <c r="H1320" i="22"/>
  <c r="H1321" i="22"/>
  <c r="H1322" i="22"/>
  <c r="H1323" i="22"/>
  <c r="H1324" i="22"/>
  <c r="H1325" i="22"/>
  <c r="H1326" i="22"/>
  <c r="H1327" i="22"/>
  <c r="H1328" i="22"/>
  <c r="H1329" i="22"/>
  <c r="H1330" i="22"/>
  <c r="H1331" i="22"/>
  <c r="H1332" i="22"/>
  <c r="H1333" i="22"/>
  <c r="H1334" i="22"/>
  <c r="H1335" i="22"/>
  <c r="H1336" i="22"/>
  <c r="H1337" i="22"/>
  <c r="H1338" i="22"/>
  <c r="H1339" i="22"/>
  <c r="H1340" i="22"/>
  <c r="H1341" i="22"/>
  <c r="H1342" i="22"/>
  <c r="H1343" i="22"/>
  <c r="H1344" i="22"/>
  <c r="H1345" i="22"/>
  <c r="H1346" i="22"/>
  <c r="H1347" i="22"/>
  <c r="H1348" i="22"/>
  <c r="H1349" i="22"/>
  <c r="H1350" i="22"/>
  <c r="H1351" i="22"/>
  <c r="H1352" i="22"/>
  <c r="H1353" i="22"/>
  <c r="H1354" i="22"/>
  <c r="H1355" i="22"/>
  <c r="H1356" i="22"/>
  <c r="H1357" i="22"/>
  <c r="H1358" i="22"/>
  <c r="H1359" i="22"/>
  <c r="H1360" i="22"/>
  <c r="H1361" i="22"/>
  <c r="H1362" i="22"/>
  <c r="H1363" i="22"/>
  <c r="H1364" i="22"/>
  <c r="H1365" i="22"/>
  <c r="H1366" i="22"/>
  <c r="H1367" i="22"/>
  <c r="H1368" i="22"/>
  <c r="H1369" i="22"/>
  <c r="H1370" i="22"/>
  <c r="H1371" i="22"/>
  <c r="H1372" i="22"/>
  <c r="H1373" i="22"/>
  <c r="H1374" i="22"/>
  <c r="H1375" i="22"/>
  <c r="H1376" i="22"/>
  <c r="H1377" i="22"/>
  <c r="H1378" i="22"/>
  <c r="H1379" i="22"/>
  <c r="H1380" i="22"/>
  <c r="H1381" i="22"/>
  <c r="H1382" i="22"/>
  <c r="H1383" i="22"/>
  <c r="H1384" i="22"/>
  <c r="H1385" i="22"/>
  <c r="H1386" i="22"/>
  <c r="H1387" i="22"/>
  <c r="H1388" i="22"/>
  <c r="H1389" i="22"/>
  <c r="H1390" i="22"/>
  <c r="H1391" i="22"/>
  <c r="H1392" i="22"/>
  <c r="H1393" i="22"/>
  <c r="H1394" i="22"/>
  <c r="H1395" i="22"/>
  <c r="H1396" i="22"/>
  <c r="H1397" i="22"/>
  <c r="H1398" i="22"/>
  <c r="H1399" i="22"/>
  <c r="H1400" i="22"/>
  <c r="H1401" i="22"/>
  <c r="H1402" i="22"/>
  <c r="H1403" i="22"/>
  <c r="H1404" i="22"/>
  <c r="H1405" i="22"/>
  <c r="H1406" i="22"/>
  <c r="H1407" i="22"/>
  <c r="H1408" i="22"/>
  <c r="H1409" i="22"/>
  <c r="H1410" i="22"/>
  <c r="H1411" i="22"/>
  <c r="H1412" i="22"/>
  <c r="H1413" i="22"/>
  <c r="H1414" i="22"/>
  <c r="H1415" i="22"/>
  <c r="H1416" i="22"/>
  <c r="H1417" i="22"/>
  <c r="H1418" i="22"/>
  <c r="H1419" i="22"/>
  <c r="H1420" i="22"/>
  <c r="H1421" i="22"/>
  <c r="H1422" i="22"/>
  <c r="H1423" i="22"/>
  <c r="H1424" i="22"/>
  <c r="H1425" i="22"/>
  <c r="H1426" i="22"/>
  <c r="H1427" i="22"/>
  <c r="H1428" i="22"/>
  <c r="H1429" i="22"/>
  <c r="H1430" i="22"/>
  <c r="H1431" i="22"/>
  <c r="H1432" i="22"/>
  <c r="H1433" i="22"/>
  <c r="H1434" i="22"/>
  <c r="H1435" i="22"/>
  <c r="H1436" i="22"/>
  <c r="H1437" i="22"/>
  <c r="H1438" i="22"/>
  <c r="H1439" i="22"/>
  <c r="H1440" i="22"/>
  <c r="H1441" i="22"/>
  <c r="H1442" i="22"/>
  <c r="H1443" i="22"/>
  <c r="H1444" i="22"/>
  <c r="H1445" i="22"/>
  <c r="H1446" i="22"/>
  <c r="H1447" i="22"/>
  <c r="H1448" i="22"/>
  <c r="H1449" i="22"/>
  <c r="H1450" i="22"/>
  <c r="H1451" i="22"/>
  <c r="H1452" i="22"/>
  <c r="H1453" i="22"/>
  <c r="H1454" i="22"/>
  <c r="H1455" i="22"/>
  <c r="H1456" i="22"/>
  <c r="H1457" i="22"/>
  <c r="H1458" i="22"/>
  <c r="H1459" i="22"/>
  <c r="H1460" i="22"/>
  <c r="H1461" i="22"/>
  <c r="H1462" i="22"/>
  <c r="H1463" i="22"/>
  <c r="H1464" i="22"/>
  <c r="H1465" i="22"/>
  <c r="H1466" i="22"/>
  <c r="H1467" i="22"/>
  <c r="H1468" i="22"/>
  <c r="H1469" i="22"/>
  <c r="H1470" i="22"/>
  <c r="H1471" i="22"/>
  <c r="H1472" i="22"/>
  <c r="G767" i="22"/>
  <c r="K767" i="22" s="1"/>
  <c r="G766" i="22"/>
  <c r="K766" i="22" s="1"/>
  <c r="G760" i="22"/>
  <c r="G759" i="22"/>
  <c r="K759" i="22" s="1"/>
  <c r="G758" i="22"/>
  <c r="K758" i="22" s="1"/>
  <c r="G755" i="22"/>
  <c r="G752" i="22"/>
  <c r="G730" i="22"/>
  <c r="K730" i="22" s="1"/>
  <c r="G726" i="22"/>
  <c r="K726" i="22" s="1"/>
  <c r="G713" i="22"/>
  <c r="G712" i="22"/>
  <c r="G709" i="22"/>
  <c r="K709" i="22" s="1"/>
  <c r="G708" i="22"/>
  <c r="K708" i="22" s="1"/>
  <c r="G700" i="22"/>
  <c r="G692" i="22"/>
  <c r="G690" i="22"/>
  <c r="K690" i="22" s="1"/>
  <c r="G689" i="22"/>
  <c r="K689" i="22" s="1"/>
  <c r="G685" i="22"/>
  <c r="K685" i="22" s="1"/>
  <c r="G684" i="22"/>
  <c r="K684" i="22" s="1"/>
  <c r="G681" i="22"/>
  <c r="G680" i="22"/>
  <c r="G646" i="22"/>
  <c r="K646" i="22" s="1"/>
  <c r="G645" i="22"/>
  <c r="K645" i="22" s="1"/>
  <c r="G644" i="22"/>
  <c r="G643" i="22"/>
  <c r="G642" i="22"/>
  <c r="K642" i="22" s="1"/>
  <c r="G641" i="22"/>
  <c r="G640" i="22"/>
  <c r="G639" i="22"/>
  <c r="K639" i="22" s="1"/>
  <c r="G631" i="22"/>
  <c r="K631" i="22" s="1"/>
  <c r="G630" i="22"/>
  <c r="K630" i="22" s="1"/>
  <c r="G629" i="22"/>
  <c r="K629" i="22" s="1"/>
  <c r="G628" i="22"/>
  <c r="G627" i="22"/>
  <c r="G626" i="22"/>
  <c r="G625" i="22"/>
  <c r="G624" i="22"/>
  <c r="G623" i="22"/>
  <c r="K623" i="22" s="1"/>
  <c r="G622" i="22"/>
  <c r="K622" i="22" s="1"/>
  <c r="G621" i="22"/>
  <c r="K621" i="22" s="1"/>
  <c r="G620" i="22"/>
  <c r="G619" i="22"/>
  <c r="G618" i="22"/>
  <c r="G617" i="22"/>
  <c r="G616" i="22"/>
  <c r="G615" i="22"/>
  <c r="K615" i="22" s="1"/>
  <c r="G614" i="22"/>
  <c r="K614" i="22" s="1"/>
  <c r="G613" i="22"/>
  <c r="K613" i="22" s="1"/>
  <c r="G612" i="22"/>
  <c r="G611" i="22"/>
  <c r="G610" i="22"/>
  <c r="G609" i="22"/>
  <c r="G608" i="22"/>
  <c r="G607" i="22"/>
  <c r="K607" i="22" s="1"/>
  <c r="G606" i="22"/>
  <c r="K606" i="22" s="1"/>
  <c r="G605" i="22"/>
  <c r="K605" i="22" s="1"/>
  <c r="G598" i="22"/>
  <c r="K598" i="22" s="1"/>
  <c r="G589" i="22"/>
  <c r="K589" i="22" s="1"/>
  <c r="G576" i="22"/>
  <c r="G567" i="22"/>
  <c r="K567" i="22" s="1"/>
  <c r="G563" i="22"/>
  <c r="G558" i="22"/>
  <c r="K558" i="22" s="1"/>
  <c r="G434" i="22"/>
  <c r="K434" i="22" s="1"/>
  <c r="G433" i="22"/>
  <c r="K433" i="22" s="1"/>
  <c r="G432" i="22"/>
  <c r="K432" i="22" s="1"/>
  <c r="G431" i="22"/>
  <c r="K431" i="22" s="1"/>
  <c r="G430" i="22"/>
  <c r="K430" i="22" s="1"/>
  <c r="G429" i="22"/>
  <c r="K429" i="22" s="1"/>
  <c r="G428" i="22"/>
  <c r="K428" i="22" s="1"/>
  <c r="G427" i="22"/>
  <c r="K427" i="22" s="1"/>
  <c r="G426" i="22"/>
  <c r="K426" i="22" s="1"/>
  <c r="G425" i="22"/>
  <c r="K425" i="22" s="1"/>
  <c r="G424" i="22"/>
  <c r="K424" i="22" s="1"/>
  <c r="G423" i="22"/>
  <c r="K423" i="22" s="1"/>
  <c r="G422" i="22"/>
  <c r="K422" i="22" s="1"/>
  <c r="G421" i="22"/>
  <c r="K421" i="22" s="1"/>
  <c r="G420" i="22"/>
  <c r="K420" i="22" s="1"/>
  <c r="G419" i="22"/>
  <c r="K419" i="22" s="1"/>
  <c r="G418" i="22"/>
  <c r="K418" i="22" s="1"/>
  <c r="G417" i="22"/>
  <c r="K417" i="22" s="1"/>
  <c r="G410" i="22"/>
  <c r="K410" i="22" s="1"/>
  <c r="G409" i="22"/>
  <c r="K409" i="22" s="1"/>
  <c r="G408" i="22"/>
  <c r="K408" i="22" s="1"/>
  <c r="G407" i="22"/>
  <c r="K407" i="22" s="1"/>
  <c r="G399" i="22"/>
  <c r="K399" i="22" s="1"/>
  <c r="G397" i="22"/>
  <c r="K397" i="22" s="1"/>
  <c r="G396" i="22"/>
  <c r="G395" i="22"/>
  <c r="G388" i="22"/>
  <c r="G387" i="22"/>
  <c r="G384" i="22"/>
  <c r="G370" i="22"/>
  <c r="K370" i="22" s="1"/>
  <c r="G368" i="22"/>
  <c r="G367" i="22"/>
  <c r="K367" i="22" s="1"/>
  <c r="G362" i="22"/>
  <c r="K362" i="22" s="1"/>
  <c r="G358" i="22"/>
  <c r="K358" i="22" s="1"/>
  <c r="G353" i="22"/>
  <c r="K353" i="22" s="1"/>
  <c r="G351" i="22"/>
  <c r="K351" i="22" s="1"/>
  <c r="G344" i="22"/>
  <c r="K344" i="22" s="1"/>
  <c r="G297" i="22"/>
  <c r="G222" i="22"/>
  <c r="K222" i="22" s="1"/>
  <c r="G165" i="22"/>
  <c r="K165" i="22" s="1"/>
  <c r="G164" i="22"/>
  <c r="G163" i="22"/>
  <c r="G162" i="22"/>
  <c r="K162" i="22" s="1"/>
  <c r="G146" i="22"/>
  <c r="K146" i="22" s="1"/>
  <c r="G54" i="22"/>
  <c r="K54" i="22" s="1"/>
  <c r="G45" i="22"/>
  <c r="K45" i="22" s="1"/>
  <c r="G32" i="22"/>
  <c r="K32" i="22" s="1"/>
  <c r="G29" i="22"/>
  <c r="K29" i="22" s="1"/>
  <c r="G20" i="22"/>
  <c r="G1470" i="22"/>
  <c r="K1470" i="22" s="1"/>
  <c r="G1459" i="22"/>
  <c r="G1439" i="22"/>
  <c r="K1439" i="22" s="1"/>
  <c r="G1404" i="22"/>
  <c r="K1404" i="22" s="1"/>
  <c r="G1281" i="22"/>
  <c r="K1281" i="22" s="1"/>
  <c r="G1213" i="22"/>
  <c r="K1213" i="22" s="1"/>
  <c r="G1157" i="22"/>
  <c r="K1157" i="22" s="1"/>
  <c r="G1076" i="22"/>
  <c r="G1075" i="22"/>
  <c r="G1013" i="22"/>
  <c r="K1013" i="22" s="1"/>
  <c r="G982" i="22"/>
  <c r="K982" i="22" s="1"/>
  <c r="G977" i="22"/>
  <c r="G976" i="22"/>
  <c r="G975" i="22"/>
  <c r="K975" i="22" s="1"/>
  <c r="G974" i="22"/>
  <c r="K974" i="22" s="1"/>
  <c r="G902" i="22"/>
  <c r="K902" i="22" s="1"/>
  <c r="G876" i="22"/>
  <c r="G875" i="22"/>
  <c r="G852" i="22"/>
  <c r="G808" i="22"/>
  <c r="G807" i="22"/>
  <c r="K807" i="22" s="1"/>
  <c r="G797" i="22"/>
  <c r="K797" i="22" s="1"/>
  <c r="G790" i="22"/>
  <c r="K790" i="22" s="1"/>
  <c r="G24" i="22"/>
  <c r="G25" i="22"/>
  <c r="G26" i="22"/>
  <c r="G27" i="22"/>
  <c r="G28" i="22"/>
  <c r="G30" i="22"/>
  <c r="G31" i="22"/>
  <c r="G33" i="22"/>
  <c r="G34" i="22"/>
  <c r="G35" i="22"/>
  <c r="G36" i="22"/>
  <c r="G37" i="22"/>
  <c r="G38" i="22"/>
  <c r="G39" i="22"/>
  <c r="G40" i="22"/>
  <c r="G41" i="22"/>
  <c r="G42" i="22"/>
  <c r="G43" i="22"/>
  <c r="G44" i="22"/>
  <c r="G46" i="22"/>
  <c r="G47" i="22"/>
  <c r="G48" i="22"/>
  <c r="G49" i="22"/>
  <c r="G50" i="22"/>
  <c r="G51" i="22"/>
  <c r="G52" i="22"/>
  <c r="G53" i="22"/>
  <c r="G55" i="22"/>
  <c r="G56" i="22"/>
  <c r="G57" i="22"/>
  <c r="G58" i="22"/>
  <c r="G59" i="22"/>
  <c r="G60" i="22"/>
  <c r="G61" i="22"/>
  <c r="G62" i="22"/>
  <c r="G63" i="22"/>
  <c r="G64" i="22"/>
  <c r="G65" i="22"/>
  <c r="G66" i="22"/>
  <c r="G67" i="22"/>
  <c r="G68" i="22"/>
  <c r="G69" i="22"/>
  <c r="G70" i="22"/>
  <c r="G71" i="22"/>
  <c r="G72" i="22"/>
  <c r="G73" i="22"/>
  <c r="G74" i="22"/>
  <c r="G75" i="22"/>
  <c r="G76" i="22"/>
  <c r="G77" i="22"/>
  <c r="G78" i="22"/>
  <c r="G79" i="22"/>
  <c r="G80" i="22"/>
  <c r="G81" i="22"/>
  <c r="G82" i="22"/>
  <c r="G83" i="22"/>
  <c r="G84" i="22"/>
  <c r="G85" i="22"/>
  <c r="G86" i="22"/>
  <c r="G87" i="22"/>
  <c r="G88" i="22"/>
  <c r="G89" i="22"/>
  <c r="G90" i="22"/>
  <c r="G91" i="22"/>
  <c r="G92" i="22"/>
  <c r="G93" i="22"/>
  <c r="G94" i="22"/>
  <c r="G95" i="22"/>
  <c r="G96" i="22"/>
  <c r="G97" i="22"/>
  <c r="G98" i="22"/>
  <c r="G99" i="22"/>
  <c r="G100" i="22"/>
  <c r="G101" i="22"/>
  <c r="G102" i="22"/>
  <c r="G103" i="22"/>
  <c r="G104" i="22"/>
  <c r="G105" i="22"/>
  <c r="G106" i="22"/>
  <c r="G107" i="22"/>
  <c r="G108" i="22"/>
  <c r="G109" i="22"/>
  <c r="G110" i="22"/>
  <c r="G111" i="22"/>
  <c r="G112" i="22"/>
  <c r="G113" i="22"/>
  <c r="G114" i="22"/>
  <c r="G115" i="22"/>
  <c r="G116" i="22"/>
  <c r="G117" i="22"/>
  <c r="G118" i="22"/>
  <c r="G119" i="22"/>
  <c r="G120" i="22"/>
  <c r="G121" i="22"/>
  <c r="G122" i="22"/>
  <c r="G123" i="22"/>
  <c r="G124" i="22"/>
  <c r="G125" i="22"/>
  <c r="G126" i="22"/>
  <c r="G127" i="22"/>
  <c r="G128" i="22"/>
  <c r="G129" i="22"/>
  <c r="G130" i="22"/>
  <c r="G131" i="22"/>
  <c r="G132" i="22"/>
  <c r="G133" i="22"/>
  <c r="G134" i="22"/>
  <c r="G135" i="22"/>
  <c r="G136" i="22"/>
  <c r="G137" i="22"/>
  <c r="G138" i="22"/>
  <c r="G139" i="22"/>
  <c r="G140" i="22"/>
  <c r="G141" i="22"/>
  <c r="G142" i="22"/>
  <c r="G143" i="22"/>
  <c r="G144" i="22"/>
  <c r="G145" i="22"/>
  <c r="G147" i="22"/>
  <c r="G148" i="22"/>
  <c r="G149" i="22"/>
  <c r="G150" i="22"/>
  <c r="G151" i="22"/>
  <c r="G152" i="22"/>
  <c r="G153" i="22"/>
  <c r="G154" i="22"/>
  <c r="G155" i="22"/>
  <c r="G156" i="22"/>
  <c r="G157" i="22"/>
  <c r="G158" i="22"/>
  <c r="G159" i="22"/>
  <c r="G160" i="22"/>
  <c r="G161" i="22"/>
  <c r="G166" i="22"/>
  <c r="G167" i="22"/>
  <c r="G168" i="22"/>
  <c r="G169" i="22"/>
  <c r="G170" i="22"/>
  <c r="G171" i="22"/>
  <c r="G172" i="22"/>
  <c r="G173" i="22"/>
  <c r="G174" i="22"/>
  <c r="G175" i="22"/>
  <c r="G176" i="22"/>
  <c r="G177" i="22"/>
  <c r="G178" i="22"/>
  <c r="G179" i="22"/>
  <c r="G180" i="22"/>
  <c r="G181" i="22"/>
  <c r="G182" i="22"/>
  <c r="G183" i="22"/>
  <c r="G184" i="22"/>
  <c r="G185" i="22"/>
  <c r="G186" i="22"/>
  <c r="G187" i="22"/>
  <c r="G188" i="22"/>
  <c r="G189" i="22"/>
  <c r="G190" i="22"/>
  <c r="G191" i="22"/>
  <c r="G192" i="22"/>
  <c r="G193" i="22"/>
  <c r="G194" i="22"/>
  <c r="G195" i="22"/>
  <c r="G196" i="22"/>
  <c r="G197" i="22"/>
  <c r="G198" i="22"/>
  <c r="G199" i="22"/>
  <c r="G200" i="22"/>
  <c r="G201" i="22"/>
  <c r="G202" i="22"/>
  <c r="G203" i="22"/>
  <c r="G204" i="22"/>
  <c r="G205" i="22"/>
  <c r="G206" i="22"/>
  <c r="G207" i="22"/>
  <c r="G208" i="22"/>
  <c r="G209" i="22"/>
  <c r="G210" i="22"/>
  <c r="G211" i="22"/>
  <c r="G212" i="22"/>
  <c r="G213" i="22"/>
  <c r="G214" i="22"/>
  <c r="G215" i="22"/>
  <c r="G216" i="22"/>
  <c r="G217" i="22"/>
  <c r="G218" i="22"/>
  <c r="G219" i="22"/>
  <c r="G220" i="22"/>
  <c r="G221" i="22"/>
  <c r="G223" i="22"/>
  <c r="G224" i="22"/>
  <c r="G225" i="22"/>
  <c r="G226" i="22"/>
  <c r="G227" i="22"/>
  <c r="G228" i="22"/>
  <c r="G229" i="22"/>
  <c r="G230" i="22"/>
  <c r="G231" i="22"/>
  <c r="G232" i="22"/>
  <c r="G233" i="22"/>
  <c r="G234" i="22"/>
  <c r="G235" i="22"/>
  <c r="G236" i="22"/>
  <c r="G237" i="22"/>
  <c r="G238" i="22"/>
  <c r="G239" i="22"/>
  <c r="G240" i="22"/>
  <c r="G241" i="22"/>
  <c r="G242" i="22"/>
  <c r="G243" i="22"/>
  <c r="G244" i="22"/>
  <c r="G245" i="22"/>
  <c r="G246" i="22"/>
  <c r="G247" i="22"/>
  <c r="G248" i="22"/>
  <c r="G249" i="22"/>
  <c r="G250" i="22"/>
  <c r="G251" i="22"/>
  <c r="G252" i="22"/>
  <c r="G253" i="22"/>
  <c r="G254" i="22"/>
  <c r="G255" i="22"/>
  <c r="G256" i="22"/>
  <c r="G257" i="22"/>
  <c r="G258" i="22"/>
  <c r="G259" i="22"/>
  <c r="G260" i="22"/>
  <c r="G261" i="22"/>
  <c r="G262" i="22"/>
  <c r="G263" i="22"/>
  <c r="G264" i="22"/>
  <c r="G265" i="22"/>
  <c r="G266" i="22"/>
  <c r="G267" i="22"/>
  <c r="G268" i="22"/>
  <c r="G269" i="22"/>
  <c r="G270" i="22"/>
  <c r="G271" i="22"/>
  <c r="G272" i="22"/>
  <c r="G273" i="22"/>
  <c r="G274" i="22"/>
  <c r="G275" i="22"/>
  <c r="G276" i="22"/>
  <c r="G277" i="22"/>
  <c r="G278" i="22"/>
  <c r="G279" i="22"/>
  <c r="G280" i="22"/>
  <c r="G281" i="22"/>
  <c r="G282" i="22"/>
  <c r="G283" i="22"/>
  <c r="G284" i="22"/>
  <c r="G285" i="22"/>
  <c r="G286" i="22"/>
  <c r="G287" i="22"/>
  <c r="G288" i="22"/>
  <c r="G289" i="22"/>
  <c r="G290" i="22"/>
  <c r="G291" i="22"/>
  <c r="G292" i="22"/>
  <c r="G293" i="22"/>
  <c r="G294" i="22"/>
  <c r="G295" i="22"/>
  <c r="G296" i="22"/>
  <c r="G298" i="22"/>
  <c r="G299" i="22"/>
  <c r="G300" i="22"/>
  <c r="G301" i="22"/>
  <c r="G302" i="22"/>
  <c r="G303" i="22"/>
  <c r="G304" i="22"/>
  <c r="G305" i="22"/>
  <c r="G306" i="22"/>
  <c r="G307" i="22"/>
  <c r="G308" i="22"/>
  <c r="G309" i="22"/>
  <c r="G310" i="22"/>
  <c r="G311" i="22"/>
  <c r="G312" i="22"/>
  <c r="G313" i="22"/>
  <c r="G314" i="22"/>
  <c r="G315" i="22"/>
  <c r="G316" i="22"/>
  <c r="G317" i="22"/>
  <c r="G318" i="22"/>
  <c r="G319" i="22"/>
  <c r="G320" i="22"/>
  <c r="G321" i="22"/>
  <c r="G322" i="22"/>
  <c r="G323" i="22"/>
  <c r="G324" i="22"/>
  <c r="G325" i="22"/>
  <c r="G326" i="22"/>
  <c r="G327" i="22"/>
  <c r="G328" i="22"/>
  <c r="G329" i="22"/>
  <c r="G330" i="22"/>
  <c r="G331" i="22"/>
  <c r="G332" i="22"/>
  <c r="G333" i="22"/>
  <c r="G334" i="22"/>
  <c r="G335" i="22"/>
  <c r="G336" i="22"/>
  <c r="G337" i="22"/>
  <c r="G338" i="22"/>
  <c r="G339" i="22"/>
  <c r="G340" i="22"/>
  <c r="G341" i="22"/>
  <c r="G342" i="22"/>
  <c r="G343" i="22"/>
  <c r="G345" i="22"/>
  <c r="G346" i="22"/>
  <c r="G347" i="22"/>
  <c r="G348" i="22"/>
  <c r="G349" i="22"/>
  <c r="G350" i="22"/>
  <c r="G352" i="22"/>
  <c r="G354" i="22"/>
  <c r="G355" i="22"/>
  <c r="G356" i="22"/>
  <c r="G357" i="22"/>
  <c r="G359" i="22"/>
  <c r="G360" i="22"/>
  <c r="G361" i="22"/>
  <c r="G363" i="22"/>
  <c r="G364" i="22"/>
  <c r="G365" i="22"/>
  <c r="G366" i="22"/>
  <c r="G369" i="22"/>
  <c r="G371" i="22"/>
  <c r="G372" i="22"/>
  <c r="G373" i="22"/>
  <c r="G374" i="22"/>
  <c r="G375" i="22"/>
  <c r="G376" i="22"/>
  <c r="G377" i="22"/>
  <c r="G378" i="22"/>
  <c r="G379" i="22"/>
  <c r="G380" i="22"/>
  <c r="G381" i="22"/>
  <c r="G382" i="22"/>
  <c r="G383" i="22"/>
  <c r="G385" i="22"/>
  <c r="G386" i="22"/>
  <c r="G389" i="22"/>
  <c r="G390" i="22"/>
  <c r="G391" i="22"/>
  <c r="G392" i="22"/>
  <c r="G393" i="22"/>
  <c r="G394" i="22"/>
  <c r="G398" i="22"/>
  <c r="G400" i="22"/>
  <c r="G401" i="22"/>
  <c r="G402" i="22"/>
  <c r="G403" i="22"/>
  <c r="G404" i="22"/>
  <c r="G405" i="22"/>
  <c r="G406" i="22"/>
  <c r="G411" i="22"/>
  <c r="G412" i="22"/>
  <c r="G413" i="22"/>
  <c r="G414" i="22"/>
  <c r="G415" i="22"/>
  <c r="G416" i="22"/>
  <c r="G435" i="22"/>
  <c r="G436" i="22"/>
  <c r="G437" i="22"/>
  <c r="G438" i="22"/>
  <c r="G439" i="22"/>
  <c r="G440" i="22"/>
  <c r="G441" i="22"/>
  <c r="G442" i="22"/>
  <c r="G443" i="22"/>
  <c r="G444" i="22"/>
  <c r="G445" i="22"/>
  <c r="G446" i="22"/>
  <c r="G447" i="22"/>
  <c r="G448" i="22"/>
  <c r="G449" i="22"/>
  <c r="G450" i="22"/>
  <c r="G451" i="22"/>
  <c r="G452" i="22"/>
  <c r="G453" i="22"/>
  <c r="G454" i="22"/>
  <c r="G455" i="22"/>
  <c r="G456" i="22"/>
  <c r="G457" i="22"/>
  <c r="G458" i="22"/>
  <c r="G459" i="22"/>
  <c r="G460" i="22"/>
  <c r="G461" i="22"/>
  <c r="G462" i="22"/>
  <c r="G463" i="22"/>
  <c r="G464" i="22"/>
  <c r="G465" i="22"/>
  <c r="G466" i="22"/>
  <c r="G467" i="22"/>
  <c r="G468" i="22"/>
  <c r="G469" i="22"/>
  <c r="G470" i="22"/>
  <c r="G471" i="22"/>
  <c r="G472" i="22"/>
  <c r="G473" i="22"/>
  <c r="G474" i="22"/>
  <c r="G475" i="22"/>
  <c r="G476" i="22"/>
  <c r="G477" i="22"/>
  <c r="G478" i="22"/>
  <c r="G479" i="22"/>
  <c r="G480" i="22"/>
  <c r="G481" i="22"/>
  <c r="G482" i="22"/>
  <c r="G483" i="22"/>
  <c r="G484" i="22"/>
  <c r="G485" i="22"/>
  <c r="G486" i="22"/>
  <c r="G487" i="22"/>
  <c r="G488" i="22"/>
  <c r="G489" i="22"/>
  <c r="G490" i="22"/>
  <c r="G491" i="22"/>
  <c r="G492" i="22"/>
  <c r="G493" i="22"/>
  <c r="G494" i="22"/>
  <c r="G495" i="22"/>
  <c r="G496" i="22"/>
  <c r="G497" i="22"/>
  <c r="G498" i="22"/>
  <c r="G499" i="22"/>
  <c r="G500" i="22"/>
  <c r="G501" i="22"/>
  <c r="G502" i="22"/>
  <c r="G503" i="22"/>
  <c r="G504" i="22"/>
  <c r="G505" i="22"/>
  <c r="G506" i="22"/>
  <c r="G507" i="22"/>
  <c r="G508" i="22"/>
  <c r="G509" i="22"/>
  <c r="G510" i="22"/>
  <c r="G511" i="22"/>
  <c r="G512" i="22"/>
  <c r="G513" i="22"/>
  <c r="G514" i="22"/>
  <c r="G515" i="22"/>
  <c r="G516" i="22"/>
  <c r="G517" i="22"/>
  <c r="G518" i="22"/>
  <c r="G519" i="22"/>
  <c r="G520" i="22"/>
  <c r="G521" i="22"/>
  <c r="G522" i="22"/>
  <c r="G523" i="22"/>
  <c r="G524" i="22"/>
  <c r="G525" i="22"/>
  <c r="G526" i="22"/>
  <c r="G527" i="22"/>
  <c r="G528" i="22"/>
  <c r="G529" i="22"/>
  <c r="G530" i="22"/>
  <c r="G531" i="22"/>
  <c r="G532" i="22"/>
  <c r="G533" i="22"/>
  <c r="G534" i="22"/>
  <c r="G535" i="22"/>
  <c r="G536" i="22"/>
  <c r="G537" i="22"/>
  <c r="G538" i="22"/>
  <c r="G539" i="22"/>
  <c r="G540" i="22"/>
  <c r="G541" i="22"/>
  <c r="G542" i="22"/>
  <c r="G543" i="22"/>
  <c r="G544" i="22"/>
  <c r="G545" i="22"/>
  <c r="G546" i="22"/>
  <c r="G547" i="22"/>
  <c r="G548" i="22"/>
  <c r="G549" i="22"/>
  <c r="G550" i="22"/>
  <c r="G551" i="22"/>
  <c r="G552" i="22"/>
  <c r="G553" i="22"/>
  <c r="G554" i="22"/>
  <c r="G555" i="22"/>
  <c r="G556" i="22"/>
  <c r="G557" i="22"/>
  <c r="G559" i="22"/>
  <c r="G560" i="22"/>
  <c r="G561" i="22"/>
  <c r="G562" i="22"/>
  <c r="G564" i="22"/>
  <c r="G565" i="22"/>
  <c r="G566" i="22"/>
  <c r="G568" i="22"/>
  <c r="G569" i="22"/>
  <c r="G570" i="22"/>
  <c r="G571" i="22"/>
  <c r="G572" i="22"/>
  <c r="G573" i="22"/>
  <c r="G574" i="22"/>
  <c r="G575" i="22"/>
  <c r="G577" i="22"/>
  <c r="G578" i="22"/>
  <c r="G579" i="22"/>
  <c r="G580" i="22"/>
  <c r="G581" i="22"/>
  <c r="G582" i="22"/>
  <c r="G583" i="22"/>
  <c r="G584" i="22"/>
  <c r="G585" i="22"/>
  <c r="G586" i="22"/>
  <c r="G587" i="22"/>
  <c r="G588" i="22"/>
  <c r="G590" i="22"/>
  <c r="G591" i="22"/>
  <c r="G592" i="22"/>
  <c r="G593" i="22"/>
  <c r="G594" i="22"/>
  <c r="G595" i="22"/>
  <c r="G596" i="22"/>
  <c r="G597" i="22"/>
  <c r="G599" i="22"/>
  <c r="G600" i="22"/>
  <c r="G601" i="22"/>
  <c r="G602" i="22"/>
  <c r="G603" i="22"/>
  <c r="G604" i="22"/>
  <c r="G632" i="22"/>
  <c r="G633" i="22"/>
  <c r="G634" i="22"/>
  <c r="G635" i="22"/>
  <c r="G636" i="22"/>
  <c r="G637" i="22"/>
  <c r="G638" i="22"/>
  <c r="G647" i="22"/>
  <c r="G648" i="22"/>
  <c r="G649" i="22"/>
  <c r="G650" i="22"/>
  <c r="G651" i="22"/>
  <c r="G652" i="22"/>
  <c r="G653" i="22"/>
  <c r="G654" i="22"/>
  <c r="G655" i="22"/>
  <c r="G656" i="22"/>
  <c r="G657" i="22"/>
  <c r="G658" i="22"/>
  <c r="G659" i="22"/>
  <c r="G660" i="22"/>
  <c r="G661" i="22"/>
  <c r="G662" i="22"/>
  <c r="G663" i="22"/>
  <c r="G664" i="22"/>
  <c r="G665" i="22"/>
  <c r="G666" i="22"/>
  <c r="G667" i="22"/>
  <c r="G668" i="22"/>
  <c r="G669" i="22"/>
  <c r="G670" i="22"/>
  <c r="G671" i="22"/>
  <c r="G672" i="22"/>
  <c r="G673" i="22"/>
  <c r="G674" i="22"/>
  <c r="G675" i="22"/>
  <c r="G676" i="22"/>
  <c r="G677" i="22"/>
  <c r="G678" i="22"/>
  <c r="G679" i="22"/>
  <c r="G682" i="22"/>
  <c r="G683" i="22"/>
  <c r="G686" i="22"/>
  <c r="G687" i="22"/>
  <c r="G688" i="22"/>
  <c r="G691" i="22"/>
  <c r="G693" i="22"/>
  <c r="G694" i="22"/>
  <c r="G695" i="22"/>
  <c r="G696" i="22"/>
  <c r="G697" i="22"/>
  <c r="G698" i="22"/>
  <c r="G699" i="22"/>
  <c r="G701" i="22"/>
  <c r="G702" i="22"/>
  <c r="G703" i="22"/>
  <c r="G704" i="22"/>
  <c r="G705" i="22"/>
  <c r="G706" i="22"/>
  <c r="G707" i="22"/>
  <c r="G710" i="22"/>
  <c r="G711" i="22"/>
  <c r="G714" i="22"/>
  <c r="G715" i="22"/>
  <c r="G716" i="22"/>
  <c r="G717" i="22"/>
  <c r="G718" i="22"/>
  <c r="G719" i="22"/>
  <c r="G720" i="22"/>
  <c r="G721" i="22"/>
  <c r="G722" i="22"/>
  <c r="G723" i="22"/>
  <c r="G724" i="22"/>
  <c r="G725" i="22"/>
  <c r="G727" i="22"/>
  <c r="G728" i="22"/>
  <c r="G729" i="22"/>
  <c r="G731" i="22"/>
  <c r="G732" i="22"/>
  <c r="G733" i="22"/>
  <c r="G734" i="22"/>
  <c r="G735" i="22"/>
  <c r="G736" i="22"/>
  <c r="G737" i="22"/>
  <c r="G738" i="22"/>
  <c r="G739" i="22"/>
  <c r="G740" i="22"/>
  <c r="G741" i="22"/>
  <c r="G742" i="22"/>
  <c r="G743" i="22"/>
  <c r="G744" i="22"/>
  <c r="G745" i="22"/>
  <c r="G746" i="22"/>
  <c r="G747" i="22"/>
  <c r="G748" i="22"/>
  <c r="G749" i="22"/>
  <c r="G750" i="22"/>
  <c r="G751" i="22"/>
  <c r="G753" i="22"/>
  <c r="G754" i="22"/>
  <c r="G756" i="22"/>
  <c r="G757" i="22"/>
  <c r="G761" i="22"/>
  <c r="G762" i="22"/>
  <c r="G763" i="22"/>
  <c r="G764" i="22"/>
  <c r="G765" i="22"/>
  <c r="G768" i="22"/>
  <c r="G769" i="22"/>
  <c r="G770" i="22"/>
  <c r="G771" i="22"/>
  <c r="G772" i="22"/>
  <c r="G773" i="22"/>
  <c r="G774" i="22"/>
  <c r="G775" i="22"/>
  <c r="G776" i="22"/>
  <c r="G777" i="22"/>
  <c r="G778" i="22"/>
  <c r="G779" i="22"/>
  <c r="G780" i="22"/>
  <c r="G781" i="22"/>
  <c r="G782" i="22"/>
  <c r="G2" i="22"/>
  <c r="G3" i="22"/>
  <c r="G4" i="22"/>
  <c r="G5" i="22"/>
  <c r="G6" i="22"/>
  <c r="G7" i="22"/>
  <c r="G8" i="22"/>
  <c r="G9" i="22"/>
  <c r="G10" i="22"/>
  <c r="G11" i="22"/>
  <c r="G12" i="22"/>
  <c r="G13" i="22"/>
  <c r="G14" i="22"/>
  <c r="G15" i="22"/>
  <c r="G16" i="22"/>
  <c r="G17" i="22"/>
  <c r="G18" i="22"/>
  <c r="G19" i="22"/>
  <c r="G21" i="22"/>
  <c r="G22" i="22"/>
  <c r="G23" i="22"/>
  <c r="E23" i="22"/>
  <c r="K23" i="22" s="1"/>
  <c r="AL93" i="14"/>
  <c r="AJ93" i="14"/>
  <c r="AJ3" i="4"/>
  <c r="AJ4" i="4"/>
  <c r="AJ5" i="4"/>
  <c r="AJ6" i="4"/>
  <c r="AJ7" i="4"/>
  <c r="AJ8" i="4"/>
  <c r="AJ9" i="4"/>
  <c r="AJ10" i="4"/>
  <c r="AJ11" i="4"/>
  <c r="AJ12" i="4"/>
  <c r="AJ13" i="4"/>
  <c r="AJ14" i="4"/>
  <c r="AJ15" i="4"/>
  <c r="AJ16" i="4"/>
  <c r="AJ2" i="4"/>
  <c r="AJ3" i="5"/>
  <c r="AJ4" i="5"/>
  <c r="AJ5" i="5"/>
  <c r="AJ6" i="5"/>
  <c r="AJ7" i="5"/>
  <c r="AJ8" i="5"/>
  <c r="AJ2" i="5"/>
  <c r="AJ3" i="6"/>
  <c r="AJ4" i="6"/>
  <c r="AJ5" i="6"/>
  <c r="AJ6" i="6"/>
  <c r="AJ7" i="6"/>
  <c r="AJ8" i="6"/>
  <c r="AJ9" i="6"/>
  <c r="AJ10" i="6"/>
  <c r="AJ11" i="6"/>
  <c r="AJ12" i="6"/>
  <c r="AJ13" i="6"/>
  <c r="AJ14" i="6"/>
  <c r="AJ15" i="6"/>
  <c r="AJ16" i="6"/>
  <c r="AJ17" i="6"/>
  <c r="AJ18" i="6"/>
  <c r="AJ19" i="6"/>
  <c r="AJ20" i="6"/>
  <c r="AJ21" i="6"/>
  <c r="AJ22" i="6"/>
  <c r="AJ23" i="6"/>
  <c r="AJ24" i="6"/>
  <c r="AJ25" i="6"/>
  <c r="AJ26" i="6"/>
  <c r="AJ27" i="6"/>
  <c r="AJ28" i="6"/>
  <c r="AJ29" i="6"/>
  <c r="AJ30" i="6"/>
  <c r="AJ31" i="6"/>
  <c r="AJ32" i="6"/>
  <c r="AJ33" i="6"/>
  <c r="AJ34" i="6"/>
  <c r="AJ35" i="6"/>
  <c r="AJ36" i="6"/>
  <c r="AJ2" i="6"/>
  <c r="AJ3" i="16"/>
  <c r="AJ4" i="16"/>
  <c r="AJ5" i="16"/>
  <c r="AJ6" i="16"/>
  <c r="AJ7" i="16"/>
  <c r="AJ8" i="16"/>
  <c r="AJ9" i="16"/>
  <c r="AJ10" i="16"/>
  <c r="AJ11" i="16"/>
  <c r="AJ2" i="16"/>
  <c r="AJ3" i="15"/>
  <c r="AJ4" i="15"/>
  <c r="AJ5" i="15"/>
  <c r="AJ6" i="15"/>
  <c r="AJ7" i="15"/>
  <c r="AJ8" i="15"/>
  <c r="AJ9" i="15"/>
  <c r="AJ10" i="15"/>
  <c r="AJ11" i="15"/>
  <c r="AJ12" i="15"/>
  <c r="AJ13" i="15"/>
  <c r="AJ2" i="15"/>
  <c r="AJ3" i="13"/>
  <c r="AJ4" i="13"/>
  <c r="AJ5" i="13"/>
  <c r="AJ6" i="13"/>
  <c r="AJ7" i="13"/>
  <c r="AJ8" i="13"/>
  <c r="AJ9" i="13"/>
  <c r="AJ10" i="13"/>
  <c r="AJ11" i="13"/>
  <c r="AJ12" i="13"/>
  <c r="AJ13" i="13"/>
  <c r="AJ14" i="13"/>
  <c r="AJ15" i="13"/>
  <c r="AJ16" i="13"/>
  <c r="AJ17" i="13"/>
  <c r="AJ18" i="13"/>
  <c r="AJ19" i="13"/>
  <c r="AJ20" i="13"/>
  <c r="AJ21" i="13"/>
  <c r="AJ22" i="13"/>
  <c r="AJ23" i="13"/>
  <c r="AJ24" i="13"/>
  <c r="AJ25" i="13"/>
  <c r="AJ26" i="13"/>
  <c r="AJ27" i="13"/>
  <c r="AJ28" i="13"/>
  <c r="AJ29" i="13"/>
  <c r="AJ30" i="13"/>
  <c r="AJ31" i="13"/>
  <c r="AJ32" i="13"/>
  <c r="AJ33" i="13"/>
  <c r="AJ34" i="13"/>
  <c r="AJ35" i="13"/>
  <c r="AJ36" i="13"/>
  <c r="AJ37" i="13"/>
  <c r="AJ38" i="13"/>
  <c r="AJ39" i="13"/>
  <c r="AJ40" i="13"/>
  <c r="AJ41" i="13"/>
  <c r="AJ42" i="13"/>
  <c r="AJ43" i="13"/>
  <c r="AJ44" i="13"/>
  <c r="AJ45" i="13"/>
  <c r="AJ46" i="13"/>
  <c r="AJ47" i="13"/>
  <c r="AJ48" i="13"/>
  <c r="AJ49" i="13"/>
  <c r="AJ50" i="13"/>
  <c r="AJ51" i="13"/>
  <c r="AJ52" i="13"/>
  <c r="AJ53" i="13"/>
  <c r="AJ54" i="13"/>
  <c r="AJ55" i="13"/>
  <c r="AJ56" i="13"/>
  <c r="AJ57" i="13"/>
  <c r="AJ58" i="13"/>
  <c r="AJ59" i="13"/>
  <c r="AJ60" i="13"/>
  <c r="AJ61" i="13"/>
  <c r="AJ62" i="13"/>
  <c r="AJ63" i="13"/>
  <c r="AJ64" i="13"/>
  <c r="AJ65" i="13"/>
  <c r="AJ66" i="13"/>
  <c r="AJ67" i="13"/>
  <c r="AJ68" i="13"/>
  <c r="AJ69" i="13"/>
  <c r="AJ70" i="13"/>
  <c r="AJ71" i="13"/>
  <c r="AJ72" i="13"/>
  <c r="AJ73" i="13"/>
  <c r="AJ74" i="13"/>
  <c r="AJ75" i="13"/>
  <c r="AJ76" i="13"/>
  <c r="AJ77" i="13"/>
  <c r="AJ78" i="13"/>
  <c r="AJ79" i="13"/>
  <c r="AJ80" i="13"/>
  <c r="AJ81" i="13"/>
  <c r="AJ82" i="13"/>
  <c r="AJ83" i="13"/>
  <c r="AJ84" i="13"/>
  <c r="AJ85" i="13"/>
  <c r="AJ86" i="13"/>
  <c r="AJ87" i="13"/>
  <c r="AJ88" i="13"/>
  <c r="AJ89" i="13"/>
  <c r="AJ90" i="13"/>
  <c r="AJ91" i="13"/>
  <c r="AJ92" i="13"/>
  <c r="AJ93" i="13"/>
  <c r="AJ94" i="13"/>
  <c r="AJ95" i="13"/>
  <c r="AJ96" i="13"/>
  <c r="AJ97" i="13"/>
  <c r="AJ98" i="13"/>
  <c r="AJ99" i="13"/>
  <c r="AJ100" i="13"/>
  <c r="AJ101" i="13"/>
  <c r="AJ102" i="13"/>
  <c r="AJ103" i="13"/>
  <c r="AJ104" i="13"/>
  <c r="AJ105" i="13"/>
  <c r="AJ106" i="13"/>
  <c r="AJ107" i="13"/>
  <c r="AJ108" i="13"/>
  <c r="AJ109" i="13"/>
  <c r="AJ110" i="13"/>
  <c r="AJ2" i="13"/>
  <c r="AJ3" i="11"/>
  <c r="AJ4" i="11"/>
  <c r="AJ5" i="11"/>
  <c r="AJ6" i="11"/>
  <c r="AJ7" i="11"/>
  <c r="AJ8" i="11"/>
  <c r="AJ9" i="11"/>
  <c r="AJ10" i="11"/>
  <c r="AJ11" i="11"/>
  <c r="AJ12" i="11"/>
  <c r="AJ13" i="11"/>
  <c r="AJ14" i="11"/>
  <c r="AJ15" i="11"/>
  <c r="AJ16" i="11"/>
  <c r="AJ17" i="11"/>
  <c r="AJ18" i="11"/>
  <c r="AJ19" i="11"/>
  <c r="AJ20" i="11"/>
  <c r="AJ21" i="11"/>
  <c r="AJ22" i="11"/>
  <c r="AJ23" i="11"/>
  <c r="AJ24" i="11"/>
  <c r="AJ25" i="11"/>
  <c r="AJ26" i="11"/>
  <c r="AJ27" i="11"/>
  <c r="AJ28" i="11"/>
  <c r="AJ29" i="11"/>
  <c r="AJ30" i="11"/>
  <c r="AJ31" i="11"/>
  <c r="AJ32" i="11"/>
  <c r="AJ33" i="11"/>
  <c r="AJ34" i="11"/>
  <c r="AJ35" i="11"/>
  <c r="AJ36" i="11"/>
  <c r="AJ37" i="11"/>
  <c r="AJ38" i="11"/>
  <c r="AJ39" i="11"/>
  <c r="AJ40" i="11"/>
  <c r="AJ41" i="11"/>
  <c r="AJ42" i="11"/>
  <c r="AJ43" i="11"/>
  <c r="AJ44" i="11"/>
  <c r="AJ45" i="11"/>
  <c r="AJ46" i="11"/>
  <c r="AJ47" i="11"/>
  <c r="AJ48" i="11"/>
  <c r="AJ49" i="11"/>
  <c r="AJ50" i="11"/>
  <c r="AJ51" i="11"/>
  <c r="AJ52" i="11"/>
  <c r="AJ53" i="11"/>
  <c r="AJ54" i="11"/>
  <c r="AJ55" i="11"/>
  <c r="AJ56" i="11"/>
  <c r="AJ57" i="11"/>
  <c r="AJ58" i="11"/>
  <c r="AJ59" i="11"/>
  <c r="AJ60" i="11"/>
  <c r="AJ61" i="11"/>
  <c r="AJ62" i="11"/>
  <c r="AJ63" i="11"/>
  <c r="AJ64" i="11"/>
  <c r="AJ65" i="11"/>
  <c r="AJ66" i="11"/>
  <c r="AJ67" i="11"/>
  <c r="AJ68" i="11"/>
  <c r="AJ69" i="11"/>
  <c r="AJ70" i="11"/>
  <c r="AJ71" i="11"/>
  <c r="AJ72" i="11"/>
  <c r="AJ73" i="11"/>
  <c r="AJ74" i="11"/>
  <c r="AJ75" i="11"/>
  <c r="AJ76" i="11"/>
  <c r="AJ77" i="11"/>
  <c r="AJ78" i="11"/>
  <c r="AJ79" i="11"/>
  <c r="AJ80" i="11"/>
  <c r="AJ81" i="11"/>
  <c r="AJ82" i="11"/>
  <c r="AJ83" i="11"/>
  <c r="AJ84" i="11"/>
  <c r="AJ85" i="11"/>
  <c r="AJ86" i="11"/>
  <c r="AJ87" i="11"/>
  <c r="AJ88" i="11"/>
  <c r="AJ89" i="11"/>
  <c r="AJ90" i="11"/>
  <c r="AJ91" i="11"/>
  <c r="AJ2" i="11"/>
  <c r="AJ127"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2" i="3"/>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2" i="9"/>
  <c r="AJ3" i="8"/>
  <c r="AJ4" i="8"/>
  <c r="AJ5" i="8"/>
  <c r="AJ6" i="8"/>
  <c r="AJ7" i="8"/>
  <c r="AJ8" i="8"/>
  <c r="AJ9" i="8"/>
  <c r="AJ10" i="8"/>
  <c r="AJ11" i="8"/>
  <c r="AJ12" i="8"/>
  <c r="AJ13" i="8"/>
  <c r="AJ14" i="8"/>
  <c r="AJ15" i="8"/>
  <c r="AJ16" i="8"/>
  <c r="AJ17" i="8"/>
  <c r="AJ18" i="8"/>
  <c r="AJ19" i="8"/>
  <c r="AJ20" i="8"/>
  <c r="AJ21" i="8"/>
  <c r="AJ22" i="8"/>
  <c r="AJ23" i="8"/>
  <c r="AJ24" i="8"/>
  <c r="AJ25" i="8"/>
  <c r="AJ26" i="8"/>
  <c r="AJ27" i="8"/>
  <c r="AJ28" i="8"/>
  <c r="AJ29" i="8"/>
  <c r="AJ30" i="8"/>
  <c r="AJ31" i="8"/>
  <c r="AJ32" i="8"/>
  <c r="AJ33" i="8"/>
  <c r="AJ34" i="8"/>
  <c r="AJ35" i="8"/>
  <c r="AJ36" i="8"/>
  <c r="AJ37" i="8"/>
  <c r="AJ38" i="8"/>
  <c r="AJ2" i="8"/>
  <c r="AJ3" i="7"/>
  <c r="AJ4" i="7"/>
  <c r="AJ5" i="7"/>
  <c r="AJ6" i="7"/>
  <c r="AJ7" i="7"/>
  <c r="AJ8" i="7"/>
  <c r="AJ9" i="7"/>
  <c r="AJ10" i="7"/>
  <c r="AJ11" i="7"/>
  <c r="AJ12" i="7"/>
  <c r="AJ13" i="7"/>
  <c r="AJ14" i="7"/>
  <c r="AJ15" i="7"/>
  <c r="AJ16" i="7"/>
  <c r="AJ17" i="7"/>
  <c r="AJ18" i="7"/>
  <c r="AJ19" i="7"/>
  <c r="AJ20" i="7"/>
  <c r="AJ21" i="7"/>
  <c r="AJ22" i="7"/>
  <c r="AJ23" i="7"/>
  <c r="AJ24" i="7"/>
  <c r="AJ25" i="7"/>
  <c r="AJ26" i="7"/>
  <c r="AJ27" i="7"/>
  <c r="AJ28" i="7"/>
  <c r="AJ29" i="7"/>
  <c r="AJ30" i="7"/>
  <c r="AJ31" i="7"/>
  <c r="AJ32" i="7"/>
  <c r="AJ33" i="7"/>
  <c r="AJ34" i="7"/>
  <c r="AJ35" i="7"/>
  <c r="AJ36" i="7"/>
  <c r="AJ37" i="7"/>
  <c r="AJ38" i="7"/>
  <c r="AJ39" i="7"/>
  <c r="AJ40" i="7"/>
  <c r="AJ41" i="7"/>
  <c r="AJ42" i="7"/>
  <c r="AJ43" i="7"/>
  <c r="AJ44" i="7"/>
  <c r="AJ45" i="7"/>
  <c r="AJ46" i="7"/>
  <c r="AJ47" i="7"/>
  <c r="AJ48" i="7"/>
  <c r="AJ49" i="7"/>
  <c r="AJ50" i="7"/>
  <c r="AJ51" i="7"/>
  <c r="AJ52" i="7"/>
  <c r="AJ53" i="7"/>
  <c r="AJ54" i="7"/>
  <c r="AJ55" i="7"/>
  <c r="AJ56" i="7"/>
  <c r="AJ57" i="7"/>
  <c r="AJ58" i="7"/>
  <c r="AJ59" i="7"/>
  <c r="AJ60" i="7"/>
  <c r="AJ61" i="7"/>
  <c r="AJ62" i="7"/>
  <c r="AJ63" i="7"/>
  <c r="AJ64" i="7"/>
  <c r="AJ65" i="7"/>
  <c r="AJ66" i="7"/>
  <c r="AJ67" i="7"/>
  <c r="AJ68" i="7"/>
  <c r="AJ69" i="7"/>
  <c r="AJ70" i="7"/>
  <c r="AJ71" i="7"/>
  <c r="AJ72" i="7"/>
  <c r="AJ73" i="7"/>
  <c r="AJ74" i="7"/>
  <c r="AJ75" i="7"/>
  <c r="AJ76" i="7"/>
  <c r="AJ77" i="7"/>
  <c r="AJ78" i="7"/>
  <c r="AJ79" i="7"/>
  <c r="AJ80" i="7"/>
  <c r="AJ81" i="7"/>
  <c r="AJ82" i="7"/>
  <c r="AJ83" i="7"/>
  <c r="AJ84" i="7"/>
  <c r="AJ85" i="7"/>
  <c r="AJ86" i="7"/>
  <c r="AJ87" i="7"/>
  <c r="AJ88" i="7"/>
  <c r="AJ89" i="7"/>
  <c r="AJ90" i="7"/>
  <c r="AJ91" i="7"/>
  <c r="AJ92" i="7"/>
  <c r="AJ93" i="7"/>
  <c r="AJ94" i="7"/>
  <c r="AJ95" i="7"/>
  <c r="AJ96" i="7"/>
  <c r="AJ97" i="7"/>
  <c r="AJ98" i="7"/>
  <c r="AJ99" i="7"/>
  <c r="AJ100" i="7"/>
  <c r="AJ101" i="7"/>
  <c r="AJ102" i="7"/>
  <c r="AJ103" i="7"/>
  <c r="AJ104" i="7"/>
  <c r="AJ105" i="7"/>
  <c r="AJ106" i="7"/>
  <c r="AJ107" i="7"/>
  <c r="AJ108" i="7"/>
  <c r="AJ109" i="7"/>
  <c r="AJ110" i="7"/>
  <c r="AJ111" i="7"/>
  <c r="AJ112" i="7"/>
  <c r="AJ113" i="7"/>
  <c r="AJ114" i="7"/>
  <c r="AJ115" i="7"/>
  <c r="AJ116" i="7"/>
  <c r="AJ117" i="7"/>
  <c r="AJ118" i="7"/>
  <c r="AJ2" i="7"/>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2" i="19"/>
  <c r="AJ53" i="18"/>
  <c r="AJ54" i="18"/>
  <c r="AJ55" i="18"/>
  <c r="AJ56" i="18"/>
  <c r="AJ57" i="18"/>
  <c r="AJ58" i="18"/>
  <c r="AJ59" i="18"/>
  <c r="AJ60" i="18"/>
  <c r="AJ61" i="18"/>
  <c r="AJ62" i="18"/>
  <c r="AJ63" i="18"/>
  <c r="AJ64" i="18"/>
  <c r="AJ65" i="18"/>
  <c r="AJ66" i="18"/>
  <c r="AJ67" i="18"/>
  <c r="AJ68" i="18"/>
  <c r="AJ69" i="18"/>
  <c r="AJ70" i="18"/>
  <c r="AJ71" i="18"/>
  <c r="AJ72" i="18"/>
  <c r="AJ52" i="18"/>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2" i="10"/>
  <c r="AJ3" i="17"/>
  <c r="AJ4" i="17"/>
  <c r="AJ5" i="17"/>
  <c r="AJ6" i="17"/>
  <c r="AJ7" i="17"/>
  <c r="AJ8" i="17"/>
  <c r="AJ9" i="17"/>
  <c r="AJ10" i="17"/>
  <c r="AJ11" i="17"/>
  <c r="AJ12" i="17"/>
  <c r="AJ13" i="17"/>
  <c r="AJ14" i="17"/>
  <c r="AJ15" i="17"/>
  <c r="AJ16" i="17"/>
  <c r="AJ17" i="17"/>
  <c r="AJ18" i="17"/>
  <c r="AJ19" i="17"/>
  <c r="AJ20" i="17"/>
  <c r="AJ21" i="17"/>
  <c r="AJ22" i="17"/>
  <c r="AJ23" i="17"/>
  <c r="AJ24" i="17"/>
  <c r="AJ25" i="17"/>
  <c r="AJ26" i="17"/>
  <c r="AJ27" i="17"/>
  <c r="AJ28" i="17"/>
  <c r="AJ29" i="17"/>
  <c r="AJ30" i="17"/>
  <c r="AJ31" i="17"/>
  <c r="AJ32" i="17"/>
  <c r="AJ33" i="17"/>
  <c r="AJ34" i="17"/>
  <c r="AJ35" i="17"/>
  <c r="AJ36" i="17"/>
  <c r="AJ37" i="17"/>
  <c r="AJ38" i="17"/>
  <c r="AJ39" i="17"/>
  <c r="AJ40" i="17"/>
  <c r="AJ41" i="17"/>
  <c r="AJ42" i="17"/>
  <c r="AJ43" i="17"/>
  <c r="AJ44" i="17"/>
  <c r="AJ45" i="17"/>
  <c r="AJ46" i="17"/>
  <c r="AJ47" i="17"/>
  <c r="AJ48" i="17"/>
  <c r="AJ49" i="17"/>
  <c r="AJ50" i="17"/>
  <c r="AJ51" i="17"/>
  <c r="AJ52" i="17"/>
  <c r="AJ53" i="17"/>
  <c r="AJ54" i="17"/>
  <c r="AJ55" i="17"/>
  <c r="AJ56" i="17"/>
  <c r="AJ57" i="17"/>
  <c r="AJ58" i="17"/>
  <c r="AJ59" i="17"/>
  <c r="AJ60" i="17"/>
  <c r="AJ61" i="17"/>
  <c r="AJ62" i="17"/>
  <c r="AJ63" i="17"/>
  <c r="AJ64" i="17"/>
  <c r="AJ65" i="17"/>
  <c r="AJ66" i="17"/>
  <c r="AJ67" i="17"/>
  <c r="AJ68" i="17"/>
  <c r="AJ69" i="17"/>
  <c r="AJ70" i="17"/>
  <c r="AJ71" i="17"/>
  <c r="AJ72" i="17"/>
  <c r="AJ73" i="17"/>
  <c r="AJ74" i="17"/>
  <c r="AJ75" i="17"/>
  <c r="AJ76" i="17"/>
  <c r="AJ77" i="17"/>
  <c r="AJ78" i="17"/>
  <c r="AJ79" i="17"/>
  <c r="AJ80" i="17"/>
  <c r="AJ81" i="17"/>
  <c r="AJ82" i="17"/>
  <c r="AJ83" i="17"/>
  <c r="AJ84" i="17"/>
  <c r="AJ85" i="17"/>
  <c r="AJ86" i="17"/>
  <c r="AJ87" i="17"/>
  <c r="AJ88" i="17"/>
  <c r="AJ89" i="17"/>
  <c r="AJ90" i="17"/>
  <c r="AJ91" i="17"/>
  <c r="AJ92" i="17"/>
  <c r="AJ93" i="17"/>
  <c r="AJ94" i="17"/>
  <c r="AJ95" i="17"/>
  <c r="AJ96" i="17"/>
  <c r="AJ97" i="17"/>
  <c r="AJ98" i="17"/>
  <c r="AJ99" i="17"/>
  <c r="AJ100" i="17"/>
  <c r="AJ101" i="17"/>
  <c r="AJ102" i="17"/>
  <c r="AJ103" i="17"/>
  <c r="AJ104" i="17"/>
  <c r="AJ105" i="17"/>
  <c r="AJ106" i="17"/>
  <c r="AJ107" i="17"/>
  <c r="AJ108" i="17"/>
  <c r="AJ109" i="17"/>
  <c r="AJ110" i="17"/>
  <c r="AJ111" i="17"/>
  <c r="AJ112" i="17"/>
  <c r="AJ113"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56" i="17"/>
  <c r="AJ157" i="17"/>
  <c r="AJ158" i="17"/>
  <c r="AJ159" i="17"/>
  <c r="AJ160" i="17"/>
  <c r="AJ161" i="17"/>
  <c r="AJ162" i="17"/>
  <c r="AJ163" i="17"/>
  <c r="AJ164" i="17"/>
  <c r="AJ165" i="17"/>
  <c r="AJ166" i="17"/>
  <c r="AJ167" i="17"/>
  <c r="AJ168" i="17"/>
  <c r="AJ169" i="17"/>
  <c r="AJ170" i="17"/>
  <c r="AJ171" i="17"/>
  <c r="AJ172" i="17"/>
  <c r="AJ173" i="17"/>
  <c r="AJ174" i="17"/>
  <c r="AJ175" i="17"/>
  <c r="AJ176" i="17"/>
  <c r="AJ177" i="17"/>
  <c r="AJ178" i="17"/>
  <c r="AJ179" i="17"/>
  <c r="AJ180" i="17"/>
  <c r="AJ181" i="17"/>
  <c r="AJ182" i="17"/>
  <c r="AJ183" i="17"/>
  <c r="AJ184" i="17"/>
  <c r="AJ185" i="17"/>
  <c r="AJ186" i="17"/>
  <c r="AJ187" i="17"/>
  <c r="AJ188" i="17"/>
  <c r="AJ189" i="17"/>
  <c r="AJ190" i="17"/>
  <c r="AJ191" i="17"/>
  <c r="AJ192" i="17"/>
  <c r="AJ193" i="17"/>
  <c r="AJ194" i="17"/>
  <c r="AJ195" i="17"/>
  <c r="AJ196" i="17"/>
  <c r="AJ197" i="17"/>
  <c r="AJ198" i="17"/>
  <c r="AJ199" i="17"/>
  <c r="AJ200" i="17"/>
  <c r="AJ201" i="17"/>
  <c r="AJ202" i="17"/>
  <c r="AJ203" i="17"/>
  <c r="AJ204" i="17"/>
  <c r="AJ205" i="17"/>
  <c r="AJ206" i="17"/>
  <c r="AJ207" i="17"/>
  <c r="AJ208" i="17"/>
  <c r="AJ209" i="17"/>
  <c r="AJ210" i="17"/>
  <c r="AJ211" i="17"/>
  <c r="AJ212" i="17"/>
  <c r="AJ213" i="17"/>
  <c r="AJ214" i="17"/>
  <c r="AJ215" i="17"/>
  <c r="AJ216" i="17"/>
  <c r="AJ217" i="17"/>
  <c r="AJ218" i="17"/>
  <c r="AJ219" i="17"/>
  <c r="AJ220" i="17"/>
  <c r="AJ221" i="17"/>
  <c r="AJ222" i="17"/>
  <c r="AJ223" i="17"/>
  <c r="AJ224" i="17"/>
  <c r="AJ225" i="17"/>
  <c r="AJ226" i="17"/>
  <c r="AJ227" i="17"/>
  <c r="AJ228" i="17"/>
  <c r="AJ229" i="17"/>
  <c r="AJ230" i="17"/>
  <c r="AJ231" i="17"/>
  <c r="AJ232" i="17"/>
  <c r="AJ233" i="17"/>
  <c r="AJ234" i="17"/>
  <c r="AJ235" i="17"/>
  <c r="AJ2" i="17"/>
  <c r="AJ3" i="12"/>
  <c r="AJ4" i="12"/>
  <c r="AJ5" i="12"/>
  <c r="AJ6" i="12"/>
  <c r="AJ7" i="12"/>
  <c r="AJ8" i="12"/>
  <c r="AJ9" i="12"/>
  <c r="AJ10" i="12"/>
  <c r="AJ11" i="12"/>
  <c r="AJ12" i="12"/>
  <c r="AJ13" i="12"/>
  <c r="AJ14" i="12"/>
  <c r="AJ15" i="12"/>
  <c r="AJ16" i="12"/>
  <c r="AJ17" i="12"/>
  <c r="AJ18" i="12"/>
  <c r="AJ19" i="12"/>
  <c r="AJ20" i="12"/>
  <c r="AJ21" i="12"/>
  <c r="AJ22" i="12"/>
  <c r="AJ23" i="12"/>
  <c r="AJ24" i="12"/>
  <c r="AJ25" i="12"/>
  <c r="AJ26" i="12"/>
  <c r="AJ27" i="12"/>
  <c r="AJ28" i="12"/>
  <c r="AJ29" i="12"/>
  <c r="AJ30" i="12"/>
  <c r="AJ31" i="12"/>
  <c r="AJ32" i="12"/>
  <c r="AJ33" i="12"/>
  <c r="AJ34" i="12"/>
  <c r="AJ35" i="12"/>
  <c r="AJ36" i="12"/>
  <c r="AJ37" i="12"/>
  <c r="AJ38" i="12"/>
  <c r="AJ39" i="12"/>
  <c r="AJ40" i="12"/>
  <c r="AJ41" i="12"/>
  <c r="AJ42" i="12"/>
  <c r="AJ43" i="12"/>
  <c r="AJ44" i="12"/>
  <c r="AJ45" i="12"/>
  <c r="AJ46" i="12"/>
  <c r="AJ47" i="12"/>
  <c r="AJ48" i="12"/>
  <c r="AJ49" i="12"/>
  <c r="AJ50" i="12"/>
  <c r="AJ51" i="12"/>
  <c r="AJ52" i="12"/>
  <c r="AJ53" i="12"/>
  <c r="AJ54" i="12"/>
  <c r="AJ55" i="12"/>
  <c r="AJ2" i="12"/>
  <c r="AJ3" i="20"/>
  <c r="AJ4" i="20"/>
  <c r="AJ5" i="20"/>
  <c r="AJ6" i="20"/>
  <c r="AJ7" i="20"/>
  <c r="AJ8" i="20"/>
  <c r="AJ9" i="20"/>
  <c r="AJ10" i="20"/>
  <c r="AJ11" i="20"/>
  <c r="AJ12" i="20"/>
  <c r="AJ13" i="20"/>
  <c r="AJ14" i="20"/>
  <c r="AJ15" i="20"/>
  <c r="AJ16" i="20"/>
  <c r="AJ17" i="20"/>
  <c r="AJ18" i="20"/>
  <c r="AJ19" i="20"/>
  <c r="AJ20" i="20"/>
  <c r="AJ21" i="20"/>
  <c r="AJ22" i="20"/>
  <c r="AJ23" i="20"/>
  <c r="AJ24" i="20"/>
  <c r="AJ25" i="20"/>
  <c r="AJ26" i="20"/>
  <c r="AJ27" i="20"/>
  <c r="AJ28" i="20"/>
  <c r="AJ29" i="20"/>
  <c r="AJ30" i="20"/>
  <c r="AJ31" i="20"/>
  <c r="AJ32" i="20"/>
  <c r="AJ33" i="20"/>
  <c r="AJ34" i="20"/>
  <c r="AJ35" i="20"/>
  <c r="AJ36" i="20"/>
  <c r="AJ37" i="20"/>
  <c r="AJ38" i="20"/>
  <c r="AJ39" i="20"/>
  <c r="AJ40" i="20"/>
  <c r="AJ41" i="20"/>
  <c r="AJ42" i="20"/>
  <c r="AJ43" i="20"/>
  <c r="AJ44" i="20"/>
  <c r="AJ45" i="20"/>
  <c r="AJ46" i="20"/>
  <c r="AJ47" i="20"/>
  <c r="AJ2" i="20"/>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AJ2" i="2"/>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3" i="1"/>
  <c r="AJ2" i="1"/>
  <c r="AJ4" i="14"/>
  <c r="AJ5" i="14"/>
  <c r="AJ6" i="14"/>
  <c r="AJ7" i="14"/>
  <c r="AJ8" i="14"/>
  <c r="AJ9" i="14"/>
  <c r="AJ10" i="14"/>
  <c r="AJ11" i="14"/>
  <c r="AJ12" i="14"/>
  <c r="AJ13" i="14"/>
  <c r="AJ14" i="14"/>
  <c r="AJ15" i="14"/>
  <c r="AJ16" i="14"/>
  <c r="AJ17" i="14"/>
  <c r="AJ18" i="14"/>
  <c r="AJ19" i="14"/>
  <c r="AJ20" i="14"/>
  <c r="AJ21" i="14"/>
  <c r="AJ22" i="14"/>
  <c r="AJ23" i="14"/>
  <c r="AJ24" i="14"/>
  <c r="AJ25" i="14"/>
  <c r="AJ26" i="14"/>
  <c r="AJ27" i="14"/>
  <c r="AJ28" i="14"/>
  <c r="AJ29" i="14"/>
  <c r="AJ30" i="14"/>
  <c r="AJ31" i="14"/>
  <c r="AJ32" i="14"/>
  <c r="AJ33" i="14"/>
  <c r="AJ34" i="14"/>
  <c r="AJ35" i="14"/>
  <c r="AJ36" i="14"/>
  <c r="AJ37" i="14"/>
  <c r="AJ38" i="14"/>
  <c r="AJ39" i="14"/>
  <c r="AJ40" i="14"/>
  <c r="AJ41" i="14"/>
  <c r="AJ42" i="14"/>
  <c r="AJ43" i="14"/>
  <c r="AJ44" i="14"/>
  <c r="AJ45" i="14"/>
  <c r="AJ46" i="14"/>
  <c r="AJ47" i="14"/>
  <c r="AJ48" i="14"/>
  <c r="AJ49" i="14"/>
  <c r="AJ50" i="14"/>
  <c r="AJ51" i="14"/>
  <c r="AJ52" i="14"/>
  <c r="AJ53" i="14"/>
  <c r="AJ54" i="14"/>
  <c r="AJ55" i="14"/>
  <c r="AJ56" i="14"/>
  <c r="AJ57" i="14"/>
  <c r="AJ58" i="14"/>
  <c r="AJ59" i="14"/>
  <c r="AJ60" i="14"/>
  <c r="AJ61" i="14"/>
  <c r="AJ62" i="14"/>
  <c r="AJ63" i="14"/>
  <c r="AJ64" i="14"/>
  <c r="AJ65" i="14"/>
  <c r="AJ66" i="14"/>
  <c r="AJ67" i="14"/>
  <c r="AJ68" i="14"/>
  <c r="AJ69" i="14"/>
  <c r="AJ70" i="14"/>
  <c r="AJ71" i="14"/>
  <c r="AJ72" i="14"/>
  <c r="AJ73" i="14"/>
  <c r="AJ74" i="14"/>
  <c r="AJ75" i="14"/>
  <c r="AJ76" i="14"/>
  <c r="AJ77" i="14"/>
  <c r="AJ78" i="14"/>
  <c r="AJ79" i="14"/>
  <c r="AJ80" i="14"/>
  <c r="AJ81" i="14"/>
  <c r="AJ82" i="14"/>
  <c r="AJ83" i="14"/>
  <c r="AJ84" i="14"/>
  <c r="AJ85" i="14"/>
  <c r="AJ86" i="14"/>
  <c r="AJ87" i="14"/>
  <c r="AJ88" i="14"/>
  <c r="AJ89" i="14"/>
  <c r="AJ90" i="14"/>
  <c r="AJ91" i="14"/>
  <c r="AJ92" i="14"/>
  <c r="AJ94" i="14"/>
  <c r="AJ95" i="14"/>
  <c r="AJ96" i="14"/>
  <c r="AJ97" i="14"/>
  <c r="AJ98" i="14"/>
  <c r="AJ99" i="14"/>
  <c r="AJ100" i="14"/>
  <c r="AJ101" i="14"/>
  <c r="AJ102" i="14"/>
  <c r="AJ103" i="14"/>
  <c r="AJ104" i="14"/>
  <c r="AJ105" i="14"/>
  <c r="AJ106" i="14"/>
  <c r="AJ107" i="14"/>
  <c r="AJ108" i="14"/>
  <c r="AJ109" i="14"/>
  <c r="AJ110" i="14"/>
  <c r="AJ111" i="14"/>
  <c r="AJ112" i="14"/>
  <c r="AJ113" i="14"/>
  <c r="AJ114" i="14"/>
  <c r="AJ115" i="14"/>
  <c r="AJ116" i="14"/>
  <c r="AJ117" i="14"/>
  <c r="AJ118" i="14"/>
  <c r="AJ119" i="14"/>
  <c r="AJ120" i="14"/>
  <c r="AJ121" i="14"/>
  <c r="AJ122" i="14"/>
  <c r="AJ123" i="14"/>
  <c r="AJ124" i="14"/>
  <c r="AJ125" i="14"/>
  <c r="AJ126" i="14"/>
  <c r="AJ127" i="14"/>
  <c r="AJ128" i="14"/>
  <c r="AJ129" i="14"/>
  <c r="AJ130" i="14"/>
  <c r="AJ131" i="14"/>
  <c r="AJ132" i="14"/>
  <c r="AJ133" i="14"/>
  <c r="AJ134" i="14"/>
  <c r="AJ135" i="14"/>
  <c r="AJ136" i="14"/>
  <c r="AJ137" i="14"/>
  <c r="AJ138" i="14"/>
  <c r="AJ139" i="14"/>
  <c r="AJ140" i="14"/>
  <c r="AJ141" i="14"/>
  <c r="AJ142" i="14"/>
  <c r="AJ143" i="14"/>
  <c r="AJ144" i="14"/>
  <c r="AJ145" i="14"/>
  <c r="AJ146" i="14"/>
  <c r="AJ147" i="14"/>
  <c r="AJ148" i="14"/>
  <c r="AJ149" i="14"/>
  <c r="AJ150" i="14"/>
  <c r="AJ151" i="14"/>
  <c r="AJ152" i="14"/>
  <c r="AJ153" i="14"/>
  <c r="AJ154" i="14"/>
  <c r="AJ155" i="14"/>
  <c r="AJ156" i="14"/>
  <c r="AJ157" i="14"/>
  <c r="AJ158" i="14"/>
  <c r="AJ159" i="14"/>
  <c r="AJ160" i="14"/>
  <c r="AJ161" i="14"/>
  <c r="AJ162" i="14"/>
  <c r="AJ163" i="14"/>
  <c r="AJ164" i="14"/>
  <c r="AJ165" i="14"/>
  <c r="AJ166" i="14"/>
  <c r="AJ167" i="14"/>
  <c r="AJ168" i="14"/>
  <c r="AJ169" i="14"/>
  <c r="AJ170" i="14"/>
  <c r="AJ171" i="14"/>
  <c r="AJ172" i="14"/>
  <c r="AJ173" i="14"/>
  <c r="AJ174" i="14"/>
  <c r="AJ175" i="14"/>
  <c r="AJ176" i="14"/>
  <c r="AJ177" i="14"/>
  <c r="AJ178" i="14"/>
  <c r="AJ179" i="14"/>
  <c r="AJ180" i="14"/>
  <c r="AJ181" i="14"/>
  <c r="AJ182" i="14"/>
  <c r="AJ183" i="14"/>
  <c r="AJ184" i="14"/>
  <c r="AJ3" i="14"/>
  <c r="AJ2" i="14"/>
  <c r="AN2" i="20"/>
  <c r="AN2" i="4"/>
  <c r="AN2" i="5"/>
  <c r="AN2" i="6"/>
  <c r="AN2" i="16"/>
  <c r="AN2" i="15"/>
  <c r="AN2" i="13"/>
  <c r="AN2" i="11"/>
  <c r="AN2" i="3"/>
  <c r="AN2" i="9"/>
  <c r="AN2" i="8"/>
  <c r="AN2" i="7"/>
  <c r="AN2" i="19"/>
  <c r="AN2" i="18"/>
  <c r="AN2" i="10"/>
  <c r="AN2" i="17"/>
  <c r="AL3" i="5"/>
  <c r="AL4" i="5"/>
  <c r="AL5" i="5"/>
  <c r="AL6" i="5"/>
  <c r="AL7" i="5"/>
  <c r="AL8" i="5"/>
  <c r="AL2" i="5"/>
  <c r="AL3" i="6"/>
  <c r="AL4" i="6"/>
  <c r="AL5" i="6"/>
  <c r="AL6" i="6"/>
  <c r="AL7" i="6"/>
  <c r="AL8" i="6"/>
  <c r="AL9" i="6"/>
  <c r="AL10" i="6"/>
  <c r="AL11" i="6"/>
  <c r="AL12" i="6"/>
  <c r="AL13" i="6"/>
  <c r="AL14" i="6"/>
  <c r="AL15" i="6"/>
  <c r="AL16" i="6"/>
  <c r="AL17" i="6"/>
  <c r="AL18" i="6"/>
  <c r="AL19" i="6"/>
  <c r="AL20" i="6"/>
  <c r="AL21" i="6"/>
  <c r="AL22" i="6"/>
  <c r="AL23" i="6"/>
  <c r="AL24" i="6"/>
  <c r="AL25" i="6"/>
  <c r="AL26" i="6"/>
  <c r="AL27" i="6"/>
  <c r="AL28" i="6"/>
  <c r="AL29" i="6"/>
  <c r="AL30" i="6"/>
  <c r="AL31" i="6"/>
  <c r="AL32" i="6"/>
  <c r="AL33" i="6"/>
  <c r="AL34" i="6"/>
  <c r="AL35" i="6"/>
  <c r="AL36" i="6"/>
  <c r="AL2" i="6"/>
  <c r="AL3" i="16"/>
  <c r="AL4" i="16"/>
  <c r="AL5" i="16"/>
  <c r="AL6" i="16"/>
  <c r="AL7" i="16"/>
  <c r="AL8" i="16"/>
  <c r="AL9" i="16"/>
  <c r="AL10" i="16"/>
  <c r="AL11" i="16"/>
  <c r="AL2" i="16"/>
  <c r="AL3" i="15"/>
  <c r="AL4" i="15"/>
  <c r="AL5" i="15"/>
  <c r="AL6" i="15"/>
  <c r="AL7" i="15"/>
  <c r="AL8" i="15"/>
  <c r="AL9" i="15"/>
  <c r="AL10" i="15"/>
  <c r="AL11" i="15"/>
  <c r="AL12" i="15"/>
  <c r="AL13" i="15"/>
  <c r="AL2" i="15"/>
  <c r="AL3" i="13"/>
  <c r="AL4" i="13"/>
  <c r="AL5" i="13"/>
  <c r="AL6" i="13"/>
  <c r="AL7" i="13"/>
  <c r="AL8" i="13"/>
  <c r="AL9" i="13"/>
  <c r="AL10" i="13"/>
  <c r="AL11" i="13"/>
  <c r="AL12" i="13"/>
  <c r="AL13" i="13"/>
  <c r="AL14" i="13"/>
  <c r="AL15" i="13"/>
  <c r="AL16" i="13"/>
  <c r="AL17" i="13"/>
  <c r="AL18" i="13"/>
  <c r="AL19" i="13"/>
  <c r="AL20" i="13"/>
  <c r="AL21" i="13"/>
  <c r="AL22" i="13"/>
  <c r="AL23" i="13"/>
  <c r="AL24" i="13"/>
  <c r="AL25" i="13"/>
  <c r="AL26" i="13"/>
  <c r="AL27" i="13"/>
  <c r="AL28" i="13"/>
  <c r="AL29" i="13"/>
  <c r="AL30" i="13"/>
  <c r="AL31" i="13"/>
  <c r="AL32" i="13"/>
  <c r="AL33" i="13"/>
  <c r="AL34" i="13"/>
  <c r="AL35" i="13"/>
  <c r="AL36" i="13"/>
  <c r="AL37" i="13"/>
  <c r="AL38" i="13"/>
  <c r="AL39" i="13"/>
  <c r="AL40" i="13"/>
  <c r="AL41" i="13"/>
  <c r="AL42" i="13"/>
  <c r="AL43" i="13"/>
  <c r="AL44" i="13"/>
  <c r="AL45" i="13"/>
  <c r="AL46" i="13"/>
  <c r="AL47" i="13"/>
  <c r="AL48" i="13"/>
  <c r="AL49" i="13"/>
  <c r="AL50" i="13"/>
  <c r="AL51" i="13"/>
  <c r="AL52" i="13"/>
  <c r="AL53" i="13"/>
  <c r="AL54" i="13"/>
  <c r="AL55" i="13"/>
  <c r="AL56" i="13"/>
  <c r="AL57" i="13"/>
  <c r="AL58" i="13"/>
  <c r="AL59" i="13"/>
  <c r="AL60" i="13"/>
  <c r="AL61" i="13"/>
  <c r="AL62" i="13"/>
  <c r="AL63" i="13"/>
  <c r="AL64" i="13"/>
  <c r="AL65" i="13"/>
  <c r="AL66" i="13"/>
  <c r="AL67" i="13"/>
  <c r="AL68" i="13"/>
  <c r="AL69" i="13"/>
  <c r="AL70" i="13"/>
  <c r="AL71" i="13"/>
  <c r="AL72" i="13"/>
  <c r="AL73" i="13"/>
  <c r="AL74" i="13"/>
  <c r="AL75" i="13"/>
  <c r="AL76" i="13"/>
  <c r="AL77" i="13"/>
  <c r="AL78" i="13"/>
  <c r="AL79" i="13"/>
  <c r="AL80" i="13"/>
  <c r="AL81" i="13"/>
  <c r="AL82" i="13"/>
  <c r="AL83" i="13"/>
  <c r="AL84" i="13"/>
  <c r="AL85" i="13"/>
  <c r="AL86" i="13"/>
  <c r="AL87" i="13"/>
  <c r="AL88" i="13"/>
  <c r="AL89" i="13"/>
  <c r="AL90" i="13"/>
  <c r="AL91" i="13"/>
  <c r="AL92" i="13"/>
  <c r="AL93" i="13"/>
  <c r="AL94" i="13"/>
  <c r="AL95" i="13"/>
  <c r="AL96" i="13"/>
  <c r="AL97" i="13"/>
  <c r="AL98" i="13"/>
  <c r="AL99" i="13"/>
  <c r="AL100" i="13"/>
  <c r="AL101" i="13"/>
  <c r="AL102" i="13"/>
  <c r="AL103" i="13"/>
  <c r="AL104" i="13"/>
  <c r="AL105" i="13"/>
  <c r="AL106" i="13"/>
  <c r="AL107" i="13"/>
  <c r="AL108" i="13"/>
  <c r="AL109" i="13"/>
  <c r="AL110" i="13"/>
  <c r="AL2" i="13"/>
  <c r="AL3" i="11"/>
  <c r="AL4" i="11"/>
  <c r="AL5" i="11"/>
  <c r="AL6" i="11"/>
  <c r="AL7" i="11"/>
  <c r="AL8" i="11"/>
  <c r="AL9" i="11"/>
  <c r="AL10" i="11"/>
  <c r="AL11" i="11"/>
  <c r="AL12" i="11"/>
  <c r="AL13" i="11"/>
  <c r="AL14" i="11"/>
  <c r="AL15" i="11"/>
  <c r="AL16" i="11"/>
  <c r="AL17" i="11"/>
  <c r="AL18" i="11"/>
  <c r="AL19" i="11"/>
  <c r="AL20" i="11"/>
  <c r="AL21" i="11"/>
  <c r="AL22" i="11"/>
  <c r="AL23" i="11"/>
  <c r="AL24" i="11"/>
  <c r="AL25" i="11"/>
  <c r="AL26" i="11"/>
  <c r="AL27" i="11"/>
  <c r="AL28" i="11"/>
  <c r="AL29" i="11"/>
  <c r="AL30" i="11"/>
  <c r="AL31" i="11"/>
  <c r="AL32" i="11"/>
  <c r="AL33" i="11"/>
  <c r="AL34" i="11"/>
  <c r="AL35" i="11"/>
  <c r="AL36" i="11"/>
  <c r="AL37" i="11"/>
  <c r="AL38" i="11"/>
  <c r="AL39" i="11"/>
  <c r="AL40" i="11"/>
  <c r="AL41" i="11"/>
  <c r="AL42" i="11"/>
  <c r="AL43" i="11"/>
  <c r="AL44" i="11"/>
  <c r="AL45" i="11"/>
  <c r="AL46" i="11"/>
  <c r="AL47" i="11"/>
  <c r="AL48" i="11"/>
  <c r="AL49" i="11"/>
  <c r="AL50" i="11"/>
  <c r="AL51" i="11"/>
  <c r="AL52" i="11"/>
  <c r="AL53" i="11"/>
  <c r="AL54" i="11"/>
  <c r="AL55" i="11"/>
  <c r="AL56" i="11"/>
  <c r="AL57" i="11"/>
  <c r="AL58" i="11"/>
  <c r="AL59" i="11"/>
  <c r="AL60" i="11"/>
  <c r="AL61" i="11"/>
  <c r="AL62" i="11"/>
  <c r="AL63" i="11"/>
  <c r="AL64" i="11"/>
  <c r="AL65" i="11"/>
  <c r="AL66" i="11"/>
  <c r="AL67" i="11"/>
  <c r="AL68" i="11"/>
  <c r="AL69" i="11"/>
  <c r="AL70" i="11"/>
  <c r="AL71" i="11"/>
  <c r="AL72" i="11"/>
  <c r="AL73" i="11"/>
  <c r="AL74" i="11"/>
  <c r="AL75" i="11"/>
  <c r="AL76" i="11"/>
  <c r="AL77" i="11"/>
  <c r="AL78" i="11"/>
  <c r="AL79" i="11"/>
  <c r="AL80" i="11"/>
  <c r="AL81" i="11"/>
  <c r="AL82" i="11"/>
  <c r="AL83" i="11"/>
  <c r="AL84" i="11"/>
  <c r="AL85" i="11"/>
  <c r="AL86" i="11"/>
  <c r="AL87" i="11"/>
  <c r="AL88" i="11"/>
  <c r="AL89" i="11"/>
  <c r="AL2" i="11"/>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2" i="3"/>
  <c r="AL3" i="9"/>
  <c r="AL4" i="9"/>
  <c r="AL5" i="9"/>
  <c r="AL6" i="9"/>
  <c r="AL7" i="9"/>
  <c r="AL8" i="9"/>
  <c r="AL9" i="9"/>
  <c r="AL10" i="9"/>
  <c r="AL11" i="9"/>
  <c r="AL12" i="9"/>
  <c r="AL13" i="9"/>
  <c r="AL14" i="9"/>
  <c r="AL15" i="9"/>
  <c r="AL16" i="9"/>
  <c r="AL17" i="9"/>
  <c r="AL18" i="9"/>
  <c r="AL19" i="9"/>
  <c r="AL20" i="9"/>
  <c r="AL21" i="9"/>
  <c r="AL22" i="9"/>
  <c r="AL23" i="9"/>
  <c r="AL24" i="9"/>
  <c r="AL25" i="9"/>
  <c r="AL26" i="9"/>
  <c r="AL27" i="9"/>
  <c r="AL28" i="9"/>
  <c r="AL29" i="9"/>
  <c r="AL30" i="9"/>
  <c r="AL31" i="9"/>
  <c r="AL32" i="9"/>
  <c r="AL33" i="9"/>
  <c r="AL34" i="9"/>
  <c r="AL35" i="9"/>
  <c r="AL36" i="9"/>
  <c r="AL37" i="9"/>
  <c r="AL38" i="9"/>
  <c r="AL39" i="9"/>
  <c r="AL40" i="9"/>
  <c r="AL41" i="9"/>
  <c r="AL42" i="9"/>
  <c r="AL43" i="9"/>
  <c r="AL44" i="9"/>
  <c r="AL45" i="9"/>
  <c r="AL46" i="9"/>
  <c r="AL47" i="9"/>
  <c r="AL48" i="9"/>
  <c r="AL49" i="9"/>
  <c r="AL50" i="9"/>
  <c r="AL51" i="9"/>
  <c r="AL52" i="9"/>
  <c r="AL53" i="9"/>
  <c r="AL54" i="9"/>
  <c r="AL55" i="9"/>
  <c r="AL56" i="9"/>
  <c r="AL57" i="9"/>
  <c r="AL58" i="9"/>
  <c r="AL59" i="9"/>
  <c r="AL60" i="9"/>
  <c r="AL61" i="9"/>
  <c r="AL62" i="9"/>
  <c r="AL63" i="9"/>
  <c r="AL64" i="9"/>
  <c r="AL65" i="9"/>
  <c r="AL66" i="9"/>
  <c r="AL67" i="9"/>
  <c r="AL68" i="9"/>
  <c r="AL69" i="9"/>
  <c r="AL70" i="9"/>
  <c r="AL71" i="9"/>
  <c r="AL72" i="9"/>
  <c r="AL73" i="9"/>
  <c r="AL74" i="9"/>
  <c r="AL75" i="9"/>
  <c r="AL76" i="9"/>
  <c r="AL77" i="9"/>
  <c r="AL78" i="9"/>
  <c r="AL79" i="9"/>
  <c r="AL80" i="9"/>
  <c r="AL81" i="9"/>
  <c r="AL82" i="9"/>
  <c r="AL83" i="9"/>
  <c r="AL84" i="9"/>
  <c r="AL85" i="9"/>
  <c r="AL86" i="9"/>
  <c r="AL87" i="9"/>
  <c r="AL88" i="9"/>
  <c r="AL89" i="9"/>
  <c r="AL90" i="9"/>
  <c r="AL91" i="9"/>
  <c r="AL92" i="9"/>
  <c r="AL93" i="9"/>
  <c r="AL94" i="9"/>
  <c r="AL95" i="9"/>
  <c r="AL96" i="9"/>
  <c r="AL97" i="9"/>
  <c r="AL98" i="9"/>
  <c r="AL99" i="9"/>
  <c r="AL100" i="9"/>
  <c r="AL101" i="9"/>
  <c r="AL102" i="9"/>
  <c r="AL103" i="9"/>
  <c r="AL104" i="9"/>
  <c r="AL105" i="9"/>
  <c r="AL106" i="9"/>
  <c r="AL107" i="9"/>
  <c r="AL108" i="9"/>
  <c r="AL109" i="9"/>
  <c r="AL110" i="9"/>
  <c r="AL111" i="9"/>
  <c r="AL112" i="9"/>
  <c r="AL113" i="9"/>
  <c r="AL114" i="9"/>
  <c r="AL115" i="9"/>
  <c r="AL116" i="9"/>
  <c r="AL117" i="9"/>
  <c r="AL118" i="9"/>
  <c r="AL119" i="9"/>
  <c r="AL120" i="9"/>
  <c r="AL121" i="9"/>
  <c r="AL122" i="9"/>
  <c r="AL123" i="9"/>
  <c r="AL124" i="9"/>
  <c r="AL125" i="9"/>
  <c r="AL126" i="9"/>
  <c r="AL127" i="9"/>
  <c r="AL128" i="9"/>
  <c r="AL129" i="9"/>
  <c r="AL130" i="9"/>
  <c r="AL131" i="9"/>
  <c r="AL132" i="9"/>
  <c r="AL133" i="9"/>
  <c r="AL134" i="9"/>
  <c r="AL135" i="9"/>
  <c r="AL136" i="9"/>
  <c r="AL137" i="9"/>
  <c r="AL138" i="9"/>
  <c r="AL139" i="9"/>
  <c r="AL140" i="9"/>
  <c r="AL141" i="9"/>
  <c r="AL142" i="9"/>
  <c r="AL2" i="9"/>
  <c r="AL3" i="8"/>
  <c r="AL4" i="8"/>
  <c r="AL5" i="8"/>
  <c r="AL6" i="8"/>
  <c r="AL7" i="8"/>
  <c r="AL8" i="8"/>
  <c r="AL9" i="8"/>
  <c r="AL10" i="8"/>
  <c r="AL11" i="8"/>
  <c r="AL12" i="8"/>
  <c r="AL13" i="8"/>
  <c r="AL14" i="8"/>
  <c r="AL15" i="8"/>
  <c r="AL16" i="8"/>
  <c r="AL17" i="8"/>
  <c r="AL18" i="8"/>
  <c r="AL19" i="8"/>
  <c r="AL20" i="8"/>
  <c r="AL21" i="8"/>
  <c r="AL22" i="8"/>
  <c r="AL23" i="8"/>
  <c r="AL24" i="8"/>
  <c r="AL25" i="8"/>
  <c r="AL26" i="8"/>
  <c r="AL27" i="8"/>
  <c r="AL28" i="8"/>
  <c r="AL29" i="8"/>
  <c r="AL30" i="8"/>
  <c r="AL31" i="8"/>
  <c r="AL32" i="8"/>
  <c r="AL33" i="8"/>
  <c r="AL34" i="8"/>
  <c r="AL35" i="8"/>
  <c r="AL36" i="8"/>
  <c r="AL37" i="8"/>
  <c r="AL38" i="8"/>
  <c r="AL2" i="8"/>
  <c r="AL3" i="7"/>
  <c r="AL4" i="7"/>
  <c r="AL5" i="7"/>
  <c r="AL6" i="7"/>
  <c r="AL7" i="7"/>
  <c r="AL8" i="7"/>
  <c r="AL9" i="7"/>
  <c r="AL10" i="7"/>
  <c r="AL11" i="7"/>
  <c r="AL12" i="7"/>
  <c r="AL13" i="7"/>
  <c r="AL14" i="7"/>
  <c r="AL15" i="7"/>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1" i="7"/>
  <c r="AL42" i="7"/>
  <c r="AL43" i="7"/>
  <c r="AL44" i="7"/>
  <c r="AL45" i="7"/>
  <c r="AL46" i="7"/>
  <c r="AL47" i="7"/>
  <c r="AL48" i="7"/>
  <c r="AL49" i="7"/>
  <c r="AL50" i="7"/>
  <c r="AL51" i="7"/>
  <c r="AL52" i="7"/>
  <c r="AL53" i="7"/>
  <c r="AL54" i="7"/>
  <c r="AL55" i="7"/>
  <c r="AL56" i="7"/>
  <c r="AL57" i="7"/>
  <c r="AL58" i="7"/>
  <c r="AL59" i="7"/>
  <c r="AL60" i="7"/>
  <c r="AL61" i="7"/>
  <c r="AL62" i="7"/>
  <c r="AL63" i="7"/>
  <c r="AL64" i="7"/>
  <c r="AL65" i="7"/>
  <c r="AL66" i="7"/>
  <c r="AL67" i="7"/>
  <c r="AL68" i="7"/>
  <c r="AL69" i="7"/>
  <c r="AL70" i="7"/>
  <c r="AL71" i="7"/>
  <c r="AL72" i="7"/>
  <c r="AL73" i="7"/>
  <c r="AL74" i="7"/>
  <c r="AL75" i="7"/>
  <c r="AL76" i="7"/>
  <c r="AL77" i="7"/>
  <c r="AL78" i="7"/>
  <c r="AL79" i="7"/>
  <c r="AL80" i="7"/>
  <c r="AL81" i="7"/>
  <c r="AL82" i="7"/>
  <c r="AL83" i="7"/>
  <c r="AL84" i="7"/>
  <c r="AL85" i="7"/>
  <c r="AL86" i="7"/>
  <c r="AL87" i="7"/>
  <c r="AL88" i="7"/>
  <c r="AL89" i="7"/>
  <c r="AL90" i="7"/>
  <c r="AL91" i="7"/>
  <c r="AL92" i="7"/>
  <c r="AL93" i="7"/>
  <c r="AL94" i="7"/>
  <c r="AL95" i="7"/>
  <c r="AL96" i="7"/>
  <c r="AL97" i="7"/>
  <c r="AL98" i="7"/>
  <c r="AL99" i="7"/>
  <c r="AL100" i="7"/>
  <c r="AL101" i="7"/>
  <c r="AL102" i="7"/>
  <c r="AL103" i="7"/>
  <c r="AL104" i="7"/>
  <c r="AL105" i="7"/>
  <c r="AL106" i="7"/>
  <c r="AL107" i="7"/>
  <c r="AL108" i="7"/>
  <c r="AL109" i="7"/>
  <c r="AL110" i="7"/>
  <c r="AL111" i="7"/>
  <c r="AL112" i="7"/>
  <c r="AL113" i="7"/>
  <c r="AL114" i="7"/>
  <c r="AL115" i="7"/>
  <c r="AL116" i="7"/>
  <c r="AL117" i="7"/>
  <c r="AL118" i="7"/>
  <c r="AL2" i="7"/>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1"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0" i="19"/>
  <c r="AL61" i="19"/>
  <c r="AL62" i="19"/>
  <c r="AL63" i="19"/>
  <c r="AL64" i="19"/>
  <c r="AL65" i="19"/>
  <c r="AL66" i="19"/>
  <c r="AL67" i="19"/>
  <c r="AL68" i="19"/>
  <c r="AL69" i="19"/>
  <c r="AL70" i="19"/>
  <c r="AL2" i="19"/>
  <c r="AL3" i="18"/>
  <c r="AL4" i="18"/>
  <c r="AL5" i="18"/>
  <c r="AL6" i="18"/>
  <c r="AL7" i="18"/>
  <c r="AL8" i="18"/>
  <c r="AL9" i="18"/>
  <c r="AL10" i="18"/>
  <c r="AL11" i="18"/>
  <c r="AL12" i="18"/>
  <c r="AL13" i="18"/>
  <c r="AL14" i="18"/>
  <c r="AL15" i="18"/>
  <c r="AL16" i="18"/>
  <c r="AL17" i="18"/>
  <c r="AL18" i="18"/>
  <c r="AL19" i="18"/>
  <c r="AL20" i="18"/>
  <c r="AL21" i="18"/>
  <c r="AL22" i="18"/>
  <c r="AL23" i="18"/>
  <c r="AL24" i="18"/>
  <c r="AL25" i="18"/>
  <c r="AL26" i="18"/>
  <c r="AL27" i="18"/>
  <c r="AL28" i="18"/>
  <c r="AL29" i="18"/>
  <c r="AL30" i="18"/>
  <c r="AL31" i="18"/>
  <c r="AL32" i="18"/>
  <c r="AL33" i="18"/>
  <c r="AL34" i="18"/>
  <c r="AL35" i="18"/>
  <c r="AL36" i="18"/>
  <c r="AL37" i="18"/>
  <c r="AL38" i="18"/>
  <c r="AL39" i="18"/>
  <c r="AL40" i="18"/>
  <c r="AL41" i="18"/>
  <c r="AL42" i="18"/>
  <c r="AL43" i="18"/>
  <c r="AL44" i="18"/>
  <c r="AL45" i="18"/>
  <c r="AL46" i="18"/>
  <c r="AL47" i="18"/>
  <c r="AL48" i="18"/>
  <c r="AL49" i="18"/>
  <c r="AL50" i="18"/>
  <c r="AL51" i="18"/>
  <c r="AL52" i="18"/>
  <c r="AL53" i="18"/>
  <c r="AL54" i="18"/>
  <c r="AL55" i="18"/>
  <c r="AL56" i="18"/>
  <c r="AL57" i="18"/>
  <c r="AL58" i="18"/>
  <c r="AL59" i="18"/>
  <c r="AL60" i="18"/>
  <c r="AL61" i="18"/>
  <c r="AL62" i="18"/>
  <c r="AL63" i="18"/>
  <c r="AL64" i="18"/>
  <c r="AL65" i="18"/>
  <c r="AL66" i="18"/>
  <c r="AL67" i="18"/>
  <c r="AL68" i="18"/>
  <c r="AL69" i="18"/>
  <c r="AL70" i="18"/>
  <c r="AL71" i="18"/>
  <c r="AL72" i="18"/>
  <c r="AL2" i="18"/>
  <c r="AL3" i="10"/>
  <c r="AL4" i="10"/>
  <c r="AL5" i="10"/>
  <c r="AL6" i="10"/>
  <c r="AL7" i="10"/>
  <c r="AL8" i="10"/>
  <c r="AL9" i="10"/>
  <c r="AL10" i="10"/>
  <c r="AL11" i="10"/>
  <c r="AL12" i="10"/>
  <c r="AL13" i="10"/>
  <c r="AL14" i="10"/>
  <c r="AL15" i="10"/>
  <c r="AL16" i="10"/>
  <c r="AL17" i="10"/>
  <c r="AL18" i="10"/>
  <c r="AL19" i="10"/>
  <c r="AL20" i="10"/>
  <c r="AL21"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7" i="10"/>
  <c r="AL168" i="10"/>
  <c r="AL169" i="10"/>
  <c r="AL170" i="10"/>
  <c r="AL171" i="10"/>
  <c r="AL172" i="10"/>
  <c r="AL173" i="10"/>
  <c r="AL174" i="10"/>
  <c r="AL175" i="10"/>
  <c r="AL176" i="10"/>
  <c r="AL177" i="10"/>
  <c r="AL178" i="10"/>
  <c r="AL179" i="10"/>
  <c r="AL180" i="10"/>
  <c r="AL181" i="10"/>
  <c r="AL182" i="10"/>
  <c r="AL183" i="10"/>
  <c r="AL184" i="10"/>
  <c r="AL185" i="10"/>
  <c r="AL186" i="10"/>
  <c r="AL187" i="10"/>
  <c r="AL188" i="10"/>
  <c r="AL189" i="10"/>
  <c r="AL190" i="10"/>
  <c r="AL191" i="10"/>
  <c r="AL192" i="10"/>
  <c r="AL193" i="10"/>
  <c r="AL194" i="10"/>
  <c r="AL195" i="10"/>
  <c r="AL196" i="10"/>
  <c r="AL2" i="10"/>
  <c r="AL3" i="17"/>
  <c r="AL4" i="17"/>
  <c r="AL5" i="17"/>
  <c r="AL6" i="17"/>
  <c r="AL7" i="17"/>
  <c r="AL8" i="17"/>
  <c r="AL9" i="17"/>
  <c r="AL10" i="17"/>
  <c r="AL11" i="17"/>
  <c r="AL12" i="17"/>
  <c r="AL13" i="17"/>
  <c r="AL14" i="17"/>
  <c r="AL15" i="17"/>
  <c r="AL16" i="17"/>
  <c r="AL17" i="17"/>
  <c r="AL18" i="17"/>
  <c r="AL19" i="17"/>
  <c r="AL20" i="17"/>
  <c r="AL21" i="17"/>
  <c r="AL22" i="17"/>
  <c r="AL23" i="17"/>
  <c r="AL24" i="17"/>
  <c r="AL25" i="17"/>
  <c r="AL26" i="17"/>
  <c r="AL27" i="17"/>
  <c r="AL28" i="17"/>
  <c r="AL29" i="17"/>
  <c r="AL30" i="17"/>
  <c r="AL31" i="17"/>
  <c r="AL32" i="17"/>
  <c r="AL33" i="17"/>
  <c r="AL34" i="17"/>
  <c r="AL35" i="17"/>
  <c r="AL36" i="17"/>
  <c r="AL37" i="17"/>
  <c r="AL38" i="17"/>
  <c r="AL39" i="17"/>
  <c r="AL40" i="17"/>
  <c r="AL41" i="17"/>
  <c r="AL42" i="17"/>
  <c r="AL43" i="17"/>
  <c r="AL44" i="17"/>
  <c r="AL45" i="17"/>
  <c r="AL46" i="17"/>
  <c r="AL47" i="17"/>
  <c r="AL48" i="17"/>
  <c r="AL49" i="17"/>
  <c r="AL50" i="17"/>
  <c r="AL51" i="17"/>
  <c r="AL52" i="17"/>
  <c r="AL53" i="17"/>
  <c r="AL54" i="17"/>
  <c r="AL55" i="17"/>
  <c r="AL56" i="17"/>
  <c r="AL57" i="17"/>
  <c r="AL58" i="17"/>
  <c r="AL59" i="17"/>
  <c r="AL60" i="17"/>
  <c r="AL61" i="17"/>
  <c r="AL62" i="17"/>
  <c r="AL63" i="17"/>
  <c r="AL64" i="17"/>
  <c r="AL65" i="17"/>
  <c r="AL66" i="17"/>
  <c r="AL67" i="17"/>
  <c r="AL68" i="17"/>
  <c r="AL69" i="17"/>
  <c r="AL70" i="17"/>
  <c r="AL71" i="17"/>
  <c r="AL72" i="17"/>
  <c r="AL73" i="17"/>
  <c r="AL74" i="17"/>
  <c r="AL75" i="17"/>
  <c r="AL76" i="17"/>
  <c r="AL77" i="17"/>
  <c r="AL78" i="17"/>
  <c r="AL79" i="17"/>
  <c r="AL80" i="17"/>
  <c r="AL81" i="17"/>
  <c r="AL82" i="17"/>
  <c r="AL83" i="17"/>
  <c r="AL84" i="17"/>
  <c r="AL85" i="17"/>
  <c r="AL86" i="17"/>
  <c r="AL87" i="17"/>
  <c r="AL88" i="17"/>
  <c r="AL89" i="17"/>
  <c r="AL90" i="17"/>
  <c r="AL91" i="17"/>
  <c r="AL92" i="17"/>
  <c r="AL93" i="17"/>
  <c r="AL94" i="17"/>
  <c r="AL95" i="17"/>
  <c r="AL96" i="17"/>
  <c r="AL97" i="17"/>
  <c r="AL98" i="17"/>
  <c r="AL99" i="17"/>
  <c r="AL100" i="17"/>
  <c r="AL101" i="17"/>
  <c r="AL102" i="17"/>
  <c r="AL103" i="17"/>
  <c r="AL104" i="17"/>
  <c r="AL105" i="17"/>
  <c r="AL106" i="17"/>
  <c r="AL107" i="17"/>
  <c r="AL108" i="17"/>
  <c r="AL109" i="17"/>
  <c r="AL110" i="17"/>
  <c r="AL111" i="17"/>
  <c r="AL112" i="17"/>
  <c r="AL113" i="17"/>
  <c r="AL114" i="17"/>
  <c r="AL115" i="17"/>
  <c r="AL116" i="17"/>
  <c r="AL117" i="17"/>
  <c r="AL118" i="17"/>
  <c r="AL119" i="17"/>
  <c r="AL120" i="17"/>
  <c r="AL121" i="17"/>
  <c r="AL122" i="17"/>
  <c r="AL123" i="17"/>
  <c r="AL124" i="17"/>
  <c r="AL125" i="17"/>
  <c r="AL126" i="17"/>
  <c r="AL127" i="17"/>
  <c r="AL128" i="17"/>
  <c r="AL129" i="17"/>
  <c r="AL130" i="17"/>
  <c r="AL131" i="17"/>
  <c r="AL132" i="17"/>
  <c r="AL133" i="17"/>
  <c r="AL134" i="17"/>
  <c r="AL135" i="17"/>
  <c r="AL136" i="17"/>
  <c r="AL137" i="17"/>
  <c r="AL138" i="17"/>
  <c r="AL139" i="17"/>
  <c r="AL140" i="17"/>
  <c r="AL141" i="17"/>
  <c r="AL142" i="17"/>
  <c r="AL143" i="17"/>
  <c r="AL144" i="17"/>
  <c r="AL145" i="17"/>
  <c r="AL146" i="17"/>
  <c r="AL147" i="17"/>
  <c r="AL148" i="17"/>
  <c r="AL149" i="17"/>
  <c r="AL150" i="17"/>
  <c r="AL151" i="17"/>
  <c r="AL152" i="17"/>
  <c r="AL153" i="17"/>
  <c r="AL154" i="17"/>
  <c r="AL155" i="17"/>
  <c r="AL156" i="17"/>
  <c r="AL157" i="17"/>
  <c r="AL158" i="17"/>
  <c r="AL159" i="17"/>
  <c r="AL160" i="17"/>
  <c r="AL161" i="17"/>
  <c r="AL162" i="17"/>
  <c r="AL163" i="17"/>
  <c r="AL164" i="17"/>
  <c r="AL165" i="17"/>
  <c r="AL166" i="17"/>
  <c r="AL167" i="17"/>
  <c r="AL168" i="17"/>
  <c r="AL169" i="17"/>
  <c r="AL170" i="17"/>
  <c r="AL171" i="17"/>
  <c r="AL172" i="17"/>
  <c r="AL173" i="17"/>
  <c r="AL174" i="17"/>
  <c r="AL175" i="17"/>
  <c r="AL176" i="17"/>
  <c r="AL177" i="17"/>
  <c r="AL178" i="17"/>
  <c r="AL179" i="17"/>
  <c r="AL180" i="17"/>
  <c r="AL181" i="17"/>
  <c r="AL182" i="17"/>
  <c r="AL183" i="17"/>
  <c r="AL184" i="17"/>
  <c r="AL185" i="17"/>
  <c r="AL186" i="17"/>
  <c r="AL187" i="17"/>
  <c r="AL188" i="17"/>
  <c r="AL189" i="17"/>
  <c r="AL190" i="17"/>
  <c r="AL191" i="17"/>
  <c r="AL192" i="17"/>
  <c r="AL193" i="17"/>
  <c r="AL194" i="17"/>
  <c r="AL195" i="17"/>
  <c r="AL196" i="17"/>
  <c r="AL197" i="17"/>
  <c r="AL198" i="17"/>
  <c r="AL199" i="17"/>
  <c r="AL200" i="17"/>
  <c r="AL201" i="17"/>
  <c r="AL202" i="17"/>
  <c r="AL203" i="17"/>
  <c r="AL204" i="17"/>
  <c r="AL205" i="17"/>
  <c r="AL206" i="17"/>
  <c r="AL207" i="17"/>
  <c r="AL208" i="17"/>
  <c r="AL209" i="17"/>
  <c r="AL210" i="17"/>
  <c r="AL211" i="17"/>
  <c r="AL212" i="17"/>
  <c r="AL213" i="17"/>
  <c r="AL214" i="17"/>
  <c r="AL215" i="17"/>
  <c r="AL216" i="17"/>
  <c r="AL217" i="17"/>
  <c r="AL218" i="17"/>
  <c r="AL219" i="17"/>
  <c r="AL220" i="17"/>
  <c r="AL221" i="17"/>
  <c r="AL222" i="17"/>
  <c r="AL223" i="17"/>
  <c r="AL224" i="17"/>
  <c r="AL225" i="17"/>
  <c r="AL226" i="17"/>
  <c r="AL227" i="17"/>
  <c r="AL228" i="17"/>
  <c r="AL229" i="17"/>
  <c r="AL230" i="17"/>
  <c r="AL231" i="17"/>
  <c r="AL232" i="17"/>
  <c r="AL233" i="17"/>
  <c r="AL234" i="17"/>
  <c r="AL235" i="17"/>
  <c r="AL2" i="17"/>
  <c r="AL3" i="14"/>
  <c r="AL4" i="14"/>
  <c r="AL5" i="14"/>
  <c r="AL6" i="14"/>
  <c r="AL7" i="14"/>
  <c r="AL8" i="14"/>
  <c r="AL9" i="14"/>
  <c r="AL10" i="14"/>
  <c r="AL11" i="14"/>
  <c r="AL12" i="14"/>
  <c r="AL13" i="14"/>
  <c r="AL14" i="14"/>
  <c r="AL15" i="14"/>
  <c r="AL16" i="14"/>
  <c r="AL17" i="14"/>
  <c r="AL18" i="14"/>
  <c r="AL19" i="14"/>
  <c r="AL20" i="14"/>
  <c r="AL21" i="14"/>
  <c r="AL22" i="14"/>
  <c r="AL23" i="14"/>
  <c r="AL24" i="14"/>
  <c r="AL25" i="14"/>
  <c r="AL26" i="14"/>
  <c r="AL27" i="14"/>
  <c r="AL28" i="14"/>
  <c r="AL29" i="14"/>
  <c r="AL30" i="14"/>
  <c r="AL31" i="14"/>
  <c r="AL32" i="14"/>
  <c r="AL33" i="14"/>
  <c r="AL34" i="14"/>
  <c r="AL35" i="14"/>
  <c r="AL36" i="14"/>
  <c r="AL37" i="14"/>
  <c r="AL39" i="14"/>
  <c r="AL40" i="14"/>
  <c r="AL41" i="14"/>
  <c r="AL42" i="14"/>
  <c r="AL43" i="14"/>
  <c r="AL44" i="14"/>
  <c r="AL45" i="14"/>
  <c r="AL46" i="14"/>
  <c r="AL47" i="14"/>
  <c r="AL48" i="14"/>
  <c r="AL49" i="14"/>
  <c r="AL50" i="14"/>
  <c r="AL51" i="14"/>
  <c r="AL52" i="14"/>
  <c r="AL53" i="14"/>
  <c r="AL54" i="14"/>
  <c r="AL55" i="14"/>
  <c r="AL56" i="14"/>
  <c r="AL57" i="14"/>
  <c r="AL58" i="14"/>
  <c r="AL59" i="14"/>
  <c r="AL60" i="14"/>
  <c r="AL61" i="14"/>
  <c r="AL62" i="14"/>
  <c r="AL63" i="14"/>
  <c r="AL64" i="14"/>
  <c r="AL65" i="14"/>
  <c r="AL66" i="14"/>
  <c r="AL67" i="14"/>
  <c r="AL68" i="14"/>
  <c r="AL69" i="14"/>
  <c r="AL70" i="14"/>
  <c r="AL71" i="14"/>
  <c r="AL72" i="14"/>
  <c r="AL73" i="14"/>
  <c r="AL74" i="14"/>
  <c r="AL75" i="14"/>
  <c r="AL76" i="14"/>
  <c r="AL77" i="14"/>
  <c r="AL78" i="14"/>
  <c r="AL79" i="14"/>
  <c r="AL80" i="14"/>
  <c r="AL81" i="14"/>
  <c r="AL82" i="14"/>
  <c r="AL83" i="14"/>
  <c r="AL84" i="14"/>
  <c r="AL85" i="14"/>
  <c r="AL86" i="14"/>
  <c r="AL87" i="14"/>
  <c r="AL88" i="14"/>
  <c r="AL89" i="14"/>
  <c r="AL90" i="14"/>
  <c r="AL91" i="14"/>
  <c r="AL92" i="14"/>
  <c r="AL94" i="14"/>
  <c r="AL95" i="14"/>
  <c r="AL96" i="14"/>
  <c r="AL97" i="14"/>
  <c r="AL98" i="14"/>
  <c r="AL99" i="14"/>
  <c r="AL100" i="14"/>
  <c r="AL101" i="14"/>
  <c r="AL102" i="14"/>
  <c r="AL103" i="14"/>
  <c r="AL104" i="14"/>
  <c r="AL105" i="14"/>
  <c r="AL106" i="14"/>
  <c r="AL107" i="14"/>
  <c r="AL108" i="14"/>
  <c r="AL109" i="14"/>
  <c r="AL110" i="14"/>
  <c r="AL111" i="14"/>
  <c r="AL112" i="14"/>
  <c r="AL113" i="14"/>
  <c r="AL114" i="14"/>
  <c r="AL115" i="14"/>
  <c r="AL116" i="14"/>
  <c r="AL117" i="14"/>
  <c r="AL118" i="14"/>
  <c r="AL119" i="14"/>
  <c r="AL120" i="14"/>
  <c r="AL121" i="14"/>
  <c r="AL122" i="14"/>
  <c r="AL123" i="14"/>
  <c r="AL124" i="14"/>
  <c r="AL125" i="14"/>
  <c r="AL126" i="14"/>
  <c r="AL127" i="14"/>
  <c r="AL128" i="14"/>
  <c r="AL129" i="14"/>
  <c r="AL130" i="14"/>
  <c r="AL131" i="14"/>
  <c r="AL132" i="14"/>
  <c r="AL133" i="14"/>
  <c r="AL134" i="14"/>
  <c r="AL135" i="14"/>
  <c r="AL136" i="14"/>
  <c r="AL137" i="14"/>
  <c r="AL138" i="14"/>
  <c r="AL139" i="14"/>
  <c r="AL140" i="14"/>
  <c r="AL141" i="14"/>
  <c r="AL142" i="14"/>
  <c r="AL143" i="14"/>
  <c r="AL144" i="14"/>
  <c r="AL145" i="14"/>
  <c r="AL146" i="14"/>
  <c r="AL147" i="14"/>
  <c r="AL148" i="14"/>
  <c r="AL149" i="14"/>
  <c r="AL150" i="14"/>
  <c r="AL151" i="14"/>
  <c r="AL152" i="14"/>
  <c r="AL153" i="14"/>
  <c r="AL154" i="14"/>
  <c r="AL155" i="14"/>
  <c r="AL156" i="14"/>
  <c r="AL157" i="14"/>
  <c r="AL158" i="14"/>
  <c r="AL159" i="14"/>
  <c r="AL160" i="14"/>
  <c r="AL161" i="14"/>
  <c r="AL162" i="14"/>
  <c r="AL163" i="14"/>
  <c r="AL164" i="14"/>
  <c r="AL165" i="14"/>
  <c r="AL166" i="14"/>
  <c r="AL167" i="14"/>
  <c r="AL168" i="14"/>
  <c r="AL169" i="14"/>
  <c r="AL170" i="14"/>
  <c r="AL171" i="14"/>
  <c r="AL172" i="14"/>
  <c r="AL173" i="14"/>
  <c r="AL174" i="14"/>
  <c r="AL175" i="14"/>
  <c r="AL176" i="14"/>
  <c r="AL177" i="14"/>
  <c r="AL178" i="14"/>
  <c r="AL179" i="14"/>
  <c r="AL2" i="14"/>
  <c r="AL3" i="12"/>
  <c r="AL4" i="12"/>
  <c r="AL5" i="12"/>
  <c r="AL6" i="12"/>
  <c r="AL7" i="12"/>
  <c r="AL8" i="12"/>
  <c r="AL9" i="12"/>
  <c r="AL10" i="12"/>
  <c r="AL11" i="12"/>
  <c r="AL12" i="12"/>
  <c r="AL13" i="12"/>
  <c r="AL14" i="12"/>
  <c r="AL15" i="12"/>
  <c r="AL16" i="12"/>
  <c r="AL17" i="12"/>
  <c r="AL18" i="12"/>
  <c r="AL19" i="12"/>
  <c r="AL20" i="12"/>
  <c r="AL21" i="12"/>
  <c r="AN2" i="12" s="1"/>
  <c r="AL22" i="12"/>
  <c r="AL23" i="12"/>
  <c r="AL24" i="12"/>
  <c r="AL25" i="12"/>
  <c r="AL26" i="12"/>
  <c r="AL27" i="12"/>
  <c r="AL28" i="12"/>
  <c r="AL29" i="12"/>
  <c r="AL30" i="12"/>
  <c r="AL31" i="12"/>
  <c r="AL32" i="12"/>
  <c r="AL33" i="12"/>
  <c r="AL34" i="12"/>
  <c r="AL35" i="12"/>
  <c r="AL36" i="12"/>
  <c r="AL37" i="12"/>
  <c r="AL38" i="12"/>
  <c r="AL39" i="12"/>
  <c r="AL40" i="12"/>
  <c r="AL41" i="12"/>
  <c r="AL42" i="12"/>
  <c r="AL43" i="12"/>
  <c r="AL44" i="12"/>
  <c r="AL45" i="12"/>
  <c r="AL46" i="12"/>
  <c r="AL47" i="12"/>
  <c r="AL48" i="12"/>
  <c r="AL49" i="12"/>
  <c r="AL50" i="12"/>
  <c r="AL51" i="12"/>
  <c r="AL52" i="12"/>
  <c r="AL53" i="12"/>
  <c r="AL54" i="12"/>
  <c r="AL55" i="12"/>
  <c r="AL2" i="12"/>
  <c r="AL3" i="20"/>
  <c r="AL4"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32" i="20"/>
  <c r="AL33" i="20"/>
  <c r="AL34" i="20"/>
  <c r="AL35" i="20"/>
  <c r="AL36" i="20"/>
  <c r="AL37" i="20"/>
  <c r="AL38" i="20"/>
  <c r="AL39" i="20"/>
  <c r="AL40" i="20"/>
  <c r="AL41" i="20"/>
  <c r="AL42" i="20"/>
  <c r="AL43" i="20"/>
  <c r="AL44" i="20"/>
  <c r="AL45" i="20"/>
  <c r="AL46" i="20"/>
  <c r="AL47" i="20"/>
  <c r="AL2" i="20"/>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2" i="2"/>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N2" i="1" s="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3" i="1"/>
  <c r="AL2" i="1"/>
  <c r="AL2" i="4"/>
  <c r="AL3" i="4"/>
  <c r="AL4" i="4"/>
  <c r="AL5" i="4"/>
  <c r="AL6" i="4"/>
  <c r="AL7" i="4"/>
  <c r="AL8" i="4"/>
  <c r="AL9" i="4"/>
  <c r="AL10" i="4"/>
  <c r="AL11" i="4"/>
  <c r="AL12" i="4"/>
  <c r="AL13" i="4"/>
  <c r="AL14" i="4"/>
  <c r="AL15" i="4"/>
  <c r="AL16" i="4"/>
  <c r="AJ3" i="18"/>
  <c r="AJ4" i="18"/>
  <c r="AJ5" i="18"/>
  <c r="AJ6" i="18"/>
  <c r="AJ7" i="18"/>
  <c r="AJ8" i="18"/>
  <c r="AJ9" i="18"/>
  <c r="AJ10" i="18"/>
  <c r="AJ11" i="18"/>
  <c r="AJ12" i="18"/>
  <c r="AJ13" i="18"/>
  <c r="AJ14" i="18"/>
  <c r="AJ15" i="18"/>
  <c r="AJ16" i="18"/>
  <c r="AJ17" i="18"/>
  <c r="AJ18" i="18"/>
  <c r="AJ19" i="18"/>
  <c r="AJ20" i="18"/>
  <c r="AJ21" i="18"/>
  <c r="AJ22" i="18"/>
  <c r="AJ23" i="18"/>
  <c r="AJ24" i="18"/>
  <c r="AJ25" i="18"/>
  <c r="AJ26" i="18"/>
  <c r="AJ27" i="18"/>
  <c r="AJ28" i="18"/>
  <c r="AJ29" i="18"/>
  <c r="AJ30" i="18"/>
  <c r="AJ31" i="18"/>
  <c r="AJ32" i="18"/>
  <c r="AJ33" i="18"/>
  <c r="AJ34" i="18"/>
  <c r="AJ35" i="18"/>
  <c r="AJ36" i="18"/>
  <c r="AJ37" i="18"/>
  <c r="AJ38" i="18"/>
  <c r="AJ39" i="18"/>
  <c r="AJ40" i="18"/>
  <c r="AJ41" i="18"/>
  <c r="AJ42" i="18"/>
  <c r="AJ43" i="18"/>
  <c r="AJ44" i="18"/>
  <c r="AJ45" i="18"/>
  <c r="AJ46" i="18"/>
  <c r="AJ47" i="18"/>
  <c r="AJ48" i="18"/>
  <c r="AJ49" i="18"/>
  <c r="AJ50" i="18"/>
  <c r="AJ51" i="18"/>
  <c r="AJ2" i="18"/>
  <c r="K976" i="22" l="1"/>
  <c r="K640" i="22"/>
  <c r="K808" i="22"/>
  <c r="K384" i="22"/>
  <c r="K576" i="22"/>
  <c r="K610" i="22"/>
  <c r="K618" i="22"/>
  <c r="K626" i="22"/>
  <c r="K712" i="22"/>
  <c r="K760" i="22"/>
  <c r="K297" i="22"/>
  <c r="K609" i="22"/>
  <c r="K617" i="22"/>
  <c r="K625" i="22"/>
  <c r="K681" i="22"/>
  <c r="K977" i="22"/>
  <c r="K641" i="22"/>
  <c r="K713" i="22"/>
  <c r="K852" i="22"/>
  <c r="K387" i="22"/>
  <c r="K611" i="22"/>
  <c r="K619" i="22"/>
  <c r="K627" i="22"/>
  <c r="K875" i="22"/>
  <c r="K1459" i="22"/>
  <c r="K388" i="22"/>
  <c r="K612" i="22"/>
  <c r="K620" i="22"/>
  <c r="K628" i="22"/>
  <c r="K643" i="22"/>
  <c r="K876" i="22"/>
  <c r="K644" i="22"/>
  <c r="K1076" i="22"/>
  <c r="K20" i="22"/>
  <c r="K164" i="22"/>
  <c r="K396" i="22"/>
  <c r="K692" i="22"/>
  <c r="K752" i="22"/>
  <c r="K163" i="22"/>
  <c r="K700" i="22"/>
  <c r="K755" i="22"/>
  <c r="K1075" i="22"/>
  <c r="K395" i="22"/>
  <c r="K368" i="22"/>
  <c r="K563" i="22"/>
  <c r="K608" i="22"/>
  <c r="K616" i="22"/>
  <c r="K624" i="22"/>
  <c r="K680" i="22"/>
  <c r="AN2" i="14"/>
  <c r="AN2" i="2"/>
  <c r="G11" i="23" a="1"/>
  <c r="G33" i="23" a="1"/>
  <c r="G97" i="23" a="1"/>
  <c r="G161" i="23" a="1"/>
  <c r="G225" i="23" a="1"/>
  <c r="G289" i="23" a="1"/>
  <c r="G12" i="23" a="1"/>
  <c r="G78" i="23" a="1"/>
  <c r="G142" i="23" a="1"/>
  <c r="G206" i="23" a="1"/>
  <c r="G270" i="23" a="1"/>
  <c r="G338" i="23" a="1"/>
  <c r="G47" i="23" a="1"/>
  <c r="G111" i="23" a="1"/>
  <c r="G175" i="23" a="1"/>
  <c r="G239" i="23" a="1"/>
  <c r="G307" i="23" a="1"/>
  <c r="G54" i="23" a="1"/>
  <c r="G118" i="23" a="1"/>
  <c r="G182" i="23" a="1"/>
  <c r="G246" i="23" a="1"/>
  <c r="G302" i="23" a="1"/>
  <c r="G356" i="23" a="1"/>
  <c r="G388" i="23" a="1"/>
  <c r="G43" i="23" a="1"/>
  <c r="G107" i="23" a="1"/>
  <c r="G171" i="23" a="1"/>
  <c r="G235" i="23" a="1"/>
  <c r="G298" i="23" a="1"/>
  <c r="G353" i="23" a="1"/>
  <c r="G385" i="23" a="1"/>
  <c r="G164" i="23" a="1"/>
  <c r="G350" i="23" a="1"/>
  <c r="G455" i="23" a="1"/>
  <c r="G81" i="23" a="1"/>
  <c r="G234" i="23" a="1"/>
  <c r="G383" i="23" a="1"/>
  <c r="G429" i="23" a="1"/>
  <c r="G472" i="23" a="1"/>
  <c r="G514" i="23" a="1"/>
  <c r="G548" i="23" a="1"/>
  <c r="G580" i="23" a="1"/>
  <c r="G612" i="23" a="1"/>
  <c r="G644" i="23" a="1"/>
  <c r="G166" i="23" a="1"/>
  <c r="G391" i="23" a="1"/>
  <c r="G515" i="23" a="1"/>
  <c r="G153" i="23" a="1"/>
  <c r="G319" i="23" a="1"/>
  <c r="G436" i="23" a="1"/>
  <c r="G478" i="23" a="1"/>
  <c r="G521" i="23" a="1"/>
  <c r="G553" i="23" a="1"/>
  <c r="G585" i="23" a="1"/>
  <c r="G617" i="23" a="1"/>
  <c r="G89" i="23" a="1"/>
  <c r="G260" i="23" a="1"/>
  <c r="G371" i="23" a="1"/>
  <c r="G426" i="23" a="1"/>
  <c r="G469" i="23" a="1"/>
  <c r="G512" i="23" a="1"/>
  <c r="G546" i="23" a="1"/>
  <c r="G578" i="23" a="1"/>
  <c r="G610" i="23" a="1"/>
  <c r="G17" i="23" a="1"/>
  <c r="G438" i="23" a="1"/>
  <c r="G652" i="23" a="1"/>
  <c r="G780" i="23" a="1"/>
  <c r="G880" i="23" a="1"/>
  <c r="G944" i="23" a="1"/>
  <c r="G1008" i="23" a="1"/>
  <c r="G109" i="23" a="1"/>
  <c r="G427" i="23" a="1"/>
  <c r="G653" i="23" a="1"/>
  <c r="G695" i="23" a="1"/>
  <c r="G738" i="23" a="1"/>
  <c r="G781" i="23" a="1"/>
  <c r="G823" i="23" a="1"/>
  <c r="G876" i="23" a="1"/>
  <c r="G25" i="23" a="1"/>
  <c r="G415" i="23" a="1"/>
  <c r="G642" i="23" a="1"/>
  <c r="G760" i="23" a="1"/>
  <c r="G863" i="23" a="1"/>
  <c r="G927" i="23" a="1"/>
  <c r="G991" i="23" a="1"/>
  <c r="G1044" i="23" a="1"/>
  <c r="G401" i="23" a="1"/>
  <c r="G623" i="23" a="1"/>
  <c r="G686" i="23" a="1"/>
  <c r="G729" i="23" a="1"/>
  <c r="G771" i="23" a="1"/>
  <c r="G814" i="23" a="1"/>
  <c r="G868" i="23" a="1"/>
  <c r="G932" i="23" a="1"/>
  <c r="G42" i="23" a="1"/>
  <c r="G433" i="23" a="1"/>
  <c r="G645" i="23" a="1"/>
  <c r="G687" i="23" a="1"/>
  <c r="G730" i="23" a="1"/>
  <c r="G773" i="23" a="1"/>
  <c r="G815" i="23" a="1"/>
  <c r="G865" i="23" a="1"/>
  <c r="G929" i="23" a="1"/>
  <c r="G279" i="23" a="1"/>
  <c r="G531" i="23" a="1"/>
  <c r="G720" i="23" a="1"/>
  <c r="G847" i="23" a="1"/>
  <c r="G911" i="23" a="1"/>
  <c r="G975" i="23" a="1"/>
  <c r="G678" i="23" a="1"/>
  <c r="G866" i="23" a="1"/>
  <c r="G1026" i="23" a="1"/>
  <c r="G788" i="23" a="1"/>
  <c r="G1009" i="23" a="1"/>
  <c r="G1056" i="23" a="1"/>
  <c r="G1088" i="23" a="1"/>
  <c r="G1120" i="23" a="1"/>
  <c r="G1152" i="23" a="1"/>
  <c r="G1184" i="23" a="1"/>
  <c r="G1216" i="23" a="1"/>
  <c r="G1248" i="23" a="1"/>
  <c r="G1280" i="23" a="1"/>
  <c r="G1312" i="23" a="1"/>
  <c r="G1344" i="23" a="1"/>
  <c r="G662" i="23" a="1"/>
  <c r="G643" i="23" a="1"/>
  <c r="G15" i="23" a="1"/>
  <c r="G39" i="23" a="1"/>
  <c r="G103" i="23" a="1"/>
  <c r="G167" i="23" a="1"/>
  <c r="G231" i="23" a="1"/>
  <c r="G295" i="23" a="1"/>
  <c r="G20" i="23" a="1"/>
  <c r="G85" i="23" a="1"/>
  <c r="G149" i="23" a="1"/>
  <c r="G213" i="23" a="1"/>
  <c r="G277" i="23" a="1"/>
  <c r="G343" i="23" a="1"/>
  <c r="G60" i="23" a="1"/>
  <c r="G124" i="23" a="1"/>
  <c r="G188" i="23" a="1"/>
  <c r="G252" i="23" a="1"/>
  <c r="G312" i="23" a="1"/>
  <c r="G61" i="23" a="1"/>
  <c r="G125" i="23" a="1"/>
  <c r="G189" i="23" a="1"/>
  <c r="G253" i="23" a="1"/>
  <c r="G313" i="23" a="1"/>
  <c r="G360" i="23" a="1"/>
  <c r="G392" i="23" a="1"/>
  <c r="G56" i="23" a="1"/>
  <c r="G120" i="23" a="1"/>
  <c r="G184" i="23" a="1"/>
  <c r="G248" i="23" a="1"/>
  <c r="G309" i="23" a="1"/>
  <c r="G357" i="23" a="1"/>
  <c r="G6" i="23" a="1"/>
  <c r="G179" i="23" a="1"/>
  <c r="G358" i="23" a="1"/>
  <c r="G471" i="23" a="1"/>
  <c r="G96" i="23" a="1"/>
  <c r="G268" i="23" a="1"/>
  <c r="G390" i="23" a="1"/>
  <c r="G434" i="23" a="1"/>
  <c r="G477" i="23" a="1"/>
  <c r="G520" i="23" a="1"/>
  <c r="G552" i="23" a="1"/>
  <c r="G584" i="23" a="1"/>
  <c r="G616" i="23" a="1"/>
  <c r="G31" i="23" a="1"/>
  <c r="G185" i="23" a="1"/>
  <c r="G403" i="23" a="1"/>
  <c r="G14" i="23" a="1"/>
  <c r="G170" i="23" a="1"/>
  <c r="G398" i="23" a="1"/>
  <c r="G441" i="23" a="1"/>
  <c r="G484" i="23" a="1"/>
  <c r="G525" i="23" a="1"/>
  <c r="G557" i="23" a="1"/>
  <c r="G589" i="23" a="1"/>
  <c r="G621" i="23" a="1"/>
  <c r="G106" i="23" a="1"/>
  <c r="G275" i="23" a="1"/>
  <c r="G379" i="23" a="1"/>
  <c r="G432" i="23" a="1"/>
  <c r="G474" i="23" a="1"/>
  <c r="G517" i="23" a="1"/>
  <c r="G550" i="23" a="1"/>
  <c r="G582" i="23" a="1"/>
  <c r="G614" i="23" a="1"/>
  <c r="G108" i="23" a="1"/>
  <c r="G481" i="23" a="1"/>
  <c r="G668" i="23" a="1"/>
  <c r="G796" i="23" a="1"/>
  <c r="G885" i="23" a="1"/>
  <c r="G949" i="23" a="1"/>
  <c r="G1013" i="23" a="1"/>
  <c r="G159" i="23" a="1"/>
  <c r="G454" i="23" a="1"/>
  <c r="G658" i="23" a="1"/>
  <c r="G701" i="23" a="1"/>
  <c r="G743" i="23" a="1"/>
  <c r="G786" i="23" a="1"/>
  <c r="G829" i="23" a="1"/>
  <c r="G881" i="23" a="1"/>
  <c r="G74" i="23" a="1"/>
  <c r="G428" i="23" a="1"/>
  <c r="G648" i="23" a="1"/>
  <c r="G776" i="23" a="1"/>
  <c r="G872" i="23" a="1"/>
  <c r="G936" i="23" a="1"/>
  <c r="G1000" i="23" a="1"/>
  <c r="G36" i="23" a="1"/>
  <c r="G431" i="23" a="1"/>
  <c r="G649" i="23" a="1"/>
  <c r="G691" i="23" a="1"/>
  <c r="G734" i="23" a="1"/>
  <c r="G777" i="23" a="1"/>
  <c r="G819" i="23" a="1"/>
  <c r="G873" i="23" a="1"/>
  <c r="G937" i="23" a="1"/>
  <c r="G138" i="23" a="1"/>
  <c r="G463" i="23" a="1"/>
  <c r="G650" i="23" a="1"/>
  <c r="G693" i="23" a="1"/>
  <c r="G735" i="23" a="1"/>
  <c r="G778" i="23" a="1"/>
  <c r="G821" i="23" a="1"/>
  <c r="G874" i="23" a="1"/>
  <c r="G938" i="23" a="1"/>
  <c r="G320" i="23" a="1"/>
  <c r="G563" i="23" a="1"/>
  <c r="G736" i="23" a="1"/>
  <c r="G856" i="23" a="1"/>
  <c r="G920" i="23" a="1"/>
  <c r="G984" i="23" a="1"/>
  <c r="G699" i="23" a="1"/>
  <c r="G884" i="23" a="1"/>
  <c r="G87" i="23" a="1"/>
  <c r="G869" i="23" a="1"/>
  <c r="G1015" i="23" a="1"/>
  <c r="G1060" i="23" a="1"/>
  <c r="G1092" i="23" a="1"/>
  <c r="G1124" i="23" a="1"/>
  <c r="G1156" i="23" a="1"/>
  <c r="G1188" i="23" a="1"/>
  <c r="G1220" i="23" a="1"/>
  <c r="G1252" i="23" a="1"/>
  <c r="G1284" i="23" a="1"/>
  <c r="G1316" i="23" a="1"/>
  <c r="G1348" i="23" a="1"/>
  <c r="G683" i="23" a="1"/>
  <c r="G708" i="23" a="1"/>
  <c r="G19" i="23" a="1"/>
  <c r="G52" i="23" a="1"/>
  <c r="G116" i="23" a="1"/>
  <c r="G180" i="23" a="1"/>
  <c r="G244" i="23" a="1"/>
  <c r="G300" i="23" a="1"/>
  <c r="G27" i="23" a="1"/>
  <c r="G91" i="23" a="1"/>
  <c r="G155" i="23" a="1"/>
  <c r="G219" i="23" a="1"/>
  <c r="G283" i="23" a="1"/>
  <c r="G5" i="23" a="1"/>
  <c r="G66" i="23" a="1"/>
  <c r="G130" i="23" a="1"/>
  <c r="G194" i="23" a="1"/>
  <c r="G258" i="23" a="1"/>
  <c r="G323" i="23" a="1"/>
  <c r="G67" i="23" a="1"/>
  <c r="G131" i="23" a="1"/>
  <c r="G195" i="23" a="1"/>
  <c r="G259" i="23" a="1"/>
  <c r="G318" i="23" a="1"/>
  <c r="G364" i="23" a="1"/>
  <c r="G396" i="23" a="1"/>
  <c r="G62" i="23" a="1"/>
  <c r="G126" i="23" a="1"/>
  <c r="G190" i="23" a="1"/>
  <c r="G254" i="23" a="1"/>
  <c r="G314" i="23" a="1"/>
  <c r="G361" i="23" a="1"/>
  <c r="G44" i="23" a="1"/>
  <c r="G215" i="23" a="1"/>
  <c r="G366" i="23" a="1"/>
  <c r="G487" i="23" a="1"/>
  <c r="G114" i="23" a="1"/>
  <c r="G315" i="23" a="1"/>
  <c r="G397" i="23" a="1"/>
  <c r="G440" i="23" a="1"/>
  <c r="G482" i="23" a="1"/>
  <c r="G524" i="23" a="1"/>
  <c r="G556" i="23" a="1"/>
  <c r="G588" i="23" a="1"/>
  <c r="G620" i="23" a="1"/>
  <c r="G49" i="23" a="1"/>
  <c r="G202" i="23" a="1"/>
  <c r="G419" i="23" a="1"/>
  <c r="G32" i="23" a="1"/>
  <c r="G204" i="23" a="1"/>
  <c r="G404" i="23" a="1"/>
  <c r="G446" i="23" a="1"/>
  <c r="G489" i="23" a="1"/>
  <c r="G529" i="23" a="1"/>
  <c r="G561" i="23" a="1"/>
  <c r="G593" i="23" a="1"/>
  <c r="G625" i="23" a="1"/>
  <c r="G140" i="23" a="1"/>
  <c r="G308" i="23" a="1"/>
  <c r="G387" i="23" a="1"/>
  <c r="G437" i="23" a="1"/>
  <c r="G480" i="23" a="1"/>
  <c r="G522" i="23" a="1"/>
  <c r="G554" i="23" a="1"/>
  <c r="G586" i="23" a="1"/>
  <c r="G618" i="23" a="1"/>
  <c r="G196" i="23" a="1"/>
  <c r="G511" i="23" a="1"/>
  <c r="G684" i="23" a="1"/>
  <c r="G812" i="23" a="1"/>
  <c r="G894" i="23" a="1"/>
  <c r="G958" i="23" a="1"/>
  <c r="G1022" i="23" a="1"/>
  <c r="G205" i="23" a="1"/>
  <c r="G497" i="23" a="1"/>
  <c r="G663" i="23" a="1"/>
  <c r="G706" i="23" a="1"/>
  <c r="G749" i="23" a="1"/>
  <c r="G791" i="23" a="1"/>
  <c r="G834" i="23" a="1"/>
  <c r="G890" i="23" a="1"/>
  <c r="G121" i="23" a="1"/>
  <c r="G443" i="23" a="1"/>
  <c r="G664" i="23" a="1"/>
  <c r="G792" i="23" a="1"/>
  <c r="G877" i="23" a="1"/>
  <c r="G941" i="23" a="1"/>
  <c r="G1005" i="23" a="1"/>
  <c r="G76" i="23" a="1"/>
  <c r="G444" i="23" a="1"/>
  <c r="G654" i="23" a="1"/>
  <c r="G697" i="23" a="1"/>
  <c r="G739" i="23" a="1"/>
  <c r="G782" i="23" a="1"/>
  <c r="G825" i="23" a="1"/>
  <c r="G882" i="23" a="1"/>
  <c r="G946" i="23" a="1"/>
  <c r="G178" i="23" a="1"/>
  <c r="G476" i="23" a="1"/>
  <c r="G655" i="23" a="1"/>
  <c r="G698" i="23" a="1"/>
  <c r="G741" i="23" a="1"/>
  <c r="G783" i="23" a="1"/>
  <c r="G826" i="23" a="1"/>
  <c r="G883" i="23" a="1"/>
  <c r="G947" i="23" a="1"/>
  <c r="G393" i="23" a="1"/>
  <c r="G595" i="23" a="1"/>
  <c r="G752" i="23" a="1"/>
  <c r="G861" i="23" a="1"/>
  <c r="G925" i="23" a="1"/>
  <c r="G989" i="23" a="1"/>
  <c r="G721" i="23" a="1"/>
  <c r="G921" i="23" a="1"/>
  <c r="G262" i="23" a="1"/>
  <c r="G887" i="23" a="1"/>
  <c r="G1021" i="23" a="1"/>
  <c r="G1064" i="23" a="1"/>
  <c r="G1096" i="23" a="1"/>
  <c r="G1128" i="23" a="1"/>
  <c r="G1160" i="23" a="1"/>
  <c r="G1192" i="23" a="1"/>
  <c r="G1224" i="23" a="1"/>
  <c r="G1256" i="23" a="1"/>
  <c r="G1288" i="23" a="1"/>
  <c r="G1320" i="23" a="1"/>
  <c r="G1352" i="23" a="1"/>
  <c r="G705" i="23" a="1"/>
  <c r="G772" i="23" a="1"/>
  <c r="G23" i="23" a="1"/>
  <c r="G58" i="23" a="1"/>
  <c r="G122" i="23" a="1"/>
  <c r="G186" i="23" a="1"/>
  <c r="G250" i="23" a="1"/>
  <c r="G311" i="23" a="1"/>
  <c r="G40" i="23" a="1"/>
  <c r="G104" i="23" a="1"/>
  <c r="G168" i="23" a="1"/>
  <c r="G232" i="23" a="1"/>
  <c r="G301" i="23" a="1"/>
  <c r="G13" i="23" a="1"/>
  <c r="G73" i="23" a="1"/>
  <c r="G137" i="23" a="1"/>
  <c r="G201" i="23" a="1"/>
  <c r="G265" i="23" a="1"/>
  <c r="G328" i="23" a="1"/>
  <c r="G80" i="23" a="1"/>
  <c r="G144" i="23" a="1"/>
  <c r="G208" i="23" a="1"/>
  <c r="G272" i="23" a="1"/>
  <c r="G329" i="23" a="1"/>
  <c r="G368" i="23" a="1"/>
  <c r="G8" i="23" a="1"/>
  <c r="G69" i="23" a="1"/>
  <c r="G133" i="23" a="1"/>
  <c r="G197" i="23" a="1"/>
  <c r="G261" i="23" a="1"/>
  <c r="G325" i="23" a="1"/>
  <c r="G365" i="23" a="1"/>
  <c r="G77" i="23" a="1"/>
  <c r="G230" i="23" a="1"/>
  <c r="G374" i="23" a="1"/>
  <c r="G503" i="23" a="1"/>
  <c r="G132" i="23" a="1"/>
  <c r="G342" i="23" a="1"/>
  <c r="G402" i="23" a="1"/>
  <c r="G445" i="23" a="1"/>
  <c r="G488" i="23" a="1"/>
  <c r="G528" i="23" a="1"/>
  <c r="G560" i="23" a="1"/>
  <c r="G592" i="23" a="1"/>
  <c r="G624" i="23" a="1"/>
  <c r="G64" i="23" a="1"/>
  <c r="G236" i="23" a="1"/>
  <c r="G435" i="23" a="1"/>
  <c r="G50" i="23" a="1"/>
  <c r="G237" i="23" a="1"/>
  <c r="G409" i="23" a="1"/>
  <c r="G452" i="23" a="1"/>
  <c r="G494" i="23" a="1"/>
  <c r="G533" i="23" a="1"/>
  <c r="G565" i="23" a="1"/>
  <c r="G597" i="23" a="1"/>
  <c r="G629" i="23" a="1"/>
  <c r="G173" i="23" a="1"/>
  <c r="G321" i="23" a="1"/>
  <c r="G400" i="23" a="1"/>
  <c r="G442" i="23" a="1"/>
  <c r="G485" i="23" a="1"/>
  <c r="G526" i="23" a="1"/>
  <c r="G558" i="23" a="1"/>
  <c r="G590" i="23" a="1"/>
  <c r="G622" i="23" a="1"/>
  <c r="G243" i="23" a="1"/>
  <c r="G523" i="23" a="1"/>
  <c r="G700" i="23" a="1"/>
  <c r="G828" i="23" a="1"/>
  <c r="G903" i="23" a="1"/>
  <c r="G967" i="23" a="1"/>
  <c r="G1031" i="23" a="1"/>
  <c r="G247" i="23" a="1"/>
  <c r="G535" i="23" a="1"/>
  <c r="G669" i="23" a="1"/>
  <c r="G711" i="23" a="1"/>
  <c r="G754" i="23" a="1"/>
  <c r="G797" i="23" a="1"/>
  <c r="G839" i="23" a="1"/>
  <c r="G899" i="23" a="1"/>
  <c r="G160" i="23" a="1"/>
  <c r="G470" i="23" a="1"/>
  <c r="G680" i="23" a="1"/>
  <c r="G808" i="23" a="1"/>
  <c r="G886" i="23" a="1"/>
  <c r="G950" i="23" a="1"/>
  <c r="G1014" i="23" a="1"/>
  <c r="G172" i="23" a="1"/>
  <c r="G459" i="23" a="1"/>
  <c r="G659" i="23" a="1"/>
  <c r="G702" i="23" a="1"/>
  <c r="G745" i="23" a="1"/>
  <c r="G787" i="23" a="1"/>
  <c r="G830" i="23" a="1"/>
  <c r="G891" i="23" a="1"/>
  <c r="G955" i="23" a="1"/>
  <c r="G228" i="23" a="1"/>
  <c r="G491" i="23" a="1"/>
  <c r="G661" i="23" a="1"/>
  <c r="G703" i="23" a="1"/>
  <c r="G746" i="23" a="1"/>
  <c r="G789" i="23" a="1"/>
  <c r="G831" i="23" a="1"/>
  <c r="G892" i="23" a="1"/>
  <c r="G956" i="23" a="1"/>
  <c r="G406" i="23" a="1"/>
  <c r="G627" i="23" a="1"/>
  <c r="G768" i="23" a="1"/>
  <c r="G870" i="23" a="1"/>
  <c r="G934" i="23" a="1"/>
  <c r="G57" i="23" a="1"/>
  <c r="G742" i="23" a="1"/>
  <c r="G962" i="23" a="1"/>
  <c r="G447" i="23" a="1"/>
  <c r="G939" i="23" a="1"/>
  <c r="G1027" i="23" a="1"/>
  <c r="G1068" i="23" a="1"/>
  <c r="G1100" i="23" a="1"/>
  <c r="G1132" i="23" a="1"/>
  <c r="G1164" i="23" a="1"/>
  <c r="G1196" i="23" a="1"/>
  <c r="G1228" i="23" a="1"/>
  <c r="G1260" i="23" a="1"/>
  <c r="G1292" i="23" a="1"/>
  <c r="G1324" i="23" a="1"/>
  <c r="G102" i="23" a="1"/>
  <c r="G726" i="23" a="1"/>
  <c r="G836" i="23" a="1"/>
  <c r="G2" i="23" a="1"/>
  <c r="G65" i="23" a="1"/>
  <c r="G129" i="23" a="1"/>
  <c r="G193" i="23" a="1"/>
  <c r="G257" i="23" a="1"/>
  <c r="G316" i="23" a="1"/>
  <c r="G46" i="23" a="1"/>
  <c r="G110" i="23" a="1"/>
  <c r="G174" i="23" a="1"/>
  <c r="G238" i="23" a="1"/>
  <c r="G306" i="23" a="1"/>
  <c r="G21" i="23" a="1"/>
  <c r="G79" i="23" a="1"/>
  <c r="G143" i="23" a="1"/>
  <c r="G207" i="23" a="1"/>
  <c r="G271" i="23" a="1"/>
  <c r="G339" i="23" a="1"/>
  <c r="G86" i="23" a="1"/>
  <c r="G150" i="23" a="1"/>
  <c r="G214" i="23" a="1"/>
  <c r="G278" i="23" a="1"/>
  <c r="G334" i="23" a="1"/>
  <c r="G372" i="23" a="1"/>
  <c r="G16" i="23" a="1"/>
  <c r="G75" i="23" a="1"/>
  <c r="G139" i="23" a="1"/>
  <c r="G203" i="23" a="1"/>
  <c r="G267" i="23" a="1"/>
  <c r="G330" i="23" a="1"/>
  <c r="G369" i="23" a="1"/>
  <c r="G95" i="23" a="1"/>
  <c r="G249" i="23" a="1"/>
  <c r="G382" i="23" a="1"/>
  <c r="G519" i="23" a="1"/>
  <c r="G147" i="23" a="1"/>
  <c r="G351" i="23" a="1"/>
  <c r="G408" i="23" a="1"/>
  <c r="G450" i="23" a="1"/>
  <c r="G493" i="23" a="1"/>
  <c r="G532" i="23" a="1"/>
  <c r="G564" i="23" a="1"/>
  <c r="G596" i="23" a="1"/>
  <c r="G628" i="23" a="1"/>
  <c r="G82" i="23" a="1"/>
  <c r="G269" i="23" a="1"/>
  <c r="G451" i="23" a="1"/>
  <c r="G68" i="23" a="1"/>
  <c r="G255" i="23" a="1"/>
  <c r="G414" i="23" a="1"/>
  <c r="G457" i="23" a="1"/>
  <c r="G500" i="23" a="1"/>
  <c r="G537" i="23" a="1"/>
  <c r="G569" i="23" a="1"/>
  <c r="G601" i="23" a="1"/>
  <c r="G633" i="23" a="1"/>
  <c r="G191" i="23" a="1"/>
  <c r="G336" i="23" a="1"/>
  <c r="G405" i="23" a="1"/>
  <c r="G448" i="23" a="1"/>
  <c r="G490" i="23" a="1"/>
  <c r="G530" i="23" a="1"/>
  <c r="G562" i="23" a="1"/>
  <c r="G594" i="23" a="1"/>
  <c r="G626" i="23" a="1"/>
  <c r="G292" i="23" a="1"/>
  <c r="G555" i="23" a="1"/>
  <c r="G716" i="23" a="1"/>
  <c r="G848" i="23" a="1"/>
  <c r="G912" i="23" a="1"/>
  <c r="G976" i="23" a="1"/>
  <c r="G1035" i="23" a="1"/>
  <c r="G294" i="23" a="1"/>
  <c r="G567" i="23" a="1"/>
  <c r="G674" i="23" a="1"/>
  <c r="G717" i="23" a="1"/>
  <c r="G759" i="23" a="1"/>
  <c r="G802" i="23" a="1"/>
  <c r="G844" i="23" a="1"/>
  <c r="G908" i="23" a="1"/>
  <c r="G210" i="23" a="1"/>
  <c r="G513" i="23" a="1"/>
  <c r="G696" i="23" a="1"/>
  <c r="G824" i="23" a="1"/>
  <c r="G895" i="23" a="1"/>
  <c r="G959" i="23" a="1"/>
  <c r="G1023" i="23" a="1"/>
  <c r="G211" i="23" a="1"/>
  <c r="G486" i="23" a="1"/>
  <c r="G665" i="23" a="1"/>
  <c r="G707" i="23" a="1"/>
  <c r="G750" i="23" a="1"/>
  <c r="G793" i="23" a="1"/>
  <c r="G835" i="23" a="1"/>
  <c r="G900" i="23" a="1"/>
  <c r="G964" i="23" a="1"/>
  <c r="G274" i="23" a="1"/>
  <c r="G518" i="23" a="1"/>
  <c r="G666" i="23" a="1"/>
  <c r="G709" i="23" a="1"/>
  <c r="G751" i="23" a="1"/>
  <c r="G794" i="23" a="1"/>
  <c r="G837" i="23" a="1"/>
  <c r="G897" i="23" a="1"/>
  <c r="G961" i="23" a="1"/>
  <c r="G449" i="23" a="1"/>
  <c r="G656" i="23" a="1"/>
  <c r="G784" i="23" a="1"/>
  <c r="G879" i="23" a="1"/>
  <c r="G943" i="23" a="1"/>
  <c r="G241" i="23" a="1"/>
  <c r="G763" i="23" a="1"/>
  <c r="G974" i="23" a="1"/>
  <c r="G502" i="23" a="1"/>
  <c r="G951" i="23" a="1"/>
  <c r="G1033" i="23" a="1"/>
  <c r="G1072" i="23" a="1"/>
  <c r="G1104" i="23" a="1"/>
  <c r="G1136" i="23" a="1"/>
  <c r="G1168" i="23" a="1"/>
  <c r="G1200" i="23" a="1"/>
  <c r="G1232" i="23" a="1"/>
  <c r="G1264" i="23" a="1"/>
  <c r="G1296" i="23" a="1"/>
  <c r="G1328" i="23" a="1"/>
  <c r="G281" i="23" a="1"/>
  <c r="G747" i="23" a="1"/>
  <c r="G855" i="23" a="1"/>
  <c r="G10" i="23" a="1"/>
  <c r="G71" i="23" a="1"/>
  <c r="G135" i="23" a="1"/>
  <c r="G199" i="23" a="1"/>
  <c r="G263" i="23" a="1"/>
  <c r="G327" i="23" a="1"/>
  <c r="G53" i="23" a="1"/>
  <c r="G117" i="23" a="1"/>
  <c r="G181" i="23" a="1"/>
  <c r="G245" i="23" a="1"/>
  <c r="G317" i="23" a="1"/>
  <c r="G28" i="23" a="1"/>
  <c r="G92" i="23" a="1"/>
  <c r="G156" i="23" a="1"/>
  <c r="G220" i="23" a="1"/>
  <c r="G284" i="23" a="1"/>
  <c r="G29" i="23" a="1"/>
  <c r="G93" i="23" a="1"/>
  <c r="G157" i="23" a="1"/>
  <c r="G221" i="23" a="1"/>
  <c r="G285" i="23" a="1"/>
  <c r="G344" i="23" a="1"/>
  <c r="G376" i="23" a="1"/>
  <c r="G24" i="23" a="1"/>
  <c r="G88" i="23" a="1"/>
  <c r="G152" i="23" a="1"/>
  <c r="G216" i="23" a="1"/>
  <c r="G280" i="23" a="1"/>
  <c r="G341" i="23" a="1"/>
  <c r="G373" i="23" a="1"/>
  <c r="G113" i="23" a="1"/>
  <c r="G266" i="23" a="1"/>
  <c r="G407" i="23" a="1"/>
  <c r="G9" i="23" a="1"/>
  <c r="G183" i="23" a="1"/>
  <c r="G359" i="23" a="1"/>
  <c r="G413" i="23" a="1"/>
  <c r="G456" i="23" a="1"/>
  <c r="G498" i="23" a="1"/>
  <c r="G536" i="23" a="1"/>
  <c r="G568" i="23" a="1"/>
  <c r="G600" i="23" a="1"/>
  <c r="G632" i="23" a="1"/>
  <c r="G100" i="23" a="1"/>
  <c r="G287" i="23" a="1"/>
  <c r="G467" i="23" a="1"/>
  <c r="G83" i="23" a="1"/>
  <c r="G273" i="23" a="1"/>
  <c r="G420" i="23" a="1"/>
  <c r="G462" i="23" a="1"/>
  <c r="G505" i="23" a="1"/>
  <c r="G541" i="23" a="1"/>
  <c r="G573" i="23" a="1"/>
  <c r="G605" i="23" a="1"/>
  <c r="G637" i="23" a="1"/>
  <c r="G209" i="23" a="1"/>
  <c r="G347" i="23" a="1"/>
  <c r="G410" i="23" a="1"/>
  <c r="G453" i="23" a="1"/>
  <c r="G496" i="23" a="1"/>
  <c r="G534" i="23" a="1"/>
  <c r="G566" i="23" a="1"/>
  <c r="G598" i="23" a="1"/>
  <c r="G630" i="23" a="1"/>
  <c r="G378" i="23" a="1"/>
  <c r="G587" i="23" a="1"/>
  <c r="G732" i="23" a="1"/>
  <c r="G853" i="23" a="1"/>
  <c r="G917" i="23" a="1"/>
  <c r="G981" i="23" a="1"/>
  <c r="G1039" i="23" a="1"/>
  <c r="G335" i="23" a="1"/>
  <c r="G599" i="23" a="1"/>
  <c r="G679" i="23" a="1"/>
  <c r="G722" i="23" a="1"/>
  <c r="G765" i="23" a="1"/>
  <c r="G807" i="23" a="1"/>
  <c r="G849" i="23" a="1"/>
  <c r="G913" i="23" a="1"/>
  <c r="G256" i="23" a="1"/>
  <c r="G547" i="23" a="1"/>
  <c r="G712" i="23" a="1"/>
  <c r="G840" i="23" a="1"/>
  <c r="G904" i="23" a="1"/>
  <c r="G968" i="23" a="1"/>
  <c r="G1032" i="23" a="1"/>
  <c r="G305" i="23" a="1"/>
  <c r="G527" i="23" a="1"/>
  <c r="G670" i="23" a="1"/>
  <c r="G713" i="23" a="1"/>
  <c r="G755" i="23" a="1"/>
  <c r="G798" i="23" a="1"/>
  <c r="G841" i="23" a="1"/>
  <c r="G905" i="23" a="1"/>
  <c r="G969" i="23" a="1"/>
  <c r="G310" i="23" a="1"/>
  <c r="G551" i="23" a="1"/>
  <c r="G671" i="23" a="1"/>
  <c r="G714" i="23" a="1"/>
  <c r="G757" i="23" a="1"/>
  <c r="G799" i="23" a="1"/>
  <c r="G842" i="23" a="1"/>
  <c r="G906" i="23" a="1"/>
  <c r="G970" i="23" a="1"/>
  <c r="G479" i="23" a="1"/>
  <c r="G672" i="23" a="1"/>
  <c r="G800" i="23" a="1"/>
  <c r="G888" i="23" a="1"/>
  <c r="G952" i="23" a="1"/>
  <c r="G495" i="23" a="1"/>
  <c r="G785" i="23" a="1"/>
  <c r="G996" i="23" a="1"/>
  <c r="G635" i="23" a="1"/>
  <c r="G963" i="23" a="1"/>
  <c r="G1038" i="23" a="1"/>
  <c r="G1076" i="23" a="1"/>
  <c r="G1108" i="23" a="1"/>
  <c r="G1140" i="23" a="1"/>
  <c r="G1172" i="23" a="1"/>
  <c r="G1204" i="23" a="1"/>
  <c r="G1236" i="23" a="1"/>
  <c r="G1268" i="23" a="1"/>
  <c r="G1300" i="23" a="1"/>
  <c r="G1332" i="23" a="1"/>
  <c r="G394" i="23" a="1"/>
  <c r="G127" i="23" a="1"/>
  <c r="G910" i="23" a="1"/>
  <c r="G3" i="23" a="1"/>
  <c r="G18" i="23" a="1"/>
  <c r="G84" i="23" a="1"/>
  <c r="G148" i="23" a="1"/>
  <c r="G212" i="23" a="1"/>
  <c r="G276" i="23" a="1"/>
  <c r="G332" i="23" a="1"/>
  <c r="G59" i="23" a="1"/>
  <c r="G123" i="23" a="1"/>
  <c r="G187" i="23" a="1"/>
  <c r="G251" i="23" a="1"/>
  <c r="G322" i="23" a="1"/>
  <c r="G34" i="23" a="1"/>
  <c r="G98" i="23" a="1"/>
  <c r="G162" i="23" a="1"/>
  <c r="G226" i="23" a="1"/>
  <c r="G290" i="23" a="1"/>
  <c r="G35" i="23" a="1"/>
  <c r="G99" i="23" a="1"/>
  <c r="G163" i="23" a="1"/>
  <c r="G227" i="23" a="1"/>
  <c r="G291" i="23" a="1"/>
  <c r="G348" i="23" a="1"/>
  <c r="G380" i="23" a="1"/>
  <c r="G30" i="23" a="1"/>
  <c r="G94" i="23" a="1"/>
  <c r="G158" i="23" a="1"/>
  <c r="G222" i="23" a="1"/>
  <c r="G286" i="23" a="1"/>
  <c r="G345" i="23" a="1"/>
  <c r="G377" i="23" a="1"/>
  <c r="G128" i="23" a="1"/>
  <c r="G299" i="23" a="1"/>
  <c r="G423" i="23" a="1"/>
  <c r="G45" i="23" a="1"/>
  <c r="G198" i="23" a="1"/>
  <c r="G367" i="23" a="1"/>
  <c r="G418" i="23" a="1"/>
  <c r="G461" i="23" a="1"/>
  <c r="G504" i="23" a="1"/>
  <c r="G540" i="23" a="1"/>
  <c r="G572" i="23" a="1"/>
  <c r="G604" i="23" a="1"/>
  <c r="G636" i="23" a="1"/>
  <c r="G115" i="23" a="1"/>
  <c r="G303" i="23" a="1"/>
  <c r="G483" i="23" a="1"/>
  <c r="G119" i="23" a="1"/>
  <c r="G288" i="23" a="1"/>
  <c r="G425" i="23" a="1"/>
  <c r="G468" i="23" a="1"/>
  <c r="G510" i="23" a="1"/>
  <c r="G545" i="23" a="1"/>
  <c r="G577" i="23" a="1"/>
  <c r="G609" i="23" a="1"/>
  <c r="G55" i="23" a="1"/>
  <c r="G224" i="23" a="1"/>
  <c r="G355" i="23" a="1"/>
  <c r="G416" i="23" a="1"/>
  <c r="G458" i="23" a="1"/>
  <c r="G501" i="23" a="1"/>
  <c r="G538" i="23" a="1"/>
  <c r="G570" i="23" a="1"/>
  <c r="G602" i="23" a="1"/>
  <c r="G634" i="23" a="1"/>
  <c r="G395" i="23" a="1"/>
  <c r="G619" i="23" a="1"/>
  <c r="G748" i="23" a="1"/>
  <c r="G862" i="23" a="1"/>
  <c r="G926" i="23" a="1"/>
  <c r="G990" i="23" a="1"/>
  <c r="G1043" i="23" a="1"/>
  <c r="G399" i="23" a="1"/>
  <c r="G631" i="23" a="1"/>
  <c r="G685" i="23" a="1"/>
  <c r="G727" i="23" a="1"/>
  <c r="G770" i="23" a="1"/>
  <c r="G813" i="23" a="1"/>
  <c r="G858" i="23" a="1"/>
  <c r="G922" i="23" a="1"/>
  <c r="G337" i="23" a="1"/>
  <c r="G579" i="23" a="1"/>
  <c r="G728" i="23" a="1"/>
  <c r="G845" i="23" a="1"/>
  <c r="G909" i="23" a="1"/>
  <c r="G973" i="23" a="1"/>
  <c r="G1036" i="23" a="1"/>
  <c r="G340" i="23" a="1"/>
  <c r="G559" i="23" a="1"/>
  <c r="G675" i="23" a="1"/>
  <c r="G718" i="23" a="1"/>
  <c r="G761" i="23" a="1"/>
  <c r="G803" i="23" a="1"/>
  <c r="G850" i="23" a="1"/>
  <c r="G914" i="23" a="1"/>
  <c r="G978" i="23" a="1"/>
  <c r="G370" i="23" a="1"/>
  <c r="G583" i="23" a="1"/>
  <c r="G677" i="23" a="1"/>
  <c r="G719" i="23" a="1"/>
  <c r="G762" i="23" a="1"/>
  <c r="G805" i="23" a="1"/>
  <c r="G851" i="23" a="1"/>
  <c r="G915" i="23" a="1"/>
  <c r="G51" i="23" a="1"/>
  <c r="G492" i="23" a="1"/>
  <c r="G688" i="23" a="1"/>
  <c r="G816" i="23" a="1"/>
  <c r="G893" i="23" a="1"/>
  <c r="G957" i="23" a="1"/>
  <c r="G543" i="23" a="1"/>
  <c r="G806" i="23" a="1"/>
  <c r="G1002" i="23" a="1"/>
  <c r="G660" i="23" a="1"/>
  <c r="G983" i="23" a="1"/>
  <c r="G1048" i="23" a="1"/>
  <c r="G1080" i="23" a="1"/>
  <c r="G1112" i="23" a="1"/>
  <c r="G1144" i="23" a="1"/>
  <c r="G1176" i="23" a="1"/>
  <c r="G1208" i="23" a="1"/>
  <c r="G1240" i="23" a="1"/>
  <c r="G1272" i="23" a="1"/>
  <c r="G1304" i="23" a="1"/>
  <c r="G1336" i="23" a="1"/>
  <c r="G508" i="23" a="1"/>
  <c r="G460" i="23" a="1"/>
  <c r="G7" i="23" a="1"/>
  <c r="G26" i="23" a="1"/>
  <c r="G90" i="23" a="1"/>
  <c r="G154" i="23" a="1"/>
  <c r="G218" i="23" a="1"/>
  <c r="G282" i="23" a="1"/>
  <c r="G4" i="23" a="1"/>
  <c r="G72" i="23" a="1"/>
  <c r="G136" i="23" a="1"/>
  <c r="G200" i="23" a="1"/>
  <c r="G264" i="23" a="1"/>
  <c r="G333" i="23" a="1"/>
  <c r="G41" i="23" a="1"/>
  <c r="G105" i="23" a="1"/>
  <c r="G169" i="23" a="1"/>
  <c r="G233" i="23" a="1"/>
  <c r="G296" i="23" a="1"/>
  <c r="G48" i="23" a="1"/>
  <c r="G112" i="23" a="1"/>
  <c r="G176" i="23" a="1"/>
  <c r="G240" i="23" a="1"/>
  <c r="G297" i="23" a="1"/>
  <c r="G352" i="23" a="1"/>
  <c r="G384" i="23" a="1"/>
  <c r="G37" i="23" a="1"/>
  <c r="G101" i="23" a="1"/>
  <c r="G165" i="23" a="1"/>
  <c r="G229" i="23" a="1"/>
  <c r="G293" i="23" a="1"/>
  <c r="G349" i="23" a="1"/>
  <c r="G381" i="23" a="1"/>
  <c r="G146" i="23" a="1"/>
  <c r="G326" i="23" a="1"/>
  <c r="G439" i="23" a="1"/>
  <c r="G63" i="23" a="1"/>
  <c r="G217" i="23" a="1"/>
  <c r="G375" i="23" a="1"/>
  <c r="G424" i="23" a="1"/>
  <c r="G466" i="23" a="1"/>
  <c r="G509" i="23" a="1"/>
  <c r="G544" i="23" a="1"/>
  <c r="G576" i="23" a="1"/>
  <c r="G608" i="23" a="1"/>
  <c r="G640" i="23" a="1"/>
  <c r="G151" i="23" a="1"/>
  <c r="G331" i="23" a="1"/>
  <c r="G499" i="23" a="1"/>
  <c r="G134" i="23" a="1"/>
  <c r="G304" i="23" a="1"/>
  <c r="G430" i="23" a="1"/>
  <c r="G473" i="23" a="1"/>
  <c r="G516" i="23" a="1"/>
  <c r="G549" i="23" a="1"/>
  <c r="G581" i="23" a="1"/>
  <c r="G613" i="23" a="1"/>
  <c r="G70" i="23" a="1"/>
  <c r="G242" i="23" a="1"/>
  <c r="G363" i="23" a="1"/>
  <c r="G421" i="23" a="1"/>
  <c r="G464" i="23" a="1"/>
  <c r="G506" i="23" a="1"/>
  <c r="G542" i="23" a="1"/>
  <c r="G574" i="23" a="1"/>
  <c r="G606" i="23" a="1"/>
  <c r="G638" i="23" a="1"/>
  <c r="G411" i="23" a="1"/>
  <c r="G641" i="23" a="1"/>
  <c r="G764" i="23" a="1"/>
  <c r="G871" i="23" a="1"/>
  <c r="G935" i="23" a="1"/>
  <c r="G999" i="23" a="1"/>
  <c r="G22" i="23" a="1"/>
  <c r="G412" i="23" a="1"/>
  <c r="G647" i="23" a="1"/>
  <c r="G690" i="23" a="1"/>
  <c r="G733" i="23" a="1"/>
  <c r="G775" i="23" a="1"/>
  <c r="G818" i="23" a="1"/>
  <c r="G867" i="23" a="1"/>
  <c r="G931" i="23" a="1"/>
  <c r="G362" i="23" a="1"/>
  <c r="G611" i="23" a="1"/>
  <c r="G744" i="23" a="1"/>
  <c r="G854" i="23" a="1"/>
  <c r="G918" i="23" a="1"/>
  <c r="G982" i="23" a="1"/>
  <c r="G1040" i="23" a="1"/>
  <c r="G386" i="23" a="1"/>
  <c r="G591" i="23" a="1"/>
  <c r="G681" i="23" a="1"/>
  <c r="G723" i="23" a="1"/>
  <c r="G766" i="23" a="1"/>
  <c r="G809" i="23" a="1"/>
  <c r="G859" i="23" a="1"/>
  <c r="G923" i="23" a="1"/>
  <c r="G38" i="23" a="1"/>
  <c r="G389" i="23" a="1"/>
  <c r="G615" i="23" a="1"/>
  <c r="G682" i="23" a="1"/>
  <c r="G725" i="23" a="1"/>
  <c r="G767" i="23" a="1"/>
  <c r="G810" i="23" a="1"/>
  <c r="G860" i="23" a="1"/>
  <c r="G924" i="23" a="1"/>
  <c r="G141" i="23" a="1"/>
  <c r="G507" i="23" a="1"/>
  <c r="G704" i="23" a="1"/>
  <c r="G832" i="23" a="1"/>
  <c r="G902" i="23" a="1"/>
  <c r="G966" i="23" a="1"/>
  <c r="G657" i="23" a="1"/>
  <c r="G827" i="23" a="1"/>
  <c r="G1020" i="23" a="1"/>
  <c r="G724" i="23" a="1"/>
  <c r="G997" i="23" a="1"/>
  <c r="G1052" i="23" a="1"/>
  <c r="G1084" i="23" a="1"/>
  <c r="G1116" i="23" a="1"/>
  <c r="G1148" i="23" a="1"/>
  <c r="G1180" i="23" a="1"/>
  <c r="G1212" i="23" a="1"/>
  <c r="G1244" i="23" a="1"/>
  <c r="G1276" i="23" a="1"/>
  <c r="G1308" i="23" a="1"/>
  <c r="G1340" i="23" a="1"/>
  <c r="G639" i="23" a="1"/>
  <c r="G603" i="23" a="1"/>
  <c r="G928" i="23" a="1"/>
  <c r="G1016" i="23" a="1"/>
  <c r="G1065" i="23" a="1"/>
  <c r="G1097" i="23" a="1"/>
  <c r="G1129" i="23" a="1"/>
  <c r="G1161" i="23" a="1"/>
  <c r="G1193" i="23" a="1"/>
  <c r="G1225" i="23" a="1"/>
  <c r="G1257" i="23" a="1"/>
  <c r="G1289" i="23" a="1"/>
  <c r="G1321" i="23" a="1"/>
  <c r="G1353" i="23" a="1"/>
  <c r="G465" i="23" a="1"/>
  <c r="G774" i="23" a="1"/>
  <c r="G346" i="23" a="1"/>
  <c r="G896" i="23" a="1"/>
  <c r="G1030" i="23" a="1"/>
  <c r="G1070" i="23" a="1"/>
  <c r="G1102" i="23" a="1"/>
  <c r="G1134" i="23" a="1"/>
  <c r="G1166" i="23" a="1"/>
  <c r="G1198" i="23" a="1"/>
  <c r="G1230" i="23" a="1"/>
  <c r="G1262" i="23" a="1"/>
  <c r="G1294" i="23" a="1"/>
  <c r="G1326" i="23" a="1"/>
  <c r="G1358" i="23" a="1"/>
  <c r="G953" i="23" a="1"/>
  <c r="G1400" i="23" a="1"/>
  <c r="G1464" i="23" a="1"/>
  <c r="G1371" i="23" a="1"/>
  <c r="G919" i="23" a="1"/>
  <c r="G1083" i="23" a="1"/>
  <c r="G1147" i="23" a="1"/>
  <c r="G1211" i="23" a="1"/>
  <c r="G1275" i="23" a="1"/>
  <c r="G1339" i="23" a="1"/>
  <c r="G1414" i="23" a="1"/>
  <c r="G801" i="23" a="1"/>
  <c r="G694" i="23" a="1"/>
  <c r="G1392" i="23" a="1"/>
  <c r="G1456" i="23" a="1"/>
  <c r="G1363" i="23" a="1"/>
  <c r="G1429" i="23" a="1"/>
  <c r="G1017" i="23" a="1"/>
  <c r="G889" i="23" a="1"/>
  <c r="G1393" i="23" a="1"/>
  <c r="G1457" i="23" a="1"/>
  <c r="G988" i="23" a="1"/>
  <c r="G1095" i="23" a="1"/>
  <c r="G1159" i="23" a="1"/>
  <c r="G1223" i="23" a="1"/>
  <c r="G1287" i="23" a="1"/>
  <c r="G1351" i="23" a="1"/>
  <c r="G1421" i="23" a="1"/>
  <c r="G1003" i="23" a="1"/>
  <c r="G1440" i="23" a="1"/>
  <c r="F7" i="23" a="1"/>
  <c r="F39" i="23" a="1"/>
  <c r="F8" i="23" a="1"/>
  <c r="F40" i="23" a="1"/>
  <c r="F72" i="23" a="1"/>
  <c r="F17" i="23" a="1"/>
  <c r="F49" i="23" a="1"/>
  <c r="F54" i="23" a="1"/>
  <c r="F123" i="23" a="1"/>
  <c r="F187" i="23" a="1"/>
  <c r="F251" i="23" a="1"/>
  <c r="F315" i="23" a="1"/>
  <c r="F105" i="23" a="1"/>
  <c r="F169" i="23" a="1"/>
  <c r="F233" i="23" a="1"/>
  <c r="F297" i="23" a="1"/>
  <c r="F350" i="23" a="1"/>
  <c r="F382" i="23" a="1"/>
  <c r="F414" i="23" a="1"/>
  <c r="F70" i="23" a="1"/>
  <c r="F131" i="23" a="1"/>
  <c r="F195" i="23" a="1"/>
  <c r="F259" i="23" a="1"/>
  <c r="F323" i="23" a="1"/>
  <c r="F132" i="23" a="1"/>
  <c r="F196" i="23" a="1"/>
  <c r="F260" i="23" a="1"/>
  <c r="F324" i="23" a="1"/>
  <c r="F367" i="23" a="1"/>
  <c r="F399" i="23" a="1"/>
  <c r="F14" i="23" a="1"/>
  <c r="F107" i="23" a="1"/>
  <c r="F171" i="23" a="1"/>
  <c r="F235" i="23" a="1"/>
  <c r="F299" i="23" a="1"/>
  <c r="F89" i="23" a="1"/>
  <c r="F153" i="23" a="1"/>
  <c r="F217" i="23" a="1"/>
  <c r="F281" i="23" a="1"/>
  <c r="F344" i="23" a="1"/>
  <c r="F376" i="23" a="1"/>
  <c r="F408" i="23" a="1"/>
  <c r="F66" i="23" a="1"/>
  <c r="F128" i="23" a="1"/>
  <c r="F192" i="23" a="1"/>
  <c r="F256" i="23" a="1"/>
  <c r="F320" i="23" a="1"/>
  <c r="F385" i="23" a="1"/>
  <c r="F477" i="23" a="1"/>
  <c r="F520" i="23" a="1"/>
  <c r="F559" i="23" a="1"/>
  <c r="F591" i="23" a="1"/>
  <c r="F623" i="23" a="1"/>
  <c r="F421" i="23" a="1"/>
  <c r="F510" i="23" a="1"/>
  <c r="F393" i="23" a="1"/>
  <c r="F479" i="23" a="1"/>
  <c r="F521" i="23" a="1"/>
  <c r="F560" i="23" a="1"/>
  <c r="F592" i="23" a="1"/>
  <c r="F276" i="23" a="1"/>
  <c r="F463" i="23" a="1"/>
  <c r="F231" i="23" a="1"/>
  <c r="F457" i="23" a="1"/>
  <c r="F507" i="23" a="1"/>
  <c r="F549" i="23" a="1"/>
  <c r="F581" i="23" a="1"/>
  <c r="F613" i="23" a="1"/>
  <c r="F438" i="23" a="1"/>
  <c r="F534" i="23" a="1"/>
  <c r="F431" i="23" a="1"/>
  <c r="F481" i="23" a="1"/>
  <c r="F524" i="23" a="1"/>
  <c r="F562" i="23" a="1"/>
  <c r="F594" i="23" a="1"/>
  <c r="F617" i="23" a="1"/>
  <c r="F683" i="23" a="1"/>
  <c r="F747" i="23" a="1"/>
  <c r="F811" i="23" a="1"/>
  <c r="F875" i="23" a="1"/>
  <c r="F939" i="23" a="1"/>
  <c r="F1003" i="23" a="1"/>
  <c r="F1059" i="23" a="1"/>
  <c r="F1120" i="23" a="1"/>
  <c r="F639" i="23" a="1"/>
  <c r="F703" i="23" a="1"/>
  <c r="F767" i="23" a="1"/>
  <c r="F831" i="23" a="1"/>
  <c r="F895" i="23" a="1"/>
  <c r="F959" i="23" a="1"/>
  <c r="F1023" i="23" a="1"/>
  <c r="F1093" i="23" a="1"/>
  <c r="F1146" i="23" a="1"/>
  <c r="F666" i="23" a="1"/>
  <c r="F730" i="23" a="1"/>
  <c r="F794" i="23" a="1"/>
  <c r="F858" i="23" a="1"/>
  <c r="F922" i="23" a="1"/>
  <c r="F986" i="23" a="1"/>
  <c r="F1050" i="23" a="1"/>
  <c r="F1107" i="23" a="1"/>
  <c r="F641" i="23" a="1"/>
  <c r="F705" i="23" a="1"/>
  <c r="F769" i="23" a="1"/>
  <c r="F833" i="23" a="1"/>
  <c r="F897" i="23" a="1"/>
  <c r="F961" i="23" a="1"/>
  <c r="F1025" i="23" a="1"/>
  <c r="F302" i="23" a="1"/>
  <c r="F667" i="23" a="1"/>
  <c r="F731" i="23" a="1"/>
  <c r="F795" i="23" a="1"/>
  <c r="F859" i="23" a="1"/>
  <c r="F923" i="23" a="1"/>
  <c r="F987" i="23" a="1"/>
  <c r="F1051" i="23" a="1"/>
  <c r="F1104" i="23" a="1"/>
  <c r="F630" i="23" a="1"/>
  <c r="F694" i="23" a="1"/>
  <c r="F758" i="23" a="1"/>
  <c r="F822" i="23" a="1"/>
  <c r="F886" i="23" a="1"/>
  <c r="F950" i="23" a="1"/>
  <c r="F1014" i="23" a="1"/>
  <c r="F1086" i="23" a="1"/>
  <c r="F1140" i="23" a="1"/>
  <c r="F638" i="23" a="1"/>
  <c r="F702" i="23" a="1"/>
  <c r="F766" i="23" a="1"/>
  <c r="F830" i="23" a="1"/>
  <c r="F894" i="23" a="1"/>
  <c r="F842" i="23" a="1"/>
  <c r="F1141" i="23" a="1"/>
  <c r="F1217" i="23" a="1"/>
  <c r="F1249" i="23" a="1"/>
  <c r="F1281" i="23" a="1"/>
  <c r="F643" i="23" a="1"/>
  <c r="F1040" i="23" a="1"/>
  <c r="F1160" i="23" a="1"/>
  <c r="F514" i="23" a="1"/>
  <c r="F1015" i="23" a="1"/>
  <c r="F1186" i="23" a="1"/>
  <c r="F1234" i="23" a="1"/>
  <c r="F1266" i="23" a="1"/>
  <c r="F861" i="23" a="1"/>
  <c r="F1135" i="23" a="1"/>
  <c r="F1200" i="23" a="1"/>
  <c r="F1022" i="23" a="1"/>
  <c r="F1175" i="23" a="1"/>
  <c r="F1223" i="23" a="1"/>
  <c r="F1255" i="23" a="1"/>
  <c r="F669" i="23" a="1"/>
  <c r="F1053" i="23" a="1"/>
  <c r="F1176" i="23" a="1"/>
  <c r="F835" i="23" a="1"/>
  <c r="F1117" i="23" a="1"/>
  <c r="F1208" i="23" a="1"/>
  <c r="F1308" i="23" a="1"/>
  <c r="F1373" i="23" a="1"/>
  <c r="F1437" i="23" a="1"/>
  <c r="F1330" i="23" a="1"/>
  <c r="F1232" i="23" a="1"/>
  <c r="F1342" i="23" a="1"/>
  <c r="F1406" i="23" a="1"/>
  <c r="F1170" i="23" a="1"/>
  <c r="F1290" i="23" a="1"/>
  <c r="F1359" i="23" a="1"/>
  <c r="F1423" i="23" a="1"/>
  <c r="F1322" i="23" a="1"/>
  <c r="F1315" i="23" a="1"/>
  <c r="F1435" i="23" a="1"/>
  <c r="F1302" i="23" a="1"/>
  <c r="F1368" i="23" a="1"/>
  <c r="F1432" i="23" a="1"/>
  <c r="F1378" i="23" a="1"/>
  <c r="F1387" i="23" a="1"/>
  <c r="F1212" i="23" a="1"/>
  <c r="F1337" i="23" a="1"/>
  <c r="F1401" i="23" a="1"/>
  <c r="F1469" i="23" a="1"/>
  <c r="F1256" i="23" a="1"/>
  <c r="F1348" i="23" a="1"/>
  <c r="F1412" i="23" a="1"/>
  <c r="F1314" i="23" a="1"/>
  <c r="F1244" i="23" a="1"/>
  <c r="F1409" i="23" a="1"/>
  <c r="F1286" i="23" a="1"/>
  <c r="F1420" i="23" a="1"/>
  <c r="G1153" i="23" a="1"/>
  <c r="G1217" i="23" a="1"/>
  <c r="G1281" i="23" a="1"/>
  <c r="G1345" i="23" a="1"/>
  <c r="G731" i="23" a="1"/>
  <c r="G820" i="23" a="1"/>
  <c r="G1062" i="23" a="1"/>
  <c r="G1254" i="23" a="1"/>
  <c r="G864" i="23" a="1"/>
  <c r="G1131" i="23" a="1"/>
  <c r="G942" i="23" a="1"/>
  <c r="G1029" i="23" a="1"/>
  <c r="G1069" i="23" a="1"/>
  <c r="G1101" i="23" a="1"/>
  <c r="G1133" i="23" a="1"/>
  <c r="G1165" i="23" a="1"/>
  <c r="G1197" i="23" a="1"/>
  <c r="G1229" i="23" a="1"/>
  <c r="G1261" i="23" a="1"/>
  <c r="G1293" i="23" a="1"/>
  <c r="G1325" i="23" a="1"/>
  <c r="G1357" i="23" a="1"/>
  <c r="G607" i="23" a="1"/>
  <c r="G795" i="23" a="1"/>
  <c r="G417" i="23" a="1"/>
  <c r="G933" i="23" a="1"/>
  <c r="G1041" i="23" a="1"/>
  <c r="G1074" i="23" a="1"/>
  <c r="G1106" i="23" a="1"/>
  <c r="G1138" i="23" a="1"/>
  <c r="G1170" i="23" a="1"/>
  <c r="G1202" i="23" a="1"/>
  <c r="G1234" i="23" a="1"/>
  <c r="G1266" i="23" a="1"/>
  <c r="G1298" i="23" a="1"/>
  <c r="G1330" i="23" a="1"/>
  <c r="G1362" i="23" a="1"/>
  <c r="G980" i="23" a="1"/>
  <c r="G1409" i="23" a="1"/>
  <c r="G737" i="23" a="1"/>
  <c r="G1399" i="23" a="1"/>
  <c r="G995" i="23" a="1"/>
  <c r="G1091" i="23" a="1"/>
  <c r="G1155" i="23" a="1"/>
  <c r="G1219" i="23" a="1"/>
  <c r="G1283" i="23" a="1"/>
  <c r="G1347" i="23" a="1"/>
  <c r="G1423" i="23" a="1"/>
  <c r="G740" i="23" a="1"/>
  <c r="G769" i="23" a="1"/>
  <c r="G1401" i="23" a="1"/>
  <c r="G1465" i="23" a="1"/>
  <c r="G1374" i="23" a="1"/>
  <c r="G1438" i="23" a="1"/>
  <c r="G1381" i="23" a="1"/>
  <c r="G971" i="23" a="1"/>
  <c r="G1402" i="23" a="1"/>
  <c r="G1466" i="23" a="1"/>
  <c r="G1037" i="23" a="1"/>
  <c r="G1103" i="23" a="1"/>
  <c r="G1167" i="23" a="1"/>
  <c r="G1231" i="23" a="1"/>
  <c r="G1295" i="23" a="1"/>
  <c r="G1370" i="23" a="1"/>
  <c r="G1430" i="23" a="1"/>
  <c r="G1028" i="23" a="1"/>
  <c r="G1458" i="23" a="1"/>
  <c r="F11" i="23" a="1"/>
  <c r="F43" i="23" a="1"/>
  <c r="F12" i="23" a="1"/>
  <c r="F44" i="23" a="1"/>
  <c r="F76" i="23" a="1"/>
  <c r="F21" i="23" a="1"/>
  <c r="F53" i="23" a="1"/>
  <c r="F67" i="23" a="1"/>
  <c r="F130" i="23" a="1"/>
  <c r="F194" i="23" a="1"/>
  <c r="F258" i="23" a="1"/>
  <c r="F322" i="23" a="1"/>
  <c r="F111" i="23" a="1"/>
  <c r="F175" i="23" a="1"/>
  <c r="F239" i="23" a="1"/>
  <c r="F303" i="23" a="1"/>
  <c r="F354" i="23" a="1"/>
  <c r="F386" i="23" a="1"/>
  <c r="F418" i="23" a="1"/>
  <c r="F78" i="23" a="1"/>
  <c r="F138" i="23" a="1"/>
  <c r="F202" i="23" a="1"/>
  <c r="F266" i="23" a="1"/>
  <c r="F330" i="23" a="1"/>
  <c r="F145" i="23" a="1"/>
  <c r="F209" i="23" a="1"/>
  <c r="F273" i="23" a="1"/>
  <c r="F337" i="23" a="1"/>
  <c r="F371" i="23" a="1"/>
  <c r="F403" i="23" a="1"/>
  <c r="F30" i="23" a="1"/>
  <c r="F114" i="23" a="1"/>
  <c r="F178" i="23" a="1"/>
  <c r="F242" i="23" a="1"/>
  <c r="F306" i="23" a="1"/>
  <c r="F95" i="23" a="1"/>
  <c r="F159" i="23" a="1"/>
  <c r="F223" i="23" a="1"/>
  <c r="F287" i="23" a="1"/>
  <c r="F348" i="23" a="1"/>
  <c r="F380" i="23" a="1"/>
  <c r="F412" i="23" a="1"/>
  <c r="F74" i="23" a="1"/>
  <c r="F141" i="23" a="1"/>
  <c r="F205" i="23" a="1"/>
  <c r="F269" i="23" a="1"/>
  <c r="F333" i="23" a="1"/>
  <c r="F417" i="23" a="1"/>
  <c r="F483" i="23" a="1"/>
  <c r="F525" i="23" a="1"/>
  <c r="F563" i="23" a="1"/>
  <c r="F595" i="23" a="1"/>
  <c r="F627" i="23" a="1"/>
  <c r="F434" i="23" a="1"/>
  <c r="F526" i="23" a="1"/>
  <c r="F425" i="23" a="1"/>
  <c r="F484" i="23" a="1"/>
  <c r="F527" i="23" a="1"/>
  <c r="F564" i="23" a="1"/>
  <c r="F596" i="23" a="1"/>
  <c r="F327" i="23" a="1"/>
  <c r="F474" i="23" a="1"/>
  <c r="F334" i="23" a="1"/>
  <c r="F469" i="23" a="1"/>
  <c r="F512" i="23" a="1"/>
  <c r="F553" i="23" a="1"/>
  <c r="F585" i="23" a="1"/>
  <c r="F135" i="23" a="1"/>
  <c r="F445" i="23" a="1"/>
  <c r="F142" i="23" a="1"/>
  <c r="F439" i="23" a="1"/>
  <c r="F487" i="23" a="1"/>
  <c r="F529" i="23" a="1"/>
  <c r="F566" i="23" a="1"/>
  <c r="F598" i="23" a="1"/>
  <c r="F625" i="23" a="1"/>
  <c r="F690" i="23" a="1"/>
  <c r="F754" i="23" a="1"/>
  <c r="F818" i="23" a="1"/>
  <c r="F882" i="23" a="1"/>
  <c r="F946" i="23" a="1"/>
  <c r="F1010" i="23" a="1"/>
  <c r="F1065" i="23" a="1"/>
  <c r="F1129" i="23" a="1"/>
  <c r="F646" i="23" a="1"/>
  <c r="F710" i="23" a="1"/>
  <c r="F774" i="23" a="1"/>
  <c r="F838" i="23" a="1"/>
  <c r="F902" i="23" a="1"/>
  <c r="F966" i="23" a="1"/>
  <c r="F1030" i="23" a="1"/>
  <c r="F1102" i="23" a="1"/>
  <c r="F1150" i="23" a="1"/>
  <c r="F672" i="23" a="1"/>
  <c r="F736" i="23" a="1"/>
  <c r="F800" i="23" a="1"/>
  <c r="F864" i="23" a="1"/>
  <c r="F928" i="23" a="1"/>
  <c r="F992" i="23" a="1"/>
  <c r="F1055" i="23" a="1"/>
  <c r="F1112" i="23" a="1"/>
  <c r="F647" i="23" a="1"/>
  <c r="F711" i="23" a="1"/>
  <c r="F775" i="23" a="1"/>
  <c r="F839" i="23" a="1"/>
  <c r="F903" i="23" a="1"/>
  <c r="F967" i="23" a="1"/>
  <c r="F1031" i="23" a="1"/>
  <c r="F546" i="23" a="1"/>
  <c r="F674" i="23" a="1"/>
  <c r="F738" i="23" a="1"/>
  <c r="F802" i="23" a="1"/>
  <c r="F866" i="23" a="1"/>
  <c r="F930" i="23" a="1"/>
  <c r="F994" i="23" a="1"/>
  <c r="F1057" i="23" a="1"/>
  <c r="F1113" i="23" a="1"/>
  <c r="F636" i="23" a="1"/>
  <c r="F700" i="23" a="1"/>
  <c r="F764" i="23" a="1"/>
  <c r="F828" i="23" a="1"/>
  <c r="F892" i="23" a="1"/>
  <c r="F956" i="23" a="1"/>
  <c r="F1020" i="23" a="1"/>
  <c r="F1095" i="23" a="1"/>
  <c r="F1144" i="23" a="1"/>
  <c r="F644" i="23" a="1"/>
  <c r="F708" i="23" a="1"/>
  <c r="F772" i="23" a="1"/>
  <c r="F836" i="23" a="1"/>
  <c r="F900" i="23" a="1"/>
  <c r="F893" i="23" a="1"/>
  <c r="F1159" i="23" a="1"/>
  <c r="F1221" i="23" a="1"/>
  <c r="F1253" i="23" a="1"/>
  <c r="F1285" i="23" a="1"/>
  <c r="F746" i="23" a="1"/>
  <c r="F1063" i="23" a="1"/>
  <c r="F1166" i="23" a="1"/>
  <c r="F650" i="23" a="1"/>
  <c r="F1041" i="23" a="1"/>
  <c r="F1199" i="23" a="1"/>
  <c r="F1238" i="23" a="1"/>
  <c r="F1270" i="23" a="1"/>
  <c r="F912" i="23" a="1"/>
  <c r="F1145" i="23" a="1"/>
  <c r="F1205" i="23" a="1"/>
  <c r="F1047" i="23" a="1"/>
  <c r="F1181" i="23" a="1"/>
  <c r="F1227" i="23" a="1"/>
  <c r="F1259" i="23" a="1"/>
  <c r="F720" i="23" a="1"/>
  <c r="F1073" i="23" a="1"/>
  <c r="F1182" i="23" a="1"/>
  <c r="F931" i="23" a="1"/>
  <c r="F1151" i="23" a="1"/>
  <c r="F977" i="23" a="1"/>
  <c r="F1317" i="23" a="1"/>
  <c r="F1381" i="23" a="1"/>
  <c r="F1445" i="23" a="1"/>
  <c r="F1370" i="23" a="1"/>
  <c r="F1264" i="23" a="1"/>
  <c r="F1350" i="23" a="1"/>
  <c r="F1414" i="23" a="1"/>
  <c r="F1362" i="23" a="1"/>
  <c r="F1300" i="23" a="1"/>
  <c r="F1367" i="23" a="1"/>
  <c r="F1431" i="23" a="1"/>
  <c r="F1354" i="23" a="1"/>
  <c r="F1331" i="23" a="1"/>
  <c r="F1451" i="23" a="1"/>
  <c r="F1312" i="23" a="1"/>
  <c r="F1376" i="23" a="1"/>
  <c r="F1440" i="23" a="1"/>
  <c r="F1442" i="23" a="1"/>
  <c r="F1403" i="23" a="1"/>
  <c r="F1345" i="23" a="1"/>
  <c r="F880" i="23" a="1"/>
  <c r="F1356" i="23" a="1"/>
  <c r="F1346" i="23" a="1"/>
  <c r="G1185" i="23" a="1"/>
  <c r="G1126" i="23" a="1"/>
  <c r="G1350" i="23" a="1"/>
  <c r="G1067" i="23" a="1"/>
  <c r="G1460" i="23" a="1"/>
  <c r="G954" i="23" a="1"/>
  <c r="G1034" i="23" a="1"/>
  <c r="G1073" i="23" a="1"/>
  <c r="G1105" i="23" a="1"/>
  <c r="G1137" i="23" a="1"/>
  <c r="G1169" i="23" a="1"/>
  <c r="G1201" i="23" a="1"/>
  <c r="G1233" i="23" a="1"/>
  <c r="G1265" i="23" a="1"/>
  <c r="G1297" i="23" a="1"/>
  <c r="G1329" i="23" a="1"/>
  <c r="G1361" i="23" a="1"/>
  <c r="G646" i="23" a="1"/>
  <c r="G817" i="23" a="1"/>
  <c r="G475" i="23" a="1"/>
  <c r="G945" i="23" a="1"/>
  <c r="G1046" i="23" a="1"/>
  <c r="G1078" i="23" a="1"/>
  <c r="G1110" i="23" a="1"/>
  <c r="G1142" i="23" a="1"/>
  <c r="G1174" i="23" a="1"/>
  <c r="G1206" i="23" a="1"/>
  <c r="G1238" i="23" a="1"/>
  <c r="G1270" i="23" a="1"/>
  <c r="G1302" i="23" a="1"/>
  <c r="G1334" i="23" a="1"/>
  <c r="G192" i="23" a="1"/>
  <c r="G994" i="23" a="1"/>
  <c r="G1418" i="23" a="1"/>
  <c r="G1408" i="23" a="1"/>
  <c r="G1431" i="23" a="1"/>
  <c r="G1007" i="23" a="1"/>
  <c r="G1099" i="23" a="1"/>
  <c r="G1163" i="23" a="1"/>
  <c r="G1227" i="23" a="1"/>
  <c r="G1291" i="23" a="1"/>
  <c r="G1355" i="23" a="1"/>
  <c r="G1428" i="23" a="1"/>
  <c r="G1360" i="23" a="1"/>
  <c r="G960" i="23" a="1"/>
  <c r="G1410" i="23" a="1"/>
  <c r="G651" i="23" a="1"/>
  <c r="G1383" i="23" a="1"/>
  <c r="G1447" i="23" a="1"/>
  <c r="G1404" i="23" a="1"/>
  <c r="G1001" i="23" a="1"/>
  <c r="G1411" i="23" a="1"/>
  <c r="G907" i="23" a="1"/>
  <c r="G1047" i="23" a="1"/>
  <c r="G1111" i="23" a="1"/>
  <c r="G1175" i="23" a="1"/>
  <c r="G1239" i="23" a="1"/>
  <c r="G1303" i="23" a="1"/>
  <c r="G1375" i="23" a="1"/>
  <c r="G1439" i="23" a="1"/>
  <c r="G1359" i="23" a="1"/>
  <c r="G1472" i="23" a="1"/>
  <c r="F15" i="23" a="1"/>
  <c r="F47" i="23" a="1"/>
  <c r="F16" i="23" a="1"/>
  <c r="F48" i="23" a="1"/>
  <c r="F80" i="23" a="1"/>
  <c r="F25" i="23" a="1"/>
  <c r="F57" i="23" a="1"/>
  <c r="F75" i="23" a="1"/>
  <c r="F136" i="23" a="1"/>
  <c r="F200" i="23" a="1"/>
  <c r="F264" i="23" a="1"/>
  <c r="F328" i="23" a="1"/>
  <c r="F118" i="23" a="1"/>
  <c r="F182" i="23" a="1"/>
  <c r="F246" i="23" a="1"/>
  <c r="F310" i="23" a="1"/>
  <c r="F358" i="23" a="1"/>
  <c r="F390" i="23" a="1"/>
  <c r="F422" i="23" a="1"/>
  <c r="F86" i="23" a="1"/>
  <c r="F144" i="23" a="1"/>
  <c r="F208" i="23" a="1"/>
  <c r="F272" i="23" a="1"/>
  <c r="F336" i="23" a="1"/>
  <c r="F151" i="23" a="1"/>
  <c r="F215" i="23" a="1"/>
  <c r="F279" i="23" a="1"/>
  <c r="F343" i="23" a="1"/>
  <c r="F375" i="23" a="1"/>
  <c r="F407" i="23" a="1"/>
  <c r="F46" i="23" a="1"/>
  <c r="F120" i="23" a="1"/>
  <c r="F184" i="23" a="1"/>
  <c r="F248" i="23" a="1"/>
  <c r="F312" i="23" a="1"/>
  <c r="F102" i="23" a="1"/>
  <c r="F166" i="23" a="1"/>
  <c r="F230" i="23" a="1"/>
  <c r="F294" i="23" a="1"/>
  <c r="F352" i="23" a="1"/>
  <c r="F384" i="23" a="1"/>
  <c r="F416" i="23" a="1"/>
  <c r="F82" i="23" a="1"/>
  <c r="F147" i="23" a="1"/>
  <c r="F211" i="23" a="1"/>
  <c r="F275" i="23" a="1"/>
  <c r="F339" i="23" a="1"/>
  <c r="F433" i="23" a="1"/>
  <c r="F488" i="23" a="1"/>
  <c r="F531" i="23" a="1"/>
  <c r="F567" i="23" a="1"/>
  <c r="F599" i="23" a="1"/>
  <c r="F110" i="23" a="1"/>
  <c r="F442" i="23" a="1"/>
  <c r="F542" i="23" a="1"/>
  <c r="F435" i="23" a="1"/>
  <c r="F489" i="23" a="1"/>
  <c r="F532" i="23" a="1"/>
  <c r="F568" i="23" a="1"/>
  <c r="F600" i="23" a="1"/>
  <c r="F365" i="23" a="1"/>
  <c r="F490" i="23" a="1"/>
  <c r="F369" i="23" a="1"/>
  <c r="F475" i="23" a="1"/>
  <c r="F517" i="23" a="1"/>
  <c r="F557" i="23" a="1"/>
  <c r="F589" i="23" a="1"/>
  <c r="F238" i="23" a="1"/>
  <c r="F458" i="23" a="1"/>
  <c r="F193" i="23" a="1"/>
  <c r="F446" i="23" a="1"/>
  <c r="F492" i="23" a="1"/>
  <c r="F535" i="23" a="1"/>
  <c r="F570" i="23" a="1"/>
  <c r="F602" i="23" a="1"/>
  <c r="F632" i="23" a="1"/>
  <c r="F696" i="23" a="1"/>
  <c r="F760" i="23" a="1"/>
  <c r="F824" i="23" a="1"/>
  <c r="F888" i="23" a="1"/>
  <c r="F952" i="23" a="1"/>
  <c r="F1016" i="23" a="1"/>
  <c r="F1074" i="23" a="1"/>
  <c r="F148" i="23" a="1"/>
  <c r="F652" i="23" a="1"/>
  <c r="F716" i="23" a="1"/>
  <c r="F780" i="23" a="1"/>
  <c r="F844" i="23" a="1"/>
  <c r="F908" i="23" a="1"/>
  <c r="F972" i="23" a="1"/>
  <c r="F1036" i="23" a="1"/>
  <c r="F1111" i="23" a="1"/>
  <c r="F199" i="23" a="1"/>
  <c r="F685" i="23" a="1"/>
  <c r="F749" i="23" a="1"/>
  <c r="F813" i="23" a="1"/>
  <c r="F877" i="23" a="1"/>
  <c r="F941" i="23" a="1"/>
  <c r="F1005" i="23" a="1"/>
  <c r="F1061" i="23" a="1"/>
  <c r="F1121" i="23" a="1"/>
  <c r="F654" i="23" a="1"/>
  <c r="F718" i="23" a="1"/>
  <c r="F782" i="23" a="1"/>
  <c r="F846" i="23" a="1"/>
  <c r="F910" i="23" a="1"/>
  <c r="F974" i="23" a="1"/>
  <c r="F1038" i="23" a="1"/>
  <c r="F621" i="23" a="1"/>
  <c r="F680" i="23" a="1"/>
  <c r="F744" i="23" a="1"/>
  <c r="F808" i="23" a="1"/>
  <c r="F872" i="23" a="1"/>
  <c r="F936" i="23" a="1"/>
  <c r="F1000" i="23" a="1"/>
  <c r="F1062" i="23" a="1"/>
  <c r="F1122" i="23" a="1"/>
  <c r="F649" i="23" a="1"/>
  <c r="F713" i="23" a="1"/>
  <c r="F777" i="23" a="1"/>
  <c r="F841" i="23" a="1"/>
  <c r="F905" i="23" a="1"/>
  <c r="F969" i="23" a="1"/>
  <c r="F1033" i="23" a="1"/>
  <c r="F1100" i="23" a="1"/>
  <c r="F1148" i="23" a="1"/>
  <c r="F657" i="23" a="1"/>
  <c r="F721" i="23" a="1"/>
  <c r="F785" i="23" a="1"/>
  <c r="F849" i="23" a="1"/>
  <c r="F913" i="23" a="1"/>
  <c r="F932" i="23" a="1"/>
  <c r="F1165" i="23" a="1"/>
  <c r="F1225" i="23" a="1"/>
  <c r="F1257" i="23" a="1"/>
  <c r="F1289" i="23" a="1"/>
  <c r="F797" i="23" a="1"/>
  <c r="F1082" i="23" a="1"/>
  <c r="F1179" i="23" a="1"/>
  <c r="F701" i="23" a="1"/>
  <c r="F1064" i="23" a="1"/>
  <c r="F1210" i="23" a="1"/>
  <c r="F1242" i="23" a="1"/>
  <c r="F1274" i="23" a="1"/>
  <c r="F944" i="23" a="1"/>
  <c r="F1155" i="23" a="1"/>
  <c r="F714" i="23" a="1"/>
  <c r="F1069" i="23" a="1"/>
  <c r="F1188" i="23" a="1"/>
  <c r="F1231" i="23" a="1"/>
  <c r="F1263" i="23" a="1"/>
  <c r="F771" i="23" a="1"/>
  <c r="F1101" i="23" a="1"/>
  <c r="F1195" i="23" a="1"/>
  <c r="F957" i="23" a="1"/>
  <c r="F1158" i="23" a="1"/>
  <c r="F1128" i="23" a="1"/>
  <c r="F1325" i="23" a="1"/>
  <c r="F1389" i="23" a="1"/>
  <c r="F1453" i="23" a="1"/>
  <c r="F1410" i="23" a="1"/>
  <c r="F1288" i="23" a="1"/>
  <c r="F1358" i="23" a="1"/>
  <c r="F1422" i="23" a="1"/>
  <c r="F1418" i="23" a="1"/>
  <c r="F1311" i="23" a="1"/>
  <c r="F1375" i="23" a="1"/>
  <c r="F1439" i="23" a="1"/>
  <c r="F1394" i="23" a="1"/>
  <c r="F1347" i="23" a="1"/>
  <c r="F1465" i="23" a="1"/>
  <c r="F1320" i="23" a="1"/>
  <c r="F1384" i="23" a="1"/>
  <c r="F1448" i="23" a="1"/>
  <c r="F1470" i="23" a="1"/>
  <c r="F1427" i="23" a="1"/>
  <c r="F1276" i="23" a="1"/>
  <c r="F1353" i="23" a="1"/>
  <c r="F1417" i="23" a="1"/>
  <c r="F1402" i="23" a="1"/>
  <c r="F1296" i="23" a="1"/>
  <c r="F1364" i="23" a="1"/>
  <c r="F1428" i="23" a="1"/>
  <c r="F1386" i="23" a="1"/>
  <c r="G1057" i="23" a="1"/>
  <c r="G1249" i="23" a="1"/>
  <c r="G1313" i="23" a="1"/>
  <c r="G145" i="23" a="1"/>
  <c r="G930" i="23" a="1"/>
  <c r="G1018" i="23" a="1"/>
  <c r="G1158" i="23" a="1"/>
  <c r="G1318" i="23" a="1"/>
  <c r="G676" i="23" a="1"/>
  <c r="G1396" i="23" a="1"/>
  <c r="G977" i="23" a="1"/>
  <c r="G1045" i="23" a="1"/>
  <c r="G1077" i="23" a="1"/>
  <c r="G1109" i="23" a="1"/>
  <c r="G1141" i="23" a="1"/>
  <c r="G1173" i="23" a="1"/>
  <c r="G1205" i="23" a="1"/>
  <c r="G1237" i="23" a="1"/>
  <c r="G1269" i="23" a="1"/>
  <c r="G1301" i="23" a="1"/>
  <c r="G1333" i="23" a="1"/>
  <c r="G1365" i="23" a="1"/>
  <c r="G667" i="23" a="1"/>
  <c r="G838" i="23" a="1"/>
  <c r="G571" i="23" a="1"/>
  <c r="G979" i="23" a="1"/>
  <c r="G1050" i="23" a="1"/>
  <c r="G1082" i="23" a="1"/>
  <c r="G1114" i="23" a="1"/>
  <c r="G1146" i="23" a="1"/>
  <c r="G1178" i="23" a="1"/>
  <c r="G1210" i="23" a="1"/>
  <c r="G1242" i="23" a="1"/>
  <c r="G1274" i="23" a="1"/>
  <c r="G1306" i="23" a="1"/>
  <c r="G1338" i="23" a="1"/>
  <c r="G673" i="23" a="1"/>
  <c r="G1019" i="23" a="1"/>
  <c r="G1427" i="23" a="1"/>
  <c r="G1426" i="23" a="1"/>
  <c r="G1454" i="23" a="1"/>
  <c r="G1042" i="23" a="1"/>
  <c r="G1107" i="23" a="1"/>
  <c r="G1171" i="23" a="1"/>
  <c r="G1235" i="23" a="1"/>
  <c r="G1299" i="23" a="1"/>
  <c r="G1367" i="23" a="1"/>
  <c r="G1437" i="23" a="1"/>
  <c r="G1390" i="23" a="1"/>
  <c r="G1010" i="23" a="1"/>
  <c r="G1419" i="23" a="1"/>
  <c r="G779" i="23" a="1"/>
  <c r="G1388" i="23" a="1"/>
  <c r="G1452" i="23" a="1"/>
  <c r="G1436" i="23" a="1"/>
  <c r="G1012" i="23" a="1"/>
  <c r="G1416" i="23" a="1"/>
  <c r="G790" i="23" a="1"/>
  <c r="G1055" i="23" a="1"/>
  <c r="G1119" i="23" a="1"/>
  <c r="G1183" i="23" a="1"/>
  <c r="G1247" i="23" a="1"/>
  <c r="G1311" i="23" a="1"/>
  <c r="G1380" i="23" a="1"/>
  <c r="G1444" i="23" a="1"/>
  <c r="G1376" i="23" a="1"/>
  <c r="G948" i="23" a="1"/>
  <c r="F19" i="23" a="1"/>
  <c r="F51" i="23" a="1"/>
  <c r="F20" i="23" a="1"/>
  <c r="F52" i="23" a="1"/>
  <c r="F84" i="23" a="1"/>
  <c r="F29" i="23" a="1"/>
  <c r="F61" i="23" a="1"/>
  <c r="F83" i="23" a="1"/>
  <c r="F149" i="23" a="1"/>
  <c r="F213" i="23" a="1"/>
  <c r="F277" i="23" a="1"/>
  <c r="F341" i="23" a="1"/>
  <c r="F124" i="23" a="1"/>
  <c r="F188" i="23" a="1"/>
  <c r="F252" i="23" a="1"/>
  <c r="F316" i="23" a="1"/>
  <c r="F362" i="23" a="1"/>
  <c r="F394" i="23" a="1"/>
  <c r="F426" i="23" a="1"/>
  <c r="F93" i="23" a="1"/>
  <c r="F157" i="23" a="1"/>
  <c r="F221" i="23" a="1"/>
  <c r="F285" i="23" a="1"/>
  <c r="F94" i="23" a="1"/>
  <c r="F158" i="23" a="1"/>
  <c r="F222" i="23" a="1"/>
  <c r="F286" i="23" a="1"/>
  <c r="F347" i="23" a="1"/>
  <c r="F379" i="23" a="1"/>
  <c r="F411" i="23" a="1"/>
  <c r="F62" i="23" a="1"/>
  <c r="F133" i="23" a="1"/>
  <c r="F197" i="23" a="1"/>
  <c r="F261" i="23" a="1"/>
  <c r="F325" i="23" a="1"/>
  <c r="F108" i="23" a="1"/>
  <c r="F172" i="23" a="1"/>
  <c r="F236" i="23" a="1"/>
  <c r="F300" i="23" a="1"/>
  <c r="F356" i="23" a="1"/>
  <c r="F388" i="23" a="1"/>
  <c r="F420" i="23" a="1"/>
  <c r="F90" i="23" a="1"/>
  <c r="F154" i="23" a="1"/>
  <c r="F218" i="23" a="1"/>
  <c r="F282" i="23" a="1"/>
  <c r="F103" i="23" a="1"/>
  <c r="F441" i="23" a="1"/>
  <c r="F493" i="23" a="1"/>
  <c r="F536" i="23" a="1"/>
  <c r="F571" i="23" a="1"/>
  <c r="F603" i="23" a="1"/>
  <c r="F161" i="23" a="1"/>
  <c r="F448" i="23" a="1"/>
  <c r="F116" i="23" a="1"/>
  <c r="F443" i="23" a="1"/>
  <c r="F495" i="23" a="1"/>
  <c r="F537" i="23" a="1"/>
  <c r="F572" i="23" a="1"/>
  <c r="F604" i="23" a="1"/>
  <c r="F397" i="23" a="1"/>
  <c r="F506" i="23" a="1"/>
  <c r="F401" i="23" a="1"/>
  <c r="F480" i="23" a="1"/>
  <c r="F523" i="23" a="1"/>
  <c r="F561" i="23" a="1"/>
  <c r="F593" i="23" a="1"/>
  <c r="F289" i="23" a="1"/>
  <c r="F464" i="23" a="1"/>
  <c r="F244" i="23" a="1"/>
  <c r="F452" i="23" a="1"/>
  <c r="F497" i="23" a="1"/>
  <c r="F540" i="23" a="1"/>
  <c r="F574" i="23" a="1"/>
  <c r="F606" i="23" a="1"/>
  <c r="F645" i="23" a="1"/>
  <c r="F709" i="23" a="1"/>
  <c r="F773" i="23" a="1"/>
  <c r="F837" i="23" a="1"/>
  <c r="F901" i="23" a="1"/>
  <c r="F965" i="23" a="1"/>
  <c r="F1029" i="23" a="1"/>
  <c r="F1083" i="23" a="1"/>
  <c r="F440" i="23" a="1"/>
  <c r="F665" i="23" a="1"/>
  <c r="F729" i="23" a="1"/>
  <c r="F793" i="23" a="1"/>
  <c r="F857" i="23" a="1"/>
  <c r="F921" i="23" a="1"/>
  <c r="F985" i="23" a="1"/>
  <c r="F1049" i="23" a="1"/>
  <c r="F1116" i="23" a="1"/>
  <c r="F447" i="23" a="1"/>
  <c r="F691" i="23" a="1"/>
  <c r="F755" i="23" a="1"/>
  <c r="F819" i="23" a="1"/>
  <c r="F883" i="23" a="1"/>
  <c r="F947" i="23" a="1"/>
  <c r="F1011" i="23" a="1"/>
  <c r="F1066" i="23" a="1"/>
  <c r="F1130" i="23" a="1"/>
  <c r="F660" i="23" a="1"/>
  <c r="F724" i="23" a="1"/>
  <c r="F788" i="23" a="1"/>
  <c r="F852" i="23" a="1"/>
  <c r="F916" i="23" a="1"/>
  <c r="F980" i="23" a="1"/>
  <c r="F1044" i="23" a="1"/>
  <c r="F629" i="23" a="1"/>
  <c r="F693" i="23" a="1"/>
  <c r="F757" i="23" a="1"/>
  <c r="F821" i="23" a="1"/>
  <c r="F885" i="23" a="1"/>
  <c r="F949" i="23" a="1"/>
  <c r="F1013" i="23" a="1"/>
  <c r="F1067" i="23" a="1"/>
  <c r="F1131" i="23" a="1"/>
  <c r="F655" i="23" a="1"/>
  <c r="F719" i="23" a="1"/>
  <c r="F783" i="23" a="1"/>
  <c r="F847" i="23" a="1"/>
  <c r="F911" i="23" a="1"/>
  <c r="F975" i="23" a="1"/>
  <c r="F1039" i="23" a="1"/>
  <c r="F1109" i="23" a="1"/>
  <c r="F1152" i="23" a="1"/>
  <c r="F663" i="23" a="1"/>
  <c r="F727" i="23" a="1"/>
  <c r="F791" i="23" a="1"/>
  <c r="F855" i="23" a="1"/>
  <c r="F919" i="23" a="1"/>
  <c r="F958" i="23" a="1"/>
  <c r="F1172" i="23" a="1"/>
  <c r="F1229" i="23" a="1"/>
  <c r="F1261" i="23" a="1"/>
  <c r="F1293" i="23" a="1"/>
  <c r="F848" i="23" a="1"/>
  <c r="F1096" i="23" a="1"/>
  <c r="F1185" i="23" a="1"/>
  <c r="F752" i="23" a="1"/>
  <c r="F1133" i="23" a="1"/>
  <c r="F1214" i="23" a="1"/>
  <c r="F1246" i="23" a="1"/>
  <c r="F1278" i="23" a="1"/>
  <c r="F970" i="23" a="1"/>
  <c r="F1161" i="23" a="1"/>
  <c r="F765" i="23" a="1"/>
  <c r="F1087" i="23" a="1"/>
  <c r="F1194" i="23" a="1"/>
  <c r="F1235" i="23" a="1"/>
  <c r="F1267" i="23" a="1"/>
  <c r="F874" i="23" a="1"/>
  <c r="F1114" i="23" a="1"/>
  <c r="F1201" i="23" a="1"/>
  <c r="F1008" i="23" a="1"/>
  <c r="F1171" i="23" a="1"/>
  <c r="F1189" i="23" a="1"/>
  <c r="F1333" i="23" a="1"/>
  <c r="F1397" i="23" a="1"/>
  <c r="F1460" i="23" a="1"/>
  <c r="F1450" i="23" a="1"/>
  <c r="F1299" i="23" a="1"/>
  <c r="F1366" i="23" a="1"/>
  <c r="F1430" i="23" a="1"/>
  <c r="F1028" i="23" a="1"/>
  <c r="F1319" i="23" a="1"/>
  <c r="F1383" i="23" a="1"/>
  <c r="F1447" i="23" a="1"/>
  <c r="F1426" i="23" a="1"/>
  <c r="F1363" i="23" a="1"/>
  <c r="F778" i="23" a="1"/>
  <c r="F1328" i="23" a="1"/>
  <c r="F1392" i="23" a="1"/>
  <c r="F1456" i="23" a="1"/>
  <c r="F1220" i="23" a="1"/>
  <c r="F1443" i="23" a="1"/>
  <c r="F1292" i="23" a="1"/>
  <c r="F1361" i="23" a="1"/>
  <c r="F1425" i="23" a="1"/>
  <c r="F1458" i="23" a="1"/>
  <c r="F1307" i="23" a="1"/>
  <c r="F1372" i="23" a="1"/>
  <c r="F1436" i="23" a="1"/>
  <c r="F1434" i="23" a="1"/>
  <c r="F1444" i="23" a="1"/>
  <c r="F2" i="23" a="1"/>
  <c r="G1121" i="23" a="1"/>
  <c r="G1094" i="23" a="1"/>
  <c r="G1286" i="23" a="1"/>
  <c r="G1467" i="23" a="1"/>
  <c r="G1195" i="23" a="1"/>
  <c r="G1378" i="23" a="1"/>
  <c r="G985" i="23" a="1"/>
  <c r="G1049" i="23" a="1"/>
  <c r="G1081" i="23" a="1"/>
  <c r="G1113" i="23" a="1"/>
  <c r="G1145" i="23" a="1"/>
  <c r="G1177" i="23" a="1"/>
  <c r="G1209" i="23" a="1"/>
  <c r="G1241" i="23" a="1"/>
  <c r="G1273" i="23" a="1"/>
  <c r="G1305" i="23" a="1"/>
  <c r="G1337" i="23" a="1"/>
  <c r="G1369" i="23" a="1"/>
  <c r="G689" i="23" a="1"/>
  <c r="G857" i="23" a="1"/>
  <c r="G692" i="23" a="1"/>
  <c r="G987" i="23" a="1"/>
  <c r="G1054" i="23" a="1"/>
  <c r="G1086" i="23" a="1"/>
  <c r="G1118" i="23" a="1"/>
  <c r="G1150" i="23" a="1"/>
  <c r="G1182" i="23" a="1"/>
  <c r="G1214" i="23" a="1"/>
  <c r="G1246" i="23" a="1"/>
  <c r="G1278" i="23" a="1"/>
  <c r="G1310" i="23" a="1"/>
  <c r="G1342" i="23" a="1"/>
  <c r="G758" i="23" a="1"/>
  <c r="G1372" i="23" a="1"/>
  <c r="G1432" i="23" a="1"/>
  <c r="G1435" i="23" a="1"/>
  <c r="G223" i="23" a="1"/>
  <c r="G1051" i="23" a="1"/>
  <c r="G1115" i="23" a="1"/>
  <c r="G1179" i="23" a="1"/>
  <c r="G1243" i="23" a="1"/>
  <c r="G1307" i="23" a="1"/>
  <c r="G1382" i="23" a="1"/>
  <c r="G1446" i="23" a="1"/>
  <c r="G1422" i="23" a="1"/>
  <c r="G1356" i="23" a="1"/>
  <c r="G1424" i="23" a="1"/>
  <c r="G833" i="23" a="1"/>
  <c r="G1397" i="23" a="1"/>
  <c r="G1461" i="23" a="1"/>
  <c r="G1468" i="23" a="1"/>
  <c r="G1025" i="23" a="1"/>
  <c r="G1425" i="23" a="1"/>
  <c r="G846" i="23" a="1"/>
  <c r="G1063" i="23" a="1"/>
  <c r="G1127" i="23" a="1"/>
  <c r="G1191" i="23" a="1"/>
  <c r="G1255" i="23" a="1"/>
  <c r="G1319" i="23" a="1"/>
  <c r="G1389" i="23" a="1"/>
  <c r="G1453" i="23" a="1"/>
  <c r="G1385" i="23" a="1"/>
  <c r="G1366" i="23" a="1"/>
  <c r="F23" i="23" a="1"/>
  <c r="F55" i="23" a="1"/>
  <c r="F24" i="23" a="1"/>
  <c r="F56" i="23" a="1"/>
  <c r="F88" i="23" a="1"/>
  <c r="F33" i="23" a="1"/>
  <c r="F65" i="23" a="1"/>
  <c r="F91" i="23" a="1"/>
  <c r="F155" i="23" a="1"/>
  <c r="F219" i="23" a="1"/>
  <c r="F283" i="23" a="1"/>
  <c r="F69" i="23" a="1"/>
  <c r="F137" i="23" a="1"/>
  <c r="F201" i="23" a="1"/>
  <c r="F265" i="23" a="1"/>
  <c r="F329" i="23" a="1"/>
  <c r="F366" i="23" a="1"/>
  <c r="F398" i="23" a="1"/>
  <c r="F10" i="23" a="1"/>
  <c r="F99" i="23" a="1"/>
  <c r="F163" i="23" a="1"/>
  <c r="F227" i="23" a="1"/>
  <c r="F291" i="23" a="1"/>
  <c r="F100" i="23" a="1"/>
  <c r="F164" i="23" a="1"/>
  <c r="F228" i="23" a="1"/>
  <c r="F292" i="23" a="1"/>
  <c r="F351" i="23" a="1"/>
  <c r="F383" i="23" a="1"/>
  <c r="F415" i="23" a="1"/>
  <c r="F71" i="23" a="1"/>
  <c r="F139" i="23" a="1"/>
  <c r="F203" i="23" a="1"/>
  <c r="F267" i="23" a="1"/>
  <c r="F331" i="23" a="1"/>
  <c r="F121" i="23" a="1"/>
  <c r="F185" i="23" a="1"/>
  <c r="F249" i="23" a="1"/>
  <c r="F313" i="23" a="1"/>
  <c r="F360" i="23" a="1"/>
  <c r="F392" i="23" a="1"/>
  <c r="F424" i="23" a="1"/>
  <c r="F96" i="23" a="1"/>
  <c r="F160" i="23" a="1"/>
  <c r="F224" i="23" a="1"/>
  <c r="F288" i="23" a="1"/>
  <c r="F206" i="23" a="1"/>
  <c r="F454" i="23" a="1"/>
  <c r="F499" i="23" a="1"/>
  <c r="F541" i="23" a="1"/>
  <c r="F575" i="23" a="1"/>
  <c r="F607" i="23" a="1"/>
  <c r="F212" i="23" a="1"/>
  <c r="F455" i="23" a="1"/>
  <c r="F167" i="23" a="1"/>
  <c r="F449" i="23" a="1"/>
  <c r="F500" i="23" a="1"/>
  <c r="F543" i="23" a="1"/>
  <c r="F576" i="23" a="1"/>
  <c r="F608" i="23" a="1"/>
  <c r="F428" i="23" a="1"/>
  <c r="F522" i="23" a="1"/>
  <c r="F429" i="23" a="1"/>
  <c r="F485" i="23" a="1"/>
  <c r="F528" i="23" a="1"/>
  <c r="F565" i="23" a="1"/>
  <c r="F597" i="23" a="1"/>
  <c r="F340" i="23" a="1"/>
  <c r="F470" i="23" a="1"/>
  <c r="F295" i="23" a="1"/>
  <c r="F459" i="23" a="1"/>
  <c r="F503" i="23" a="1"/>
  <c r="F545" i="23" a="1"/>
  <c r="F578" i="23" a="1"/>
  <c r="F610" i="23" a="1"/>
  <c r="F651" i="23" a="1"/>
  <c r="F715" i="23" a="1"/>
  <c r="F779" i="23" a="1"/>
  <c r="F843" i="23" a="1"/>
  <c r="F907" i="23" a="1"/>
  <c r="F971" i="23" a="1"/>
  <c r="F1035" i="23" a="1"/>
  <c r="F1088" i="23" a="1"/>
  <c r="F530" i="23" a="1"/>
  <c r="F671" i="23" a="1"/>
  <c r="F735" i="23" a="1"/>
  <c r="F799" i="23" a="1"/>
  <c r="F863" i="23" a="1"/>
  <c r="F927" i="23" a="1"/>
  <c r="F991" i="23" a="1"/>
  <c r="F1060" i="23" a="1"/>
  <c r="F1125" i="23" a="1"/>
  <c r="F634" i="23" a="1"/>
  <c r="F698" i="23" a="1"/>
  <c r="F762" i="23" a="1"/>
  <c r="F826" i="23" a="1"/>
  <c r="F890" i="23" a="1"/>
  <c r="F954" i="23" a="1"/>
  <c r="F1018" i="23" a="1"/>
  <c r="F1075" i="23" a="1"/>
  <c r="F453" i="23" a="1"/>
  <c r="F673" i="23" a="1"/>
  <c r="F737" i="23" a="1"/>
  <c r="F801" i="23" a="1"/>
  <c r="F865" i="23" a="1"/>
  <c r="F929" i="23" a="1"/>
  <c r="F993" i="23" a="1"/>
  <c r="F1056" i="23" a="1"/>
  <c r="F635" i="23" a="1"/>
  <c r="F699" i="23" a="1"/>
  <c r="F763" i="23" a="1"/>
  <c r="F827" i="23" a="1"/>
  <c r="F891" i="23" a="1"/>
  <c r="F955" i="23" a="1"/>
  <c r="F1019" i="23" a="1"/>
  <c r="F1072" i="23" a="1"/>
  <c r="F349" i="23" a="1"/>
  <c r="F662" i="23" a="1"/>
  <c r="F726" i="23" a="1"/>
  <c r="F790" i="23" a="1"/>
  <c r="F854" i="23" a="1"/>
  <c r="F918" i="23" a="1"/>
  <c r="F982" i="23" a="1"/>
  <c r="F1046" i="23" a="1"/>
  <c r="F1118" i="23" a="1"/>
  <c r="F413" i="23" a="1"/>
  <c r="F670" i="23" a="1"/>
  <c r="F734" i="23" a="1"/>
  <c r="F798" i="23" a="1"/>
  <c r="F862" i="23" a="1"/>
  <c r="F381" i="23" a="1"/>
  <c r="F983" i="23" a="1"/>
  <c r="F1178" i="23" a="1"/>
  <c r="F1233" i="23" a="1"/>
  <c r="F1265" i="23" a="1"/>
  <c r="F1297" i="23" a="1"/>
  <c r="F899" i="23" a="1"/>
  <c r="F1108" i="23" a="1"/>
  <c r="F1192" i="23" a="1"/>
  <c r="F803" i="23" a="1"/>
  <c r="F1154" i="23" a="1"/>
  <c r="F1218" i="23" a="1"/>
  <c r="F1250" i="23" a="1"/>
  <c r="F1282" i="23" a="1"/>
  <c r="F995" i="23" a="1"/>
  <c r="F1168" i="23" a="1"/>
  <c r="F816" i="23" a="1"/>
  <c r="F1124" i="23" a="1"/>
  <c r="F1206" i="23" a="1"/>
  <c r="F1239" i="23" a="1"/>
  <c r="F1271" i="23" a="1"/>
  <c r="F925" i="23" a="1"/>
  <c r="F1126" i="23" a="1"/>
  <c r="F1207" i="23" a="1"/>
  <c r="F1034" i="23" a="1"/>
  <c r="F1177" i="23" a="1"/>
  <c r="F1228" i="23" a="1"/>
  <c r="F1341" i="23" a="1"/>
  <c r="F1405" i="23" a="1"/>
  <c r="F1467" i="23" a="1"/>
  <c r="F926" i="23" a="1"/>
  <c r="F1310" i="23" a="1"/>
  <c r="F1374" i="23" a="1"/>
  <c r="F1438" i="23" a="1"/>
  <c r="F1149" i="23" a="1"/>
  <c r="F1327" i="23" a="1"/>
  <c r="F1391" i="23" a="1"/>
  <c r="F1455" i="23" a="1"/>
  <c r="F1464" i="23" a="1"/>
  <c r="F1379" i="23" a="1"/>
  <c r="F1157" i="23" a="1"/>
  <c r="F1336" i="23" a="1"/>
  <c r="F1400" i="23" a="1"/>
  <c r="F1463" i="23" a="1"/>
  <c r="F1323" i="23" a="1"/>
  <c r="F1459" i="23" a="1"/>
  <c r="F1303" i="23" a="1"/>
  <c r="F1369" i="23" a="1"/>
  <c r="F1433" i="23" a="1"/>
  <c r="F1252" i="23" a="1"/>
  <c r="F1316" i="23" a="1"/>
  <c r="F1380" i="23" a="1"/>
  <c r="F1103" i="23" a="1"/>
  <c r="G1089" i="23" a="1"/>
  <c r="G1222" i="23" a="1"/>
  <c r="G1386" i="23" a="1"/>
  <c r="G1323" i="23" a="1"/>
  <c r="G992" i="23" a="1"/>
  <c r="G1053" i="23" a="1"/>
  <c r="G1085" i="23" a="1"/>
  <c r="G1117" i="23" a="1"/>
  <c r="G1149" i="23" a="1"/>
  <c r="G1181" i="23" a="1"/>
  <c r="G1213" i="23" a="1"/>
  <c r="G1245" i="23" a="1"/>
  <c r="G1277" i="23" a="1"/>
  <c r="G1309" i="23" a="1"/>
  <c r="G1341" i="23" a="1"/>
  <c r="G1373" i="23" a="1"/>
  <c r="G710" i="23" a="1"/>
  <c r="G875" i="23" a="1"/>
  <c r="G756" i="23" a="1"/>
  <c r="G1006" i="23" a="1"/>
  <c r="G1058" i="23" a="1"/>
  <c r="G1090" i="23" a="1"/>
  <c r="G1122" i="23" a="1"/>
  <c r="G1154" i="23" a="1"/>
  <c r="G1186" i="23" a="1"/>
  <c r="G1218" i="23" a="1"/>
  <c r="G1250" i="23" a="1"/>
  <c r="G1282" i="23" a="1"/>
  <c r="G1314" i="23" a="1"/>
  <c r="G1346" i="23" a="1"/>
  <c r="G811" i="23" a="1"/>
  <c r="G1377" i="23" a="1"/>
  <c r="G1441" i="23" a="1"/>
  <c r="G1449" i="23" a="1"/>
  <c r="G539" i="23" a="1"/>
  <c r="G1059" i="23" a="1"/>
  <c r="G1123" i="23" a="1"/>
  <c r="G1187" i="23" a="1"/>
  <c r="G1251" i="23" a="1"/>
  <c r="G1315" i="23" a="1"/>
  <c r="G1391" i="23" a="1"/>
  <c r="G1455" i="23" a="1"/>
  <c r="G1463" i="23" a="1"/>
  <c r="G1368" i="23" a="1"/>
  <c r="G1433" i="23" a="1"/>
  <c r="G965" i="23" a="1"/>
  <c r="G1406" i="23" a="1"/>
  <c r="G1470" i="23" a="1"/>
  <c r="G422" i="23" a="1"/>
  <c r="G1364" i="23" a="1"/>
  <c r="G1434" i="23" a="1"/>
  <c r="G898" i="23" a="1"/>
  <c r="G1071" i="23" a="1"/>
  <c r="G1135" i="23" a="1"/>
  <c r="G1199" i="23" a="1"/>
  <c r="G1263" i="23" a="1"/>
  <c r="G1327" i="23" a="1"/>
  <c r="G1398" i="23" a="1"/>
  <c r="G1462" i="23" a="1"/>
  <c r="G1394" i="23" a="1"/>
  <c r="G1413" i="23" a="1"/>
  <c r="F27" i="23" a="1"/>
  <c r="F59" i="23" a="1"/>
  <c r="F28" i="23" a="1"/>
  <c r="F60" i="23" a="1"/>
  <c r="F5" i="23" a="1"/>
  <c r="F37" i="23" a="1"/>
  <c r="F6" i="23" a="1"/>
  <c r="F98" i="23" a="1"/>
  <c r="F162" i="23" a="1"/>
  <c r="F226" i="23" a="1"/>
  <c r="F290" i="23" a="1"/>
  <c r="F77" i="23" a="1"/>
  <c r="F143" i="23" a="1"/>
  <c r="F207" i="23" a="1"/>
  <c r="F271" i="23" a="1"/>
  <c r="F335" i="23" a="1"/>
  <c r="F370" i="23" a="1"/>
  <c r="F402" i="23" a="1"/>
  <c r="F26" i="23" a="1"/>
  <c r="F106" i="23" a="1"/>
  <c r="F170" i="23" a="1"/>
  <c r="F234" i="23" a="1"/>
  <c r="F298" i="23" a="1"/>
  <c r="F113" i="23" a="1"/>
  <c r="F177" i="23" a="1"/>
  <c r="F241" i="23" a="1"/>
  <c r="F305" i="23" a="1"/>
  <c r="F355" i="23" a="1"/>
  <c r="F387" i="23" a="1"/>
  <c r="F419" i="23" a="1"/>
  <c r="F79" i="23" a="1"/>
  <c r="F146" i="23" a="1"/>
  <c r="F210" i="23" a="1"/>
  <c r="F274" i="23" a="1"/>
  <c r="F338" i="23" a="1"/>
  <c r="F127" i="23" a="1"/>
  <c r="F191" i="23" a="1"/>
  <c r="F255" i="23" a="1"/>
  <c r="F319" i="23" a="1"/>
  <c r="F364" i="23" a="1"/>
  <c r="F396" i="23" a="1"/>
  <c r="F18" i="23" a="1"/>
  <c r="F109" i="23" a="1"/>
  <c r="F173" i="23" a="1"/>
  <c r="F237" i="23" a="1"/>
  <c r="F301" i="23" a="1"/>
  <c r="F257" i="23" a="1"/>
  <c r="F460" i="23" a="1"/>
  <c r="F504" i="23" a="1"/>
  <c r="F547" i="23" a="1"/>
  <c r="F579" i="23" a="1"/>
  <c r="F611" i="23" a="1"/>
  <c r="F263" i="23" a="1"/>
  <c r="F461" i="23" a="1"/>
  <c r="F270" i="23" a="1"/>
  <c r="F462" i="23" a="1"/>
  <c r="F505" i="23" a="1"/>
  <c r="F548" i="23" a="1"/>
  <c r="F580" i="23" a="1"/>
  <c r="F612" i="23" a="1"/>
  <c r="F436" i="23" a="1"/>
  <c r="F538" i="23" a="1"/>
  <c r="F437" i="23" a="1"/>
  <c r="F491" i="23" a="1"/>
  <c r="F533" i="23" a="1"/>
  <c r="F569" i="23" a="1"/>
  <c r="F601" i="23" a="1"/>
  <c r="F373" i="23" a="1"/>
  <c r="F486" i="23" a="1"/>
  <c r="F345" i="23" a="1"/>
  <c r="F465" i="23" a="1"/>
  <c r="F508" i="23" a="1"/>
  <c r="F550" i="23" a="1"/>
  <c r="F582" i="23" a="1"/>
  <c r="F97" i="23" a="1"/>
  <c r="F658" i="23" a="1"/>
  <c r="F722" i="23" a="1"/>
  <c r="F786" i="23" a="1"/>
  <c r="F850" i="23" a="1"/>
  <c r="F914" i="23" a="1"/>
  <c r="F978" i="23" a="1"/>
  <c r="F1042" i="23" a="1"/>
  <c r="F1097" i="23" a="1"/>
  <c r="F618" i="23" a="1"/>
  <c r="F678" i="23" a="1"/>
  <c r="F742" i="23" a="1"/>
  <c r="F806" i="23" a="1"/>
  <c r="F870" i="23" a="1"/>
  <c r="F934" i="23" a="1"/>
  <c r="F998" i="23" a="1"/>
  <c r="F1070" i="23" a="1"/>
  <c r="F1134" i="23" a="1"/>
  <c r="F640" i="23" a="1"/>
  <c r="F704" i="23" a="1"/>
  <c r="F768" i="23" a="1"/>
  <c r="F832" i="23" a="1"/>
  <c r="F896" i="23" a="1"/>
  <c r="F960" i="23" a="1"/>
  <c r="F1024" i="23" a="1"/>
  <c r="F1080" i="23" a="1"/>
  <c r="F498" i="23" a="1"/>
  <c r="F679" i="23" a="1"/>
  <c r="F743" i="23" a="1"/>
  <c r="F807" i="23" a="1"/>
  <c r="F871" i="23" a="1"/>
  <c r="F935" i="23" a="1"/>
  <c r="F999" i="23" a="1"/>
  <c r="F1071" i="23" a="1"/>
  <c r="F642" i="23" a="1"/>
  <c r="F706" i="23" a="1"/>
  <c r="F770" i="23" a="1"/>
  <c r="F834" i="23" a="1"/>
  <c r="F898" i="23" a="1"/>
  <c r="F962" i="23" a="1"/>
  <c r="F1026" i="23" a="1"/>
  <c r="F1081" i="23" a="1"/>
  <c r="F466" i="23" a="1"/>
  <c r="F668" i="23" a="1"/>
  <c r="F732" i="23" a="1"/>
  <c r="F796" i="23" a="1"/>
  <c r="F860" i="23" a="1"/>
  <c r="F924" i="23" a="1"/>
  <c r="F988" i="23" a="1"/>
  <c r="F1052" i="23" a="1"/>
  <c r="F1127" i="23" a="1"/>
  <c r="F616" i="23" a="1"/>
  <c r="F676" i="23" a="1"/>
  <c r="F740" i="23" a="1"/>
  <c r="F804" i="23" a="1"/>
  <c r="F868" i="23" a="1"/>
  <c r="F637" i="23" a="1"/>
  <c r="F1009" i="23" a="1"/>
  <c r="F1191" i="23" a="1"/>
  <c r="F1237" i="23" a="1"/>
  <c r="F1269" i="23" a="1"/>
  <c r="F1301" i="23" a="1"/>
  <c r="F938" i="23" a="1"/>
  <c r="F1119" i="23" a="1"/>
  <c r="F1198" i="23" a="1"/>
  <c r="F906" i="23" a="1"/>
  <c r="F1167" i="23" a="1"/>
  <c r="F1222" i="23" a="1"/>
  <c r="F1254" i="23" a="1"/>
  <c r="F656" i="23" a="1"/>
  <c r="F1021" i="23" a="1"/>
  <c r="F1174" i="23" a="1"/>
  <c r="F867" i="23" a="1"/>
  <c r="F1147" i="23" a="1"/>
  <c r="F1211" i="23" a="1"/>
  <c r="F1243" i="23" a="1"/>
  <c r="F1275" i="23" a="1"/>
  <c r="F976" i="23" a="1"/>
  <c r="F1137" i="23" a="1"/>
  <c r="F682" i="23" a="1"/>
  <c r="F1058" i="23" a="1"/>
  <c r="F1184" i="23" a="1"/>
  <c r="F1260" i="23" a="1"/>
  <c r="F1349" i="23" a="1"/>
  <c r="F1413" i="23" a="1"/>
  <c r="F1472" i="23" a="1"/>
  <c r="F675" i="23" a="1"/>
  <c r="F1318" i="23" a="1"/>
  <c r="F1382" i="23" a="1"/>
  <c r="F1446" i="23" a="1"/>
  <c r="F1202" i="23" a="1"/>
  <c r="F1335" i="23" a="1"/>
  <c r="F1399" i="23" a="1"/>
  <c r="F1462" i="23" a="1"/>
  <c r="F1284" i="23" a="1"/>
  <c r="F1395" i="23" a="1"/>
  <c r="F1240" i="23" a="1"/>
  <c r="F1344" i="23" a="1"/>
  <c r="F1408" i="23" a="1"/>
  <c r="F1091" i="23" a="1"/>
  <c r="F1339" i="23" a="1"/>
  <c r="F1471" i="23" a="1"/>
  <c r="F1313" i="23" a="1"/>
  <c r="F1377" i="23" a="1"/>
  <c r="F1441" i="23" a="1"/>
  <c r="F951" i="23" a="1"/>
  <c r="F1324" i="23" a="1"/>
  <c r="F1388" i="23" a="1"/>
  <c r="F1452" i="23" a="1"/>
  <c r="G998" i="23" a="1"/>
  <c r="G1190" i="23" a="1"/>
  <c r="G1450" i="23" a="1"/>
  <c r="G1259" i="23" a="1"/>
  <c r="G1004" i="23" a="1"/>
  <c r="G1285" i="23" a="1"/>
  <c r="G1066" i="23" a="1"/>
  <c r="G1322" i="23" a="1"/>
  <c r="G1139" i="23" a="1"/>
  <c r="G1387" i="23" a="1"/>
  <c r="G804" i="23" a="1"/>
  <c r="G972" i="23" a="1"/>
  <c r="G1279" i="23" a="1"/>
  <c r="G1417" i="23" a="1"/>
  <c r="F36" i="23" a="1"/>
  <c r="F38" i="23" a="1"/>
  <c r="F309" i="23" a="1"/>
  <c r="F284" i="23" a="1"/>
  <c r="F58" i="23" a="1"/>
  <c r="F317" i="23" a="1"/>
  <c r="F318" i="23" a="1"/>
  <c r="F101" i="23" a="1"/>
  <c r="F81" i="23" a="1"/>
  <c r="F332" i="23" a="1"/>
  <c r="F122" i="23" a="1"/>
  <c r="F353" i="23" a="1"/>
  <c r="F587" i="23" a="1"/>
  <c r="F361" i="23" a="1"/>
  <c r="F588" i="23" a="1"/>
  <c r="F451" i="23" a="1"/>
  <c r="F609" i="23" a="1"/>
  <c r="F476" i="23" a="1"/>
  <c r="F482" i="23" a="1"/>
  <c r="F869" i="23" a="1"/>
  <c r="F1115" i="23" a="1"/>
  <c r="F825" i="23" a="1"/>
  <c r="F1084" i="23" a="1"/>
  <c r="F787" i="23" a="1"/>
  <c r="F1043" i="23" a="1"/>
  <c r="F756" i="23" a="1"/>
  <c r="F1012" i="23" a="1"/>
  <c r="F789" i="23" a="1"/>
  <c r="F1045" i="23" a="1"/>
  <c r="F751" i="23" a="1"/>
  <c r="F1007" i="23" a="1"/>
  <c r="F695" i="23" a="1"/>
  <c r="F739" i="23" a="1"/>
  <c r="F1277" i="23" a="1"/>
  <c r="F1209" i="23" a="1"/>
  <c r="F1262" i="23" a="1"/>
  <c r="F996" i="23" a="1"/>
  <c r="F1283" i="23" a="1"/>
  <c r="F1105" i="23" a="1"/>
  <c r="F1429" i="23" a="1"/>
  <c r="F1398" i="23" a="1"/>
  <c r="F1415" i="23" a="1"/>
  <c r="F1291" i="23" a="1"/>
  <c r="F1371" i="23" a="1"/>
  <c r="F1457" i="23" a="1"/>
  <c r="F1248" i="23" a="1"/>
  <c r="F1169" i="23" a="1"/>
  <c r="F1424" i="23" a="1"/>
  <c r="G1189" i="23" a="1"/>
  <c r="G1471" i="23" a="1"/>
  <c r="F406" i="23" a="1"/>
  <c r="F262" i="23" a="1"/>
  <c r="F552" i="23" a="1"/>
  <c r="F586" i="23" a="1"/>
  <c r="F717" i="23" a="1"/>
  <c r="F681" i="23" a="1"/>
  <c r="F1241" i="23" a="1"/>
  <c r="F1247" i="23" a="1"/>
  <c r="F1343" i="23" a="1"/>
  <c r="F1396" i="23" a="1"/>
  <c r="F311" i="23" a="1"/>
  <c r="F73" i="23" a="1"/>
  <c r="F584" i="23" a="1"/>
  <c r="F856" i="23" a="1"/>
  <c r="F750" i="23" a="1"/>
  <c r="F688" i="23" a="1"/>
  <c r="F1279" i="23" a="1"/>
  <c r="F1272" i="23" a="1"/>
  <c r="G1061" i="23" a="1"/>
  <c r="G1317" i="23" a="1"/>
  <c r="G1098" i="23" a="1"/>
  <c r="G1354" i="23" a="1"/>
  <c r="G1203" i="23" a="1"/>
  <c r="G1442" i="23" a="1"/>
  <c r="G715" i="23" a="1"/>
  <c r="G1079" i="23" a="1"/>
  <c r="G1335" i="23" a="1"/>
  <c r="G1445" i="23" a="1"/>
  <c r="F64" i="23" a="1"/>
  <c r="F104" i="23" a="1"/>
  <c r="F85" i="23" a="1"/>
  <c r="F342" i="23" a="1"/>
  <c r="F112" i="23" a="1"/>
  <c r="F119" i="23" a="1"/>
  <c r="F359" i="23" a="1"/>
  <c r="F152" i="23" a="1"/>
  <c r="F134" i="23" a="1"/>
  <c r="F368" i="23" a="1"/>
  <c r="F179" i="23" a="1"/>
  <c r="F467" i="23" a="1"/>
  <c r="F615" i="23" a="1"/>
  <c r="F468" i="23" a="1"/>
  <c r="F174" i="23" a="1"/>
  <c r="F496" i="23" a="1"/>
  <c r="F405" i="23" a="1"/>
  <c r="F513" i="23" a="1"/>
  <c r="F664" i="23" a="1"/>
  <c r="F920" i="23" a="1"/>
  <c r="F626" i="23" a="1"/>
  <c r="F876" i="23" a="1"/>
  <c r="F1138" i="23" a="1"/>
  <c r="F845" i="23" a="1"/>
  <c r="F1089" i="23" a="1"/>
  <c r="F814" i="23" a="1"/>
  <c r="F1076" i="23" a="1"/>
  <c r="F840" i="23" a="1"/>
  <c r="F1090" i="23" a="1"/>
  <c r="F809" i="23" a="1"/>
  <c r="F1068" i="23" a="1"/>
  <c r="F753" i="23" a="1"/>
  <c r="F1078" i="23" a="1"/>
  <c r="F1305" i="23" a="1"/>
  <c r="F964" i="23" a="1"/>
  <c r="F707" i="23" a="1"/>
  <c r="F1156" i="23" a="1"/>
  <c r="F1002" i="23" a="1"/>
  <c r="F1190" i="23" a="1"/>
  <c r="F1280" i="23" a="1"/>
  <c r="F1454" i="23" a="1"/>
  <c r="F1468" i="23" a="1"/>
  <c r="F1352" i="23" a="1"/>
  <c r="F829" i="23" a="1"/>
  <c r="F1183" i="23" a="1"/>
  <c r="F1180" i="23" a="1"/>
  <c r="F1268" i="23" a="1"/>
  <c r="G177" i="23" a="1"/>
  <c r="G1207" i="23" a="1"/>
  <c r="F214" i="23" a="1"/>
  <c r="F280" i="23" a="1"/>
  <c r="F551" i="23" a="1"/>
  <c r="F573" i="23" a="1"/>
  <c r="F1048" i="23" a="1"/>
  <c r="F686" i="23" a="1"/>
  <c r="F968" i="23" a="1"/>
  <c r="G1093" i="23" a="1"/>
  <c r="G1349" i="23" a="1"/>
  <c r="G1130" i="23" a="1"/>
  <c r="G916" i="23" a="1"/>
  <c r="G1267" i="23" a="1"/>
  <c r="G1451" i="23" a="1"/>
  <c r="G843" i="23" a="1"/>
  <c r="G1087" i="23" a="1"/>
  <c r="G1343" i="23" a="1"/>
  <c r="F3" i="23" a="1"/>
  <c r="F68" i="23" a="1"/>
  <c r="F117" i="23" a="1"/>
  <c r="F92" i="23" a="1"/>
  <c r="F346" i="23" a="1"/>
  <c r="F125" i="23" a="1"/>
  <c r="F126" i="23" a="1"/>
  <c r="F363" i="23" a="1"/>
  <c r="F165" i="23" a="1"/>
  <c r="F140" i="23" a="1"/>
  <c r="F372" i="23" a="1"/>
  <c r="F186" i="23" a="1"/>
  <c r="F472" i="23" a="1"/>
  <c r="F619" i="23" a="1"/>
  <c r="F473" i="23" a="1"/>
  <c r="F225" i="23" a="1"/>
  <c r="F501" i="23" a="1"/>
  <c r="F430" i="23" a="1"/>
  <c r="F519" i="23" a="1"/>
  <c r="F677" i="23" a="1"/>
  <c r="F933" i="23" a="1"/>
  <c r="F633" i="23" a="1"/>
  <c r="F889" i="23" a="1"/>
  <c r="F1142" i="23" a="1"/>
  <c r="F851" i="23" a="1"/>
  <c r="F1098" i="23" a="1"/>
  <c r="F820" i="23" a="1"/>
  <c r="F1085" i="23" a="1"/>
  <c r="F853" i="23" a="1"/>
  <c r="F1099" i="23" a="1"/>
  <c r="F815" i="23" a="1"/>
  <c r="F1077" i="23" a="1"/>
  <c r="F759" i="23" a="1"/>
  <c r="F1094" i="23" a="1"/>
  <c r="F1309" i="23" a="1"/>
  <c r="F990" i="23" a="1"/>
  <c r="F810" i="23" a="1"/>
  <c r="F1162" i="23" a="1"/>
  <c r="F1027" i="23" a="1"/>
  <c r="F1203" i="23" a="1"/>
  <c r="F1294" i="23" a="1"/>
  <c r="F1461" i="23" a="1"/>
  <c r="F1216" i="23" a="1"/>
  <c r="F1360" i="23" a="1"/>
  <c r="F1164" i="23" a="1"/>
  <c r="F1224" i="23" a="1"/>
  <c r="F989" i="23" a="1"/>
  <c r="F1306" i="23" a="1"/>
  <c r="G1226" i="23" a="1"/>
  <c r="F63" i="23" a="1"/>
  <c r="F240" i="23" a="1"/>
  <c r="F34" i="23" a="1"/>
  <c r="F129" i="23" a="1"/>
  <c r="F748" i="23" a="1"/>
  <c r="F942" i="23" a="1"/>
  <c r="F624" i="23" a="1"/>
  <c r="F1226" i="23" a="1"/>
  <c r="F1357" i="23" a="1"/>
  <c r="F1304" i="23" a="1"/>
  <c r="F278" i="23" a="1"/>
  <c r="F308" i="23" a="1"/>
  <c r="F471" i="23" a="1"/>
  <c r="F1079" i="23" a="1"/>
  <c r="F1006" i="23" a="1"/>
  <c r="F1001" i="23" a="1"/>
  <c r="F1258" i="23" a="1"/>
  <c r="F1390" i="23" a="1"/>
  <c r="G1125" i="23" a="1"/>
  <c r="G324" i="23" a="1"/>
  <c r="G1162" i="23" a="1"/>
  <c r="G1395" i="23" a="1"/>
  <c r="G1331" i="23" a="1"/>
  <c r="G986" i="23" a="1"/>
  <c r="G1379" i="23" a="1"/>
  <c r="G1143" i="23" a="1"/>
  <c r="G1407" i="23" a="1"/>
  <c r="F31" i="23" a="1"/>
  <c r="F9" i="23" a="1"/>
  <c r="F168" i="23" a="1"/>
  <c r="F150" i="23" a="1"/>
  <c r="F374" i="23" a="1"/>
  <c r="F176" i="23" a="1"/>
  <c r="F183" i="23" a="1"/>
  <c r="F391" i="23" a="1"/>
  <c r="F216" i="23" a="1"/>
  <c r="F198" i="23" a="1"/>
  <c r="F400" i="23" a="1"/>
  <c r="F243" i="23" a="1"/>
  <c r="F509" i="23" a="1"/>
  <c r="F357" i="23" a="1"/>
  <c r="F511" i="23" a="1"/>
  <c r="F450" i="23" a="1"/>
  <c r="F539" i="23" a="1"/>
  <c r="F502" i="23" a="1"/>
  <c r="F554" i="23" a="1"/>
  <c r="F728" i="23" a="1"/>
  <c r="F984" i="23" a="1"/>
  <c r="F684" i="23" a="1"/>
  <c r="F940" i="23" a="1"/>
  <c r="F653" i="23" a="1"/>
  <c r="F909" i="23" a="1"/>
  <c r="F620" i="23" a="1"/>
  <c r="F878" i="23" a="1"/>
  <c r="F648" i="23" a="1"/>
  <c r="F904" i="23" a="1"/>
  <c r="F614" i="23" a="1"/>
  <c r="F873" i="23" a="1"/>
  <c r="F1132" i="23" a="1"/>
  <c r="F817" i="23" a="1"/>
  <c r="F1197" i="23" a="1"/>
  <c r="F963" i="23" a="1"/>
  <c r="F1173" i="23" a="1"/>
  <c r="F1110" i="23" a="1"/>
  <c r="F1215" i="23" a="1"/>
  <c r="F1163" i="23" a="1"/>
  <c r="F1287" i="23" a="1"/>
  <c r="F1139" i="23" a="1"/>
  <c r="F1236" i="23" a="1"/>
  <c r="F1295" i="23" a="1"/>
  <c r="F1416" i="23" a="1"/>
  <c r="F1321" i="23" a="1"/>
  <c r="F1332" i="23" a="1"/>
  <c r="F1219" i="23" a="1"/>
  <c r="F1196" i="23" a="1"/>
  <c r="F1329" i="23" a="1"/>
  <c r="G993" i="23" a="1"/>
  <c r="G1443" i="23" a="1"/>
  <c r="F232" i="23" a="1"/>
  <c r="F423" i="23" a="1"/>
  <c r="F478" i="23" a="1"/>
  <c r="F792" i="23" a="1"/>
  <c r="F973" i="23" a="1"/>
  <c r="F937" i="23" a="1"/>
  <c r="F1143" i="23" a="1"/>
  <c r="F733" i="23" a="1"/>
  <c r="F1411" i="23" a="1"/>
  <c r="F296" i="23" a="1"/>
  <c r="F115" i="23" a="1"/>
  <c r="F444" i="23" a="1"/>
  <c r="F1106" i="23" a="1"/>
  <c r="F781" i="23" a="1"/>
  <c r="F745" i="23" a="1"/>
  <c r="F1204" i="23" a="1"/>
  <c r="F1421" i="23" a="1"/>
  <c r="F1449" i="23" a="1"/>
  <c r="G1157" i="23" a="1"/>
  <c r="G753" i="23" a="1"/>
  <c r="G1194" i="23" a="1"/>
  <c r="G1459" i="23" a="1"/>
  <c r="G1405" i="23" a="1"/>
  <c r="G1011" i="23" a="1"/>
  <c r="G1384" i="23" a="1"/>
  <c r="G1151" i="23" a="1"/>
  <c r="G1412" i="23" a="1"/>
  <c r="F35" i="23" a="1"/>
  <c r="F13" i="23" a="1"/>
  <c r="F181" i="23" a="1"/>
  <c r="F156" i="23" a="1"/>
  <c r="F378" i="23" a="1"/>
  <c r="F189" i="23" a="1"/>
  <c r="F190" i="23" a="1"/>
  <c r="F395" i="23" a="1"/>
  <c r="F229" i="23" a="1"/>
  <c r="F204" i="23" a="1"/>
  <c r="F404" i="23" a="1"/>
  <c r="F250" i="23" a="1"/>
  <c r="F515" i="23" a="1"/>
  <c r="F389" i="23" a="1"/>
  <c r="F516" i="23" a="1"/>
  <c r="F456" i="23" a="1"/>
  <c r="F544" i="23" a="1"/>
  <c r="F518" i="23" a="1"/>
  <c r="F558" i="23" a="1"/>
  <c r="F741" i="23" a="1"/>
  <c r="F997" i="23" a="1"/>
  <c r="F697" i="23" a="1"/>
  <c r="F953" i="23" a="1"/>
  <c r="F659" i="23" a="1"/>
  <c r="F915" i="23" a="1"/>
  <c r="F628" i="23" a="1"/>
  <c r="F884" i="23" a="1"/>
  <c r="F661" i="23" a="1"/>
  <c r="F917" i="23" a="1"/>
  <c r="F622" i="23" a="1"/>
  <c r="F879" i="23" a="1"/>
  <c r="F1136" i="23" a="1"/>
  <c r="F823" i="23" a="1"/>
  <c r="F1213" i="23" a="1"/>
  <c r="F1123" i="23" a="1"/>
  <c r="F1298" i="23" a="1"/>
  <c r="F1340" i="23" a="1"/>
  <c r="G1469" i="23" a="1"/>
  <c r="G1415" i="23" a="1"/>
  <c r="F41" i="23" a="1"/>
  <c r="F247" i="23" a="1"/>
  <c r="F307" i="23" a="1"/>
  <c r="F377" i="23" a="1"/>
  <c r="F1004" i="23" a="1"/>
  <c r="F712" i="23" a="1"/>
  <c r="F881" i="23" a="1"/>
  <c r="F1187" i="23" a="1"/>
  <c r="F1326" i="23" a="1"/>
  <c r="F1385" i="23" a="1"/>
  <c r="F42" i="23" a="1"/>
  <c r="F583" i="23" a="1"/>
  <c r="F432" i="23" a="1"/>
  <c r="F1037" i="23" a="1"/>
  <c r="F1032" i="23" a="1"/>
  <c r="F1273" i="23" a="1"/>
  <c r="F1092" i="23" a="1"/>
  <c r="F1355" i="23" a="1"/>
  <c r="G1221" i="23" a="1"/>
  <c r="G878" i="23" a="1"/>
  <c r="G1258" i="23" a="1"/>
  <c r="G822" i="23" a="1"/>
  <c r="G354" i="23" a="1"/>
  <c r="G1420" i="23" a="1"/>
  <c r="G1448" i="23" a="1"/>
  <c r="G1215" i="23" a="1"/>
  <c r="G901" i="23" a="1"/>
  <c r="F4" i="23" a="1"/>
  <c r="F45" i="23" a="1"/>
  <c r="F245" i="23" a="1"/>
  <c r="F220" i="23" a="1"/>
  <c r="F410" i="23" a="1"/>
  <c r="F253" i="23" a="1"/>
  <c r="F254" i="23" a="1"/>
  <c r="F427" i="23" a="1"/>
  <c r="F293" i="23" a="1"/>
  <c r="F268" i="23" a="1"/>
  <c r="F50" i="23" a="1"/>
  <c r="F314" i="23" a="1"/>
  <c r="F555" i="23" a="1"/>
  <c r="F494" i="23" a="1"/>
  <c r="F556" i="23" a="1"/>
  <c r="F180" i="23" a="1"/>
  <c r="F577" i="23" a="1"/>
  <c r="F409" i="23" a="1"/>
  <c r="F590" i="23" a="1"/>
  <c r="F805" i="23" a="1"/>
  <c r="F1054" i="23" a="1"/>
  <c r="F761" i="23" a="1"/>
  <c r="F1017" i="23" a="1"/>
  <c r="F723" i="23" a="1"/>
  <c r="F979" i="23" a="1"/>
  <c r="F692" i="23" a="1"/>
  <c r="F948" i="23" a="1"/>
  <c r="F725" i="23" a="1"/>
  <c r="F981" i="23" a="1"/>
  <c r="F687" i="23" a="1"/>
  <c r="F943" i="23" a="1"/>
  <c r="F631" i="23" a="1"/>
  <c r="F887" i="23" a="1"/>
  <c r="F1245" i="23" a="1"/>
  <c r="F1153" i="23" a="1"/>
  <c r="F1230" i="23" a="1"/>
  <c r="F1193" i="23" a="1"/>
  <c r="F1251" i="23" a="1"/>
  <c r="F784" i="23" a="1"/>
  <c r="F1365" i="23" a="1"/>
  <c r="F1334" i="23" a="1"/>
  <c r="F1351" i="23" a="1"/>
  <c r="F1419" i="23" a="1"/>
  <c r="F1338" i="23" a="1"/>
  <c r="F1393" i="23" a="1"/>
  <c r="F1404" i="23" a="1"/>
  <c r="G1253" i="23" a="1"/>
  <c r="G1024" i="23" a="1"/>
  <c r="G1290" i="23" a="1"/>
  <c r="G1075" i="23" a="1"/>
  <c r="G575" i="23" a="1"/>
  <c r="G852" i="23" a="1"/>
  <c r="G940" i="23" a="1"/>
  <c r="G1271" i="23" a="1"/>
  <c r="G1403" i="23" a="1"/>
  <c r="F32" i="23" a="1"/>
  <c r="F22" i="23" a="1"/>
  <c r="F304" i="23" a="1"/>
  <c r="F87" i="23" a="1"/>
  <c r="F326" i="23" a="1"/>
  <c r="F321" i="23" a="1"/>
  <c r="F605" i="23" a="1"/>
  <c r="F812" i="23" a="1"/>
  <c r="F776" i="23" a="1"/>
  <c r="F689" i="23" a="1"/>
  <c r="F945" i="23" a="1"/>
  <c r="F1407" i="23" a="1"/>
  <c r="F1466" i="23" a="1"/>
  <c r="F1466" i="23" l="1"/>
  <c r="F1407" i="23"/>
  <c r="F945" i="23"/>
  <c r="F689" i="23"/>
  <c r="F776" i="23"/>
  <c r="F812" i="23"/>
  <c r="F605" i="23"/>
  <c r="F321" i="23"/>
  <c r="F326" i="23"/>
  <c r="F87" i="23"/>
  <c r="F304" i="23"/>
  <c r="F22" i="23"/>
  <c r="F32" i="23"/>
  <c r="G1403" i="23"/>
  <c r="I1403" i="23" s="1"/>
  <c r="K1403" i="23" s="1"/>
  <c r="G1271" i="23"/>
  <c r="I1271" i="23" s="1"/>
  <c r="K1271" i="23" s="1"/>
  <c r="G940" i="23"/>
  <c r="I940" i="23" s="1"/>
  <c r="K940" i="23" s="1"/>
  <c r="G852" i="23"/>
  <c r="I852" i="23" s="1"/>
  <c r="G575" i="23"/>
  <c r="I575" i="23" s="1"/>
  <c r="G1075" i="23"/>
  <c r="I1075" i="23" s="1"/>
  <c r="K1075" i="23" s="1"/>
  <c r="G1290" i="23"/>
  <c r="I1290" i="23" s="1"/>
  <c r="G1024" i="23"/>
  <c r="I1024" i="23" s="1"/>
  <c r="G1253" i="23"/>
  <c r="I1253" i="23" s="1"/>
  <c r="F1404" i="23"/>
  <c r="F1393" i="23"/>
  <c r="F1338" i="23"/>
  <c r="F1419" i="23"/>
  <c r="F1351" i="23"/>
  <c r="F1334" i="23"/>
  <c r="F1365" i="23"/>
  <c r="F784" i="23"/>
  <c r="F1251" i="23"/>
  <c r="F1193" i="23"/>
  <c r="F1230" i="23"/>
  <c r="F1153" i="23"/>
  <c r="F1245" i="23"/>
  <c r="F887" i="23"/>
  <c r="F631" i="23"/>
  <c r="F943" i="23"/>
  <c r="F687" i="23"/>
  <c r="F981" i="23"/>
  <c r="F725" i="23"/>
  <c r="F948" i="23"/>
  <c r="F692" i="23"/>
  <c r="F979" i="23"/>
  <c r="F723" i="23"/>
  <c r="F1017" i="23"/>
  <c r="F761" i="23"/>
  <c r="F1054" i="23"/>
  <c r="F805" i="23"/>
  <c r="F590" i="23"/>
  <c r="F409" i="23"/>
  <c r="F577" i="23"/>
  <c r="F180" i="23"/>
  <c r="F556" i="23"/>
  <c r="F494" i="23"/>
  <c r="F555" i="23"/>
  <c r="F314" i="23"/>
  <c r="F50" i="23"/>
  <c r="F268" i="23"/>
  <c r="F293" i="23"/>
  <c r="F427" i="23"/>
  <c r="F254" i="23"/>
  <c r="F253" i="23"/>
  <c r="F410" i="23"/>
  <c r="F220" i="23"/>
  <c r="F245" i="23"/>
  <c r="F45" i="23"/>
  <c r="F4" i="23"/>
  <c r="G901" i="23"/>
  <c r="I901" i="23" s="1"/>
  <c r="G1215" i="23"/>
  <c r="I1215" i="23" s="1"/>
  <c r="G1448" i="23"/>
  <c r="I1448" i="23" s="1"/>
  <c r="G1420" i="23"/>
  <c r="I1420" i="23" s="1"/>
  <c r="K1420" i="23" s="1"/>
  <c r="G354" i="23"/>
  <c r="I354" i="23" s="1"/>
  <c r="G822" i="23"/>
  <c r="I822" i="23" s="1"/>
  <c r="G1258" i="23"/>
  <c r="I1258" i="23" s="1"/>
  <c r="G878" i="23"/>
  <c r="I878" i="23" s="1"/>
  <c r="K878" i="23" s="1"/>
  <c r="G1221" i="23"/>
  <c r="I1221" i="23" s="1"/>
  <c r="F1355" i="23"/>
  <c r="F1092" i="23"/>
  <c r="F1273" i="23"/>
  <c r="F1032" i="23"/>
  <c r="F1037" i="23"/>
  <c r="F432" i="23"/>
  <c r="F583" i="23"/>
  <c r="F42" i="23"/>
  <c r="F1385" i="23"/>
  <c r="F1326" i="23"/>
  <c r="F1187" i="23"/>
  <c r="F881" i="23"/>
  <c r="F712" i="23"/>
  <c r="F1004" i="23"/>
  <c r="F377" i="23"/>
  <c r="F307" i="23"/>
  <c r="F247" i="23"/>
  <c r="F41" i="23"/>
  <c r="G1415" i="23"/>
  <c r="I1415" i="23" s="1"/>
  <c r="K1415" i="23" s="1"/>
  <c r="G1469" i="23"/>
  <c r="I1469" i="23" s="1"/>
  <c r="K1469" i="23" s="1"/>
  <c r="F1340" i="23"/>
  <c r="F1298" i="23"/>
  <c r="F1123" i="23"/>
  <c r="F1213" i="23"/>
  <c r="F823" i="23"/>
  <c r="F1136" i="23"/>
  <c r="F879" i="23"/>
  <c r="F622" i="23"/>
  <c r="F917" i="23"/>
  <c r="F661" i="23"/>
  <c r="F884" i="23"/>
  <c r="F628" i="23"/>
  <c r="F915" i="23"/>
  <c r="F659" i="23"/>
  <c r="F953" i="23"/>
  <c r="F697" i="23"/>
  <c r="F997" i="23"/>
  <c r="F741" i="23"/>
  <c r="F558" i="23"/>
  <c r="F518" i="23"/>
  <c r="F544" i="23"/>
  <c r="F456" i="23"/>
  <c r="F516" i="23"/>
  <c r="F389" i="23"/>
  <c r="F515" i="23"/>
  <c r="F250" i="23"/>
  <c r="F404" i="23"/>
  <c r="F204" i="23"/>
  <c r="F229" i="23"/>
  <c r="F395" i="23"/>
  <c r="F190" i="23"/>
  <c r="F189" i="23"/>
  <c r="F378" i="23"/>
  <c r="F156" i="23"/>
  <c r="F181" i="23"/>
  <c r="F13" i="23"/>
  <c r="F35" i="23"/>
  <c r="G1412" i="23"/>
  <c r="I1412" i="23" s="1"/>
  <c r="K1412" i="23" s="1"/>
  <c r="G1151" i="23"/>
  <c r="I1151" i="23" s="1"/>
  <c r="K1151" i="23" s="1"/>
  <c r="G1384" i="23"/>
  <c r="I1384" i="23" s="1"/>
  <c r="G1011" i="23"/>
  <c r="I1011" i="23" s="1"/>
  <c r="G1405" i="23"/>
  <c r="I1405" i="23" s="1"/>
  <c r="G1459" i="23"/>
  <c r="I1459" i="23" s="1"/>
  <c r="K1459" i="23" s="1"/>
  <c r="G1194" i="23"/>
  <c r="I1194" i="23" s="1"/>
  <c r="G753" i="23"/>
  <c r="I753" i="23" s="1"/>
  <c r="G1157" i="23"/>
  <c r="I1157" i="23" s="1"/>
  <c r="K1157" i="23" s="1"/>
  <c r="F1449" i="23"/>
  <c r="F1421" i="23"/>
  <c r="F1204" i="23"/>
  <c r="F745" i="23"/>
  <c r="F781" i="23"/>
  <c r="F1106" i="23"/>
  <c r="F444" i="23"/>
  <c r="F115" i="23"/>
  <c r="F296" i="23"/>
  <c r="F1411" i="23"/>
  <c r="F733" i="23"/>
  <c r="F1143" i="23"/>
  <c r="F937" i="23"/>
  <c r="F973" i="23"/>
  <c r="F792" i="23"/>
  <c r="F478" i="23"/>
  <c r="F423" i="23"/>
  <c r="F232" i="23"/>
  <c r="G1443" i="23"/>
  <c r="I1443" i="23" s="1"/>
  <c r="K1443" i="23" s="1"/>
  <c r="G993" i="23"/>
  <c r="I993" i="23" s="1"/>
  <c r="F1329" i="23"/>
  <c r="F1196" i="23"/>
  <c r="F1219" i="23"/>
  <c r="F1332" i="23"/>
  <c r="F1321" i="23"/>
  <c r="F1416" i="23"/>
  <c r="F1295" i="23"/>
  <c r="F1236" i="23"/>
  <c r="F1139" i="23"/>
  <c r="F1287" i="23"/>
  <c r="F1163" i="23"/>
  <c r="F1215" i="23"/>
  <c r="F1110" i="23"/>
  <c r="F1173" i="23"/>
  <c r="F963" i="23"/>
  <c r="F1197" i="23"/>
  <c r="F817" i="23"/>
  <c r="F1132" i="23"/>
  <c r="F873" i="23"/>
  <c r="F614" i="23"/>
  <c r="F904" i="23"/>
  <c r="F648" i="23"/>
  <c r="F878" i="23"/>
  <c r="F620" i="23"/>
  <c r="F909" i="23"/>
  <c r="F653" i="23"/>
  <c r="F940" i="23"/>
  <c r="F684" i="23"/>
  <c r="F984" i="23"/>
  <c r="F728" i="23"/>
  <c r="F554" i="23"/>
  <c r="F502" i="23"/>
  <c r="F539" i="23"/>
  <c r="F450" i="23"/>
  <c r="F511" i="23"/>
  <c r="F357" i="23"/>
  <c r="F509" i="23"/>
  <c r="F243" i="23"/>
  <c r="F400" i="23"/>
  <c r="F198" i="23"/>
  <c r="F216" i="23"/>
  <c r="F391" i="23"/>
  <c r="F183" i="23"/>
  <c r="F176" i="23"/>
  <c r="F374" i="23"/>
  <c r="F150" i="23"/>
  <c r="F168" i="23"/>
  <c r="F9" i="23"/>
  <c r="F31" i="23"/>
  <c r="G1407" i="23"/>
  <c r="I1407" i="23" s="1"/>
  <c r="G1143" i="23"/>
  <c r="I1143" i="23" s="1"/>
  <c r="G1379" i="23"/>
  <c r="I1379" i="23" s="1"/>
  <c r="G986" i="23"/>
  <c r="I986" i="23" s="1"/>
  <c r="G1331" i="23"/>
  <c r="I1331" i="23" s="1"/>
  <c r="K1331" i="23" s="1"/>
  <c r="G1395" i="23"/>
  <c r="I1395" i="23" s="1"/>
  <c r="G1162" i="23"/>
  <c r="I1162" i="23" s="1"/>
  <c r="G324" i="23"/>
  <c r="I324" i="23" s="1"/>
  <c r="K324" i="23" s="1"/>
  <c r="G1125" i="23"/>
  <c r="I1125" i="23" s="1"/>
  <c r="K1125" i="23" s="1"/>
  <c r="F1390" i="23"/>
  <c r="F1258" i="23"/>
  <c r="F1001" i="23"/>
  <c r="F1006" i="23"/>
  <c r="F1079" i="23"/>
  <c r="F471" i="23"/>
  <c r="F308" i="23"/>
  <c r="F278" i="23"/>
  <c r="F1304" i="23"/>
  <c r="F1357" i="23"/>
  <c r="F1226" i="23"/>
  <c r="F624" i="23"/>
  <c r="F942" i="23"/>
  <c r="F748" i="23"/>
  <c r="F129" i="23"/>
  <c r="F34" i="23"/>
  <c r="F240" i="23"/>
  <c r="F63" i="23"/>
  <c r="G1226" i="23"/>
  <c r="I1226" i="23" s="1"/>
  <c r="K1226" i="23" s="1"/>
  <c r="F1306" i="23"/>
  <c r="F989" i="23"/>
  <c r="F1224" i="23"/>
  <c r="F1164" i="23"/>
  <c r="F1360" i="23"/>
  <c r="F1216" i="23"/>
  <c r="F1461" i="23"/>
  <c r="F1294" i="23"/>
  <c r="F1203" i="23"/>
  <c r="F1027" i="23"/>
  <c r="F1162" i="23"/>
  <c r="F810" i="23"/>
  <c r="F990" i="23"/>
  <c r="F1309" i="23"/>
  <c r="F1094" i="23"/>
  <c r="F759" i="23"/>
  <c r="F1077" i="23"/>
  <c r="F815" i="23"/>
  <c r="F1099" i="23"/>
  <c r="F853" i="23"/>
  <c r="F1085" i="23"/>
  <c r="F820" i="23"/>
  <c r="F1098" i="23"/>
  <c r="F851" i="23"/>
  <c r="F1142" i="23"/>
  <c r="F889" i="23"/>
  <c r="F633" i="23"/>
  <c r="F933" i="23"/>
  <c r="F677" i="23"/>
  <c r="F519" i="23"/>
  <c r="F430" i="23"/>
  <c r="F501" i="23"/>
  <c r="F225" i="23"/>
  <c r="F473" i="23"/>
  <c r="F619" i="23"/>
  <c r="F472" i="23"/>
  <c r="F186" i="23"/>
  <c r="F372" i="23"/>
  <c r="F140" i="23"/>
  <c r="F165" i="23"/>
  <c r="F363" i="23"/>
  <c r="F126" i="23"/>
  <c r="F125" i="23"/>
  <c r="F346" i="23"/>
  <c r="F92" i="23"/>
  <c r="F117" i="23"/>
  <c r="F68" i="23"/>
  <c r="F3" i="23"/>
  <c r="G1343" i="23"/>
  <c r="I1343" i="23" s="1"/>
  <c r="K1343" i="23" s="1"/>
  <c r="G1087" i="23"/>
  <c r="I1087" i="23" s="1"/>
  <c r="G843" i="23"/>
  <c r="I843" i="23" s="1"/>
  <c r="K843" i="23" s="1"/>
  <c r="G1451" i="23"/>
  <c r="I1451" i="23" s="1"/>
  <c r="G1267" i="23"/>
  <c r="I1267" i="23" s="1"/>
  <c r="K1267" i="23" s="1"/>
  <c r="G916" i="23"/>
  <c r="I916" i="23" s="1"/>
  <c r="K916" i="23" s="1"/>
  <c r="G1130" i="23"/>
  <c r="I1130" i="23" s="1"/>
  <c r="K1130" i="23" s="1"/>
  <c r="G1349" i="23"/>
  <c r="I1349" i="23" s="1"/>
  <c r="K1349" i="23" s="1"/>
  <c r="G1093" i="23"/>
  <c r="I1093" i="23" s="1"/>
  <c r="K1093" i="23" s="1"/>
  <c r="F968" i="23"/>
  <c r="F686" i="23"/>
  <c r="F1048" i="23"/>
  <c r="F573" i="23"/>
  <c r="F551" i="23"/>
  <c r="F280" i="23"/>
  <c r="F214" i="23"/>
  <c r="G1207" i="23"/>
  <c r="I1207" i="23" s="1"/>
  <c r="G177" i="23"/>
  <c r="I177" i="23" s="1"/>
  <c r="F1268" i="23"/>
  <c r="F1180" i="23"/>
  <c r="F1183" i="23"/>
  <c r="F829" i="23"/>
  <c r="F1352" i="23"/>
  <c r="F1468" i="23"/>
  <c r="F1454" i="23"/>
  <c r="F1280" i="23"/>
  <c r="F1190" i="23"/>
  <c r="F1002" i="23"/>
  <c r="F1156" i="23"/>
  <c r="F707" i="23"/>
  <c r="F964" i="23"/>
  <c r="F1305" i="23"/>
  <c r="F1078" i="23"/>
  <c r="F753" i="23"/>
  <c r="F1068" i="23"/>
  <c r="F809" i="23"/>
  <c r="F1090" i="23"/>
  <c r="F840" i="23"/>
  <c r="F1076" i="23"/>
  <c r="F814" i="23"/>
  <c r="F1089" i="23"/>
  <c r="F845" i="23"/>
  <c r="F1138" i="23"/>
  <c r="F876" i="23"/>
  <c r="F626" i="23"/>
  <c r="F920" i="23"/>
  <c r="F664" i="23"/>
  <c r="F513" i="23"/>
  <c r="F405" i="23"/>
  <c r="F496" i="23"/>
  <c r="F174" i="23"/>
  <c r="F468" i="23"/>
  <c r="F615" i="23"/>
  <c r="F467" i="23"/>
  <c r="F179" i="23"/>
  <c r="F368" i="23"/>
  <c r="F134" i="23"/>
  <c r="F152" i="23"/>
  <c r="F359" i="23"/>
  <c r="F119" i="23"/>
  <c r="F112" i="23"/>
  <c r="F342" i="23"/>
  <c r="F85" i="23"/>
  <c r="F104" i="23"/>
  <c r="F64" i="23"/>
  <c r="G1445" i="23"/>
  <c r="I1445" i="23" s="1"/>
  <c r="K1445" i="23" s="1"/>
  <c r="G1335" i="23"/>
  <c r="I1335" i="23" s="1"/>
  <c r="G1079" i="23"/>
  <c r="I1079" i="23" s="1"/>
  <c r="G715" i="23"/>
  <c r="I715" i="23" s="1"/>
  <c r="K715" i="23" s="1"/>
  <c r="G1442" i="23"/>
  <c r="I1442" i="23" s="1"/>
  <c r="K1442" i="23" s="1"/>
  <c r="G1203" i="23"/>
  <c r="I1203" i="23" s="1"/>
  <c r="G1354" i="23"/>
  <c r="I1354" i="23" s="1"/>
  <c r="K1354" i="23" s="1"/>
  <c r="G1098" i="23"/>
  <c r="I1098" i="23" s="1"/>
  <c r="K1098" i="23" s="1"/>
  <c r="G1317" i="23"/>
  <c r="I1317" i="23" s="1"/>
  <c r="G1061" i="23"/>
  <c r="I1061" i="23" s="1"/>
  <c r="K1061" i="23" s="1"/>
  <c r="F1272" i="23"/>
  <c r="F1279" i="23"/>
  <c r="F688" i="23"/>
  <c r="F750" i="23"/>
  <c r="F856" i="23"/>
  <c r="F584" i="23"/>
  <c r="F73" i="23"/>
  <c r="F311" i="23"/>
  <c r="F1396" i="23"/>
  <c r="F1343" i="23"/>
  <c r="F1247" i="23"/>
  <c r="F1241" i="23"/>
  <c r="F681" i="23"/>
  <c r="F717" i="23"/>
  <c r="F586" i="23"/>
  <c r="F552" i="23"/>
  <c r="F262" i="23"/>
  <c r="F406" i="23"/>
  <c r="G1471" i="23"/>
  <c r="I1471" i="23" s="1"/>
  <c r="K1471" i="23" s="1"/>
  <c r="G1189" i="23"/>
  <c r="I1189" i="23" s="1"/>
  <c r="F1424" i="23"/>
  <c r="F1169" i="23"/>
  <c r="F1248" i="23"/>
  <c r="F1457" i="23"/>
  <c r="F1371" i="23"/>
  <c r="F1291" i="23"/>
  <c r="F1415" i="23"/>
  <c r="F1398" i="23"/>
  <c r="F1429" i="23"/>
  <c r="F1105" i="23"/>
  <c r="F1283" i="23"/>
  <c r="F996" i="23"/>
  <c r="F1262" i="23"/>
  <c r="F1209" i="23"/>
  <c r="F1277" i="23"/>
  <c r="F739" i="23"/>
  <c r="F695" i="23"/>
  <c r="F1007" i="23"/>
  <c r="F751" i="23"/>
  <c r="F1045" i="23"/>
  <c r="F789" i="23"/>
  <c r="F1012" i="23"/>
  <c r="F756" i="23"/>
  <c r="F1043" i="23"/>
  <c r="F787" i="23"/>
  <c r="F1084" i="23"/>
  <c r="F825" i="23"/>
  <c r="F1115" i="23"/>
  <c r="F869" i="23"/>
  <c r="F482" i="23"/>
  <c r="F476" i="23"/>
  <c r="F609" i="23"/>
  <c r="F451" i="23"/>
  <c r="F588" i="23"/>
  <c r="F361" i="23"/>
  <c r="F587" i="23"/>
  <c r="F353" i="23"/>
  <c r="F122" i="23"/>
  <c r="F332" i="23"/>
  <c r="F81" i="23"/>
  <c r="F101" i="23"/>
  <c r="F318" i="23"/>
  <c r="F317" i="23"/>
  <c r="F58" i="23"/>
  <c r="F284" i="23"/>
  <c r="F309" i="23"/>
  <c r="F38" i="23"/>
  <c r="F36" i="23"/>
  <c r="G1417" i="23"/>
  <c r="I1417" i="23" s="1"/>
  <c r="K1417" i="23" s="1"/>
  <c r="G1279" i="23"/>
  <c r="I1279" i="23" s="1"/>
  <c r="G972" i="23"/>
  <c r="I972" i="23" s="1"/>
  <c r="G804" i="23"/>
  <c r="I804" i="23" s="1"/>
  <c r="G1387" i="23"/>
  <c r="I1387" i="23" s="1"/>
  <c r="G1139" i="23"/>
  <c r="I1139" i="23" s="1"/>
  <c r="G1322" i="23"/>
  <c r="I1322" i="23" s="1"/>
  <c r="G1066" i="23"/>
  <c r="I1066" i="23" s="1"/>
  <c r="K1066" i="23" s="1"/>
  <c r="G1285" i="23"/>
  <c r="I1285" i="23" s="1"/>
  <c r="G1004" i="23"/>
  <c r="I1004" i="23" s="1"/>
  <c r="G1259" i="23"/>
  <c r="I1259" i="23" s="1"/>
  <c r="G1450" i="23"/>
  <c r="I1450" i="23" s="1"/>
  <c r="K1450" i="23" s="1"/>
  <c r="G1190" i="23"/>
  <c r="I1190" i="23" s="1"/>
  <c r="G998" i="23"/>
  <c r="I998" i="23" s="1"/>
  <c r="F1452" i="23"/>
  <c r="F1388" i="23"/>
  <c r="F1324" i="23"/>
  <c r="F951" i="23"/>
  <c r="F1441" i="23"/>
  <c r="F1377" i="23"/>
  <c r="F1313" i="23"/>
  <c r="F1471" i="23"/>
  <c r="F1339" i="23"/>
  <c r="F1091" i="23"/>
  <c r="F1408" i="23"/>
  <c r="F1344" i="23"/>
  <c r="F1240" i="23"/>
  <c r="F1395" i="23"/>
  <c r="F1284" i="23"/>
  <c r="F1462" i="23"/>
  <c r="F1399" i="23"/>
  <c r="F1335" i="23"/>
  <c r="F1202" i="23"/>
  <c r="F1446" i="23"/>
  <c r="F1382" i="23"/>
  <c r="F1318" i="23"/>
  <c r="F675" i="23"/>
  <c r="F1472" i="23"/>
  <c r="F1413" i="23"/>
  <c r="F1349" i="23"/>
  <c r="F1260" i="23"/>
  <c r="F1184" i="23"/>
  <c r="F1058" i="23"/>
  <c r="F682" i="23"/>
  <c r="F1137" i="23"/>
  <c r="F976" i="23"/>
  <c r="F1275" i="23"/>
  <c r="F1243" i="23"/>
  <c r="F1211" i="23"/>
  <c r="F1147" i="23"/>
  <c r="F867" i="23"/>
  <c r="F1174" i="23"/>
  <c r="F1021" i="23"/>
  <c r="F656" i="23"/>
  <c r="F1254" i="23"/>
  <c r="F1222" i="23"/>
  <c r="F1167" i="23"/>
  <c r="F906" i="23"/>
  <c r="F1198" i="23"/>
  <c r="F1119" i="23"/>
  <c r="F938" i="23"/>
  <c r="F1301" i="23"/>
  <c r="F1269" i="23"/>
  <c r="F1237" i="23"/>
  <c r="F1191" i="23"/>
  <c r="F1009" i="23"/>
  <c r="F637" i="23"/>
  <c r="F868" i="23"/>
  <c r="F804" i="23"/>
  <c r="F740" i="23"/>
  <c r="F676" i="23"/>
  <c r="F616" i="23"/>
  <c r="F1127" i="23"/>
  <c r="F1052" i="23"/>
  <c r="F988" i="23"/>
  <c r="F924" i="23"/>
  <c r="F860" i="23"/>
  <c r="F796" i="23"/>
  <c r="F732" i="23"/>
  <c r="F668" i="23"/>
  <c r="F466" i="23"/>
  <c r="F1081" i="23"/>
  <c r="F1026" i="23"/>
  <c r="F962" i="23"/>
  <c r="F898" i="23"/>
  <c r="F834" i="23"/>
  <c r="F770" i="23"/>
  <c r="F706" i="23"/>
  <c r="F642" i="23"/>
  <c r="F1071" i="23"/>
  <c r="F999" i="23"/>
  <c r="F935" i="23"/>
  <c r="F871" i="23"/>
  <c r="F807" i="23"/>
  <c r="F743" i="23"/>
  <c r="F679" i="23"/>
  <c r="F498" i="23"/>
  <c r="F1080" i="23"/>
  <c r="F1024" i="23"/>
  <c r="F960" i="23"/>
  <c r="F896" i="23"/>
  <c r="F832" i="23"/>
  <c r="F768" i="23"/>
  <c r="F704" i="23"/>
  <c r="F640" i="23"/>
  <c r="F1134" i="23"/>
  <c r="F1070" i="23"/>
  <c r="F998" i="23"/>
  <c r="F934" i="23"/>
  <c r="F870" i="23"/>
  <c r="F806" i="23"/>
  <c r="F742" i="23"/>
  <c r="F678" i="23"/>
  <c r="F618" i="23"/>
  <c r="F1097" i="23"/>
  <c r="F1042" i="23"/>
  <c r="F978" i="23"/>
  <c r="F914" i="23"/>
  <c r="F850" i="23"/>
  <c r="F786" i="23"/>
  <c r="F722" i="23"/>
  <c r="F658" i="23"/>
  <c r="F97" i="23"/>
  <c r="F582" i="23"/>
  <c r="F550" i="23"/>
  <c r="F508" i="23"/>
  <c r="F465" i="23"/>
  <c r="F345" i="23"/>
  <c r="F486" i="23"/>
  <c r="F373" i="23"/>
  <c r="F601" i="23"/>
  <c r="F569" i="23"/>
  <c r="F533" i="23"/>
  <c r="F491" i="23"/>
  <c r="F437" i="23"/>
  <c r="F538" i="23"/>
  <c r="F436" i="23"/>
  <c r="F612" i="23"/>
  <c r="F580" i="23"/>
  <c r="F548" i="23"/>
  <c r="F505" i="23"/>
  <c r="F462" i="23"/>
  <c r="F270" i="23"/>
  <c r="F461" i="23"/>
  <c r="F263" i="23"/>
  <c r="F611" i="23"/>
  <c r="F579" i="23"/>
  <c r="F547" i="23"/>
  <c r="F504" i="23"/>
  <c r="F460" i="23"/>
  <c r="F257" i="23"/>
  <c r="F301" i="23"/>
  <c r="F237" i="23"/>
  <c r="F173" i="23"/>
  <c r="F109" i="23"/>
  <c r="F18" i="23"/>
  <c r="F396" i="23"/>
  <c r="F364" i="23"/>
  <c r="F319" i="23"/>
  <c r="F255" i="23"/>
  <c r="F191" i="23"/>
  <c r="F127" i="23"/>
  <c r="F338" i="23"/>
  <c r="F274" i="23"/>
  <c r="F210" i="23"/>
  <c r="F146" i="23"/>
  <c r="F79" i="23"/>
  <c r="F419" i="23"/>
  <c r="F387" i="23"/>
  <c r="F355" i="23"/>
  <c r="F305" i="23"/>
  <c r="F241" i="23"/>
  <c r="F177" i="23"/>
  <c r="F113" i="23"/>
  <c r="F298" i="23"/>
  <c r="F234" i="23"/>
  <c r="F170" i="23"/>
  <c r="F106" i="23"/>
  <c r="F26" i="23"/>
  <c r="F402" i="23"/>
  <c r="F370" i="23"/>
  <c r="F335" i="23"/>
  <c r="F271" i="23"/>
  <c r="F207" i="23"/>
  <c r="F143" i="23"/>
  <c r="F77" i="23"/>
  <c r="F290" i="23"/>
  <c r="F226" i="23"/>
  <c r="F162" i="23"/>
  <c r="F98" i="23"/>
  <c r="F6" i="23"/>
  <c r="F37" i="23"/>
  <c r="F5" i="23"/>
  <c r="F60" i="23"/>
  <c r="F28" i="23"/>
  <c r="F59" i="23"/>
  <c r="F27" i="23"/>
  <c r="G1413" i="23"/>
  <c r="I1413" i="23" s="1"/>
  <c r="K1413" i="23" s="1"/>
  <c r="G1394" i="23"/>
  <c r="I1394" i="23" s="1"/>
  <c r="G1462" i="23"/>
  <c r="I1462" i="23" s="1"/>
  <c r="K1462" i="23" s="1"/>
  <c r="G1398" i="23"/>
  <c r="I1398" i="23" s="1"/>
  <c r="G1327" i="23"/>
  <c r="I1327" i="23" s="1"/>
  <c r="K1327" i="23" s="1"/>
  <c r="G1263" i="23"/>
  <c r="I1263" i="23" s="1"/>
  <c r="K1263" i="23" s="1"/>
  <c r="G1199" i="23"/>
  <c r="I1199" i="23" s="1"/>
  <c r="G1135" i="23"/>
  <c r="I1135" i="23" s="1"/>
  <c r="G1071" i="23"/>
  <c r="I1071" i="23" s="1"/>
  <c r="G898" i="23"/>
  <c r="I898" i="23" s="1"/>
  <c r="G1434" i="23"/>
  <c r="I1434" i="23" s="1"/>
  <c r="K1434" i="23" s="1"/>
  <c r="G1364" i="23"/>
  <c r="I1364" i="23" s="1"/>
  <c r="G422" i="23"/>
  <c r="I422" i="23" s="1"/>
  <c r="K422" i="23" s="1"/>
  <c r="G1470" i="23"/>
  <c r="I1470" i="23" s="1"/>
  <c r="K1470" i="23" s="1"/>
  <c r="G1406" i="23"/>
  <c r="I1406" i="23" s="1"/>
  <c r="G965" i="23"/>
  <c r="I965" i="23" s="1"/>
  <c r="G1433" i="23"/>
  <c r="I1433" i="23" s="1"/>
  <c r="K1433" i="23" s="1"/>
  <c r="G1368" i="23"/>
  <c r="I1368" i="23" s="1"/>
  <c r="G1463" i="23"/>
  <c r="I1463" i="23" s="1"/>
  <c r="K1463" i="23" s="1"/>
  <c r="G1455" i="23"/>
  <c r="I1455" i="23" s="1"/>
  <c r="K1455" i="23" s="1"/>
  <c r="G1391" i="23"/>
  <c r="I1391" i="23" s="1"/>
  <c r="G1315" i="23"/>
  <c r="I1315" i="23" s="1"/>
  <c r="G1251" i="23"/>
  <c r="I1251" i="23" s="1"/>
  <c r="G1187" i="23"/>
  <c r="I1187" i="23" s="1"/>
  <c r="G1123" i="23"/>
  <c r="I1123" i="23" s="1"/>
  <c r="K1123" i="23" s="1"/>
  <c r="G1059" i="23"/>
  <c r="I1059" i="23" s="1"/>
  <c r="K1059" i="23" s="1"/>
  <c r="G539" i="23"/>
  <c r="I539" i="23" s="1"/>
  <c r="G1449" i="23"/>
  <c r="I1449" i="23" s="1"/>
  <c r="K1449" i="23" s="1"/>
  <c r="G1441" i="23"/>
  <c r="I1441" i="23" s="1"/>
  <c r="K1441" i="23" s="1"/>
  <c r="G1377" i="23"/>
  <c r="I1377" i="23" s="1"/>
  <c r="G811" i="23"/>
  <c r="I811" i="23" s="1"/>
  <c r="G1346" i="23"/>
  <c r="I1346" i="23" s="1"/>
  <c r="G1314" i="23"/>
  <c r="I1314" i="23" s="1"/>
  <c r="G1282" i="23"/>
  <c r="I1282" i="23" s="1"/>
  <c r="G1250" i="23"/>
  <c r="I1250" i="23" s="1"/>
  <c r="G1218" i="23"/>
  <c r="I1218" i="23" s="1"/>
  <c r="G1186" i="23"/>
  <c r="I1186" i="23" s="1"/>
  <c r="G1154" i="23"/>
  <c r="I1154" i="23" s="1"/>
  <c r="K1154" i="23" s="1"/>
  <c r="G1122" i="23"/>
  <c r="I1122" i="23" s="1"/>
  <c r="K1122" i="23" s="1"/>
  <c r="G1090" i="23"/>
  <c r="I1090" i="23" s="1"/>
  <c r="K1090" i="23" s="1"/>
  <c r="G1058" i="23"/>
  <c r="I1058" i="23" s="1"/>
  <c r="G1006" i="23"/>
  <c r="I1006" i="23" s="1"/>
  <c r="K1006" i="23" s="1"/>
  <c r="G756" i="23"/>
  <c r="I756" i="23" s="1"/>
  <c r="G875" i="23"/>
  <c r="I875" i="23" s="1"/>
  <c r="K875" i="23" s="1"/>
  <c r="G710" i="23"/>
  <c r="I710" i="23" s="1"/>
  <c r="K710" i="23" s="1"/>
  <c r="G1373" i="23"/>
  <c r="I1373" i="23" s="1"/>
  <c r="G1341" i="23"/>
  <c r="I1341" i="23" s="1"/>
  <c r="K1341" i="23" s="1"/>
  <c r="G1309" i="23"/>
  <c r="I1309" i="23" s="1"/>
  <c r="G1277" i="23"/>
  <c r="I1277" i="23" s="1"/>
  <c r="K1277" i="23" s="1"/>
  <c r="G1245" i="23"/>
  <c r="I1245" i="23" s="1"/>
  <c r="G1213" i="23"/>
  <c r="I1213" i="23" s="1"/>
  <c r="G1181" i="23"/>
  <c r="I1181" i="23" s="1"/>
  <c r="G1149" i="23"/>
  <c r="I1149" i="23" s="1"/>
  <c r="K1149" i="23" s="1"/>
  <c r="G1117" i="23"/>
  <c r="I1117" i="23" s="1"/>
  <c r="K1117" i="23" s="1"/>
  <c r="G1085" i="23"/>
  <c r="I1085" i="23" s="1"/>
  <c r="K1085" i="23" s="1"/>
  <c r="G1053" i="23"/>
  <c r="I1053" i="23" s="1"/>
  <c r="K1053" i="23" s="1"/>
  <c r="G992" i="23"/>
  <c r="I992" i="23" s="1"/>
  <c r="G1323" i="23"/>
  <c r="I1323" i="23" s="1"/>
  <c r="G1386" i="23"/>
  <c r="I1386" i="23" s="1"/>
  <c r="G1222" i="23"/>
  <c r="I1222" i="23" s="1"/>
  <c r="G1089" i="23"/>
  <c r="I1089" i="23" s="1"/>
  <c r="K1089" i="23" s="1"/>
  <c r="F1103" i="23"/>
  <c r="F1380" i="23"/>
  <c r="F1316" i="23"/>
  <c r="F1252" i="23"/>
  <c r="F1433" i="23"/>
  <c r="F1369" i="23"/>
  <c r="F1303" i="23"/>
  <c r="F1459" i="23"/>
  <c r="F1323" i="23"/>
  <c r="F1463" i="23"/>
  <c r="F1400" i="23"/>
  <c r="F1336" i="23"/>
  <c r="F1157" i="23"/>
  <c r="F1379" i="23"/>
  <c r="K1379" i="23" s="1"/>
  <c r="F1464" i="23"/>
  <c r="F1455" i="23"/>
  <c r="F1391" i="23"/>
  <c r="K1391" i="23" s="1"/>
  <c r="F1327" i="23"/>
  <c r="F1149" i="23"/>
  <c r="F1438" i="23"/>
  <c r="F1374" i="23"/>
  <c r="F1310" i="23"/>
  <c r="F926" i="23"/>
  <c r="F1467" i="23"/>
  <c r="F1405" i="23"/>
  <c r="K1405" i="23" s="1"/>
  <c r="F1341" i="23"/>
  <c r="F1228" i="23"/>
  <c r="F1177" i="23"/>
  <c r="F1034" i="23"/>
  <c r="F1207" i="23"/>
  <c r="K1207" i="23" s="1"/>
  <c r="F1126" i="23"/>
  <c r="F925" i="23"/>
  <c r="F1271" i="23"/>
  <c r="F1239" i="23"/>
  <c r="F1206" i="23"/>
  <c r="F1124" i="23"/>
  <c r="F816" i="23"/>
  <c r="F1168" i="23"/>
  <c r="F995" i="23"/>
  <c r="F1282" i="23"/>
  <c r="F1250" i="23"/>
  <c r="K1250" i="23" s="1"/>
  <c r="F1218" i="23"/>
  <c r="F1154" i="23"/>
  <c r="F803" i="23"/>
  <c r="F1192" i="23"/>
  <c r="F1108" i="23"/>
  <c r="F899" i="23"/>
  <c r="F1297" i="23"/>
  <c r="F1265" i="23"/>
  <c r="F1233" i="23"/>
  <c r="F1178" i="23"/>
  <c r="F983" i="23"/>
  <c r="F381" i="23"/>
  <c r="F862" i="23"/>
  <c r="F798" i="23"/>
  <c r="F734" i="23"/>
  <c r="F670" i="23"/>
  <c r="F413" i="23"/>
  <c r="F1118" i="23"/>
  <c r="F1046" i="23"/>
  <c r="F982" i="23"/>
  <c r="F918" i="23"/>
  <c r="F854" i="23"/>
  <c r="F790" i="23"/>
  <c r="F726" i="23"/>
  <c r="F662" i="23"/>
  <c r="F349" i="23"/>
  <c r="F1072" i="23"/>
  <c r="F1019" i="23"/>
  <c r="F955" i="23"/>
  <c r="F891" i="23"/>
  <c r="F827" i="23"/>
  <c r="F763" i="23"/>
  <c r="F699" i="23"/>
  <c r="F635" i="23"/>
  <c r="F1056" i="23"/>
  <c r="F993" i="23"/>
  <c r="F929" i="23"/>
  <c r="F865" i="23"/>
  <c r="F801" i="23"/>
  <c r="F737" i="23"/>
  <c r="F673" i="23"/>
  <c r="F453" i="23"/>
  <c r="F1075" i="23"/>
  <c r="F1018" i="23"/>
  <c r="F954" i="23"/>
  <c r="F890" i="23"/>
  <c r="F826" i="23"/>
  <c r="F762" i="23"/>
  <c r="F698" i="23"/>
  <c r="F634" i="23"/>
  <c r="F1125" i="23"/>
  <c r="F1060" i="23"/>
  <c r="F991" i="23"/>
  <c r="F927" i="23"/>
  <c r="F863" i="23"/>
  <c r="F799" i="23"/>
  <c r="F735" i="23"/>
  <c r="F671" i="23"/>
  <c r="F530" i="23"/>
  <c r="F1088" i="23"/>
  <c r="F1035" i="23"/>
  <c r="F971" i="23"/>
  <c r="F907" i="23"/>
  <c r="F843" i="23"/>
  <c r="F779" i="23"/>
  <c r="F715" i="23"/>
  <c r="F651" i="23"/>
  <c r="F610" i="23"/>
  <c r="F578" i="23"/>
  <c r="F545" i="23"/>
  <c r="F503" i="23"/>
  <c r="F459" i="23"/>
  <c r="F295" i="23"/>
  <c r="F470" i="23"/>
  <c r="F340" i="23"/>
  <c r="F597" i="23"/>
  <c r="F565" i="23"/>
  <c r="F528" i="23"/>
  <c r="F485" i="23"/>
  <c r="F429" i="23"/>
  <c r="F522" i="23"/>
  <c r="F428" i="23"/>
  <c r="F608" i="23"/>
  <c r="F576" i="23"/>
  <c r="F543" i="23"/>
  <c r="F500" i="23"/>
  <c r="F449" i="23"/>
  <c r="F167" i="23"/>
  <c r="F455" i="23"/>
  <c r="F212" i="23"/>
  <c r="F607" i="23"/>
  <c r="F575" i="23"/>
  <c r="F541" i="23"/>
  <c r="F499" i="23"/>
  <c r="F454" i="23"/>
  <c r="F206" i="23"/>
  <c r="F288" i="23"/>
  <c r="F224" i="23"/>
  <c r="F160" i="23"/>
  <c r="F96" i="23"/>
  <c r="F424" i="23"/>
  <c r="F392" i="23"/>
  <c r="F360" i="23"/>
  <c r="F313" i="23"/>
  <c r="F249" i="23"/>
  <c r="F185" i="23"/>
  <c r="F121" i="23"/>
  <c r="F331" i="23"/>
  <c r="F267" i="23"/>
  <c r="F203" i="23"/>
  <c r="F139" i="23"/>
  <c r="F71" i="23"/>
  <c r="F415" i="23"/>
  <c r="F383" i="23"/>
  <c r="F351" i="23"/>
  <c r="F292" i="23"/>
  <c r="F228" i="23"/>
  <c r="F164" i="23"/>
  <c r="F100" i="23"/>
  <c r="F291" i="23"/>
  <c r="F227" i="23"/>
  <c r="F163" i="23"/>
  <c r="F99" i="23"/>
  <c r="F10" i="23"/>
  <c r="F398" i="23"/>
  <c r="F366" i="23"/>
  <c r="F329" i="23"/>
  <c r="F265" i="23"/>
  <c r="F201" i="23"/>
  <c r="F137" i="23"/>
  <c r="F69" i="23"/>
  <c r="F283" i="23"/>
  <c r="F219" i="23"/>
  <c r="F155" i="23"/>
  <c r="F91" i="23"/>
  <c r="F65" i="23"/>
  <c r="F33" i="23"/>
  <c r="F88" i="23"/>
  <c r="F56" i="23"/>
  <c r="F24" i="23"/>
  <c r="F55" i="23"/>
  <c r="F23" i="23"/>
  <c r="G1366" i="23"/>
  <c r="I1366" i="23" s="1"/>
  <c r="G1385" i="23"/>
  <c r="I1385" i="23" s="1"/>
  <c r="G1453" i="23"/>
  <c r="I1453" i="23" s="1"/>
  <c r="G1389" i="23"/>
  <c r="I1389" i="23" s="1"/>
  <c r="G1319" i="23"/>
  <c r="I1319" i="23" s="1"/>
  <c r="G1255" i="23"/>
  <c r="I1255" i="23" s="1"/>
  <c r="G1191" i="23"/>
  <c r="I1191" i="23" s="1"/>
  <c r="G1127" i="23"/>
  <c r="I1127" i="23" s="1"/>
  <c r="K1127" i="23" s="1"/>
  <c r="G1063" i="23"/>
  <c r="I1063" i="23" s="1"/>
  <c r="K1063" i="23" s="1"/>
  <c r="G846" i="23"/>
  <c r="I846" i="23" s="1"/>
  <c r="K846" i="23" s="1"/>
  <c r="G1425" i="23"/>
  <c r="I1425" i="23" s="1"/>
  <c r="K1425" i="23" s="1"/>
  <c r="G1025" i="23"/>
  <c r="I1025" i="23" s="1"/>
  <c r="G1468" i="23"/>
  <c r="I1468" i="23" s="1"/>
  <c r="K1468" i="23" s="1"/>
  <c r="G1461" i="23"/>
  <c r="I1461" i="23" s="1"/>
  <c r="K1461" i="23" s="1"/>
  <c r="G1397" i="23"/>
  <c r="I1397" i="23" s="1"/>
  <c r="G833" i="23"/>
  <c r="I833" i="23" s="1"/>
  <c r="G1424" i="23"/>
  <c r="I1424" i="23" s="1"/>
  <c r="K1424" i="23" s="1"/>
  <c r="G1356" i="23"/>
  <c r="I1356" i="23" s="1"/>
  <c r="G1422" i="23"/>
  <c r="I1422" i="23" s="1"/>
  <c r="K1422" i="23" s="1"/>
  <c r="G1446" i="23"/>
  <c r="I1446" i="23" s="1"/>
  <c r="K1446" i="23" s="1"/>
  <c r="G1382" i="23"/>
  <c r="I1382" i="23" s="1"/>
  <c r="K1382" i="23" s="1"/>
  <c r="G1307" i="23"/>
  <c r="I1307" i="23" s="1"/>
  <c r="G1243" i="23"/>
  <c r="I1243" i="23" s="1"/>
  <c r="K1243" i="23" s="1"/>
  <c r="G1179" i="23"/>
  <c r="I1179" i="23" s="1"/>
  <c r="G1115" i="23"/>
  <c r="I1115" i="23" s="1"/>
  <c r="K1115" i="23" s="1"/>
  <c r="G1051" i="23"/>
  <c r="I1051" i="23" s="1"/>
  <c r="K1051" i="23" s="1"/>
  <c r="G223" i="23"/>
  <c r="I223" i="23" s="1"/>
  <c r="G1435" i="23"/>
  <c r="I1435" i="23" s="1"/>
  <c r="K1435" i="23" s="1"/>
  <c r="G1432" i="23"/>
  <c r="I1432" i="23" s="1"/>
  <c r="K1432" i="23" s="1"/>
  <c r="G1372" i="23"/>
  <c r="I1372" i="23" s="1"/>
  <c r="K1372" i="23" s="1"/>
  <c r="G758" i="23"/>
  <c r="I758" i="23" s="1"/>
  <c r="K758" i="23" s="1"/>
  <c r="G1342" i="23"/>
  <c r="I1342" i="23" s="1"/>
  <c r="K1342" i="23" s="1"/>
  <c r="G1310" i="23"/>
  <c r="I1310" i="23" s="1"/>
  <c r="G1278" i="23"/>
  <c r="I1278" i="23" s="1"/>
  <c r="G1246" i="23"/>
  <c r="I1246" i="23" s="1"/>
  <c r="G1214" i="23"/>
  <c r="I1214" i="23" s="1"/>
  <c r="G1182" i="23"/>
  <c r="I1182" i="23" s="1"/>
  <c r="K1182" i="23" s="1"/>
  <c r="G1150" i="23"/>
  <c r="I1150" i="23" s="1"/>
  <c r="G1118" i="23"/>
  <c r="I1118" i="23" s="1"/>
  <c r="K1118" i="23" s="1"/>
  <c r="G1086" i="23"/>
  <c r="I1086" i="23" s="1"/>
  <c r="G1054" i="23"/>
  <c r="I1054" i="23" s="1"/>
  <c r="G987" i="23"/>
  <c r="I987" i="23" s="1"/>
  <c r="G692" i="23"/>
  <c r="I692" i="23" s="1"/>
  <c r="K692" i="23" s="1"/>
  <c r="G857" i="23"/>
  <c r="I857" i="23" s="1"/>
  <c r="G689" i="23"/>
  <c r="I689" i="23" s="1"/>
  <c r="K689" i="23" s="1"/>
  <c r="G1369" i="23"/>
  <c r="I1369" i="23" s="1"/>
  <c r="K1369" i="23" s="1"/>
  <c r="G1337" i="23"/>
  <c r="I1337" i="23" s="1"/>
  <c r="K1337" i="23" s="1"/>
  <c r="G1305" i="23"/>
  <c r="I1305" i="23" s="1"/>
  <c r="K1305" i="23" s="1"/>
  <c r="G1273" i="23"/>
  <c r="I1273" i="23" s="1"/>
  <c r="G1241" i="23"/>
  <c r="I1241" i="23" s="1"/>
  <c r="K1241" i="23" s="1"/>
  <c r="G1209" i="23"/>
  <c r="I1209" i="23" s="1"/>
  <c r="K1209" i="23" s="1"/>
  <c r="G1177" i="23"/>
  <c r="I1177" i="23" s="1"/>
  <c r="G1145" i="23"/>
  <c r="I1145" i="23" s="1"/>
  <c r="G1113" i="23"/>
  <c r="I1113" i="23" s="1"/>
  <c r="K1113" i="23" s="1"/>
  <c r="G1081" i="23"/>
  <c r="I1081" i="23" s="1"/>
  <c r="K1081" i="23" s="1"/>
  <c r="G1049" i="23"/>
  <c r="I1049" i="23" s="1"/>
  <c r="G985" i="23"/>
  <c r="I985" i="23" s="1"/>
  <c r="G1378" i="23"/>
  <c r="I1378" i="23" s="1"/>
  <c r="G1195" i="23"/>
  <c r="I1195" i="23" s="1"/>
  <c r="G1467" i="23"/>
  <c r="I1467" i="23" s="1"/>
  <c r="K1467" i="23" s="1"/>
  <c r="G1286" i="23"/>
  <c r="I1286" i="23" s="1"/>
  <c r="G1094" i="23"/>
  <c r="I1094" i="23" s="1"/>
  <c r="K1094" i="23" s="1"/>
  <c r="G1121" i="23"/>
  <c r="I1121" i="23" s="1"/>
  <c r="K1121" i="23" s="1"/>
  <c r="F2" i="23"/>
  <c r="F1444" i="23"/>
  <c r="F1434" i="23"/>
  <c r="F1436" i="23"/>
  <c r="F1372" i="23"/>
  <c r="F1307" i="23"/>
  <c r="F1458" i="23"/>
  <c r="F1425" i="23"/>
  <c r="F1361" i="23"/>
  <c r="F1292" i="23"/>
  <c r="F1443" i="23"/>
  <c r="F1220" i="23"/>
  <c r="F1456" i="23"/>
  <c r="F1392" i="23"/>
  <c r="F1328" i="23"/>
  <c r="F778" i="23"/>
  <c r="F1363" i="23"/>
  <c r="F1426" i="23"/>
  <c r="F1447" i="23"/>
  <c r="F1383" i="23"/>
  <c r="F1319" i="23"/>
  <c r="F1028" i="23"/>
  <c r="F1430" i="23"/>
  <c r="F1366" i="23"/>
  <c r="F1299" i="23"/>
  <c r="F1450" i="23"/>
  <c r="F1460" i="23"/>
  <c r="F1397" i="23"/>
  <c r="F1333" i="23"/>
  <c r="F1189" i="23"/>
  <c r="K1189" i="23" s="1"/>
  <c r="F1171" i="23"/>
  <c r="F1008" i="23"/>
  <c r="F1201" i="23"/>
  <c r="F1114" i="23"/>
  <c r="F874" i="23"/>
  <c r="F1267" i="23"/>
  <c r="F1235" i="23"/>
  <c r="F1194" i="23"/>
  <c r="K1194" i="23" s="1"/>
  <c r="F1087" i="23"/>
  <c r="F765" i="23"/>
  <c r="F1161" i="23"/>
  <c r="F970" i="23"/>
  <c r="F1278" i="23"/>
  <c r="F1246" i="23"/>
  <c r="F1214" i="23"/>
  <c r="F1133" i="23"/>
  <c r="F752" i="23"/>
  <c r="F1185" i="23"/>
  <c r="F1096" i="23"/>
  <c r="F848" i="23"/>
  <c r="F1293" i="23"/>
  <c r="F1261" i="23"/>
  <c r="F1229" i="23"/>
  <c r="F1172" i="23"/>
  <c r="F958" i="23"/>
  <c r="F919" i="23"/>
  <c r="F855" i="23"/>
  <c r="F791" i="23"/>
  <c r="F727" i="23"/>
  <c r="F663" i="23"/>
  <c r="F1152" i="23"/>
  <c r="F1109" i="23"/>
  <c r="F1039" i="23"/>
  <c r="F975" i="23"/>
  <c r="F911" i="23"/>
  <c r="F847" i="23"/>
  <c r="F783" i="23"/>
  <c r="F719" i="23"/>
  <c r="F655" i="23"/>
  <c r="F1131" i="23"/>
  <c r="F1067" i="23"/>
  <c r="F1013" i="23"/>
  <c r="F949" i="23"/>
  <c r="F885" i="23"/>
  <c r="F821" i="23"/>
  <c r="F757" i="23"/>
  <c r="F693" i="23"/>
  <c r="F629" i="23"/>
  <c r="F1044" i="23"/>
  <c r="F980" i="23"/>
  <c r="F916" i="23"/>
  <c r="F852" i="23"/>
  <c r="K852" i="23" s="1"/>
  <c r="F788" i="23"/>
  <c r="F724" i="23"/>
  <c r="F660" i="23"/>
  <c r="F1130" i="23"/>
  <c r="F1066" i="23"/>
  <c r="F1011" i="23"/>
  <c r="F947" i="23"/>
  <c r="F883" i="23"/>
  <c r="F819" i="23"/>
  <c r="F755" i="23"/>
  <c r="F691" i="23"/>
  <c r="F447" i="23"/>
  <c r="F1116" i="23"/>
  <c r="F1049" i="23"/>
  <c r="F985" i="23"/>
  <c r="F921" i="23"/>
  <c r="F857" i="23"/>
  <c r="F793" i="23"/>
  <c r="F729" i="23"/>
  <c r="F665" i="23"/>
  <c r="F440" i="23"/>
  <c r="F1083" i="23"/>
  <c r="F1029" i="23"/>
  <c r="F965" i="23"/>
  <c r="K965" i="23" s="1"/>
  <c r="F901" i="23"/>
  <c r="K901" i="23" s="1"/>
  <c r="F837" i="23"/>
  <c r="F773" i="23"/>
  <c r="F709" i="23"/>
  <c r="F645" i="23"/>
  <c r="F606" i="23"/>
  <c r="F574" i="23"/>
  <c r="F540" i="23"/>
  <c r="F497" i="23"/>
  <c r="F452" i="23"/>
  <c r="F244" i="23"/>
  <c r="F464" i="23"/>
  <c r="F289" i="23"/>
  <c r="F593" i="23"/>
  <c r="F561" i="23"/>
  <c r="F523" i="23"/>
  <c r="F480" i="23"/>
  <c r="F401" i="23"/>
  <c r="F506" i="23"/>
  <c r="F397" i="23"/>
  <c r="F604" i="23"/>
  <c r="F572" i="23"/>
  <c r="F537" i="23"/>
  <c r="F495" i="23"/>
  <c r="F443" i="23"/>
  <c r="F116" i="23"/>
  <c r="F448" i="23"/>
  <c r="F161" i="23"/>
  <c r="F603" i="23"/>
  <c r="F571" i="23"/>
  <c r="F536" i="23"/>
  <c r="F493" i="23"/>
  <c r="F441" i="23"/>
  <c r="F103" i="23"/>
  <c r="F282" i="23"/>
  <c r="F218" i="23"/>
  <c r="F154" i="23"/>
  <c r="F90" i="23"/>
  <c r="F420" i="23"/>
  <c r="F388" i="23"/>
  <c r="F356" i="23"/>
  <c r="F300" i="23"/>
  <c r="F236" i="23"/>
  <c r="F172" i="23"/>
  <c r="F108" i="23"/>
  <c r="F325" i="23"/>
  <c r="F261" i="23"/>
  <c r="F197" i="23"/>
  <c r="F133" i="23"/>
  <c r="F62" i="23"/>
  <c r="F411" i="23"/>
  <c r="F379" i="23"/>
  <c r="F347" i="23"/>
  <c r="F286" i="23"/>
  <c r="F222" i="23"/>
  <c r="F158" i="23"/>
  <c r="F94" i="23"/>
  <c r="F285" i="23"/>
  <c r="F221" i="23"/>
  <c r="F157" i="23"/>
  <c r="F93" i="23"/>
  <c r="F426" i="23"/>
  <c r="F394" i="23"/>
  <c r="F362" i="23"/>
  <c r="F316" i="23"/>
  <c r="F252" i="23"/>
  <c r="F188" i="23"/>
  <c r="F124" i="23"/>
  <c r="F341" i="23"/>
  <c r="F277" i="23"/>
  <c r="F213" i="23"/>
  <c r="F149" i="23"/>
  <c r="F83" i="23"/>
  <c r="F61" i="23"/>
  <c r="F29" i="23"/>
  <c r="F84" i="23"/>
  <c r="F52" i="23"/>
  <c r="F20" i="23"/>
  <c r="F51" i="23"/>
  <c r="F19" i="23"/>
  <c r="G948" i="23"/>
  <c r="I948" i="23" s="1"/>
  <c r="K948" i="23" s="1"/>
  <c r="G1376" i="23"/>
  <c r="I1376" i="23" s="1"/>
  <c r="G1444" i="23"/>
  <c r="I1444" i="23" s="1"/>
  <c r="K1444" i="23" s="1"/>
  <c r="G1380" i="23"/>
  <c r="I1380" i="23" s="1"/>
  <c r="G1311" i="23"/>
  <c r="I1311" i="23" s="1"/>
  <c r="G1247" i="23"/>
  <c r="I1247" i="23" s="1"/>
  <c r="K1247" i="23" s="1"/>
  <c r="G1183" i="23"/>
  <c r="I1183" i="23" s="1"/>
  <c r="K1183" i="23" s="1"/>
  <c r="G1119" i="23"/>
  <c r="I1119" i="23" s="1"/>
  <c r="K1119" i="23" s="1"/>
  <c r="G1055" i="23"/>
  <c r="I1055" i="23" s="1"/>
  <c r="G790" i="23"/>
  <c r="I790" i="23" s="1"/>
  <c r="K790" i="23" s="1"/>
  <c r="G1416" i="23"/>
  <c r="I1416" i="23" s="1"/>
  <c r="K1416" i="23" s="1"/>
  <c r="G1012" i="23"/>
  <c r="I1012" i="23" s="1"/>
  <c r="K1012" i="23" s="1"/>
  <c r="G1436" i="23"/>
  <c r="I1436" i="23" s="1"/>
  <c r="G1452" i="23"/>
  <c r="I1452" i="23" s="1"/>
  <c r="K1452" i="23" s="1"/>
  <c r="G1388" i="23"/>
  <c r="I1388" i="23" s="1"/>
  <c r="K1388" i="23" s="1"/>
  <c r="G779" i="23"/>
  <c r="I779" i="23" s="1"/>
  <c r="G1419" i="23"/>
  <c r="I1419" i="23" s="1"/>
  <c r="K1419" i="23" s="1"/>
  <c r="G1010" i="23"/>
  <c r="I1010" i="23" s="1"/>
  <c r="K1010" i="23" s="1"/>
  <c r="G1390" i="23"/>
  <c r="I1390" i="23" s="1"/>
  <c r="G1437" i="23"/>
  <c r="I1437" i="23" s="1"/>
  <c r="G1367" i="23"/>
  <c r="I1367" i="23" s="1"/>
  <c r="G1299" i="23"/>
  <c r="I1299" i="23" s="1"/>
  <c r="G1235" i="23"/>
  <c r="I1235" i="23" s="1"/>
  <c r="G1171" i="23"/>
  <c r="I1171" i="23" s="1"/>
  <c r="G1107" i="23"/>
  <c r="I1107" i="23" s="1"/>
  <c r="K1107" i="23" s="1"/>
  <c r="G1042" i="23"/>
  <c r="I1042" i="23" s="1"/>
  <c r="K1042" i="23" s="1"/>
  <c r="G1454" i="23"/>
  <c r="I1454" i="23" s="1"/>
  <c r="K1454" i="23" s="1"/>
  <c r="G1426" i="23"/>
  <c r="I1426" i="23" s="1"/>
  <c r="K1426" i="23" s="1"/>
  <c r="G1427" i="23"/>
  <c r="I1427" i="23" s="1"/>
  <c r="K1427" i="23" s="1"/>
  <c r="G1019" i="23"/>
  <c r="I1019" i="23" s="1"/>
  <c r="K1019" i="23" s="1"/>
  <c r="G673" i="23"/>
  <c r="I673" i="23" s="1"/>
  <c r="K673" i="23" s="1"/>
  <c r="G1338" i="23"/>
  <c r="I1338" i="23" s="1"/>
  <c r="K1338" i="23" s="1"/>
  <c r="G1306" i="23"/>
  <c r="I1306" i="23" s="1"/>
  <c r="K1306" i="23" s="1"/>
  <c r="G1274" i="23"/>
  <c r="I1274" i="23" s="1"/>
  <c r="K1274" i="23" s="1"/>
  <c r="G1242" i="23"/>
  <c r="I1242" i="23" s="1"/>
  <c r="G1210" i="23"/>
  <c r="I1210" i="23" s="1"/>
  <c r="G1178" i="23"/>
  <c r="I1178" i="23" s="1"/>
  <c r="K1178" i="23" s="1"/>
  <c r="G1146" i="23"/>
  <c r="I1146" i="23" s="1"/>
  <c r="K1146" i="23" s="1"/>
  <c r="G1114" i="23"/>
  <c r="I1114" i="23" s="1"/>
  <c r="K1114" i="23" s="1"/>
  <c r="G1082" i="23"/>
  <c r="I1082" i="23" s="1"/>
  <c r="G1050" i="23"/>
  <c r="I1050" i="23" s="1"/>
  <c r="G979" i="23"/>
  <c r="I979" i="23" s="1"/>
  <c r="K979" i="23" s="1"/>
  <c r="G571" i="23"/>
  <c r="I571" i="23" s="1"/>
  <c r="K571" i="23" s="1"/>
  <c r="G838" i="23"/>
  <c r="I838" i="23" s="1"/>
  <c r="K838" i="23" s="1"/>
  <c r="G667" i="23"/>
  <c r="I667" i="23" s="1"/>
  <c r="G1365" i="23"/>
  <c r="G1333" i="23"/>
  <c r="I1333" i="23" s="1"/>
  <c r="G1301" i="23"/>
  <c r="I1301" i="23" s="1"/>
  <c r="K1301" i="23" s="1"/>
  <c r="G1269" i="23"/>
  <c r="I1269" i="23" s="1"/>
  <c r="G1237" i="23"/>
  <c r="I1237" i="23" s="1"/>
  <c r="K1237" i="23" s="1"/>
  <c r="G1205" i="23"/>
  <c r="I1205" i="23" s="1"/>
  <c r="G1173" i="23"/>
  <c r="I1173" i="23" s="1"/>
  <c r="K1173" i="23" s="1"/>
  <c r="G1141" i="23"/>
  <c r="I1141" i="23" s="1"/>
  <c r="G1109" i="23"/>
  <c r="G1077" i="23"/>
  <c r="I1077" i="23" s="1"/>
  <c r="K1077" i="23" s="1"/>
  <c r="G1045" i="23"/>
  <c r="I1045" i="23" s="1"/>
  <c r="K1045" i="23" s="1"/>
  <c r="G977" i="23"/>
  <c r="I977" i="23" s="1"/>
  <c r="G1396" i="23"/>
  <c r="I1396" i="23" s="1"/>
  <c r="K1396" i="23" s="1"/>
  <c r="G676" i="23"/>
  <c r="I676" i="23" s="1"/>
  <c r="G1318" i="23"/>
  <c r="I1318" i="23" s="1"/>
  <c r="K1318" i="23" s="1"/>
  <c r="G1158" i="23"/>
  <c r="I1158" i="23" s="1"/>
  <c r="K1158" i="23" s="1"/>
  <c r="G1018" i="23"/>
  <c r="I1018" i="23" s="1"/>
  <c r="K1018" i="23" s="1"/>
  <c r="G930" i="23"/>
  <c r="I930" i="23" s="1"/>
  <c r="K930" i="23" s="1"/>
  <c r="G145" i="23"/>
  <c r="I145" i="23" s="1"/>
  <c r="G1313" i="23"/>
  <c r="I1313" i="23" s="1"/>
  <c r="K1313" i="23" s="1"/>
  <c r="G1249" i="23"/>
  <c r="I1249" i="23" s="1"/>
  <c r="G1057" i="23"/>
  <c r="I1057" i="23" s="1"/>
  <c r="K1057" i="23" s="1"/>
  <c r="F1386" i="23"/>
  <c r="F1428" i="23"/>
  <c r="F1364" i="23"/>
  <c r="F1296" i="23"/>
  <c r="F1402" i="23"/>
  <c r="F1417" i="23"/>
  <c r="F1353" i="23"/>
  <c r="F1276" i="23"/>
  <c r="F1427" i="23"/>
  <c r="F1470" i="23"/>
  <c r="F1448" i="23"/>
  <c r="K1448" i="23" s="1"/>
  <c r="F1384" i="23"/>
  <c r="K1384" i="23" s="1"/>
  <c r="F1320" i="23"/>
  <c r="F1465" i="23"/>
  <c r="F1347" i="23"/>
  <c r="F1394" i="23"/>
  <c r="F1439" i="23"/>
  <c r="F1375" i="23"/>
  <c r="F1311" i="23"/>
  <c r="F1418" i="23"/>
  <c r="F1422" i="23"/>
  <c r="F1358" i="23"/>
  <c r="F1288" i="23"/>
  <c r="F1410" i="23"/>
  <c r="F1453" i="23"/>
  <c r="F1389" i="23"/>
  <c r="K1389" i="23" s="1"/>
  <c r="F1325" i="23"/>
  <c r="F1128" i="23"/>
  <c r="F1158" i="23"/>
  <c r="F957" i="23"/>
  <c r="F1195" i="23"/>
  <c r="F1101" i="23"/>
  <c r="F771" i="23"/>
  <c r="F1263" i="23"/>
  <c r="F1231" i="23"/>
  <c r="F1188" i="23"/>
  <c r="F1069" i="23"/>
  <c r="F714" i="23"/>
  <c r="F1155" i="23"/>
  <c r="F944" i="23"/>
  <c r="F1274" i="23"/>
  <c r="F1242" i="23"/>
  <c r="F1210" i="23"/>
  <c r="F1064" i="23"/>
  <c r="F701" i="23"/>
  <c r="F1179" i="23"/>
  <c r="F1082" i="23"/>
  <c r="F797" i="23"/>
  <c r="F1289" i="23"/>
  <c r="F1257" i="23"/>
  <c r="F1225" i="23"/>
  <c r="F1165" i="23"/>
  <c r="F932" i="23"/>
  <c r="F913" i="23"/>
  <c r="F849" i="23"/>
  <c r="F785" i="23"/>
  <c r="F721" i="23"/>
  <c r="F657" i="23"/>
  <c r="F1148" i="23"/>
  <c r="F1100" i="23"/>
  <c r="F1033" i="23"/>
  <c r="F969" i="23"/>
  <c r="F905" i="23"/>
  <c r="F841" i="23"/>
  <c r="F777" i="23"/>
  <c r="F713" i="23"/>
  <c r="F649" i="23"/>
  <c r="F1122" i="23"/>
  <c r="F1062" i="23"/>
  <c r="F1000" i="23"/>
  <c r="F936" i="23"/>
  <c r="F872" i="23"/>
  <c r="F808" i="23"/>
  <c r="F744" i="23"/>
  <c r="F680" i="23"/>
  <c r="F621" i="23"/>
  <c r="F1038" i="23"/>
  <c r="F974" i="23"/>
  <c r="F910" i="23"/>
  <c r="F846" i="23"/>
  <c r="F782" i="23"/>
  <c r="F718" i="23"/>
  <c r="F654" i="23"/>
  <c r="F1121" i="23"/>
  <c r="F1061" i="23"/>
  <c r="F1005" i="23"/>
  <c r="F941" i="23"/>
  <c r="F877" i="23"/>
  <c r="F813" i="23"/>
  <c r="F749" i="23"/>
  <c r="F685" i="23"/>
  <c r="F199" i="23"/>
  <c r="F1111" i="23"/>
  <c r="F1036" i="23"/>
  <c r="F972" i="23"/>
  <c r="K972" i="23" s="1"/>
  <c r="F908" i="23"/>
  <c r="F844" i="23"/>
  <c r="F780" i="23"/>
  <c r="F716" i="23"/>
  <c r="F652" i="23"/>
  <c r="F148" i="23"/>
  <c r="F1074" i="23"/>
  <c r="F1016" i="23"/>
  <c r="F952" i="23"/>
  <c r="F888" i="23"/>
  <c r="F824" i="23"/>
  <c r="F760" i="23"/>
  <c r="F696" i="23"/>
  <c r="F632" i="23"/>
  <c r="F602" i="23"/>
  <c r="F570" i="23"/>
  <c r="F535" i="23"/>
  <c r="F492" i="23"/>
  <c r="F446" i="23"/>
  <c r="F193" i="23"/>
  <c r="F458" i="23"/>
  <c r="F238" i="23"/>
  <c r="F589" i="23"/>
  <c r="F557" i="23"/>
  <c r="F517" i="23"/>
  <c r="F475" i="23"/>
  <c r="F369" i="23"/>
  <c r="F490" i="23"/>
  <c r="F365" i="23"/>
  <c r="F600" i="23"/>
  <c r="F568" i="23"/>
  <c r="F532" i="23"/>
  <c r="F489" i="23"/>
  <c r="F435" i="23"/>
  <c r="F542" i="23"/>
  <c r="F442" i="23"/>
  <c r="F110" i="23"/>
  <c r="F599" i="23"/>
  <c r="F567" i="23"/>
  <c r="F531" i="23"/>
  <c r="F488" i="23"/>
  <c r="F433" i="23"/>
  <c r="F339" i="23"/>
  <c r="F275" i="23"/>
  <c r="F211" i="23"/>
  <c r="F147" i="23"/>
  <c r="F82" i="23"/>
  <c r="F416" i="23"/>
  <c r="F384" i="23"/>
  <c r="F352" i="23"/>
  <c r="F294" i="23"/>
  <c r="F230" i="23"/>
  <c r="F166" i="23"/>
  <c r="F102" i="23"/>
  <c r="F312" i="23"/>
  <c r="F248" i="23"/>
  <c r="F184" i="23"/>
  <c r="F120" i="23"/>
  <c r="F46" i="23"/>
  <c r="F407" i="23"/>
  <c r="F375" i="23"/>
  <c r="F343" i="23"/>
  <c r="F279" i="23"/>
  <c r="F215" i="23"/>
  <c r="F151" i="23"/>
  <c r="F336" i="23"/>
  <c r="F272" i="23"/>
  <c r="F208" i="23"/>
  <c r="F144" i="23"/>
  <c r="F86" i="23"/>
  <c r="F422" i="23"/>
  <c r="F390" i="23"/>
  <c r="F358" i="23"/>
  <c r="F310" i="23"/>
  <c r="F246" i="23"/>
  <c r="F182" i="23"/>
  <c r="F118" i="23"/>
  <c r="F328" i="23"/>
  <c r="F264" i="23"/>
  <c r="F200" i="23"/>
  <c r="F136" i="23"/>
  <c r="F75" i="23"/>
  <c r="F57" i="23"/>
  <c r="F25" i="23"/>
  <c r="F80" i="23"/>
  <c r="F48" i="23"/>
  <c r="F16" i="23"/>
  <c r="F47" i="23"/>
  <c r="F15" i="23"/>
  <c r="G1472" i="23"/>
  <c r="I1472" i="23" s="1"/>
  <c r="K1472" i="23" s="1"/>
  <c r="G1359" i="23"/>
  <c r="I1359" i="23" s="1"/>
  <c r="G1439" i="23"/>
  <c r="I1439" i="23" s="1"/>
  <c r="K1439" i="23" s="1"/>
  <c r="G1375" i="23"/>
  <c r="I1375" i="23" s="1"/>
  <c r="G1303" i="23"/>
  <c r="I1303" i="23" s="1"/>
  <c r="G1239" i="23"/>
  <c r="G1175" i="23"/>
  <c r="G1111" i="23"/>
  <c r="I1111" i="23" s="1"/>
  <c r="K1111" i="23" s="1"/>
  <c r="G1047" i="23"/>
  <c r="I1047" i="23" s="1"/>
  <c r="G907" i="23"/>
  <c r="I907" i="23" s="1"/>
  <c r="G1411" i="23"/>
  <c r="I1411" i="23" s="1"/>
  <c r="K1411" i="23" s="1"/>
  <c r="G1001" i="23"/>
  <c r="I1001" i="23" s="1"/>
  <c r="K1001" i="23" s="1"/>
  <c r="G1404" i="23"/>
  <c r="I1404" i="23" s="1"/>
  <c r="K1404" i="23" s="1"/>
  <c r="G1447" i="23"/>
  <c r="I1447" i="23" s="1"/>
  <c r="K1447" i="23" s="1"/>
  <c r="G1383" i="23"/>
  <c r="G651" i="23"/>
  <c r="I651" i="23" s="1"/>
  <c r="K651" i="23" s="1"/>
  <c r="G1410" i="23"/>
  <c r="I1410" i="23" s="1"/>
  <c r="K1410" i="23" s="1"/>
  <c r="G960" i="23"/>
  <c r="I960" i="23" s="1"/>
  <c r="K960" i="23" s="1"/>
  <c r="G1360" i="23"/>
  <c r="I1360" i="23" s="1"/>
  <c r="K1360" i="23" s="1"/>
  <c r="G1428" i="23"/>
  <c r="I1428" i="23" s="1"/>
  <c r="K1428" i="23" s="1"/>
  <c r="G1355" i="23"/>
  <c r="I1355" i="23" s="1"/>
  <c r="G1291" i="23"/>
  <c r="I1291" i="23" s="1"/>
  <c r="K1291" i="23" s="1"/>
  <c r="G1227" i="23"/>
  <c r="G1163" i="23"/>
  <c r="I1163" i="23" s="1"/>
  <c r="K1163" i="23" s="1"/>
  <c r="G1099" i="23"/>
  <c r="I1099" i="23" s="1"/>
  <c r="K1099" i="23" s="1"/>
  <c r="G1007" i="23"/>
  <c r="I1007" i="23" s="1"/>
  <c r="K1007" i="23" s="1"/>
  <c r="G1431" i="23"/>
  <c r="I1431" i="23" s="1"/>
  <c r="K1431" i="23" s="1"/>
  <c r="G1408" i="23"/>
  <c r="I1408" i="23" s="1"/>
  <c r="K1408" i="23" s="1"/>
  <c r="G1418" i="23"/>
  <c r="I1418" i="23" s="1"/>
  <c r="K1418" i="23" s="1"/>
  <c r="G994" i="23"/>
  <c r="I994" i="23" s="1"/>
  <c r="G192" i="23"/>
  <c r="G1334" i="23"/>
  <c r="I1334" i="23" s="1"/>
  <c r="K1334" i="23" s="1"/>
  <c r="G1302" i="23"/>
  <c r="I1302" i="23" s="1"/>
  <c r="G1270" i="23"/>
  <c r="I1270" i="23" s="1"/>
  <c r="K1270" i="23" s="1"/>
  <c r="G1238" i="23"/>
  <c r="G1206" i="23"/>
  <c r="I1206" i="23" s="1"/>
  <c r="K1206" i="23" s="1"/>
  <c r="G1174" i="23"/>
  <c r="I1174" i="23" s="1"/>
  <c r="K1174" i="23" s="1"/>
  <c r="G1142" i="23"/>
  <c r="I1142" i="23" s="1"/>
  <c r="K1142" i="23" s="1"/>
  <c r="G1110" i="23"/>
  <c r="G1078" i="23"/>
  <c r="I1078" i="23" s="1"/>
  <c r="K1078" i="23" s="1"/>
  <c r="G1046" i="23"/>
  <c r="I1046" i="23" s="1"/>
  <c r="K1046" i="23" s="1"/>
  <c r="G945" i="23"/>
  <c r="I945" i="23" s="1"/>
  <c r="K945" i="23" s="1"/>
  <c r="G475" i="23"/>
  <c r="G817" i="23"/>
  <c r="I817" i="23" s="1"/>
  <c r="K817" i="23" s="1"/>
  <c r="G646" i="23"/>
  <c r="I646" i="23" s="1"/>
  <c r="G1361" i="23"/>
  <c r="G1329" i="23"/>
  <c r="G1297" i="23"/>
  <c r="I1297" i="23" s="1"/>
  <c r="G1265" i="23"/>
  <c r="I1265" i="23" s="1"/>
  <c r="K1265" i="23" s="1"/>
  <c r="G1233" i="23"/>
  <c r="I1233" i="23" s="1"/>
  <c r="G1201" i="23"/>
  <c r="I1201" i="23" s="1"/>
  <c r="G1169" i="23"/>
  <c r="I1169" i="23" s="1"/>
  <c r="K1169" i="23" s="1"/>
  <c r="G1137" i="23"/>
  <c r="I1137" i="23" s="1"/>
  <c r="K1137" i="23" s="1"/>
  <c r="G1105" i="23"/>
  <c r="I1105" i="23" s="1"/>
  <c r="K1105" i="23" s="1"/>
  <c r="G1073" i="23"/>
  <c r="G1034" i="23"/>
  <c r="G954" i="23"/>
  <c r="I954" i="23" s="1"/>
  <c r="G1460" i="23"/>
  <c r="I1460" i="23" s="1"/>
  <c r="K1460" i="23" s="1"/>
  <c r="G1067" i="23"/>
  <c r="I1067" i="23" s="1"/>
  <c r="K1067" i="23" s="1"/>
  <c r="G1350" i="23"/>
  <c r="I1350" i="23" s="1"/>
  <c r="K1350" i="23" s="1"/>
  <c r="G1126" i="23"/>
  <c r="I1126" i="23" s="1"/>
  <c r="K1126" i="23" s="1"/>
  <c r="G1185" i="23"/>
  <c r="I1185" i="23" s="1"/>
  <c r="K1185" i="23" s="1"/>
  <c r="F1346" i="23"/>
  <c r="K1346" i="23" s="1"/>
  <c r="F1356" i="23"/>
  <c r="F880" i="23"/>
  <c r="F1345" i="23"/>
  <c r="F1403" i="23"/>
  <c r="F1442" i="23"/>
  <c r="F1440" i="23"/>
  <c r="F1376" i="23"/>
  <c r="F1312" i="23"/>
  <c r="F1451" i="23"/>
  <c r="K1451" i="23" s="1"/>
  <c r="F1331" i="23"/>
  <c r="F1354" i="23"/>
  <c r="F1431" i="23"/>
  <c r="F1367" i="23"/>
  <c r="F1300" i="23"/>
  <c r="F1362" i="23"/>
  <c r="F1414" i="23"/>
  <c r="F1350" i="23"/>
  <c r="F1264" i="23"/>
  <c r="F1370" i="23"/>
  <c r="F1445" i="23"/>
  <c r="F1381" i="23"/>
  <c r="F1317" i="23"/>
  <c r="F977" i="23"/>
  <c r="K977" i="23" s="1"/>
  <c r="F1151" i="23"/>
  <c r="F931" i="23"/>
  <c r="F1182" i="23"/>
  <c r="F1073" i="23"/>
  <c r="F720" i="23"/>
  <c r="F1259" i="23"/>
  <c r="F1227" i="23"/>
  <c r="F1181" i="23"/>
  <c r="F1047" i="23"/>
  <c r="F1205" i="23"/>
  <c r="F1145" i="23"/>
  <c r="F912" i="23"/>
  <c r="F1270" i="23"/>
  <c r="F1238" i="23"/>
  <c r="F1199" i="23"/>
  <c r="K1199" i="23" s="1"/>
  <c r="F1041" i="23"/>
  <c r="F650" i="23"/>
  <c r="F1166" i="23"/>
  <c r="F1063" i="23"/>
  <c r="F746" i="23"/>
  <c r="F1285" i="23"/>
  <c r="F1253" i="23"/>
  <c r="K1253" i="23" s="1"/>
  <c r="F1221" i="23"/>
  <c r="K1221" i="23" s="1"/>
  <c r="F1159" i="23"/>
  <c r="F893" i="23"/>
  <c r="F900" i="23"/>
  <c r="F836" i="23"/>
  <c r="F772" i="23"/>
  <c r="F708" i="23"/>
  <c r="F644" i="23"/>
  <c r="F1144" i="23"/>
  <c r="F1095" i="23"/>
  <c r="F1020" i="23"/>
  <c r="F956" i="23"/>
  <c r="F892" i="23"/>
  <c r="F828" i="23"/>
  <c r="F764" i="23"/>
  <c r="F700" i="23"/>
  <c r="F636" i="23"/>
  <c r="F1113" i="23"/>
  <c r="F1057" i="23"/>
  <c r="F994" i="23"/>
  <c r="F930" i="23"/>
  <c r="F866" i="23"/>
  <c r="F802" i="23"/>
  <c r="F738" i="23"/>
  <c r="F674" i="23"/>
  <c r="F546" i="23"/>
  <c r="F1031" i="23"/>
  <c r="F967" i="23"/>
  <c r="F903" i="23"/>
  <c r="F839" i="23"/>
  <c r="F775" i="23"/>
  <c r="F711" i="23"/>
  <c r="F647" i="23"/>
  <c r="F1112" i="23"/>
  <c r="F1055" i="23"/>
  <c r="F992" i="23"/>
  <c r="F928" i="23"/>
  <c r="F864" i="23"/>
  <c r="F800" i="23"/>
  <c r="F736" i="23"/>
  <c r="F672" i="23"/>
  <c r="F1150" i="23"/>
  <c r="F1102" i="23"/>
  <c r="F1030" i="23"/>
  <c r="F966" i="23"/>
  <c r="F902" i="23"/>
  <c r="F838" i="23"/>
  <c r="F774" i="23"/>
  <c r="F710" i="23"/>
  <c r="F646" i="23"/>
  <c r="F1129" i="23"/>
  <c r="F1065" i="23"/>
  <c r="F1010" i="23"/>
  <c r="F946" i="23"/>
  <c r="F882" i="23"/>
  <c r="F818" i="23"/>
  <c r="F754" i="23"/>
  <c r="F690" i="23"/>
  <c r="F625" i="23"/>
  <c r="F598" i="23"/>
  <c r="F566" i="23"/>
  <c r="F529" i="23"/>
  <c r="F487" i="23"/>
  <c r="F439" i="23"/>
  <c r="F142" i="23"/>
  <c r="F445" i="23"/>
  <c r="F135" i="23"/>
  <c r="F585" i="23"/>
  <c r="F553" i="23"/>
  <c r="F512" i="23"/>
  <c r="F469" i="23"/>
  <c r="F334" i="23"/>
  <c r="F474" i="23"/>
  <c r="F327" i="23"/>
  <c r="F596" i="23"/>
  <c r="F564" i="23"/>
  <c r="F527" i="23"/>
  <c r="F484" i="23"/>
  <c r="F425" i="23"/>
  <c r="F526" i="23"/>
  <c r="F434" i="23"/>
  <c r="F627" i="23"/>
  <c r="F595" i="23"/>
  <c r="F563" i="23"/>
  <c r="F525" i="23"/>
  <c r="F483" i="23"/>
  <c r="F417" i="23"/>
  <c r="F333" i="23"/>
  <c r="F269" i="23"/>
  <c r="F205" i="23"/>
  <c r="F141" i="23"/>
  <c r="F74" i="23"/>
  <c r="F412" i="23"/>
  <c r="F380" i="23"/>
  <c r="F348" i="23"/>
  <c r="F287" i="23"/>
  <c r="F223" i="23"/>
  <c r="F159" i="23"/>
  <c r="F95" i="23"/>
  <c r="F306" i="23"/>
  <c r="F242" i="23"/>
  <c r="F178" i="23"/>
  <c r="F114" i="23"/>
  <c r="F30" i="23"/>
  <c r="F403" i="23"/>
  <c r="F371" i="23"/>
  <c r="F337" i="23"/>
  <c r="F273" i="23"/>
  <c r="F209" i="23"/>
  <c r="F145" i="23"/>
  <c r="F330" i="23"/>
  <c r="F266" i="23"/>
  <c r="F202" i="23"/>
  <c r="F138" i="23"/>
  <c r="F78" i="23"/>
  <c r="F418" i="23"/>
  <c r="F386" i="23"/>
  <c r="F354" i="23"/>
  <c r="K354" i="23" s="1"/>
  <c r="F303" i="23"/>
  <c r="F239" i="23"/>
  <c r="F175" i="23"/>
  <c r="F111" i="23"/>
  <c r="F322" i="23"/>
  <c r="F258" i="23"/>
  <c r="F194" i="23"/>
  <c r="F130" i="23"/>
  <c r="F67" i="23"/>
  <c r="F53" i="23"/>
  <c r="F21" i="23"/>
  <c r="F76" i="23"/>
  <c r="F44" i="23"/>
  <c r="F12" i="23"/>
  <c r="F43" i="23"/>
  <c r="F11" i="23"/>
  <c r="G1458" i="23"/>
  <c r="I1458" i="23" s="1"/>
  <c r="K1458" i="23" s="1"/>
  <c r="G1028" i="23"/>
  <c r="I1028" i="23" s="1"/>
  <c r="G1430" i="23"/>
  <c r="I1430" i="23" s="1"/>
  <c r="K1430" i="23" s="1"/>
  <c r="G1370" i="23"/>
  <c r="I1370" i="23" s="1"/>
  <c r="G1295" i="23"/>
  <c r="I1295" i="23" s="1"/>
  <c r="K1295" i="23" s="1"/>
  <c r="G1231" i="23"/>
  <c r="I1231" i="23" s="1"/>
  <c r="K1231" i="23" s="1"/>
  <c r="G1167" i="23"/>
  <c r="I1167" i="23" s="1"/>
  <c r="G1103" i="23"/>
  <c r="I1103" i="23" s="1"/>
  <c r="K1103" i="23" s="1"/>
  <c r="G1037" i="23"/>
  <c r="I1037" i="23" s="1"/>
  <c r="K1037" i="23" s="1"/>
  <c r="G1466" i="23"/>
  <c r="I1466" i="23" s="1"/>
  <c r="K1466" i="23" s="1"/>
  <c r="G1402" i="23"/>
  <c r="I1402" i="23" s="1"/>
  <c r="K1402" i="23" s="1"/>
  <c r="G971" i="23"/>
  <c r="I971" i="23" s="1"/>
  <c r="G1381" i="23"/>
  <c r="I1381" i="23" s="1"/>
  <c r="G1438" i="23"/>
  <c r="I1438" i="23" s="1"/>
  <c r="G1374" i="23"/>
  <c r="I1374" i="23" s="1"/>
  <c r="G1465" i="23"/>
  <c r="I1465" i="23" s="1"/>
  <c r="G1401" i="23"/>
  <c r="I1401" i="23" s="1"/>
  <c r="K1401" i="23" s="1"/>
  <c r="G769" i="23"/>
  <c r="I769" i="23" s="1"/>
  <c r="G740" i="23"/>
  <c r="I740" i="23" s="1"/>
  <c r="K740" i="23" s="1"/>
  <c r="G1423" i="23"/>
  <c r="I1423" i="23" s="1"/>
  <c r="K1423" i="23" s="1"/>
  <c r="G1347" i="23"/>
  <c r="I1347" i="23" s="1"/>
  <c r="K1347" i="23" s="1"/>
  <c r="G1283" i="23"/>
  <c r="I1283" i="23" s="1"/>
  <c r="K1283" i="23" s="1"/>
  <c r="G1219" i="23"/>
  <c r="I1219" i="23" s="1"/>
  <c r="G1155" i="23"/>
  <c r="I1155" i="23" s="1"/>
  <c r="K1155" i="23" s="1"/>
  <c r="G1091" i="23"/>
  <c r="I1091" i="23" s="1"/>
  <c r="K1091" i="23" s="1"/>
  <c r="G995" i="23"/>
  <c r="I995" i="23" s="1"/>
  <c r="K995" i="23" s="1"/>
  <c r="G1399" i="23"/>
  <c r="I1399" i="23" s="1"/>
  <c r="G737" i="23"/>
  <c r="I737" i="23" s="1"/>
  <c r="K737" i="23" s="1"/>
  <c r="G1409" i="23"/>
  <c r="I1409" i="23" s="1"/>
  <c r="K1409" i="23" s="1"/>
  <c r="G980" i="23"/>
  <c r="I980" i="23" s="1"/>
  <c r="K980" i="23" s="1"/>
  <c r="G1362" i="23"/>
  <c r="I1362" i="23" s="1"/>
  <c r="G1330" i="23"/>
  <c r="I1330" i="23" s="1"/>
  <c r="K1330" i="23" s="1"/>
  <c r="G1298" i="23"/>
  <c r="I1298" i="23" s="1"/>
  <c r="K1298" i="23" s="1"/>
  <c r="G1266" i="23"/>
  <c r="I1266" i="23" s="1"/>
  <c r="K1266" i="23" s="1"/>
  <c r="G1234" i="23"/>
  <c r="I1234" i="23" s="1"/>
  <c r="G1202" i="23"/>
  <c r="I1202" i="23" s="1"/>
  <c r="G1170" i="23"/>
  <c r="I1170" i="23" s="1"/>
  <c r="G1138" i="23"/>
  <c r="I1138" i="23" s="1"/>
  <c r="K1138" i="23" s="1"/>
  <c r="G1106" i="23"/>
  <c r="I1106" i="23" s="1"/>
  <c r="K1106" i="23" s="1"/>
  <c r="G1074" i="23"/>
  <c r="I1074" i="23" s="1"/>
  <c r="G1041" i="23"/>
  <c r="I1041" i="23" s="1"/>
  <c r="K1041" i="23" s="1"/>
  <c r="G933" i="23"/>
  <c r="I933" i="23" s="1"/>
  <c r="K933" i="23" s="1"/>
  <c r="G417" i="23"/>
  <c r="I417" i="23" s="1"/>
  <c r="K417" i="23" s="1"/>
  <c r="G795" i="23"/>
  <c r="I795" i="23" s="1"/>
  <c r="G607" i="23"/>
  <c r="I607" i="23" s="1"/>
  <c r="K607" i="23" s="1"/>
  <c r="G1357" i="23"/>
  <c r="I1357" i="23" s="1"/>
  <c r="K1357" i="23" s="1"/>
  <c r="G1325" i="23"/>
  <c r="I1325" i="23" s="1"/>
  <c r="K1325" i="23" s="1"/>
  <c r="G1293" i="23"/>
  <c r="I1293" i="23" s="1"/>
  <c r="G1261" i="23"/>
  <c r="I1261" i="23" s="1"/>
  <c r="G1229" i="23"/>
  <c r="I1229" i="23" s="1"/>
  <c r="K1229" i="23" s="1"/>
  <c r="G1197" i="23"/>
  <c r="I1197" i="23" s="1"/>
  <c r="K1197" i="23" s="1"/>
  <c r="G1165" i="23"/>
  <c r="I1165" i="23" s="1"/>
  <c r="K1165" i="23" s="1"/>
  <c r="G1133" i="23"/>
  <c r="I1133" i="23" s="1"/>
  <c r="G1101" i="23"/>
  <c r="I1101" i="23" s="1"/>
  <c r="K1101" i="23" s="1"/>
  <c r="G1069" i="23"/>
  <c r="I1069" i="23" s="1"/>
  <c r="G1029" i="23"/>
  <c r="I1029" i="23" s="1"/>
  <c r="G942" i="23"/>
  <c r="I942" i="23" s="1"/>
  <c r="G1131" i="23"/>
  <c r="I1131" i="23" s="1"/>
  <c r="K1131" i="23" s="1"/>
  <c r="G864" i="23"/>
  <c r="I864" i="23" s="1"/>
  <c r="K864" i="23" s="1"/>
  <c r="G1254" i="23"/>
  <c r="I1254" i="23" s="1"/>
  <c r="G1062" i="23"/>
  <c r="I1062" i="23" s="1"/>
  <c r="K1062" i="23" s="1"/>
  <c r="G820" i="23"/>
  <c r="I820" i="23" s="1"/>
  <c r="K820" i="23" s="1"/>
  <c r="G731" i="23"/>
  <c r="I731" i="23" s="1"/>
  <c r="G1345" i="23"/>
  <c r="I1345" i="23" s="1"/>
  <c r="K1345" i="23" s="1"/>
  <c r="G1281" i="23"/>
  <c r="I1281" i="23" s="1"/>
  <c r="K1281" i="23" s="1"/>
  <c r="G1217" i="23"/>
  <c r="I1217" i="23" s="1"/>
  <c r="G1153" i="23"/>
  <c r="I1153" i="23" s="1"/>
  <c r="K1153" i="23" s="1"/>
  <c r="F1420" i="23"/>
  <c r="F1286" i="23"/>
  <c r="F1409" i="23"/>
  <c r="F1244" i="23"/>
  <c r="F1314" i="23"/>
  <c r="K1314" i="23" s="1"/>
  <c r="F1412" i="23"/>
  <c r="F1348" i="23"/>
  <c r="F1256" i="23"/>
  <c r="F1469" i="23"/>
  <c r="F1401" i="23"/>
  <c r="F1337" i="23"/>
  <c r="F1212" i="23"/>
  <c r="F1387" i="23"/>
  <c r="K1387" i="23" s="1"/>
  <c r="F1378" i="23"/>
  <c r="F1432" i="23"/>
  <c r="F1368" i="23"/>
  <c r="F1302" i="23"/>
  <c r="F1435" i="23"/>
  <c r="F1315" i="23"/>
  <c r="K1315" i="23" s="1"/>
  <c r="F1322" i="23"/>
  <c r="F1423" i="23"/>
  <c r="F1359" i="23"/>
  <c r="F1290" i="23"/>
  <c r="K1290" i="23" s="1"/>
  <c r="F1170" i="23"/>
  <c r="F1406" i="23"/>
  <c r="K1406" i="23" s="1"/>
  <c r="F1342" i="23"/>
  <c r="F1232" i="23"/>
  <c r="F1330" i="23"/>
  <c r="F1437" i="23"/>
  <c r="F1373" i="23"/>
  <c r="F1308" i="23"/>
  <c r="F1208" i="23"/>
  <c r="F1117" i="23"/>
  <c r="F835" i="23"/>
  <c r="F1176" i="23"/>
  <c r="F1053" i="23"/>
  <c r="F669" i="23"/>
  <c r="F1255" i="23"/>
  <c r="F1223" i="23"/>
  <c r="F1175" i="23"/>
  <c r="F1022" i="23"/>
  <c r="F1200" i="23"/>
  <c r="F1135" i="23"/>
  <c r="K1135" i="23" s="1"/>
  <c r="F861" i="23"/>
  <c r="F1266" i="23"/>
  <c r="F1234" i="23"/>
  <c r="F1186" i="23"/>
  <c r="K1186" i="23" s="1"/>
  <c r="F1015" i="23"/>
  <c r="F514" i="23"/>
  <c r="F1160" i="23"/>
  <c r="F1040" i="23"/>
  <c r="F643" i="23"/>
  <c r="F1281" i="23"/>
  <c r="F1249" i="23"/>
  <c r="F1217" i="23"/>
  <c r="F1141" i="23"/>
  <c r="F842" i="23"/>
  <c r="F894" i="23"/>
  <c r="F830" i="23"/>
  <c r="F766" i="23"/>
  <c r="F702" i="23"/>
  <c r="F638" i="23"/>
  <c r="F1140" i="23"/>
  <c r="F1086" i="23"/>
  <c r="F1014" i="23"/>
  <c r="F950" i="23"/>
  <c r="F886" i="23"/>
  <c r="F822" i="23"/>
  <c r="K822" i="23" s="1"/>
  <c r="F758" i="23"/>
  <c r="F694" i="23"/>
  <c r="F630" i="23"/>
  <c r="F1104" i="23"/>
  <c r="F1051" i="23"/>
  <c r="F987" i="23"/>
  <c r="F923" i="23"/>
  <c r="F859" i="23"/>
  <c r="F795" i="23"/>
  <c r="F731" i="23"/>
  <c r="F667" i="23"/>
  <c r="F302" i="23"/>
  <c r="F1025" i="23"/>
  <c r="K1025" i="23" s="1"/>
  <c r="F961" i="23"/>
  <c r="F897" i="23"/>
  <c r="F833" i="23"/>
  <c r="F769" i="23"/>
  <c r="F705" i="23"/>
  <c r="F641" i="23"/>
  <c r="F1107" i="23"/>
  <c r="F1050" i="23"/>
  <c r="K1050" i="23" s="1"/>
  <c r="F986" i="23"/>
  <c r="F922" i="23"/>
  <c r="F858" i="23"/>
  <c r="F794" i="23"/>
  <c r="F730" i="23"/>
  <c r="F666" i="23"/>
  <c r="F1146" i="23"/>
  <c r="F1093" i="23"/>
  <c r="F1023" i="23"/>
  <c r="F959" i="23"/>
  <c r="F895" i="23"/>
  <c r="F831" i="23"/>
  <c r="F767" i="23"/>
  <c r="F703" i="23"/>
  <c r="F639" i="23"/>
  <c r="F1120" i="23"/>
  <c r="F1059" i="23"/>
  <c r="F1003" i="23"/>
  <c r="F939" i="23"/>
  <c r="F875" i="23"/>
  <c r="F811" i="23"/>
  <c r="K811" i="23" s="1"/>
  <c r="F747" i="23"/>
  <c r="F683" i="23"/>
  <c r="F617" i="23"/>
  <c r="F594" i="23"/>
  <c r="F562" i="23"/>
  <c r="F524" i="23"/>
  <c r="F481" i="23"/>
  <c r="F431" i="23"/>
  <c r="F534" i="23"/>
  <c r="F438" i="23"/>
  <c r="F613" i="23"/>
  <c r="F581" i="23"/>
  <c r="F549" i="23"/>
  <c r="F507" i="23"/>
  <c r="F457" i="23"/>
  <c r="F231" i="23"/>
  <c r="F463" i="23"/>
  <c r="F276" i="23"/>
  <c r="F592" i="23"/>
  <c r="F560" i="23"/>
  <c r="F521" i="23"/>
  <c r="F479" i="23"/>
  <c r="F393" i="23"/>
  <c r="F510" i="23"/>
  <c r="F421" i="23"/>
  <c r="F623" i="23"/>
  <c r="F591" i="23"/>
  <c r="F559" i="23"/>
  <c r="F520" i="23"/>
  <c r="F477" i="23"/>
  <c r="F385" i="23"/>
  <c r="F320" i="23"/>
  <c r="F256" i="23"/>
  <c r="F192" i="23"/>
  <c r="F128" i="23"/>
  <c r="F66" i="23"/>
  <c r="F408" i="23"/>
  <c r="F376" i="23"/>
  <c r="F344" i="23"/>
  <c r="F281" i="23"/>
  <c r="F217" i="23"/>
  <c r="F153" i="23"/>
  <c r="F89" i="23"/>
  <c r="F299" i="23"/>
  <c r="F235" i="23"/>
  <c r="F171" i="23"/>
  <c r="F107" i="23"/>
  <c r="F14" i="23"/>
  <c r="F399" i="23"/>
  <c r="F367" i="23"/>
  <c r="F324" i="23"/>
  <c r="F260" i="23"/>
  <c r="F196" i="23"/>
  <c r="F132" i="23"/>
  <c r="F323" i="23"/>
  <c r="F259" i="23"/>
  <c r="F195" i="23"/>
  <c r="F131" i="23"/>
  <c r="F70" i="23"/>
  <c r="F414" i="23"/>
  <c r="F382" i="23"/>
  <c r="F350" i="23"/>
  <c r="F297" i="23"/>
  <c r="F233" i="23"/>
  <c r="F169" i="23"/>
  <c r="F105" i="23"/>
  <c r="F315" i="23"/>
  <c r="F251" i="23"/>
  <c r="F187" i="23"/>
  <c r="F123" i="23"/>
  <c r="F54" i="23"/>
  <c r="F49" i="23"/>
  <c r="F17" i="23"/>
  <c r="F72" i="23"/>
  <c r="F40" i="23"/>
  <c r="F8" i="23"/>
  <c r="F39" i="23"/>
  <c r="F7" i="23"/>
  <c r="G1440" i="23"/>
  <c r="I1440" i="23" s="1"/>
  <c r="K1440" i="23" s="1"/>
  <c r="G1003" i="23"/>
  <c r="I1003" i="23" s="1"/>
  <c r="G1421" i="23"/>
  <c r="I1421" i="23" s="1"/>
  <c r="K1421" i="23" s="1"/>
  <c r="G1351" i="23"/>
  <c r="I1351" i="23" s="1"/>
  <c r="K1351" i="23" s="1"/>
  <c r="G1287" i="23"/>
  <c r="I1287" i="23" s="1"/>
  <c r="K1287" i="23" s="1"/>
  <c r="G1223" i="23"/>
  <c r="I1223" i="23" s="1"/>
  <c r="G1159" i="23"/>
  <c r="I1159" i="23" s="1"/>
  <c r="K1159" i="23" s="1"/>
  <c r="G1095" i="23"/>
  <c r="I1095" i="23" s="1"/>
  <c r="K1095" i="23" s="1"/>
  <c r="G988" i="23"/>
  <c r="I988" i="23" s="1"/>
  <c r="G1457" i="23"/>
  <c r="I1457" i="23" s="1"/>
  <c r="K1457" i="23" s="1"/>
  <c r="G1393" i="23"/>
  <c r="I1393" i="23" s="1"/>
  <c r="K1393" i="23" s="1"/>
  <c r="G889" i="23"/>
  <c r="I889" i="23" s="1"/>
  <c r="G1017" i="23"/>
  <c r="I1017" i="23" s="1"/>
  <c r="K1017" i="23" s="1"/>
  <c r="G1429" i="23"/>
  <c r="I1429" i="23" s="1"/>
  <c r="K1429" i="23" s="1"/>
  <c r="G1363" i="23"/>
  <c r="I1363" i="23" s="1"/>
  <c r="G1456" i="23"/>
  <c r="I1456" i="23" s="1"/>
  <c r="K1456" i="23" s="1"/>
  <c r="G1392" i="23"/>
  <c r="I1392" i="23" s="1"/>
  <c r="G694" i="23"/>
  <c r="I694" i="23" s="1"/>
  <c r="K694" i="23" s="1"/>
  <c r="G801" i="23"/>
  <c r="I801" i="23" s="1"/>
  <c r="K801" i="23" s="1"/>
  <c r="G1414" i="23"/>
  <c r="I1414" i="23" s="1"/>
  <c r="K1414" i="23" s="1"/>
  <c r="G1339" i="23"/>
  <c r="I1339" i="23" s="1"/>
  <c r="G1275" i="23"/>
  <c r="I1275" i="23" s="1"/>
  <c r="G1211" i="23"/>
  <c r="I1211" i="23" s="1"/>
  <c r="G1147" i="23"/>
  <c r="I1147" i="23" s="1"/>
  <c r="K1147" i="23" s="1"/>
  <c r="G1083" i="23"/>
  <c r="I1083" i="23" s="1"/>
  <c r="G919" i="23"/>
  <c r="I919" i="23" s="1"/>
  <c r="K919" i="23" s="1"/>
  <c r="G1371" i="23"/>
  <c r="I1371" i="23" s="1"/>
  <c r="K1371" i="23" s="1"/>
  <c r="G1464" i="23"/>
  <c r="I1464" i="23" s="1"/>
  <c r="G1400" i="23"/>
  <c r="I1400" i="23" s="1"/>
  <c r="K1400" i="23" s="1"/>
  <c r="G953" i="23"/>
  <c r="I953" i="23" s="1"/>
  <c r="G1358" i="23"/>
  <c r="I1358" i="23" s="1"/>
  <c r="G1326" i="23"/>
  <c r="I1326" i="23" s="1"/>
  <c r="K1326" i="23" s="1"/>
  <c r="G1294" i="23"/>
  <c r="I1294" i="23" s="1"/>
  <c r="G1262" i="23"/>
  <c r="I1262" i="23" s="1"/>
  <c r="K1262" i="23" s="1"/>
  <c r="G1230" i="23"/>
  <c r="I1230" i="23" s="1"/>
  <c r="K1230" i="23" s="1"/>
  <c r="G1198" i="23"/>
  <c r="I1198" i="23" s="1"/>
  <c r="G1166" i="23"/>
  <c r="I1166" i="23" s="1"/>
  <c r="K1166" i="23" s="1"/>
  <c r="G1134" i="23"/>
  <c r="I1134" i="23" s="1"/>
  <c r="K1134" i="23" s="1"/>
  <c r="G1102" i="23"/>
  <c r="I1102" i="23" s="1"/>
  <c r="K1102" i="23" s="1"/>
  <c r="G1070" i="23"/>
  <c r="I1070" i="23" s="1"/>
  <c r="K1070" i="23" s="1"/>
  <c r="G1030" i="23"/>
  <c r="I1030" i="23" s="1"/>
  <c r="G896" i="23"/>
  <c r="I896" i="23" s="1"/>
  <c r="K896" i="23" s="1"/>
  <c r="G346" i="23"/>
  <c r="I346" i="23" s="1"/>
  <c r="K346" i="23" s="1"/>
  <c r="G774" i="23"/>
  <c r="I774" i="23" s="1"/>
  <c r="G465" i="23"/>
  <c r="I465" i="23" s="1"/>
  <c r="K465" i="23" s="1"/>
  <c r="G1353" i="23"/>
  <c r="I1353" i="23" s="1"/>
  <c r="K1353" i="23" s="1"/>
  <c r="G1321" i="23"/>
  <c r="I1321" i="23" s="1"/>
  <c r="G1289" i="23"/>
  <c r="I1289" i="23" s="1"/>
  <c r="K1289" i="23" s="1"/>
  <c r="G1257" i="23"/>
  <c r="I1257" i="23" s="1"/>
  <c r="K1257" i="23" s="1"/>
  <c r="G1225" i="23"/>
  <c r="I1225" i="23" s="1"/>
  <c r="K1225" i="23" s="1"/>
  <c r="G1193" i="23"/>
  <c r="I1193" i="23" s="1"/>
  <c r="K1193" i="23" s="1"/>
  <c r="G1161" i="23"/>
  <c r="I1161" i="23" s="1"/>
  <c r="K1161" i="23" s="1"/>
  <c r="G1129" i="23"/>
  <c r="I1129" i="23" s="1"/>
  <c r="K1129" i="23" s="1"/>
  <c r="G1097" i="23"/>
  <c r="I1097" i="23" s="1"/>
  <c r="K1097" i="23" s="1"/>
  <c r="G1065" i="23"/>
  <c r="I1065" i="23" s="1"/>
  <c r="K1065" i="23" s="1"/>
  <c r="G1016" i="23"/>
  <c r="I1016" i="23" s="1"/>
  <c r="G928" i="23"/>
  <c r="I928" i="23" s="1"/>
  <c r="G603" i="23"/>
  <c r="I603" i="23" s="1"/>
  <c r="K603" i="23" s="1"/>
  <c r="G639" i="23"/>
  <c r="I639" i="23" s="1"/>
  <c r="K639" i="23" s="1"/>
  <c r="G1340" i="23"/>
  <c r="I1340" i="23" s="1"/>
  <c r="G1308" i="23"/>
  <c r="I1308" i="23" s="1"/>
  <c r="G1276" i="23"/>
  <c r="I1276" i="23" s="1"/>
  <c r="G1244" i="23"/>
  <c r="I1244" i="23" s="1"/>
  <c r="G1212" i="23"/>
  <c r="I1212" i="23" s="1"/>
  <c r="K1212" i="23" s="1"/>
  <c r="G1180" i="23"/>
  <c r="I1180" i="23" s="1"/>
  <c r="K1180" i="23" s="1"/>
  <c r="G1148" i="23"/>
  <c r="I1148" i="23" s="1"/>
  <c r="K1148" i="23" s="1"/>
  <c r="G1116" i="23"/>
  <c r="I1116" i="23" s="1"/>
  <c r="K1116" i="23" s="1"/>
  <c r="G1084" i="23"/>
  <c r="I1084" i="23" s="1"/>
  <c r="K1084" i="23" s="1"/>
  <c r="G1052" i="23"/>
  <c r="I1052" i="23" s="1"/>
  <c r="K1052" i="23" s="1"/>
  <c r="G997" i="23"/>
  <c r="I997" i="23" s="1"/>
  <c r="K997" i="23" s="1"/>
  <c r="G724" i="23"/>
  <c r="I724" i="23" s="1"/>
  <c r="G1020" i="23"/>
  <c r="I1020" i="23" s="1"/>
  <c r="G827" i="23"/>
  <c r="I827" i="23" s="1"/>
  <c r="G657" i="23"/>
  <c r="I657" i="23" s="1"/>
  <c r="G966" i="23"/>
  <c r="I966" i="23" s="1"/>
  <c r="G902" i="23"/>
  <c r="I902" i="23" s="1"/>
  <c r="K902" i="23" s="1"/>
  <c r="G832" i="23"/>
  <c r="I832" i="23" s="1"/>
  <c r="K832" i="23" s="1"/>
  <c r="G704" i="23"/>
  <c r="I704" i="23" s="1"/>
  <c r="K704" i="23" s="1"/>
  <c r="G507" i="23"/>
  <c r="I507" i="23" s="1"/>
  <c r="G141" i="23"/>
  <c r="I141" i="23" s="1"/>
  <c r="G924" i="23"/>
  <c r="I924" i="23" s="1"/>
  <c r="K924" i="23" s="1"/>
  <c r="G860" i="23"/>
  <c r="I860" i="23" s="1"/>
  <c r="K860" i="23" s="1"/>
  <c r="G810" i="23"/>
  <c r="I810" i="23" s="1"/>
  <c r="K810" i="23" s="1"/>
  <c r="G767" i="23"/>
  <c r="I767" i="23" s="1"/>
  <c r="K767" i="23" s="1"/>
  <c r="G725" i="23"/>
  <c r="I725" i="23" s="1"/>
  <c r="K725" i="23" s="1"/>
  <c r="G682" i="23"/>
  <c r="I682" i="23" s="1"/>
  <c r="K682" i="23" s="1"/>
  <c r="G615" i="23"/>
  <c r="I615" i="23" s="1"/>
  <c r="K615" i="23" s="1"/>
  <c r="G389" i="23"/>
  <c r="I389" i="23" s="1"/>
  <c r="K389" i="23" s="1"/>
  <c r="G38" i="23"/>
  <c r="I38" i="23" s="1"/>
  <c r="K38" i="23" s="1"/>
  <c r="G923" i="23"/>
  <c r="I923" i="23" s="1"/>
  <c r="K923" i="23" s="1"/>
  <c r="G859" i="23"/>
  <c r="I859" i="23" s="1"/>
  <c r="G809" i="23"/>
  <c r="I809" i="23" s="1"/>
  <c r="K809" i="23" s="1"/>
  <c r="G766" i="23"/>
  <c r="I766" i="23" s="1"/>
  <c r="G723" i="23"/>
  <c r="I723" i="23" s="1"/>
  <c r="K723" i="23" s="1"/>
  <c r="G681" i="23"/>
  <c r="I681" i="23" s="1"/>
  <c r="G591" i="23"/>
  <c r="I591" i="23" s="1"/>
  <c r="G386" i="23"/>
  <c r="I386" i="23" s="1"/>
  <c r="K386" i="23" s="1"/>
  <c r="G1040" i="23"/>
  <c r="I1040" i="23" s="1"/>
  <c r="K1040" i="23" s="1"/>
  <c r="G982" i="23"/>
  <c r="I982" i="23" s="1"/>
  <c r="K982" i="23" s="1"/>
  <c r="G918" i="23"/>
  <c r="I918" i="23" s="1"/>
  <c r="K918" i="23" s="1"/>
  <c r="G854" i="23"/>
  <c r="I854" i="23" s="1"/>
  <c r="G744" i="23"/>
  <c r="I744" i="23" s="1"/>
  <c r="G611" i="23"/>
  <c r="I611" i="23" s="1"/>
  <c r="K611" i="23" s="1"/>
  <c r="G362" i="23"/>
  <c r="I362" i="23" s="1"/>
  <c r="K362" i="23" s="1"/>
  <c r="G931" i="23"/>
  <c r="I931" i="23" s="1"/>
  <c r="K931" i="23" s="1"/>
  <c r="G867" i="23"/>
  <c r="I867" i="23" s="1"/>
  <c r="K867" i="23" s="1"/>
  <c r="G818" i="23"/>
  <c r="I818" i="23" s="1"/>
  <c r="K818" i="23" s="1"/>
  <c r="G775" i="23"/>
  <c r="I775" i="23" s="1"/>
  <c r="G733" i="23"/>
  <c r="I733" i="23" s="1"/>
  <c r="K733" i="23" s="1"/>
  <c r="G690" i="23"/>
  <c r="I690" i="23" s="1"/>
  <c r="G647" i="23"/>
  <c r="I647" i="23" s="1"/>
  <c r="G412" i="23"/>
  <c r="I412" i="23" s="1"/>
  <c r="K412" i="23" s="1"/>
  <c r="G22" i="23"/>
  <c r="I22" i="23" s="1"/>
  <c r="K22" i="23" s="1"/>
  <c r="G999" i="23"/>
  <c r="I999" i="23" s="1"/>
  <c r="G935" i="23"/>
  <c r="I935" i="23" s="1"/>
  <c r="K935" i="23" s="1"/>
  <c r="G871" i="23"/>
  <c r="I871" i="23" s="1"/>
  <c r="K871" i="23" s="1"/>
  <c r="G764" i="23"/>
  <c r="I764" i="23" s="1"/>
  <c r="K764" i="23" s="1"/>
  <c r="G641" i="23"/>
  <c r="I641" i="23" s="1"/>
  <c r="G411" i="23"/>
  <c r="I411" i="23" s="1"/>
  <c r="K411" i="23" s="1"/>
  <c r="G638" i="23"/>
  <c r="I638" i="23" s="1"/>
  <c r="G606" i="23"/>
  <c r="I606" i="23" s="1"/>
  <c r="K606" i="23" s="1"/>
  <c r="G574" i="23"/>
  <c r="I574" i="23" s="1"/>
  <c r="G542" i="23"/>
  <c r="I542" i="23" s="1"/>
  <c r="G506" i="23"/>
  <c r="I506" i="23" s="1"/>
  <c r="G464" i="23"/>
  <c r="I464" i="23" s="1"/>
  <c r="K464" i="23" s="1"/>
  <c r="G421" i="23"/>
  <c r="I421" i="23" s="1"/>
  <c r="K421" i="23" s="1"/>
  <c r="G363" i="23"/>
  <c r="I363" i="23" s="1"/>
  <c r="K363" i="23" s="1"/>
  <c r="G242" i="23"/>
  <c r="I242" i="23" s="1"/>
  <c r="K242" i="23" s="1"/>
  <c r="G70" i="23"/>
  <c r="I70" i="23" s="1"/>
  <c r="G613" i="23"/>
  <c r="I613" i="23" s="1"/>
  <c r="G581" i="23"/>
  <c r="I581" i="23" s="1"/>
  <c r="G549" i="23"/>
  <c r="I549" i="23" s="1"/>
  <c r="G516" i="23"/>
  <c r="I516" i="23" s="1"/>
  <c r="G473" i="23"/>
  <c r="I473" i="23" s="1"/>
  <c r="K473" i="23" s="1"/>
  <c r="G430" i="23"/>
  <c r="I430" i="23" s="1"/>
  <c r="K430" i="23" s="1"/>
  <c r="G304" i="23"/>
  <c r="I304" i="23" s="1"/>
  <c r="K304" i="23" s="1"/>
  <c r="G134" i="23"/>
  <c r="I134" i="23" s="1"/>
  <c r="K134" i="23" s="1"/>
  <c r="G499" i="23"/>
  <c r="I499" i="23" s="1"/>
  <c r="G331" i="23"/>
  <c r="I331" i="23" s="1"/>
  <c r="K331" i="23" s="1"/>
  <c r="G151" i="23"/>
  <c r="I151" i="23" s="1"/>
  <c r="G640" i="23"/>
  <c r="I640" i="23" s="1"/>
  <c r="G608" i="23"/>
  <c r="I608" i="23" s="1"/>
  <c r="K608" i="23" s="1"/>
  <c r="G576" i="23"/>
  <c r="I576" i="23" s="1"/>
  <c r="G544" i="23"/>
  <c r="I544" i="23" s="1"/>
  <c r="G509" i="23"/>
  <c r="I509" i="23" s="1"/>
  <c r="G466" i="23"/>
  <c r="I466" i="23" s="1"/>
  <c r="K466" i="23" s="1"/>
  <c r="G424" i="23"/>
  <c r="I424" i="23" s="1"/>
  <c r="K424" i="23" s="1"/>
  <c r="G375" i="23"/>
  <c r="I375" i="23" s="1"/>
  <c r="G217" i="23"/>
  <c r="I217" i="23" s="1"/>
  <c r="G63" i="23"/>
  <c r="I63" i="23" s="1"/>
  <c r="K63" i="23" s="1"/>
  <c r="G439" i="23"/>
  <c r="I439" i="23" s="1"/>
  <c r="K439" i="23" s="1"/>
  <c r="G326" i="23"/>
  <c r="I326" i="23" s="1"/>
  <c r="K326" i="23" s="1"/>
  <c r="G146" i="23"/>
  <c r="I146" i="23" s="1"/>
  <c r="K146" i="23" s="1"/>
  <c r="G381" i="23"/>
  <c r="I381" i="23" s="1"/>
  <c r="G349" i="23"/>
  <c r="I349" i="23" s="1"/>
  <c r="K349" i="23" s="1"/>
  <c r="G293" i="23"/>
  <c r="I293" i="23" s="1"/>
  <c r="K293" i="23" s="1"/>
  <c r="G229" i="23"/>
  <c r="I229" i="23" s="1"/>
  <c r="G165" i="23"/>
  <c r="I165" i="23" s="1"/>
  <c r="K165" i="23" s="1"/>
  <c r="G101" i="23"/>
  <c r="I101" i="23" s="1"/>
  <c r="K101" i="23" s="1"/>
  <c r="G37" i="23"/>
  <c r="I37" i="23" s="1"/>
  <c r="K37" i="23" s="1"/>
  <c r="G384" i="23"/>
  <c r="I384" i="23" s="1"/>
  <c r="G352" i="23"/>
  <c r="I352" i="23" s="1"/>
  <c r="K352" i="23" s="1"/>
  <c r="G297" i="23"/>
  <c r="I297" i="23" s="1"/>
  <c r="G240" i="23"/>
  <c r="I240" i="23" s="1"/>
  <c r="G176" i="23"/>
  <c r="I176" i="23" s="1"/>
  <c r="K176" i="23" s="1"/>
  <c r="G112" i="23"/>
  <c r="I112" i="23" s="1"/>
  <c r="K112" i="23" s="1"/>
  <c r="G48" i="23"/>
  <c r="I48" i="23" s="1"/>
  <c r="K48" i="23" s="1"/>
  <c r="G296" i="23"/>
  <c r="I296" i="23" s="1"/>
  <c r="G233" i="23"/>
  <c r="I233" i="23" s="1"/>
  <c r="G169" i="23"/>
  <c r="I169" i="23" s="1"/>
  <c r="K169" i="23" s="1"/>
  <c r="G105" i="23"/>
  <c r="I105" i="23" s="1"/>
  <c r="K105" i="23" s="1"/>
  <c r="G41" i="23"/>
  <c r="I41" i="23" s="1"/>
  <c r="K41" i="23" s="1"/>
  <c r="G333" i="23"/>
  <c r="I333" i="23" s="1"/>
  <c r="K333" i="23" s="1"/>
  <c r="G264" i="23"/>
  <c r="I264" i="23" s="1"/>
  <c r="K264" i="23" s="1"/>
  <c r="G200" i="23"/>
  <c r="I200" i="23" s="1"/>
  <c r="K200" i="23" s="1"/>
  <c r="G136" i="23"/>
  <c r="I136" i="23" s="1"/>
  <c r="G72" i="23"/>
  <c r="I72" i="23" s="1"/>
  <c r="G4" i="23"/>
  <c r="I4" i="23" s="1"/>
  <c r="K4" i="23" s="1"/>
  <c r="G282" i="23"/>
  <c r="I282" i="23" s="1"/>
  <c r="K282" i="23" s="1"/>
  <c r="G218" i="23"/>
  <c r="I218" i="23" s="1"/>
  <c r="G154" i="23"/>
  <c r="I154" i="23" s="1"/>
  <c r="G90" i="23"/>
  <c r="I90" i="23" s="1"/>
  <c r="K90" i="23" s="1"/>
  <c r="G26" i="23"/>
  <c r="I26" i="23" s="1"/>
  <c r="K26" i="23" s="1"/>
  <c r="G7" i="23"/>
  <c r="I7" i="23" s="1"/>
  <c r="K7" i="23" s="1"/>
  <c r="G460" i="23"/>
  <c r="I460" i="23" s="1"/>
  <c r="K460" i="23" s="1"/>
  <c r="G508" i="23"/>
  <c r="I508" i="23" s="1"/>
  <c r="K508" i="23" s="1"/>
  <c r="G1336" i="23"/>
  <c r="I1336" i="23" s="1"/>
  <c r="G1304" i="23"/>
  <c r="I1304" i="23" s="1"/>
  <c r="G1272" i="23"/>
  <c r="I1272" i="23" s="1"/>
  <c r="K1272" i="23" s="1"/>
  <c r="G1240" i="23"/>
  <c r="I1240" i="23" s="1"/>
  <c r="K1240" i="23" s="1"/>
  <c r="G1208" i="23"/>
  <c r="I1208" i="23" s="1"/>
  <c r="G1176" i="23"/>
  <c r="I1176" i="23" s="1"/>
  <c r="G1144" i="23"/>
  <c r="I1144" i="23" s="1"/>
  <c r="G1112" i="23"/>
  <c r="I1112" i="23" s="1"/>
  <c r="K1112" i="23" s="1"/>
  <c r="G1080" i="23"/>
  <c r="I1080" i="23" s="1"/>
  <c r="K1080" i="23" s="1"/>
  <c r="G1048" i="23"/>
  <c r="I1048" i="23" s="1"/>
  <c r="K1048" i="23" s="1"/>
  <c r="G983" i="23"/>
  <c r="I983" i="23" s="1"/>
  <c r="G660" i="23"/>
  <c r="I660" i="23" s="1"/>
  <c r="K660" i="23" s="1"/>
  <c r="G1002" i="23"/>
  <c r="I1002" i="23" s="1"/>
  <c r="K1002" i="23" s="1"/>
  <c r="G806" i="23"/>
  <c r="I806" i="23" s="1"/>
  <c r="G543" i="23"/>
  <c r="I543" i="23" s="1"/>
  <c r="G957" i="23"/>
  <c r="I957" i="23" s="1"/>
  <c r="G893" i="23"/>
  <c r="G816" i="23"/>
  <c r="G688" i="23"/>
  <c r="G492" i="23"/>
  <c r="I492" i="23" s="1"/>
  <c r="K492" i="23" s="1"/>
  <c r="G51" i="23"/>
  <c r="I51" i="23" s="1"/>
  <c r="G915" i="23"/>
  <c r="I915" i="23" s="1"/>
  <c r="K915" i="23" s="1"/>
  <c r="G851" i="23"/>
  <c r="I851" i="23" s="1"/>
  <c r="K851" i="23" s="1"/>
  <c r="G805" i="23"/>
  <c r="I805" i="23" s="1"/>
  <c r="K805" i="23" s="1"/>
  <c r="G762" i="23"/>
  <c r="I762" i="23" s="1"/>
  <c r="G719" i="23"/>
  <c r="G677" i="23"/>
  <c r="I677" i="23" s="1"/>
  <c r="K677" i="23" s="1"/>
  <c r="G583" i="23"/>
  <c r="I583" i="23" s="1"/>
  <c r="K583" i="23" s="1"/>
  <c r="G370" i="23"/>
  <c r="G978" i="23"/>
  <c r="I978" i="23" s="1"/>
  <c r="K978" i="23" s="1"/>
  <c r="G914" i="23"/>
  <c r="I914" i="23" s="1"/>
  <c r="K914" i="23" s="1"/>
  <c r="G850" i="23"/>
  <c r="I850" i="23" s="1"/>
  <c r="K850" i="23" s="1"/>
  <c r="G803" i="23"/>
  <c r="I803" i="23" s="1"/>
  <c r="G761" i="23"/>
  <c r="G718" i="23"/>
  <c r="I718" i="23" s="1"/>
  <c r="G675" i="23"/>
  <c r="I675" i="23" s="1"/>
  <c r="K675" i="23" s="1"/>
  <c r="G559" i="23"/>
  <c r="I559" i="23" s="1"/>
  <c r="G340" i="23"/>
  <c r="I340" i="23" s="1"/>
  <c r="K340" i="23" s="1"/>
  <c r="G1036" i="23"/>
  <c r="I1036" i="23" s="1"/>
  <c r="G973" i="23"/>
  <c r="I973" i="23" s="1"/>
  <c r="K973" i="23" s="1"/>
  <c r="G909" i="23"/>
  <c r="G845" i="23"/>
  <c r="G728" i="23"/>
  <c r="I728" i="23" s="1"/>
  <c r="K728" i="23" s="1"/>
  <c r="G579" i="23"/>
  <c r="I579" i="23" s="1"/>
  <c r="K579" i="23" s="1"/>
  <c r="G337" i="23"/>
  <c r="G922" i="23"/>
  <c r="I922" i="23" s="1"/>
  <c r="K922" i="23" s="1"/>
  <c r="G858" i="23"/>
  <c r="I858" i="23" s="1"/>
  <c r="G813" i="23"/>
  <c r="I813" i="23" s="1"/>
  <c r="K813" i="23" s="1"/>
  <c r="G770" i="23"/>
  <c r="I770" i="23" s="1"/>
  <c r="K770" i="23" s="1"/>
  <c r="G727" i="23"/>
  <c r="G685" i="23"/>
  <c r="G631" i="23"/>
  <c r="I631" i="23" s="1"/>
  <c r="K631" i="23" s="1"/>
  <c r="G399" i="23"/>
  <c r="I399" i="23" s="1"/>
  <c r="G1043" i="23"/>
  <c r="I1043" i="23" s="1"/>
  <c r="K1043" i="23" s="1"/>
  <c r="G990" i="23"/>
  <c r="I990" i="23" s="1"/>
  <c r="K990" i="23" s="1"/>
  <c r="G926" i="23"/>
  <c r="I926" i="23" s="1"/>
  <c r="G862" i="23"/>
  <c r="I862" i="23" s="1"/>
  <c r="G748" i="23"/>
  <c r="G619" i="23"/>
  <c r="I619" i="23" s="1"/>
  <c r="K619" i="23" s="1"/>
  <c r="G395" i="23"/>
  <c r="I395" i="23" s="1"/>
  <c r="K395" i="23" s="1"/>
  <c r="G634" i="23"/>
  <c r="G602" i="23"/>
  <c r="I602" i="23" s="1"/>
  <c r="K602" i="23" s="1"/>
  <c r="G570" i="23"/>
  <c r="I570" i="23" s="1"/>
  <c r="G538" i="23"/>
  <c r="I538" i="23" s="1"/>
  <c r="K538" i="23" s="1"/>
  <c r="G501" i="23"/>
  <c r="G458" i="23"/>
  <c r="G416" i="23"/>
  <c r="I416" i="23" s="1"/>
  <c r="K416" i="23" s="1"/>
  <c r="G355" i="23"/>
  <c r="I355" i="23" s="1"/>
  <c r="K355" i="23" s="1"/>
  <c r="G224" i="23"/>
  <c r="I224" i="23" s="1"/>
  <c r="K224" i="23" s="1"/>
  <c r="G55" i="23"/>
  <c r="I55" i="23" s="1"/>
  <c r="G609" i="23"/>
  <c r="I609" i="23" s="1"/>
  <c r="K609" i="23" s="1"/>
  <c r="G577" i="23"/>
  <c r="I577" i="23" s="1"/>
  <c r="K577" i="23" s="1"/>
  <c r="G545" i="23"/>
  <c r="I545" i="23" s="1"/>
  <c r="K545" i="23" s="1"/>
  <c r="G510" i="23"/>
  <c r="G468" i="23"/>
  <c r="G425" i="23"/>
  <c r="I425" i="23" s="1"/>
  <c r="K425" i="23" s="1"/>
  <c r="G288" i="23"/>
  <c r="G119" i="23"/>
  <c r="I119" i="23" s="1"/>
  <c r="K119" i="23" s="1"/>
  <c r="G483" i="23"/>
  <c r="I483" i="23" s="1"/>
  <c r="K483" i="23" s="1"/>
  <c r="G303" i="23"/>
  <c r="I303" i="23" s="1"/>
  <c r="K303" i="23" s="1"/>
  <c r="G115" i="23"/>
  <c r="I115" i="23" s="1"/>
  <c r="K115" i="23" s="1"/>
  <c r="G636" i="23"/>
  <c r="G604" i="23"/>
  <c r="I604" i="23" s="1"/>
  <c r="K604" i="23" s="1"/>
  <c r="G572" i="23"/>
  <c r="I572" i="23" s="1"/>
  <c r="K572" i="23" s="1"/>
  <c r="G540" i="23"/>
  <c r="I540" i="23" s="1"/>
  <c r="G504" i="23"/>
  <c r="I504" i="23" s="1"/>
  <c r="K504" i="23" s="1"/>
  <c r="G461" i="23"/>
  <c r="I461" i="23" s="1"/>
  <c r="K461" i="23" s="1"/>
  <c r="G418" i="23"/>
  <c r="G367" i="23"/>
  <c r="I367" i="23" s="1"/>
  <c r="K367" i="23" s="1"/>
  <c r="G198" i="23"/>
  <c r="G45" i="23"/>
  <c r="I45" i="23" s="1"/>
  <c r="K45" i="23" s="1"/>
  <c r="G423" i="23"/>
  <c r="I423" i="23" s="1"/>
  <c r="K423" i="23" s="1"/>
  <c r="G299" i="23"/>
  <c r="G128" i="23"/>
  <c r="I128" i="23" s="1"/>
  <c r="G377" i="23"/>
  <c r="I377" i="23" s="1"/>
  <c r="K377" i="23" s="1"/>
  <c r="G345" i="23"/>
  <c r="G286" i="23"/>
  <c r="I286" i="23" s="1"/>
  <c r="G222" i="23"/>
  <c r="G158" i="23"/>
  <c r="I158" i="23" s="1"/>
  <c r="G94" i="23"/>
  <c r="I94" i="23" s="1"/>
  <c r="G30" i="23"/>
  <c r="I30" i="23" s="1"/>
  <c r="G380" i="23"/>
  <c r="I380" i="23" s="1"/>
  <c r="G348" i="23"/>
  <c r="G291" i="23"/>
  <c r="G227" i="23"/>
  <c r="I227" i="23" s="1"/>
  <c r="G163" i="23"/>
  <c r="G99" i="23"/>
  <c r="I99" i="23" s="1"/>
  <c r="G35" i="23"/>
  <c r="I35" i="23" s="1"/>
  <c r="G290" i="23"/>
  <c r="I290" i="23" s="1"/>
  <c r="K290" i="23" s="1"/>
  <c r="G226" i="23"/>
  <c r="I226" i="23" s="1"/>
  <c r="K226" i="23" s="1"/>
  <c r="G162" i="23"/>
  <c r="I162" i="23" s="1"/>
  <c r="K162" i="23" s="1"/>
  <c r="G98" i="23"/>
  <c r="G34" i="23"/>
  <c r="I34" i="23" s="1"/>
  <c r="K34" i="23" s="1"/>
  <c r="G322" i="23"/>
  <c r="G251" i="23"/>
  <c r="I251" i="23" s="1"/>
  <c r="G187" i="23"/>
  <c r="I187" i="23" s="1"/>
  <c r="K187" i="23" s="1"/>
  <c r="G123" i="23"/>
  <c r="I123" i="23" s="1"/>
  <c r="G59" i="23"/>
  <c r="I59" i="23" s="1"/>
  <c r="K59" i="23" s="1"/>
  <c r="G332" i="23"/>
  <c r="I332" i="23" s="1"/>
  <c r="K332" i="23" s="1"/>
  <c r="G276" i="23"/>
  <c r="G212" i="23"/>
  <c r="I212" i="23" s="1"/>
  <c r="K212" i="23" s="1"/>
  <c r="G148" i="23"/>
  <c r="G84" i="23"/>
  <c r="I84" i="23" s="1"/>
  <c r="G18" i="23"/>
  <c r="I18" i="23" s="1"/>
  <c r="K18" i="23" s="1"/>
  <c r="G3" i="23"/>
  <c r="I3" i="23" s="1"/>
  <c r="K3" i="23" s="1"/>
  <c r="G910" i="23"/>
  <c r="I910" i="23" s="1"/>
  <c r="K910" i="23" s="1"/>
  <c r="G127" i="23"/>
  <c r="I127" i="23" s="1"/>
  <c r="K127" i="23" s="1"/>
  <c r="G394" i="23"/>
  <c r="I394" i="23" s="1"/>
  <c r="K394" i="23" s="1"/>
  <c r="G1332" i="23"/>
  <c r="I1332" i="23" s="1"/>
  <c r="K1332" i="23" s="1"/>
  <c r="G1300" i="23"/>
  <c r="I1300" i="23" s="1"/>
  <c r="K1300" i="23" s="1"/>
  <c r="G1268" i="23"/>
  <c r="I1268" i="23" s="1"/>
  <c r="K1268" i="23" s="1"/>
  <c r="G1236" i="23"/>
  <c r="I1236" i="23" s="1"/>
  <c r="K1236" i="23" s="1"/>
  <c r="G1204" i="23"/>
  <c r="I1204" i="23" s="1"/>
  <c r="K1204" i="23" s="1"/>
  <c r="G1172" i="23"/>
  <c r="I1172" i="23" s="1"/>
  <c r="K1172" i="23" s="1"/>
  <c r="G1140" i="23"/>
  <c r="I1140" i="23" s="1"/>
  <c r="G1108" i="23"/>
  <c r="I1108" i="23" s="1"/>
  <c r="K1108" i="23" s="1"/>
  <c r="G1076" i="23"/>
  <c r="I1076" i="23" s="1"/>
  <c r="K1076" i="23" s="1"/>
  <c r="G1038" i="23"/>
  <c r="I1038" i="23" s="1"/>
  <c r="K1038" i="23" s="1"/>
  <c r="G963" i="23"/>
  <c r="I963" i="23" s="1"/>
  <c r="K963" i="23" s="1"/>
  <c r="G635" i="23"/>
  <c r="I635" i="23" s="1"/>
  <c r="K635" i="23" s="1"/>
  <c r="G996" i="23"/>
  <c r="I996" i="23" s="1"/>
  <c r="K996" i="23" s="1"/>
  <c r="G785" i="23"/>
  <c r="I785" i="23" s="1"/>
  <c r="G495" i="23"/>
  <c r="I495" i="23" s="1"/>
  <c r="G952" i="23"/>
  <c r="I952" i="23" s="1"/>
  <c r="G888" i="23"/>
  <c r="I888" i="23" s="1"/>
  <c r="G800" i="23"/>
  <c r="I800" i="23" s="1"/>
  <c r="G672" i="23"/>
  <c r="I672" i="23" s="1"/>
  <c r="G479" i="23"/>
  <c r="I479" i="23" s="1"/>
  <c r="K479" i="23" s="1"/>
  <c r="G970" i="23"/>
  <c r="I970" i="23" s="1"/>
  <c r="G906" i="23"/>
  <c r="I906" i="23" s="1"/>
  <c r="K906" i="23" s="1"/>
  <c r="G842" i="23"/>
  <c r="I842" i="23" s="1"/>
  <c r="K842" i="23" s="1"/>
  <c r="G799" i="23"/>
  <c r="I799" i="23" s="1"/>
  <c r="G757" i="23"/>
  <c r="I757" i="23" s="1"/>
  <c r="G714" i="23"/>
  <c r="I714" i="23" s="1"/>
  <c r="G671" i="23"/>
  <c r="I671" i="23" s="1"/>
  <c r="K671" i="23" s="1"/>
  <c r="G551" i="23"/>
  <c r="I551" i="23" s="1"/>
  <c r="G310" i="23"/>
  <c r="I310" i="23" s="1"/>
  <c r="G969" i="23"/>
  <c r="I969" i="23" s="1"/>
  <c r="G905" i="23"/>
  <c r="I905" i="23" s="1"/>
  <c r="G841" i="23"/>
  <c r="I841" i="23" s="1"/>
  <c r="K841" i="23" s="1"/>
  <c r="G798" i="23"/>
  <c r="I798" i="23" s="1"/>
  <c r="K798" i="23" s="1"/>
  <c r="G755" i="23"/>
  <c r="I755" i="23" s="1"/>
  <c r="G713" i="23"/>
  <c r="I713" i="23" s="1"/>
  <c r="G670" i="23"/>
  <c r="I670" i="23" s="1"/>
  <c r="K670" i="23" s="1"/>
  <c r="G527" i="23"/>
  <c r="I527" i="23" s="1"/>
  <c r="G305" i="23"/>
  <c r="I305" i="23" s="1"/>
  <c r="K305" i="23" s="1"/>
  <c r="G1032" i="23"/>
  <c r="I1032" i="23" s="1"/>
  <c r="K1032" i="23" s="1"/>
  <c r="G968" i="23"/>
  <c r="I968" i="23" s="1"/>
  <c r="G904" i="23"/>
  <c r="I904" i="23" s="1"/>
  <c r="K904" i="23" s="1"/>
  <c r="G840" i="23"/>
  <c r="I840" i="23" s="1"/>
  <c r="K840" i="23" s="1"/>
  <c r="G712" i="23"/>
  <c r="I712" i="23" s="1"/>
  <c r="K712" i="23" s="1"/>
  <c r="G547" i="23"/>
  <c r="I547" i="23" s="1"/>
  <c r="K547" i="23" s="1"/>
  <c r="G256" i="23"/>
  <c r="I256" i="23" s="1"/>
  <c r="G913" i="23"/>
  <c r="I913" i="23" s="1"/>
  <c r="G849" i="23"/>
  <c r="I849" i="23" s="1"/>
  <c r="K849" i="23" s="1"/>
  <c r="G807" i="23"/>
  <c r="I807" i="23" s="1"/>
  <c r="K807" i="23" s="1"/>
  <c r="G765" i="23"/>
  <c r="I765" i="23" s="1"/>
  <c r="G722" i="23"/>
  <c r="I722" i="23" s="1"/>
  <c r="G679" i="23"/>
  <c r="I679" i="23" s="1"/>
  <c r="K679" i="23" s="1"/>
  <c r="G599" i="23"/>
  <c r="I599" i="23" s="1"/>
  <c r="K599" i="23" s="1"/>
  <c r="G335" i="23"/>
  <c r="I335" i="23" s="1"/>
  <c r="K335" i="23" s="1"/>
  <c r="G1039" i="23"/>
  <c r="I1039" i="23" s="1"/>
  <c r="K1039" i="23" s="1"/>
  <c r="G981" i="23"/>
  <c r="I981" i="23" s="1"/>
  <c r="G917" i="23"/>
  <c r="I917" i="23" s="1"/>
  <c r="K917" i="23" s="1"/>
  <c r="G853" i="23"/>
  <c r="I853" i="23" s="1"/>
  <c r="K853" i="23" s="1"/>
  <c r="G732" i="23"/>
  <c r="I732" i="23" s="1"/>
  <c r="K732" i="23" s="1"/>
  <c r="G587" i="23"/>
  <c r="I587" i="23" s="1"/>
  <c r="K587" i="23" s="1"/>
  <c r="G378" i="23"/>
  <c r="I378" i="23" s="1"/>
  <c r="K378" i="23" s="1"/>
  <c r="G630" i="23"/>
  <c r="I630" i="23" s="1"/>
  <c r="G598" i="23"/>
  <c r="I598" i="23" s="1"/>
  <c r="G566" i="23"/>
  <c r="I566" i="23" s="1"/>
  <c r="G534" i="23"/>
  <c r="I534" i="23" s="1"/>
  <c r="G496" i="23"/>
  <c r="I496" i="23" s="1"/>
  <c r="G453" i="23"/>
  <c r="I453" i="23" s="1"/>
  <c r="K453" i="23" s="1"/>
  <c r="G410" i="23"/>
  <c r="I410" i="23" s="1"/>
  <c r="K410" i="23" s="1"/>
  <c r="G347" i="23"/>
  <c r="I347" i="23" s="1"/>
  <c r="G209" i="23"/>
  <c r="I209" i="23" s="1"/>
  <c r="K209" i="23" s="1"/>
  <c r="G637" i="23"/>
  <c r="I637" i="23" s="1"/>
  <c r="K637" i="23" s="1"/>
  <c r="G605" i="23"/>
  <c r="I605" i="23" s="1"/>
  <c r="K605" i="23" s="1"/>
  <c r="G573" i="23"/>
  <c r="I573" i="23" s="1"/>
  <c r="K573" i="23" s="1"/>
  <c r="G541" i="23"/>
  <c r="I541" i="23" s="1"/>
  <c r="G505" i="23"/>
  <c r="I505" i="23" s="1"/>
  <c r="K505" i="23" s="1"/>
  <c r="G462" i="23"/>
  <c r="I462" i="23" s="1"/>
  <c r="K462" i="23" s="1"/>
  <c r="G420" i="23"/>
  <c r="I420" i="23" s="1"/>
  <c r="K420" i="23" s="1"/>
  <c r="G273" i="23"/>
  <c r="I273" i="23" s="1"/>
  <c r="K273" i="23" s="1"/>
  <c r="G83" i="23"/>
  <c r="I83" i="23" s="1"/>
  <c r="G467" i="23"/>
  <c r="I467" i="23" s="1"/>
  <c r="K467" i="23" s="1"/>
  <c r="G287" i="23"/>
  <c r="I287" i="23" s="1"/>
  <c r="G100" i="23"/>
  <c r="I100" i="23" s="1"/>
  <c r="K100" i="23" s="1"/>
  <c r="G632" i="23"/>
  <c r="I632" i="23" s="1"/>
  <c r="K632" i="23" s="1"/>
  <c r="G600" i="23"/>
  <c r="I600" i="23" s="1"/>
  <c r="K600" i="23" s="1"/>
  <c r="G568" i="23"/>
  <c r="I568" i="23" s="1"/>
  <c r="G536" i="23"/>
  <c r="I536" i="23" s="1"/>
  <c r="G498" i="23"/>
  <c r="I498" i="23" s="1"/>
  <c r="G456" i="23"/>
  <c r="I456" i="23" s="1"/>
  <c r="K456" i="23" s="1"/>
  <c r="G413" i="23"/>
  <c r="I413" i="23" s="1"/>
  <c r="K413" i="23" s="1"/>
  <c r="G359" i="23"/>
  <c r="I359" i="23" s="1"/>
  <c r="K359" i="23" s="1"/>
  <c r="G183" i="23"/>
  <c r="I183" i="23" s="1"/>
  <c r="G9" i="23"/>
  <c r="I9" i="23" s="1"/>
  <c r="K9" i="23" s="1"/>
  <c r="G407" i="23"/>
  <c r="I407" i="23" s="1"/>
  <c r="K407" i="23" s="1"/>
  <c r="G266" i="23"/>
  <c r="I266" i="23" s="1"/>
  <c r="G113" i="23"/>
  <c r="I113" i="23" s="1"/>
  <c r="K113" i="23" s="1"/>
  <c r="G373" i="23"/>
  <c r="I373" i="23" s="1"/>
  <c r="K373" i="23" s="1"/>
  <c r="G341" i="23"/>
  <c r="I341" i="23" s="1"/>
  <c r="G280" i="23"/>
  <c r="I280" i="23" s="1"/>
  <c r="K280" i="23" s="1"/>
  <c r="G216" i="23"/>
  <c r="I216" i="23" s="1"/>
  <c r="K216" i="23" s="1"/>
  <c r="G152" i="23"/>
  <c r="I152" i="23" s="1"/>
  <c r="K152" i="23" s="1"/>
  <c r="G88" i="23"/>
  <c r="I88" i="23" s="1"/>
  <c r="K88" i="23" s="1"/>
  <c r="G24" i="23"/>
  <c r="I24" i="23" s="1"/>
  <c r="K24" i="23" s="1"/>
  <c r="G376" i="23"/>
  <c r="I376" i="23" s="1"/>
  <c r="K376" i="23" s="1"/>
  <c r="G344" i="23"/>
  <c r="I344" i="23" s="1"/>
  <c r="K344" i="23" s="1"/>
  <c r="G285" i="23"/>
  <c r="I285" i="23" s="1"/>
  <c r="K285" i="23" s="1"/>
  <c r="G221" i="23"/>
  <c r="I221" i="23" s="1"/>
  <c r="G157" i="23"/>
  <c r="I157" i="23" s="1"/>
  <c r="G93" i="23"/>
  <c r="I93" i="23" s="1"/>
  <c r="G29" i="23"/>
  <c r="I29" i="23" s="1"/>
  <c r="K29" i="23" s="1"/>
  <c r="G284" i="23"/>
  <c r="I284" i="23" s="1"/>
  <c r="K284" i="23" s="1"/>
  <c r="G220" i="23"/>
  <c r="I220" i="23" s="1"/>
  <c r="K220" i="23" s="1"/>
  <c r="G156" i="23"/>
  <c r="I156" i="23" s="1"/>
  <c r="K156" i="23" s="1"/>
  <c r="G92" i="23"/>
  <c r="I92" i="23" s="1"/>
  <c r="K92" i="23" s="1"/>
  <c r="G28" i="23"/>
  <c r="I28" i="23" s="1"/>
  <c r="K28" i="23" s="1"/>
  <c r="G317" i="23"/>
  <c r="I317" i="23" s="1"/>
  <c r="G245" i="23"/>
  <c r="I245" i="23" s="1"/>
  <c r="K245" i="23" s="1"/>
  <c r="G181" i="23"/>
  <c r="I181" i="23" s="1"/>
  <c r="K181" i="23" s="1"/>
  <c r="G117" i="23"/>
  <c r="I117" i="23" s="1"/>
  <c r="G53" i="23"/>
  <c r="I53" i="23" s="1"/>
  <c r="G327" i="23"/>
  <c r="I327" i="23" s="1"/>
  <c r="G263" i="23"/>
  <c r="I263" i="23" s="1"/>
  <c r="G199" i="23"/>
  <c r="I199" i="23" s="1"/>
  <c r="K199" i="23" s="1"/>
  <c r="G135" i="23"/>
  <c r="I135" i="23" s="1"/>
  <c r="G71" i="23"/>
  <c r="I71" i="23" s="1"/>
  <c r="K71" i="23" s="1"/>
  <c r="G10" i="23"/>
  <c r="I10" i="23" s="1"/>
  <c r="G855" i="23"/>
  <c r="I855" i="23" s="1"/>
  <c r="K855" i="23" s="1"/>
  <c r="G747" i="23"/>
  <c r="I747" i="23" s="1"/>
  <c r="G281" i="23"/>
  <c r="I281" i="23" s="1"/>
  <c r="G1328" i="23"/>
  <c r="I1328" i="23" s="1"/>
  <c r="K1328" i="23" s="1"/>
  <c r="G1296" i="23"/>
  <c r="I1296" i="23" s="1"/>
  <c r="K1296" i="23" s="1"/>
  <c r="G1264" i="23"/>
  <c r="I1264" i="23" s="1"/>
  <c r="K1264" i="23" s="1"/>
  <c r="G1232" i="23"/>
  <c r="I1232" i="23" s="1"/>
  <c r="K1232" i="23" s="1"/>
  <c r="G1200" i="23"/>
  <c r="I1200" i="23" s="1"/>
  <c r="K1200" i="23" s="1"/>
  <c r="G1168" i="23"/>
  <c r="I1168" i="23" s="1"/>
  <c r="G1136" i="23"/>
  <c r="I1136" i="23" s="1"/>
  <c r="K1136" i="23" s="1"/>
  <c r="G1104" i="23"/>
  <c r="I1104" i="23" s="1"/>
  <c r="K1104" i="23" s="1"/>
  <c r="G1072" i="23"/>
  <c r="I1072" i="23" s="1"/>
  <c r="K1072" i="23" s="1"/>
  <c r="G1033" i="23"/>
  <c r="I1033" i="23" s="1"/>
  <c r="G951" i="23"/>
  <c r="I951" i="23" s="1"/>
  <c r="K951" i="23" s="1"/>
  <c r="G502" i="23"/>
  <c r="I502" i="23" s="1"/>
  <c r="K502" i="23" s="1"/>
  <c r="G974" i="23"/>
  <c r="I974" i="23" s="1"/>
  <c r="G763" i="23"/>
  <c r="I763" i="23" s="1"/>
  <c r="G241" i="23"/>
  <c r="I241" i="23" s="1"/>
  <c r="K241" i="23" s="1"/>
  <c r="G943" i="23"/>
  <c r="I943" i="23" s="1"/>
  <c r="K943" i="23" s="1"/>
  <c r="G879" i="23"/>
  <c r="G784" i="23"/>
  <c r="I784" i="23" s="1"/>
  <c r="K784" i="23" s="1"/>
  <c r="G656" i="23"/>
  <c r="I656" i="23" s="1"/>
  <c r="K656" i="23" s="1"/>
  <c r="G449" i="23"/>
  <c r="I449" i="23" s="1"/>
  <c r="G961" i="23"/>
  <c r="G897" i="23"/>
  <c r="I897" i="23" s="1"/>
  <c r="K897" i="23" s="1"/>
  <c r="G837" i="23"/>
  <c r="I837" i="23" s="1"/>
  <c r="K837" i="23" s="1"/>
  <c r="G794" i="23"/>
  <c r="I794" i="23" s="1"/>
  <c r="K794" i="23" s="1"/>
  <c r="G751" i="23"/>
  <c r="G709" i="23"/>
  <c r="G666" i="23"/>
  <c r="I666" i="23" s="1"/>
  <c r="G518" i="23"/>
  <c r="I518" i="23" s="1"/>
  <c r="K518" i="23" s="1"/>
  <c r="G274" i="23"/>
  <c r="G964" i="23"/>
  <c r="I964" i="23" s="1"/>
  <c r="K964" i="23" s="1"/>
  <c r="G900" i="23"/>
  <c r="I900" i="23" s="1"/>
  <c r="G835" i="23"/>
  <c r="I835" i="23" s="1"/>
  <c r="K835" i="23" s="1"/>
  <c r="G793" i="23"/>
  <c r="G750" i="23"/>
  <c r="I750" i="23" s="1"/>
  <c r="K750" i="23" s="1"/>
  <c r="G707" i="23"/>
  <c r="I707" i="23" s="1"/>
  <c r="K707" i="23" s="1"/>
  <c r="G665" i="23"/>
  <c r="I665" i="23" s="1"/>
  <c r="G486" i="23"/>
  <c r="G211" i="23"/>
  <c r="G1023" i="23"/>
  <c r="I1023" i="23" s="1"/>
  <c r="G959" i="23"/>
  <c r="I959" i="23" s="1"/>
  <c r="G895" i="23"/>
  <c r="G824" i="23"/>
  <c r="I824" i="23" s="1"/>
  <c r="G696" i="23"/>
  <c r="I696" i="23" s="1"/>
  <c r="G513" i="23"/>
  <c r="I513" i="23" s="1"/>
  <c r="G210" i="23"/>
  <c r="G908" i="23"/>
  <c r="I908" i="23" s="1"/>
  <c r="K908" i="23" s="1"/>
  <c r="G844" i="23"/>
  <c r="I844" i="23" s="1"/>
  <c r="K844" i="23" s="1"/>
  <c r="G802" i="23"/>
  <c r="I802" i="23" s="1"/>
  <c r="G759" i="23"/>
  <c r="G717" i="23"/>
  <c r="G674" i="23"/>
  <c r="I674" i="23" s="1"/>
  <c r="K674" i="23" s="1"/>
  <c r="G567" i="23"/>
  <c r="I567" i="23" s="1"/>
  <c r="K567" i="23" s="1"/>
  <c r="G294" i="23"/>
  <c r="G1035" i="23"/>
  <c r="I1035" i="23" s="1"/>
  <c r="G976" i="23"/>
  <c r="I976" i="23" s="1"/>
  <c r="K976" i="23" s="1"/>
  <c r="G912" i="23"/>
  <c r="I912" i="23" s="1"/>
  <c r="K912" i="23" s="1"/>
  <c r="G848" i="23"/>
  <c r="G716" i="23"/>
  <c r="I716" i="23" s="1"/>
  <c r="G555" i="23"/>
  <c r="I555" i="23" s="1"/>
  <c r="G292" i="23"/>
  <c r="I292" i="23" s="1"/>
  <c r="G626" i="23"/>
  <c r="G594" i="23"/>
  <c r="G562" i="23"/>
  <c r="I562" i="23" s="1"/>
  <c r="G530" i="23"/>
  <c r="I530" i="23" s="1"/>
  <c r="G490" i="23"/>
  <c r="G448" i="23"/>
  <c r="I448" i="23" s="1"/>
  <c r="G405" i="23"/>
  <c r="I405" i="23" s="1"/>
  <c r="K405" i="23" s="1"/>
  <c r="G336" i="23"/>
  <c r="I336" i="23" s="1"/>
  <c r="G191" i="23"/>
  <c r="G633" i="23"/>
  <c r="I633" i="23" s="1"/>
  <c r="K633" i="23" s="1"/>
  <c r="G601" i="23"/>
  <c r="I601" i="23" s="1"/>
  <c r="K601" i="23" s="1"/>
  <c r="G569" i="23"/>
  <c r="I569" i="23" s="1"/>
  <c r="K569" i="23" s="1"/>
  <c r="G537" i="23"/>
  <c r="G500" i="23"/>
  <c r="I500" i="23" s="1"/>
  <c r="K500" i="23" s="1"/>
  <c r="G457" i="23"/>
  <c r="I457" i="23" s="1"/>
  <c r="K457" i="23" s="1"/>
  <c r="G414" i="23"/>
  <c r="G255" i="23"/>
  <c r="G68" i="23"/>
  <c r="I68" i="23" s="1"/>
  <c r="K68" i="23" s="1"/>
  <c r="G451" i="23"/>
  <c r="I451" i="23" s="1"/>
  <c r="G269" i="23"/>
  <c r="I269" i="23" s="1"/>
  <c r="G82" i="23"/>
  <c r="G628" i="23"/>
  <c r="I628" i="23" s="1"/>
  <c r="K628" i="23" s="1"/>
  <c r="G596" i="23"/>
  <c r="I596" i="23" s="1"/>
  <c r="G564" i="23"/>
  <c r="I564" i="23" s="1"/>
  <c r="G532" i="23"/>
  <c r="G493" i="23"/>
  <c r="I493" i="23" s="1"/>
  <c r="K493" i="23" s="1"/>
  <c r="G450" i="23"/>
  <c r="I450" i="23" s="1"/>
  <c r="K450" i="23" s="1"/>
  <c r="G408" i="23"/>
  <c r="I408" i="23" s="1"/>
  <c r="K408" i="23" s="1"/>
  <c r="G351" i="23"/>
  <c r="G147" i="23"/>
  <c r="I147" i="23" s="1"/>
  <c r="K147" i="23" s="1"/>
  <c r="G519" i="23"/>
  <c r="I519" i="23" s="1"/>
  <c r="G382" i="23"/>
  <c r="I382" i="23" s="1"/>
  <c r="K382" i="23" s="1"/>
  <c r="G249" i="23"/>
  <c r="G95" i="23"/>
  <c r="I95" i="23" s="1"/>
  <c r="K95" i="23" s="1"/>
  <c r="G369" i="23"/>
  <c r="I369" i="23" s="1"/>
  <c r="K369" i="23" s="1"/>
  <c r="G330" i="23"/>
  <c r="I330" i="23" s="1"/>
  <c r="G267" i="23"/>
  <c r="G203" i="23"/>
  <c r="I203" i="23" s="1"/>
  <c r="K203" i="23" s="1"/>
  <c r="G139" i="23"/>
  <c r="I139" i="23" s="1"/>
  <c r="K139" i="23" s="1"/>
  <c r="G75" i="23"/>
  <c r="I75" i="23" s="1"/>
  <c r="G16" i="23"/>
  <c r="G372" i="23"/>
  <c r="G334" i="23"/>
  <c r="I334" i="23" s="1"/>
  <c r="K334" i="23" s="1"/>
  <c r="G278" i="23"/>
  <c r="I278" i="23" s="1"/>
  <c r="K278" i="23" s="1"/>
  <c r="G214" i="23"/>
  <c r="G150" i="23"/>
  <c r="I150" i="23" s="1"/>
  <c r="K150" i="23" s="1"/>
  <c r="G86" i="23"/>
  <c r="I86" i="23" s="1"/>
  <c r="K86" i="23" s="1"/>
  <c r="G339" i="23"/>
  <c r="I339" i="23" s="1"/>
  <c r="K339" i="23" s="1"/>
  <c r="G271" i="23"/>
  <c r="G207" i="23"/>
  <c r="I207" i="23" s="1"/>
  <c r="K207" i="23" s="1"/>
  <c r="G143" i="23"/>
  <c r="I143" i="23" s="1"/>
  <c r="K143" i="23" s="1"/>
  <c r="G79" i="23"/>
  <c r="I79" i="23" s="1"/>
  <c r="K79" i="23" s="1"/>
  <c r="G21" i="23"/>
  <c r="G306" i="23"/>
  <c r="G238" i="23"/>
  <c r="I238" i="23" s="1"/>
  <c r="K238" i="23" s="1"/>
  <c r="G174" i="23"/>
  <c r="I174" i="23" s="1"/>
  <c r="K174" i="23" s="1"/>
  <c r="G110" i="23"/>
  <c r="G46" i="23"/>
  <c r="I46" i="23" s="1"/>
  <c r="K46" i="23" s="1"/>
  <c r="G316" i="23"/>
  <c r="I316" i="23" s="1"/>
  <c r="G257" i="23"/>
  <c r="I257" i="23" s="1"/>
  <c r="K257" i="23" s="1"/>
  <c r="G193" i="23"/>
  <c r="G129" i="23"/>
  <c r="I129" i="23" s="1"/>
  <c r="K129" i="23" s="1"/>
  <c r="G65" i="23"/>
  <c r="I65" i="23" s="1"/>
  <c r="G2" i="23"/>
  <c r="I2" i="23" s="1"/>
  <c r="G836" i="23"/>
  <c r="I836" i="23" s="1"/>
  <c r="K836" i="23" s="1"/>
  <c r="G726" i="23"/>
  <c r="I726" i="23" s="1"/>
  <c r="G102" i="23"/>
  <c r="I102" i="23" s="1"/>
  <c r="K102" i="23" s="1"/>
  <c r="G1324" i="23"/>
  <c r="G1292" i="23"/>
  <c r="G1260" i="23"/>
  <c r="I1260" i="23" s="1"/>
  <c r="K1260" i="23" s="1"/>
  <c r="G1228" i="23"/>
  <c r="I1228" i="23" s="1"/>
  <c r="K1228" i="23" s="1"/>
  <c r="G1196" i="23"/>
  <c r="I1196" i="23" s="1"/>
  <c r="K1196" i="23" s="1"/>
  <c r="G1164" i="23"/>
  <c r="I1164" i="23" s="1"/>
  <c r="K1164" i="23" s="1"/>
  <c r="G1132" i="23"/>
  <c r="I1132" i="23" s="1"/>
  <c r="K1132" i="23" s="1"/>
  <c r="G1100" i="23"/>
  <c r="I1100" i="23" s="1"/>
  <c r="K1100" i="23" s="1"/>
  <c r="G1068" i="23"/>
  <c r="I1068" i="23" s="1"/>
  <c r="K1068" i="23" s="1"/>
  <c r="G1027" i="23"/>
  <c r="I1027" i="23" s="1"/>
  <c r="G939" i="23"/>
  <c r="I939" i="23" s="1"/>
  <c r="K939" i="23" s="1"/>
  <c r="G447" i="23"/>
  <c r="I447" i="23" s="1"/>
  <c r="G962" i="23"/>
  <c r="I962" i="23" s="1"/>
  <c r="K962" i="23" s="1"/>
  <c r="G742" i="23"/>
  <c r="I742" i="23" s="1"/>
  <c r="K742" i="23" s="1"/>
  <c r="G57" i="23"/>
  <c r="I57" i="23" s="1"/>
  <c r="K57" i="23" s="1"/>
  <c r="G934" i="23"/>
  <c r="I934" i="23" s="1"/>
  <c r="K934" i="23" s="1"/>
  <c r="G870" i="23"/>
  <c r="G768" i="23"/>
  <c r="I768" i="23" s="1"/>
  <c r="K768" i="23" s="1"/>
  <c r="G627" i="23"/>
  <c r="I627" i="23" s="1"/>
  <c r="G406" i="23"/>
  <c r="I406" i="23" s="1"/>
  <c r="K406" i="23" s="1"/>
  <c r="G956" i="23"/>
  <c r="I956" i="23" s="1"/>
  <c r="G892" i="23"/>
  <c r="I892" i="23" s="1"/>
  <c r="G831" i="23"/>
  <c r="G789" i="23"/>
  <c r="I789" i="23" s="1"/>
  <c r="K789" i="23" s="1"/>
  <c r="G746" i="23"/>
  <c r="I746" i="23" s="1"/>
  <c r="K746" i="23" s="1"/>
  <c r="G703" i="23"/>
  <c r="I703" i="23" s="1"/>
  <c r="K703" i="23" s="1"/>
  <c r="G661" i="23"/>
  <c r="I661" i="23" s="1"/>
  <c r="K661" i="23" s="1"/>
  <c r="G491" i="23"/>
  <c r="G228" i="23"/>
  <c r="I228" i="23" s="1"/>
  <c r="G955" i="23"/>
  <c r="I955" i="23" s="1"/>
  <c r="G891" i="23"/>
  <c r="I891" i="23" s="1"/>
  <c r="G830" i="23"/>
  <c r="I830" i="23" s="1"/>
  <c r="G787" i="23"/>
  <c r="I787" i="23" s="1"/>
  <c r="G745" i="23"/>
  <c r="I745" i="23" s="1"/>
  <c r="K745" i="23" s="1"/>
  <c r="G702" i="23"/>
  <c r="G659" i="23"/>
  <c r="G459" i="23"/>
  <c r="I459" i="23" s="1"/>
  <c r="K459" i="23" s="1"/>
  <c r="G172" i="23"/>
  <c r="G1014" i="23"/>
  <c r="I1014" i="23" s="1"/>
  <c r="K1014" i="23" s="1"/>
  <c r="G950" i="23"/>
  <c r="I950" i="23" s="1"/>
  <c r="K950" i="23" s="1"/>
  <c r="G886" i="23"/>
  <c r="I886" i="23" s="1"/>
  <c r="K886" i="23" s="1"/>
  <c r="G808" i="23"/>
  <c r="I808" i="23" s="1"/>
  <c r="K808" i="23" s="1"/>
  <c r="G680" i="23"/>
  <c r="I680" i="23" s="1"/>
  <c r="G470" i="23"/>
  <c r="G160" i="23"/>
  <c r="I160" i="23" s="1"/>
  <c r="K160" i="23" s="1"/>
  <c r="G899" i="23"/>
  <c r="I899" i="23" s="1"/>
  <c r="G839" i="23"/>
  <c r="I839" i="23" s="1"/>
  <c r="K839" i="23" s="1"/>
  <c r="G797" i="23"/>
  <c r="I797" i="23" s="1"/>
  <c r="K797" i="23" s="1"/>
  <c r="G754" i="23"/>
  <c r="I754" i="23" s="1"/>
  <c r="G711" i="23"/>
  <c r="G669" i="23"/>
  <c r="I669" i="23" s="1"/>
  <c r="K669" i="23" s="1"/>
  <c r="G535" i="23"/>
  <c r="G247" i="23"/>
  <c r="I247" i="23" s="1"/>
  <c r="G1031" i="23"/>
  <c r="I1031" i="23" s="1"/>
  <c r="K1031" i="23" s="1"/>
  <c r="G967" i="23"/>
  <c r="G903" i="23"/>
  <c r="I903" i="23" s="1"/>
  <c r="K903" i="23" s="1"/>
  <c r="G828" i="23"/>
  <c r="G700" i="23"/>
  <c r="I700" i="23" s="1"/>
  <c r="K700" i="23" s="1"/>
  <c r="G523" i="23"/>
  <c r="G243" i="23"/>
  <c r="G622" i="23"/>
  <c r="I622" i="23" s="1"/>
  <c r="K622" i="23" s="1"/>
  <c r="G590" i="23"/>
  <c r="G558" i="23"/>
  <c r="I558" i="23" s="1"/>
  <c r="K558" i="23" s="1"/>
  <c r="G526" i="23"/>
  <c r="I526" i="23" s="1"/>
  <c r="G485" i="23"/>
  <c r="I485" i="23" s="1"/>
  <c r="G442" i="23"/>
  <c r="I442" i="23" s="1"/>
  <c r="K442" i="23" s="1"/>
  <c r="G400" i="23"/>
  <c r="I400" i="23" s="1"/>
  <c r="K400" i="23" s="1"/>
  <c r="G321" i="23"/>
  <c r="I321" i="23" s="1"/>
  <c r="K321" i="23" s="1"/>
  <c r="G173" i="23"/>
  <c r="I173" i="23" s="1"/>
  <c r="K173" i="23" s="1"/>
  <c r="G629" i="23"/>
  <c r="I629" i="23" s="1"/>
  <c r="K629" i="23" s="1"/>
  <c r="G597" i="23"/>
  <c r="I597" i="23" s="1"/>
  <c r="K597" i="23" s="1"/>
  <c r="G565" i="23"/>
  <c r="I565" i="23" s="1"/>
  <c r="G533" i="23"/>
  <c r="I533" i="23" s="1"/>
  <c r="K533" i="23" s="1"/>
  <c r="G494" i="23"/>
  <c r="G452" i="23"/>
  <c r="I452" i="23" s="1"/>
  <c r="G409" i="23"/>
  <c r="G237" i="23"/>
  <c r="I237" i="23" s="1"/>
  <c r="G50" i="23"/>
  <c r="I50" i="23" s="1"/>
  <c r="K50" i="23" s="1"/>
  <c r="G435" i="23"/>
  <c r="I435" i="23" s="1"/>
  <c r="G236" i="23"/>
  <c r="I236" i="23" s="1"/>
  <c r="G64" i="23"/>
  <c r="I64" i="23" s="1"/>
  <c r="K64" i="23" s="1"/>
  <c r="G624" i="23"/>
  <c r="G592" i="23"/>
  <c r="I592" i="23" s="1"/>
  <c r="G560" i="23"/>
  <c r="I560" i="23" s="1"/>
  <c r="G528" i="23"/>
  <c r="I528" i="23" s="1"/>
  <c r="G488" i="23"/>
  <c r="G445" i="23"/>
  <c r="I445" i="23" s="1"/>
  <c r="G402" i="23"/>
  <c r="I402" i="23" s="1"/>
  <c r="K402" i="23" s="1"/>
  <c r="G342" i="23"/>
  <c r="G132" i="23"/>
  <c r="G503" i="23"/>
  <c r="G374" i="23"/>
  <c r="I374" i="23" s="1"/>
  <c r="G230" i="23"/>
  <c r="I230" i="23" s="1"/>
  <c r="G77" i="23"/>
  <c r="G365" i="23"/>
  <c r="I365" i="23" s="1"/>
  <c r="G325" i="23"/>
  <c r="I325" i="23" s="1"/>
  <c r="K325" i="23" s="1"/>
  <c r="G261" i="23"/>
  <c r="I261" i="23" s="1"/>
  <c r="G197" i="23"/>
  <c r="G133" i="23"/>
  <c r="I133" i="23" s="1"/>
  <c r="G69" i="23"/>
  <c r="G8" i="23"/>
  <c r="I8" i="23" s="1"/>
  <c r="G368" i="23"/>
  <c r="I368" i="23" s="1"/>
  <c r="G329" i="23"/>
  <c r="I329" i="23" s="1"/>
  <c r="K329" i="23" s="1"/>
  <c r="G272" i="23"/>
  <c r="I272" i="23" s="1"/>
  <c r="G208" i="23"/>
  <c r="I208" i="23" s="1"/>
  <c r="K208" i="23" s="1"/>
  <c r="G144" i="23"/>
  <c r="I144" i="23" s="1"/>
  <c r="G80" i="23"/>
  <c r="I80" i="23" s="1"/>
  <c r="K80" i="23" s="1"/>
  <c r="G328" i="23"/>
  <c r="I328" i="23" s="1"/>
  <c r="K328" i="23" s="1"/>
  <c r="G265" i="23"/>
  <c r="I265" i="23" s="1"/>
  <c r="K265" i="23" s="1"/>
  <c r="G201" i="23"/>
  <c r="I201" i="23" s="1"/>
  <c r="K201" i="23" s="1"/>
  <c r="G137" i="23"/>
  <c r="I137" i="23" s="1"/>
  <c r="K137" i="23" s="1"/>
  <c r="G73" i="23"/>
  <c r="I73" i="23" s="1"/>
  <c r="K73" i="23" s="1"/>
  <c r="G13" i="23"/>
  <c r="I13" i="23" s="1"/>
  <c r="K13" i="23" s="1"/>
  <c r="G301" i="23"/>
  <c r="G232" i="23"/>
  <c r="I232" i="23" s="1"/>
  <c r="K232" i="23" s="1"/>
  <c r="G168" i="23"/>
  <c r="G104" i="23"/>
  <c r="I104" i="23" s="1"/>
  <c r="K104" i="23" s="1"/>
  <c r="G40" i="23"/>
  <c r="I40" i="23" s="1"/>
  <c r="G311" i="23"/>
  <c r="G250" i="23"/>
  <c r="I250" i="23" s="1"/>
  <c r="K250" i="23" s="1"/>
  <c r="G186" i="23"/>
  <c r="G122" i="23"/>
  <c r="I122" i="23" s="1"/>
  <c r="K122" i="23" s="1"/>
  <c r="G58" i="23"/>
  <c r="I58" i="23" s="1"/>
  <c r="K58" i="23" s="1"/>
  <c r="G23" i="23"/>
  <c r="G772" i="23"/>
  <c r="I772" i="23" s="1"/>
  <c r="G705" i="23"/>
  <c r="I705" i="23" s="1"/>
  <c r="K705" i="23" s="1"/>
  <c r="G1352" i="23"/>
  <c r="I1352" i="23" s="1"/>
  <c r="K1352" i="23" s="1"/>
  <c r="G1320" i="23"/>
  <c r="I1320" i="23" s="1"/>
  <c r="K1320" i="23" s="1"/>
  <c r="G1288" i="23"/>
  <c r="I1288" i="23" s="1"/>
  <c r="K1288" i="23" s="1"/>
  <c r="G1256" i="23"/>
  <c r="I1256" i="23" s="1"/>
  <c r="G1224" i="23"/>
  <c r="I1224" i="23" s="1"/>
  <c r="K1224" i="23" s="1"/>
  <c r="G1192" i="23"/>
  <c r="I1192" i="23" s="1"/>
  <c r="G1160" i="23"/>
  <c r="I1160" i="23" s="1"/>
  <c r="K1160" i="23" s="1"/>
  <c r="G1128" i="23"/>
  <c r="I1128" i="23" s="1"/>
  <c r="K1128" i="23" s="1"/>
  <c r="G1096" i="23"/>
  <c r="I1096" i="23" s="1"/>
  <c r="K1096" i="23" s="1"/>
  <c r="G1064" i="23"/>
  <c r="I1064" i="23" s="1"/>
  <c r="K1064" i="23" s="1"/>
  <c r="G1021" i="23"/>
  <c r="I1021" i="23" s="1"/>
  <c r="K1021" i="23" s="1"/>
  <c r="G887" i="23"/>
  <c r="I887" i="23" s="1"/>
  <c r="K887" i="23" s="1"/>
  <c r="G262" i="23"/>
  <c r="I262" i="23" s="1"/>
  <c r="K262" i="23" s="1"/>
  <c r="G921" i="23"/>
  <c r="I921" i="23" s="1"/>
  <c r="K921" i="23" s="1"/>
  <c r="G721" i="23"/>
  <c r="I721" i="23" s="1"/>
  <c r="G989" i="23"/>
  <c r="I989" i="23" s="1"/>
  <c r="K989" i="23" s="1"/>
  <c r="G925" i="23"/>
  <c r="I925" i="23" s="1"/>
  <c r="G861" i="23"/>
  <c r="I861" i="23" s="1"/>
  <c r="K861" i="23" s="1"/>
  <c r="G752" i="23"/>
  <c r="I752" i="23" s="1"/>
  <c r="K752" i="23" s="1"/>
  <c r="G595" i="23"/>
  <c r="I595" i="23" s="1"/>
  <c r="G393" i="23"/>
  <c r="I393" i="23" s="1"/>
  <c r="K393" i="23" s="1"/>
  <c r="G947" i="23"/>
  <c r="I947" i="23" s="1"/>
  <c r="G883" i="23"/>
  <c r="I883" i="23" s="1"/>
  <c r="G826" i="23"/>
  <c r="I826" i="23" s="1"/>
  <c r="G783" i="23"/>
  <c r="I783" i="23" s="1"/>
  <c r="G741" i="23"/>
  <c r="I741" i="23" s="1"/>
  <c r="K741" i="23" s="1"/>
  <c r="G698" i="23"/>
  <c r="I698" i="23" s="1"/>
  <c r="K698" i="23" s="1"/>
  <c r="G655" i="23"/>
  <c r="I655" i="23" s="1"/>
  <c r="G476" i="23"/>
  <c r="I476" i="23" s="1"/>
  <c r="K476" i="23" s="1"/>
  <c r="G178" i="23"/>
  <c r="I178" i="23" s="1"/>
  <c r="G946" i="23"/>
  <c r="I946" i="23" s="1"/>
  <c r="G882" i="23"/>
  <c r="I882" i="23" s="1"/>
  <c r="G825" i="23"/>
  <c r="I825" i="23" s="1"/>
  <c r="K825" i="23" s="1"/>
  <c r="G782" i="23"/>
  <c r="I782" i="23" s="1"/>
  <c r="K782" i="23" s="1"/>
  <c r="G739" i="23"/>
  <c r="I739" i="23" s="1"/>
  <c r="K739" i="23" s="1"/>
  <c r="G697" i="23"/>
  <c r="I697" i="23" s="1"/>
  <c r="K697" i="23" s="1"/>
  <c r="G654" i="23"/>
  <c r="I654" i="23" s="1"/>
  <c r="G444" i="23"/>
  <c r="I444" i="23" s="1"/>
  <c r="G76" i="23"/>
  <c r="I76" i="23" s="1"/>
  <c r="K76" i="23" s="1"/>
  <c r="G1005" i="23"/>
  <c r="I1005" i="23" s="1"/>
  <c r="G941" i="23"/>
  <c r="I941" i="23" s="1"/>
  <c r="K941" i="23" s="1"/>
  <c r="G877" i="23"/>
  <c r="I877" i="23" s="1"/>
  <c r="K877" i="23" s="1"/>
  <c r="G792" i="23"/>
  <c r="I792" i="23" s="1"/>
  <c r="K792" i="23" s="1"/>
  <c r="G664" i="23"/>
  <c r="I664" i="23" s="1"/>
  <c r="K664" i="23" s="1"/>
  <c r="G443" i="23"/>
  <c r="I443" i="23" s="1"/>
  <c r="G121" i="23"/>
  <c r="I121" i="23" s="1"/>
  <c r="K121" i="23" s="1"/>
  <c r="G890" i="23"/>
  <c r="I890" i="23" s="1"/>
  <c r="G834" i="23"/>
  <c r="I834" i="23" s="1"/>
  <c r="K834" i="23" s="1"/>
  <c r="G791" i="23"/>
  <c r="I791" i="23" s="1"/>
  <c r="K791" i="23" s="1"/>
  <c r="G749" i="23"/>
  <c r="I749" i="23" s="1"/>
  <c r="G706" i="23"/>
  <c r="I706" i="23" s="1"/>
  <c r="K706" i="23" s="1"/>
  <c r="G663" i="23"/>
  <c r="I663" i="23" s="1"/>
  <c r="K663" i="23" s="1"/>
  <c r="G497" i="23"/>
  <c r="I497" i="23" s="1"/>
  <c r="G205" i="23"/>
  <c r="I205" i="23" s="1"/>
  <c r="K205" i="23" s="1"/>
  <c r="G1022" i="23"/>
  <c r="I1022" i="23" s="1"/>
  <c r="K1022" i="23" s="1"/>
  <c r="G958" i="23"/>
  <c r="I958" i="23" s="1"/>
  <c r="G894" i="23"/>
  <c r="I894" i="23" s="1"/>
  <c r="G812" i="23"/>
  <c r="I812" i="23" s="1"/>
  <c r="G684" i="23"/>
  <c r="I684" i="23" s="1"/>
  <c r="K684" i="23" s="1"/>
  <c r="G511" i="23"/>
  <c r="I511" i="23" s="1"/>
  <c r="K511" i="23" s="1"/>
  <c r="G196" i="23"/>
  <c r="I196" i="23" s="1"/>
  <c r="K196" i="23" s="1"/>
  <c r="G618" i="23"/>
  <c r="I618" i="23" s="1"/>
  <c r="K618" i="23" s="1"/>
  <c r="G586" i="23"/>
  <c r="I586" i="23" s="1"/>
  <c r="K586" i="23" s="1"/>
  <c r="G554" i="23"/>
  <c r="I554" i="23" s="1"/>
  <c r="K554" i="23" s="1"/>
  <c r="G522" i="23"/>
  <c r="I522" i="23" s="1"/>
  <c r="G480" i="23"/>
  <c r="I480" i="23" s="1"/>
  <c r="K480" i="23" s="1"/>
  <c r="G437" i="23"/>
  <c r="I437" i="23" s="1"/>
  <c r="K437" i="23" s="1"/>
  <c r="G387" i="23"/>
  <c r="I387" i="23" s="1"/>
  <c r="K387" i="23" s="1"/>
  <c r="G308" i="23"/>
  <c r="I308" i="23" s="1"/>
  <c r="K308" i="23" s="1"/>
  <c r="G140" i="23"/>
  <c r="I140" i="23" s="1"/>
  <c r="K140" i="23" s="1"/>
  <c r="G625" i="23"/>
  <c r="I625" i="23" s="1"/>
  <c r="G593" i="23"/>
  <c r="I593" i="23" s="1"/>
  <c r="G561" i="23"/>
  <c r="I561" i="23" s="1"/>
  <c r="G529" i="23"/>
  <c r="I529" i="23" s="1"/>
  <c r="G489" i="23"/>
  <c r="I489" i="23" s="1"/>
  <c r="K489" i="23" s="1"/>
  <c r="G446" i="23"/>
  <c r="I446" i="23" s="1"/>
  <c r="G404" i="23"/>
  <c r="I404" i="23" s="1"/>
  <c r="K404" i="23" s="1"/>
  <c r="G204" i="23"/>
  <c r="I204" i="23" s="1"/>
  <c r="K204" i="23" s="1"/>
  <c r="G32" i="23"/>
  <c r="I32" i="23" s="1"/>
  <c r="K32" i="23" s="1"/>
  <c r="G419" i="23"/>
  <c r="I419" i="23" s="1"/>
  <c r="K419" i="23" s="1"/>
  <c r="G202" i="23"/>
  <c r="I202" i="23" s="1"/>
  <c r="K202" i="23" s="1"/>
  <c r="G49" i="23"/>
  <c r="I49" i="23" s="1"/>
  <c r="K49" i="23" s="1"/>
  <c r="G620" i="23"/>
  <c r="I620" i="23" s="1"/>
  <c r="K620" i="23" s="1"/>
  <c r="G588" i="23"/>
  <c r="I588" i="23" s="1"/>
  <c r="K588" i="23" s="1"/>
  <c r="G556" i="23"/>
  <c r="I556" i="23" s="1"/>
  <c r="K556" i="23" s="1"/>
  <c r="G524" i="23"/>
  <c r="I524" i="23" s="1"/>
  <c r="G482" i="23"/>
  <c r="I482" i="23" s="1"/>
  <c r="K482" i="23" s="1"/>
  <c r="G440" i="23"/>
  <c r="I440" i="23" s="1"/>
  <c r="K440" i="23" s="1"/>
  <c r="G397" i="23"/>
  <c r="I397" i="23" s="1"/>
  <c r="G315" i="23"/>
  <c r="I315" i="23" s="1"/>
  <c r="G114" i="23"/>
  <c r="I114" i="23" s="1"/>
  <c r="K114" i="23" s="1"/>
  <c r="G487" i="23"/>
  <c r="I487" i="23" s="1"/>
  <c r="K487" i="23" s="1"/>
  <c r="G366" i="23"/>
  <c r="I366" i="23" s="1"/>
  <c r="K366" i="23" s="1"/>
  <c r="G215" i="23"/>
  <c r="I215" i="23" s="1"/>
  <c r="G44" i="23"/>
  <c r="I44" i="23" s="1"/>
  <c r="G361" i="23"/>
  <c r="I361" i="23" s="1"/>
  <c r="K361" i="23" s="1"/>
  <c r="G314" i="23"/>
  <c r="I314" i="23" s="1"/>
  <c r="K314" i="23" s="1"/>
  <c r="G254" i="23"/>
  <c r="I254" i="23" s="1"/>
  <c r="G190" i="23"/>
  <c r="I190" i="23" s="1"/>
  <c r="K190" i="23" s="1"/>
  <c r="G126" i="23"/>
  <c r="I126" i="23" s="1"/>
  <c r="G62" i="23"/>
  <c r="I62" i="23" s="1"/>
  <c r="K62" i="23" s="1"/>
  <c r="G396" i="23"/>
  <c r="I396" i="23" s="1"/>
  <c r="K396" i="23" s="1"/>
  <c r="G364" i="23"/>
  <c r="I364" i="23" s="1"/>
  <c r="K364" i="23" s="1"/>
  <c r="G318" i="23"/>
  <c r="I318" i="23" s="1"/>
  <c r="K318" i="23" s="1"/>
  <c r="G259" i="23"/>
  <c r="I259" i="23" s="1"/>
  <c r="G195" i="23"/>
  <c r="I195" i="23" s="1"/>
  <c r="K195" i="23" s="1"/>
  <c r="G131" i="23"/>
  <c r="I131" i="23" s="1"/>
  <c r="G67" i="23"/>
  <c r="I67" i="23" s="1"/>
  <c r="K67" i="23" s="1"/>
  <c r="G323" i="23"/>
  <c r="I323" i="23" s="1"/>
  <c r="K323" i="23" s="1"/>
  <c r="G258" i="23"/>
  <c r="I258" i="23" s="1"/>
  <c r="G194" i="23"/>
  <c r="I194" i="23" s="1"/>
  <c r="K194" i="23" s="1"/>
  <c r="G130" i="23"/>
  <c r="I130" i="23" s="1"/>
  <c r="G66" i="23"/>
  <c r="I66" i="23" s="1"/>
  <c r="K66" i="23" s="1"/>
  <c r="G5" i="23"/>
  <c r="I5" i="23" s="1"/>
  <c r="K5" i="23" s="1"/>
  <c r="G283" i="23"/>
  <c r="I283" i="23" s="1"/>
  <c r="K283" i="23" s="1"/>
  <c r="G219" i="23"/>
  <c r="I219" i="23" s="1"/>
  <c r="K219" i="23" s="1"/>
  <c r="G155" i="23"/>
  <c r="I155" i="23" s="1"/>
  <c r="K155" i="23" s="1"/>
  <c r="G91" i="23"/>
  <c r="I91" i="23" s="1"/>
  <c r="K91" i="23" s="1"/>
  <c r="G27" i="23"/>
  <c r="I27" i="23" s="1"/>
  <c r="K27" i="23" s="1"/>
  <c r="G300" i="23"/>
  <c r="G244" i="23"/>
  <c r="I244" i="23" s="1"/>
  <c r="K244" i="23" s="1"/>
  <c r="G180" i="23"/>
  <c r="I180" i="23" s="1"/>
  <c r="K180" i="23" s="1"/>
  <c r="G116" i="23"/>
  <c r="I116" i="23" s="1"/>
  <c r="G52" i="23"/>
  <c r="I52" i="23" s="1"/>
  <c r="G19" i="23"/>
  <c r="I19" i="23" s="1"/>
  <c r="K19" i="23" s="1"/>
  <c r="G708" i="23"/>
  <c r="I708" i="23" s="1"/>
  <c r="K708" i="23" s="1"/>
  <c r="G683" i="23"/>
  <c r="I683" i="23" s="1"/>
  <c r="G1348" i="23"/>
  <c r="I1348" i="23" s="1"/>
  <c r="K1348" i="23" s="1"/>
  <c r="G1316" i="23"/>
  <c r="I1316" i="23" s="1"/>
  <c r="K1316" i="23" s="1"/>
  <c r="G1284" i="23"/>
  <c r="I1284" i="23" s="1"/>
  <c r="K1284" i="23" s="1"/>
  <c r="G1252" i="23"/>
  <c r="I1252" i="23" s="1"/>
  <c r="G1220" i="23"/>
  <c r="I1220" i="23" s="1"/>
  <c r="G1188" i="23"/>
  <c r="I1188" i="23" s="1"/>
  <c r="K1188" i="23" s="1"/>
  <c r="G1156" i="23"/>
  <c r="I1156" i="23" s="1"/>
  <c r="K1156" i="23" s="1"/>
  <c r="G1124" i="23"/>
  <c r="I1124" i="23" s="1"/>
  <c r="K1124" i="23" s="1"/>
  <c r="G1092" i="23"/>
  <c r="I1092" i="23" s="1"/>
  <c r="K1092" i="23" s="1"/>
  <c r="G1060" i="23"/>
  <c r="I1060" i="23" s="1"/>
  <c r="K1060" i="23" s="1"/>
  <c r="G1015" i="23"/>
  <c r="I1015" i="23" s="1"/>
  <c r="G869" i="23"/>
  <c r="I869" i="23" s="1"/>
  <c r="K869" i="23" s="1"/>
  <c r="G87" i="23"/>
  <c r="I87" i="23" s="1"/>
  <c r="G884" i="23"/>
  <c r="I884" i="23" s="1"/>
  <c r="K884" i="23" s="1"/>
  <c r="G699" i="23"/>
  <c r="I699" i="23" s="1"/>
  <c r="K699" i="23" s="1"/>
  <c r="G984" i="23"/>
  <c r="I984" i="23" s="1"/>
  <c r="G920" i="23"/>
  <c r="I920" i="23" s="1"/>
  <c r="K920" i="23" s="1"/>
  <c r="G856" i="23"/>
  <c r="I856" i="23" s="1"/>
  <c r="K856" i="23" s="1"/>
  <c r="G736" i="23"/>
  <c r="I736" i="23" s="1"/>
  <c r="G563" i="23"/>
  <c r="I563" i="23" s="1"/>
  <c r="G320" i="23"/>
  <c r="I320" i="23" s="1"/>
  <c r="K320" i="23" s="1"/>
  <c r="G938" i="23"/>
  <c r="G874" i="23"/>
  <c r="I874" i="23" s="1"/>
  <c r="K874" i="23" s="1"/>
  <c r="G821" i="23"/>
  <c r="I821" i="23" s="1"/>
  <c r="K821" i="23" s="1"/>
  <c r="G778" i="23"/>
  <c r="I778" i="23" s="1"/>
  <c r="G735" i="23"/>
  <c r="I735" i="23" s="1"/>
  <c r="G693" i="23"/>
  <c r="I693" i="23" s="1"/>
  <c r="G650" i="23"/>
  <c r="I650" i="23" s="1"/>
  <c r="K650" i="23" s="1"/>
  <c r="G463" i="23"/>
  <c r="I463" i="23" s="1"/>
  <c r="G138" i="23"/>
  <c r="I138" i="23" s="1"/>
  <c r="G937" i="23"/>
  <c r="I937" i="23" s="1"/>
  <c r="K937" i="23" s="1"/>
  <c r="G873" i="23"/>
  <c r="I873" i="23" s="1"/>
  <c r="G819" i="23"/>
  <c r="I819" i="23" s="1"/>
  <c r="K819" i="23" s="1"/>
  <c r="G777" i="23"/>
  <c r="I777" i="23" s="1"/>
  <c r="G734" i="23"/>
  <c r="I734" i="23" s="1"/>
  <c r="G691" i="23"/>
  <c r="I691" i="23" s="1"/>
  <c r="G649" i="23"/>
  <c r="G431" i="23"/>
  <c r="I431" i="23" s="1"/>
  <c r="K431" i="23" s="1"/>
  <c r="G36" i="23"/>
  <c r="I36" i="23" s="1"/>
  <c r="K36" i="23" s="1"/>
  <c r="G1000" i="23"/>
  <c r="I1000" i="23" s="1"/>
  <c r="K1000" i="23" s="1"/>
  <c r="G936" i="23"/>
  <c r="I936" i="23" s="1"/>
  <c r="K936" i="23" s="1"/>
  <c r="G872" i="23"/>
  <c r="I872" i="23" s="1"/>
  <c r="K872" i="23" s="1"/>
  <c r="G776" i="23"/>
  <c r="I776" i="23" s="1"/>
  <c r="K776" i="23" s="1"/>
  <c r="G648" i="23"/>
  <c r="I648" i="23" s="1"/>
  <c r="K648" i="23" s="1"/>
  <c r="G428" i="23"/>
  <c r="I428" i="23" s="1"/>
  <c r="K428" i="23" s="1"/>
  <c r="G74" i="23"/>
  <c r="I74" i="23" s="1"/>
  <c r="K74" i="23" s="1"/>
  <c r="G881" i="23"/>
  <c r="I881" i="23" s="1"/>
  <c r="K881" i="23" s="1"/>
  <c r="G829" i="23"/>
  <c r="I829" i="23" s="1"/>
  <c r="G786" i="23"/>
  <c r="I786" i="23" s="1"/>
  <c r="K786" i="23" s="1"/>
  <c r="G743" i="23"/>
  <c r="G701" i="23"/>
  <c r="I701" i="23" s="1"/>
  <c r="K701" i="23" s="1"/>
  <c r="G658" i="23"/>
  <c r="I658" i="23" s="1"/>
  <c r="K658" i="23" s="1"/>
  <c r="G454" i="23"/>
  <c r="I454" i="23" s="1"/>
  <c r="K454" i="23" s="1"/>
  <c r="G159" i="23"/>
  <c r="I159" i="23" s="1"/>
  <c r="K159" i="23" s="1"/>
  <c r="G1013" i="23"/>
  <c r="I1013" i="23" s="1"/>
  <c r="K1013" i="23" s="1"/>
  <c r="G949" i="23"/>
  <c r="I949" i="23" s="1"/>
  <c r="K949" i="23" s="1"/>
  <c r="G885" i="23"/>
  <c r="I885" i="23" s="1"/>
  <c r="G796" i="23"/>
  <c r="I796" i="23" s="1"/>
  <c r="K796" i="23" s="1"/>
  <c r="G668" i="23"/>
  <c r="I668" i="23" s="1"/>
  <c r="K668" i="23" s="1"/>
  <c r="G481" i="23"/>
  <c r="I481" i="23" s="1"/>
  <c r="K481" i="23" s="1"/>
  <c r="G108" i="23"/>
  <c r="I108" i="23" s="1"/>
  <c r="G614" i="23"/>
  <c r="I614" i="23" s="1"/>
  <c r="K614" i="23" s="1"/>
  <c r="G582" i="23"/>
  <c r="I582" i="23" s="1"/>
  <c r="K582" i="23" s="1"/>
  <c r="G550" i="23"/>
  <c r="I550" i="23" s="1"/>
  <c r="K550" i="23" s="1"/>
  <c r="G517" i="23"/>
  <c r="I517" i="23" s="1"/>
  <c r="G474" i="23"/>
  <c r="G432" i="23"/>
  <c r="I432" i="23" s="1"/>
  <c r="K432" i="23" s="1"/>
  <c r="G379" i="23"/>
  <c r="I379" i="23" s="1"/>
  <c r="G275" i="23"/>
  <c r="I275" i="23" s="1"/>
  <c r="K275" i="23" s="1"/>
  <c r="G106" i="23"/>
  <c r="I106" i="23" s="1"/>
  <c r="K106" i="23" s="1"/>
  <c r="G621" i="23"/>
  <c r="I621" i="23" s="1"/>
  <c r="G589" i="23"/>
  <c r="I589" i="23" s="1"/>
  <c r="K589" i="23" s="1"/>
  <c r="G557" i="23"/>
  <c r="I557" i="23" s="1"/>
  <c r="K557" i="23" s="1"/>
  <c r="G525" i="23"/>
  <c r="I525" i="23" s="1"/>
  <c r="G484" i="23"/>
  <c r="I484" i="23" s="1"/>
  <c r="G441" i="23"/>
  <c r="I441" i="23" s="1"/>
  <c r="K441" i="23" s="1"/>
  <c r="G398" i="23"/>
  <c r="I398" i="23" s="1"/>
  <c r="K398" i="23" s="1"/>
  <c r="G170" i="23"/>
  <c r="G14" i="23"/>
  <c r="I14" i="23" s="1"/>
  <c r="G403" i="23"/>
  <c r="I403" i="23" s="1"/>
  <c r="K403" i="23" s="1"/>
  <c r="G185" i="23"/>
  <c r="I185" i="23" s="1"/>
  <c r="K185" i="23" s="1"/>
  <c r="G31" i="23"/>
  <c r="I31" i="23" s="1"/>
  <c r="K31" i="23" s="1"/>
  <c r="G616" i="23"/>
  <c r="I616" i="23" s="1"/>
  <c r="K616" i="23" s="1"/>
  <c r="G584" i="23"/>
  <c r="I584" i="23" s="1"/>
  <c r="K584" i="23" s="1"/>
  <c r="G552" i="23"/>
  <c r="I552" i="23" s="1"/>
  <c r="K552" i="23" s="1"/>
  <c r="G520" i="23"/>
  <c r="I520" i="23" s="1"/>
  <c r="G477" i="23"/>
  <c r="I477" i="23" s="1"/>
  <c r="G434" i="23"/>
  <c r="I434" i="23" s="1"/>
  <c r="K434" i="23" s="1"/>
  <c r="G390" i="23"/>
  <c r="I390" i="23" s="1"/>
  <c r="K390" i="23" s="1"/>
  <c r="G268" i="23"/>
  <c r="I268" i="23" s="1"/>
  <c r="K268" i="23" s="1"/>
  <c r="G96" i="23"/>
  <c r="I96" i="23" s="1"/>
  <c r="K96" i="23" s="1"/>
  <c r="G471" i="23"/>
  <c r="I471" i="23" s="1"/>
  <c r="K471" i="23" s="1"/>
  <c r="G358" i="23"/>
  <c r="I358" i="23" s="1"/>
  <c r="K358" i="23" s="1"/>
  <c r="G179" i="23"/>
  <c r="G6" i="23"/>
  <c r="I6" i="23" s="1"/>
  <c r="K6" i="23" s="1"/>
  <c r="G357" i="23"/>
  <c r="I357" i="23" s="1"/>
  <c r="K357" i="23" s="1"/>
  <c r="G309" i="23"/>
  <c r="I309" i="23" s="1"/>
  <c r="K309" i="23" s="1"/>
  <c r="G248" i="23"/>
  <c r="I248" i="23" s="1"/>
  <c r="G184" i="23"/>
  <c r="I184" i="23" s="1"/>
  <c r="G120" i="23"/>
  <c r="I120" i="23" s="1"/>
  <c r="K120" i="23" s="1"/>
  <c r="G56" i="23"/>
  <c r="I56" i="23" s="1"/>
  <c r="K56" i="23" s="1"/>
  <c r="G392" i="23"/>
  <c r="I392" i="23" s="1"/>
  <c r="K392" i="23" s="1"/>
  <c r="G360" i="23"/>
  <c r="I360" i="23" s="1"/>
  <c r="K360" i="23" s="1"/>
  <c r="G313" i="23"/>
  <c r="I313" i="23" s="1"/>
  <c r="K313" i="23" s="1"/>
  <c r="G253" i="23"/>
  <c r="I253" i="23" s="1"/>
  <c r="K253" i="23" s="1"/>
  <c r="G189" i="23"/>
  <c r="I189" i="23" s="1"/>
  <c r="K189" i="23" s="1"/>
  <c r="G125" i="23"/>
  <c r="I125" i="23" s="1"/>
  <c r="K125" i="23" s="1"/>
  <c r="G61" i="23"/>
  <c r="I61" i="23" s="1"/>
  <c r="K61" i="23" s="1"/>
  <c r="G312" i="23"/>
  <c r="I312" i="23" s="1"/>
  <c r="G252" i="23"/>
  <c r="G188" i="23"/>
  <c r="I188" i="23" s="1"/>
  <c r="K188" i="23" s="1"/>
  <c r="G124" i="23"/>
  <c r="I124" i="23" s="1"/>
  <c r="G60" i="23"/>
  <c r="I60" i="23" s="1"/>
  <c r="K60" i="23" s="1"/>
  <c r="G343" i="23"/>
  <c r="I343" i="23" s="1"/>
  <c r="G277" i="23"/>
  <c r="I277" i="23" s="1"/>
  <c r="G213" i="23"/>
  <c r="I213" i="23" s="1"/>
  <c r="K213" i="23" s="1"/>
  <c r="G149" i="23"/>
  <c r="I149" i="23" s="1"/>
  <c r="K149" i="23" s="1"/>
  <c r="G85" i="23"/>
  <c r="I85" i="23" s="1"/>
  <c r="K85" i="23" s="1"/>
  <c r="G20" i="23"/>
  <c r="I20" i="23" s="1"/>
  <c r="K20" i="23" s="1"/>
  <c r="G295" i="23"/>
  <c r="I295" i="23" s="1"/>
  <c r="G231" i="23"/>
  <c r="I231" i="23" s="1"/>
  <c r="G167" i="23"/>
  <c r="I167" i="23" s="1"/>
  <c r="K167" i="23" s="1"/>
  <c r="G103" i="23"/>
  <c r="I103" i="23" s="1"/>
  <c r="K103" i="23" s="1"/>
  <c r="G39" i="23"/>
  <c r="G15" i="23"/>
  <c r="G643" i="23"/>
  <c r="I643" i="23" s="1"/>
  <c r="G662" i="23"/>
  <c r="G1344" i="23"/>
  <c r="I1344" i="23" s="1"/>
  <c r="K1344" i="23" s="1"/>
  <c r="G1312" i="23"/>
  <c r="I1312" i="23" s="1"/>
  <c r="K1312" i="23" s="1"/>
  <c r="G1280" i="23"/>
  <c r="I1280" i="23" s="1"/>
  <c r="K1280" i="23" s="1"/>
  <c r="G1248" i="23"/>
  <c r="I1248" i="23" s="1"/>
  <c r="K1248" i="23" s="1"/>
  <c r="G1216" i="23"/>
  <c r="G1184" i="23"/>
  <c r="G1152" i="23"/>
  <c r="I1152" i="23" s="1"/>
  <c r="K1152" i="23" s="1"/>
  <c r="G1120" i="23"/>
  <c r="I1120" i="23" s="1"/>
  <c r="K1120" i="23" s="1"/>
  <c r="G1088" i="23"/>
  <c r="I1088" i="23" s="1"/>
  <c r="G1056" i="23"/>
  <c r="I1056" i="23" s="1"/>
  <c r="K1056" i="23" s="1"/>
  <c r="G1009" i="23"/>
  <c r="I1009" i="23" s="1"/>
  <c r="K1009" i="23" s="1"/>
  <c r="G788" i="23"/>
  <c r="I788" i="23" s="1"/>
  <c r="G1026" i="23"/>
  <c r="I1026" i="23" s="1"/>
  <c r="G866" i="23"/>
  <c r="I866" i="23" s="1"/>
  <c r="K866" i="23" s="1"/>
  <c r="G678" i="23"/>
  <c r="G975" i="23"/>
  <c r="G911" i="23"/>
  <c r="I911" i="23" s="1"/>
  <c r="K911" i="23" s="1"/>
  <c r="G847" i="23"/>
  <c r="I847" i="23" s="1"/>
  <c r="K847" i="23" s="1"/>
  <c r="G720" i="23"/>
  <c r="I720" i="23" s="1"/>
  <c r="K720" i="23" s="1"/>
  <c r="G531" i="23"/>
  <c r="I531" i="23" s="1"/>
  <c r="G279" i="23"/>
  <c r="I279" i="23" s="1"/>
  <c r="G929" i="23"/>
  <c r="I929" i="23" s="1"/>
  <c r="K929" i="23" s="1"/>
  <c r="G865" i="23"/>
  <c r="I865" i="23" s="1"/>
  <c r="K865" i="23" s="1"/>
  <c r="G815" i="23"/>
  <c r="G773" i="23"/>
  <c r="I773" i="23" s="1"/>
  <c r="G730" i="23"/>
  <c r="I730" i="23" s="1"/>
  <c r="G687" i="23"/>
  <c r="I687" i="23" s="1"/>
  <c r="K687" i="23" s="1"/>
  <c r="G645" i="23"/>
  <c r="I645" i="23" s="1"/>
  <c r="K645" i="23" s="1"/>
  <c r="G433" i="23"/>
  <c r="I433" i="23" s="1"/>
  <c r="K433" i="23" s="1"/>
  <c r="G42" i="23"/>
  <c r="I42" i="23" s="1"/>
  <c r="K42" i="23" s="1"/>
  <c r="G932" i="23"/>
  <c r="G868" i="23"/>
  <c r="G814" i="23"/>
  <c r="I814" i="23" s="1"/>
  <c r="K814" i="23" s="1"/>
  <c r="G771" i="23"/>
  <c r="I771" i="23" s="1"/>
  <c r="G729" i="23"/>
  <c r="I729" i="23" s="1"/>
  <c r="K729" i="23" s="1"/>
  <c r="G686" i="23"/>
  <c r="I686" i="23" s="1"/>
  <c r="K686" i="23" s="1"/>
  <c r="G623" i="23"/>
  <c r="I623" i="23" s="1"/>
  <c r="G401" i="23"/>
  <c r="I401" i="23" s="1"/>
  <c r="K401" i="23" s="1"/>
  <c r="G1044" i="23"/>
  <c r="I1044" i="23" s="1"/>
  <c r="G991" i="23"/>
  <c r="I991" i="23" s="1"/>
  <c r="G927" i="23"/>
  <c r="I927" i="23" s="1"/>
  <c r="G863" i="23"/>
  <c r="I863" i="23" s="1"/>
  <c r="K863" i="23" s="1"/>
  <c r="G760" i="23"/>
  <c r="I760" i="23" s="1"/>
  <c r="G642" i="23"/>
  <c r="I642" i="23" s="1"/>
  <c r="G415" i="23"/>
  <c r="I415" i="23" s="1"/>
  <c r="G25" i="23"/>
  <c r="I25" i="23" s="1"/>
  <c r="K25" i="23" s="1"/>
  <c r="G876" i="23"/>
  <c r="I876" i="23" s="1"/>
  <c r="K876" i="23" s="1"/>
  <c r="G823" i="23"/>
  <c r="G781" i="23"/>
  <c r="G738" i="23"/>
  <c r="I738" i="23" s="1"/>
  <c r="G695" i="23"/>
  <c r="I695" i="23" s="1"/>
  <c r="K695" i="23" s="1"/>
  <c r="G653" i="23"/>
  <c r="I653" i="23" s="1"/>
  <c r="K653" i="23" s="1"/>
  <c r="G427" i="23"/>
  <c r="I427" i="23" s="1"/>
  <c r="K427" i="23" s="1"/>
  <c r="G109" i="23"/>
  <c r="G1008" i="23"/>
  <c r="I1008" i="23" s="1"/>
  <c r="K1008" i="23" s="1"/>
  <c r="G944" i="23"/>
  <c r="I944" i="23" s="1"/>
  <c r="K944" i="23" s="1"/>
  <c r="G880" i="23"/>
  <c r="I880" i="23" s="1"/>
  <c r="G780" i="23"/>
  <c r="G652" i="23"/>
  <c r="I652" i="23" s="1"/>
  <c r="G438" i="23"/>
  <c r="I438" i="23" s="1"/>
  <c r="K438" i="23" s="1"/>
  <c r="G17" i="23"/>
  <c r="I17" i="23" s="1"/>
  <c r="K17" i="23" s="1"/>
  <c r="G610" i="23"/>
  <c r="I610" i="23" s="1"/>
  <c r="K610" i="23" s="1"/>
  <c r="G578" i="23"/>
  <c r="G546" i="23"/>
  <c r="I546" i="23" s="1"/>
  <c r="G512" i="23"/>
  <c r="I512" i="23" s="1"/>
  <c r="G469" i="23"/>
  <c r="I469" i="23" s="1"/>
  <c r="K469" i="23" s="1"/>
  <c r="G426" i="23"/>
  <c r="I426" i="23" s="1"/>
  <c r="K426" i="23" s="1"/>
  <c r="G371" i="23"/>
  <c r="I371" i="23" s="1"/>
  <c r="G260" i="23"/>
  <c r="I260" i="23" s="1"/>
  <c r="G89" i="23"/>
  <c r="I89" i="23" s="1"/>
  <c r="K89" i="23" s="1"/>
  <c r="G617" i="23"/>
  <c r="I617" i="23" s="1"/>
  <c r="G585" i="23"/>
  <c r="G553" i="23"/>
  <c r="I553" i="23" s="1"/>
  <c r="G521" i="23"/>
  <c r="I521" i="23" s="1"/>
  <c r="G478" i="23"/>
  <c r="G436" i="23"/>
  <c r="I436" i="23" s="1"/>
  <c r="K436" i="23" s="1"/>
  <c r="G319" i="23"/>
  <c r="I319" i="23" s="1"/>
  <c r="K319" i="23" s="1"/>
  <c r="G153" i="23"/>
  <c r="I153" i="23" s="1"/>
  <c r="G515" i="23"/>
  <c r="I515" i="23" s="1"/>
  <c r="G391" i="23"/>
  <c r="I391" i="23" s="1"/>
  <c r="K391" i="23" s="1"/>
  <c r="G166" i="23"/>
  <c r="I166" i="23" s="1"/>
  <c r="K166" i="23" s="1"/>
  <c r="G644" i="23"/>
  <c r="I644" i="23" s="1"/>
  <c r="G612" i="23"/>
  <c r="I612" i="23" s="1"/>
  <c r="K612" i="23" s="1"/>
  <c r="G580" i="23"/>
  <c r="I580" i="23" s="1"/>
  <c r="K580" i="23" s="1"/>
  <c r="G548" i="23"/>
  <c r="I548" i="23" s="1"/>
  <c r="K548" i="23" s="1"/>
  <c r="G514" i="23"/>
  <c r="G472" i="23"/>
  <c r="I472" i="23" s="1"/>
  <c r="K472" i="23" s="1"/>
  <c r="G429" i="23"/>
  <c r="I429" i="23" s="1"/>
  <c r="K429" i="23" s="1"/>
  <c r="G383" i="23"/>
  <c r="I383" i="23" s="1"/>
  <c r="K383" i="23" s="1"/>
  <c r="G234" i="23"/>
  <c r="I234" i="23" s="1"/>
  <c r="K234" i="23" s="1"/>
  <c r="G81" i="23"/>
  <c r="I81" i="23" s="1"/>
  <c r="K81" i="23" s="1"/>
  <c r="G455" i="23"/>
  <c r="I455" i="23" s="1"/>
  <c r="K455" i="23" s="1"/>
  <c r="G350" i="23"/>
  <c r="I350" i="23" s="1"/>
  <c r="K350" i="23" s="1"/>
  <c r="G164" i="23"/>
  <c r="I164" i="23" s="1"/>
  <c r="K164" i="23" s="1"/>
  <c r="G385" i="23"/>
  <c r="G353" i="23"/>
  <c r="G298" i="23"/>
  <c r="G235" i="23"/>
  <c r="I235" i="23" s="1"/>
  <c r="G171" i="23"/>
  <c r="I171" i="23" s="1"/>
  <c r="G107" i="23"/>
  <c r="I107" i="23" s="1"/>
  <c r="K107" i="23" s="1"/>
  <c r="G43" i="23"/>
  <c r="I43" i="23" s="1"/>
  <c r="G388" i="23"/>
  <c r="G356" i="23"/>
  <c r="I356" i="23" s="1"/>
  <c r="G302" i="23"/>
  <c r="I302" i="23" s="1"/>
  <c r="K302" i="23" s="1"/>
  <c r="G246" i="23"/>
  <c r="I246" i="23" s="1"/>
  <c r="G182" i="23"/>
  <c r="I182" i="23" s="1"/>
  <c r="G118" i="23"/>
  <c r="I118" i="23" s="1"/>
  <c r="K118" i="23" s="1"/>
  <c r="G54" i="23"/>
  <c r="I54" i="23" s="1"/>
  <c r="K54" i="23" s="1"/>
  <c r="G307" i="23"/>
  <c r="I307" i="23" s="1"/>
  <c r="K307" i="23" s="1"/>
  <c r="G239" i="23"/>
  <c r="G175" i="23"/>
  <c r="I175" i="23" s="1"/>
  <c r="G111" i="23"/>
  <c r="I111" i="23" s="1"/>
  <c r="K111" i="23" s="1"/>
  <c r="G47" i="23"/>
  <c r="I47" i="23" s="1"/>
  <c r="K47" i="23" s="1"/>
  <c r="G338" i="23"/>
  <c r="G270" i="23"/>
  <c r="I270" i="23" s="1"/>
  <c r="K270" i="23" s="1"/>
  <c r="G206" i="23"/>
  <c r="I206" i="23" s="1"/>
  <c r="K206" i="23" s="1"/>
  <c r="G142" i="23"/>
  <c r="I142" i="23" s="1"/>
  <c r="G78" i="23"/>
  <c r="I78" i="23" s="1"/>
  <c r="G12" i="23"/>
  <c r="I12" i="23" s="1"/>
  <c r="K12" i="23" s="1"/>
  <c r="G289" i="23"/>
  <c r="I289" i="23" s="1"/>
  <c r="G225" i="23"/>
  <c r="I225" i="23" s="1"/>
  <c r="K225" i="23" s="1"/>
  <c r="G161" i="23"/>
  <c r="I161" i="23" s="1"/>
  <c r="K161" i="23" s="1"/>
  <c r="G97" i="23"/>
  <c r="I97" i="23" s="1"/>
  <c r="K97" i="23" s="1"/>
  <c r="G33" i="23"/>
  <c r="I33" i="23" s="1"/>
  <c r="K33" i="23" s="1"/>
  <c r="G11" i="23"/>
  <c r="I11" i="23" s="1"/>
  <c r="K11" i="23" s="1"/>
  <c r="K381" i="23"/>
  <c r="K1213" i="23"/>
  <c r="K539" i="23"/>
  <c r="K1251" i="23"/>
  <c r="K1190" i="23"/>
  <c r="K1004" i="23"/>
  <c r="K1162" i="23"/>
  <c r="K1258" i="23"/>
  <c r="K1139" i="23"/>
  <c r="K1203" i="23"/>
  <c r="K1215" i="23"/>
  <c r="K1279" i="23"/>
  <c r="K1071" i="23"/>
  <c r="K1079" i="23"/>
  <c r="K1143" i="23"/>
  <c r="K1335" i="23"/>
  <c r="H1341" i="23"/>
  <c r="J1341" i="23" s="1"/>
  <c r="H1462" i="23"/>
  <c r="J1462" i="23" s="1"/>
  <c r="H1446" i="23"/>
  <c r="J1446" i="23" s="1"/>
  <c r="H1025" i="23"/>
  <c r="H1389" i="23"/>
  <c r="H992" i="23"/>
  <c r="H1053" i="23"/>
  <c r="J1053" i="23" s="1"/>
  <c r="H1085" i="23"/>
  <c r="J1085" i="23" s="1"/>
  <c r="H1149" i="23"/>
  <c r="J1149" i="23" s="1"/>
  <c r="H1213" i="23"/>
  <c r="J1213" i="23" s="1"/>
  <c r="H1245" i="23"/>
  <c r="J1245" i="23" s="1"/>
  <c r="H1277" i="23"/>
  <c r="J1277" i="23" s="1"/>
  <c r="H1309" i="23"/>
  <c r="H710" i="23"/>
  <c r="J710" i="23" s="1"/>
  <c r="H756" i="23"/>
  <c r="H1006" i="23"/>
  <c r="J1006" i="23" s="1"/>
  <c r="H1058" i="23"/>
  <c r="H1090" i="23"/>
  <c r="J1090" i="23" s="1"/>
  <c r="H1122" i="23"/>
  <c r="J1122" i="23" s="1"/>
  <c r="H1154" i="23"/>
  <c r="J1154" i="23" s="1"/>
  <c r="H1186" i="23"/>
  <c r="H1250" i="23"/>
  <c r="H1282" i="23"/>
  <c r="H1314" i="23"/>
  <c r="H1346" i="23"/>
  <c r="H811" i="23"/>
  <c r="H1377" i="23"/>
  <c r="J1377" i="23" s="1"/>
  <c r="H1441" i="23"/>
  <c r="J1441" i="23" s="1"/>
  <c r="H539" i="23"/>
  <c r="J539" i="23" s="1"/>
  <c r="H1059" i="23"/>
  <c r="J1059" i="23" s="1"/>
  <c r="H1123" i="23"/>
  <c r="J1123" i="23" s="1"/>
  <c r="H1187" i="23"/>
  <c r="J1187" i="23" s="1"/>
  <c r="H1251" i="23"/>
  <c r="J1251" i="23" s="1"/>
  <c r="H1315" i="23"/>
  <c r="H1391" i="23"/>
  <c r="H1463" i="23"/>
  <c r="J1463" i="23" s="1"/>
  <c r="H1368" i="23"/>
  <c r="H1433" i="23"/>
  <c r="J1433" i="23" s="1"/>
  <c r="H965" i="23"/>
  <c r="H1406" i="23"/>
  <c r="H422" i="23"/>
  <c r="J422" i="23" s="1"/>
  <c r="H1434" i="23"/>
  <c r="J1434" i="23" s="1"/>
  <c r="H898" i="23"/>
  <c r="J898" i="23" s="1"/>
  <c r="H1071" i="23"/>
  <c r="J1071" i="23" s="1"/>
  <c r="H1135" i="23"/>
  <c r="H1199" i="23"/>
  <c r="H1327" i="23"/>
  <c r="J1327" i="23" s="1"/>
  <c r="H1413" i="23"/>
  <c r="J1413" i="23" s="1"/>
  <c r="H998" i="23"/>
  <c r="J998" i="23" s="1"/>
  <c r="H1190" i="23"/>
  <c r="J1190" i="23" s="1"/>
  <c r="H1386" i="23"/>
  <c r="H1450" i="23"/>
  <c r="J1450" i="23" s="1"/>
  <c r="H354" i="23"/>
  <c r="H1442" i="23"/>
  <c r="J1442" i="23" s="1"/>
  <c r="H852" i="23"/>
  <c r="H715" i="23"/>
  <c r="J715" i="23" s="1"/>
  <c r="H1379" i="23"/>
  <c r="H1443" i="23"/>
  <c r="J1443" i="23" s="1"/>
  <c r="H1079" i="23"/>
  <c r="H1143" i="23"/>
  <c r="J1143" i="23" s="1"/>
  <c r="H1207" i="23"/>
  <c r="H1271" i="23"/>
  <c r="J1271" i="23" s="1"/>
  <c r="H1335" i="23"/>
  <c r="J1335" i="23" s="1"/>
  <c r="H1407" i="23"/>
  <c r="J1407" i="23" s="1"/>
  <c r="H1445" i="23"/>
  <c r="J1445" i="23" s="1"/>
  <c r="H1004" i="23"/>
  <c r="J1004" i="23" s="1"/>
  <c r="H1061" i="23"/>
  <c r="J1061" i="23" s="1"/>
  <c r="H1093" i="23"/>
  <c r="J1093" i="23" s="1"/>
  <c r="H1125" i="23"/>
  <c r="J1125" i="23" s="1"/>
  <c r="H1157" i="23"/>
  <c r="J1157" i="23" s="1"/>
  <c r="H1189" i="23"/>
  <c r="H1221" i="23"/>
  <c r="H1317" i="23"/>
  <c r="H324" i="23"/>
  <c r="J324" i="23" s="1"/>
  <c r="H878" i="23"/>
  <c r="J878" i="23" s="1"/>
  <c r="H1024" i="23"/>
  <c r="H1066" i="23"/>
  <c r="J1066" i="23" s="1"/>
  <c r="H1098" i="23"/>
  <c r="J1098" i="23" s="1"/>
  <c r="H1130" i="23"/>
  <c r="J1130" i="23" s="1"/>
  <c r="H1162" i="23"/>
  <c r="J1162" i="23" s="1"/>
  <c r="H1194" i="23"/>
  <c r="H1258" i="23"/>
  <c r="J1258" i="23" s="1"/>
  <c r="H1290" i="23"/>
  <c r="H916" i="23"/>
  <c r="J916" i="23" s="1"/>
  <c r="H1459" i="23"/>
  <c r="J1459" i="23" s="1"/>
  <c r="H993" i="23"/>
  <c r="H822" i="23"/>
  <c r="H1075" i="23"/>
  <c r="J1075" i="23" s="1"/>
  <c r="H1139" i="23"/>
  <c r="J1139" i="23" s="1"/>
  <c r="H1203" i="23"/>
  <c r="J1203" i="23" s="1"/>
  <c r="H1267" i="23"/>
  <c r="J1267" i="23" s="1"/>
  <c r="H1331" i="23"/>
  <c r="J1331" i="23" s="1"/>
  <c r="H1405" i="23"/>
  <c r="H1469" i="23"/>
  <c r="J1469" i="23" s="1"/>
  <c r="H575" i="23"/>
  <c r="H1387" i="23"/>
  <c r="H1451" i="23"/>
  <c r="H804" i="23"/>
  <c r="J804" i="23" s="1"/>
  <c r="H843" i="23"/>
  <c r="J843" i="23" s="1"/>
  <c r="H1384" i="23"/>
  <c r="H1448" i="23"/>
  <c r="H972" i="23"/>
  <c r="H1087" i="23"/>
  <c r="H1279" i="23"/>
  <c r="J1279" i="23" s="1"/>
  <c r="H1343" i="23"/>
  <c r="J1343" i="23" s="1"/>
  <c r="H1412" i="23"/>
  <c r="J1412" i="23" s="1"/>
  <c r="H901" i="23"/>
  <c r="K575" i="23" l="1"/>
  <c r="K1407" i="23"/>
  <c r="H1395" i="23"/>
  <c r="J1395" i="23" s="1"/>
  <c r="H1470" i="23"/>
  <c r="J1470" i="23" s="1"/>
  <c r="J1058" i="23"/>
  <c r="K317" i="23"/>
  <c r="K1340" i="23"/>
  <c r="K1198" i="23"/>
  <c r="K889" i="23"/>
  <c r="K1317" i="23"/>
  <c r="J1024" i="23"/>
  <c r="H1263" i="23"/>
  <c r="J1263" i="23" s="1"/>
  <c r="K515" i="23"/>
  <c r="K496" i="23"/>
  <c r="K1259" i="23"/>
  <c r="H1011" i="23"/>
  <c r="J1011" i="23" s="1"/>
  <c r="H1259" i="23"/>
  <c r="J1259" i="23" s="1"/>
  <c r="K87" i="23"/>
  <c r="K126" i="23"/>
  <c r="K1027" i="23"/>
  <c r="K968" i="23"/>
  <c r="K999" i="23"/>
  <c r="K942" i="23"/>
  <c r="K1011" i="23"/>
  <c r="H177" i="23"/>
  <c r="J177" i="23" s="1"/>
  <c r="J1079" i="23"/>
  <c r="K1026" i="23"/>
  <c r="K988" i="23"/>
  <c r="K1087" i="23"/>
  <c r="K1398" i="23"/>
  <c r="K993" i="23"/>
  <c r="K1245" i="23"/>
  <c r="H1222" i="23"/>
  <c r="J1222" i="23" s="1"/>
  <c r="K1187" i="23"/>
  <c r="H1226" i="23"/>
  <c r="J1226" i="23" s="1"/>
  <c r="H986" i="23"/>
  <c r="J986" i="23" s="1"/>
  <c r="K787" i="23"/>
  <c r="K509" i="23"/>
  <c r="K1294" i="23"/>
  <c r="K642" i="23"/>
  <c r="K451" i="23"/>
  <c r="K498" i="23"/>
  <c r="K296" i="23"/>
  <c r="K833" i="23"/>
  <c r="K1167" i="23"/>
  <c r="H1417" i="23"/>
  <c r="J1417" i="23" s="1"/>
  <c r="H1349" i="23"/>
  <c r="J1349" i="23" s="1"/>
  <c r="H1398" i="23"/>
  <c r="J1398" i="23" s="1"/>
  <c r="H1364" i="23"/>
  <c r="J1364" i="23" s="1"/>
  <c r="H1455" i="23"/>
  <c r="J1455" i="23" s="1"/>
  <c r="H1449" i="23"/>
  <c r="J1449" i="23" s="1"/>
  <c r="H1218" i="23"/>
  <c r="J1218" i="23" s="1"/>
  <c r="H875" i="23"/>
  <c r="J875" i="23" s="1"/>
  <c r="K891" i="23"/>
  <c r="K681" i="23"/>
  <c r="K1321" i="23"/>
  <c r="K1211" i="23"/>
  <c r="H833" i="23"/>
  <c r="J833" i="23" s="1"/>
  <c r="K981" i="23"/>
  <c r="H1415" i="23"/>
  <c r="J1415" i="23" s="1"/>
  <c r="H1179" i="23"/>
  <c r="J1179" i="23" s="1"/>
  <c r="H940" i="23"/>
  <c r="J940" i="23" s="1"/>
  <c r="K368" i="23"/>
  <c r="K899" i="23"/>
  <c r="K953" i="23"/>
  <c r="K986" i="23"/>
  <c r="K1218" i="23"/>
  <c r="K984" i="23"/>
  <c r="K890" i="23"/>
  <c r="K528" i="23"/>
  <c r="K513" i="23"/>
  <c r="K516" i="23"/>
  <c r="K1202" i="23"/>
  <c r="H1285" i="23"/>
  <c r="J1285" i="23" s="1"/>
  <c r="K927" i="23"/>
  <c r="K237" i="23"/>
  <c r="K640" i="23"/>
  <c r="K854" i="23"/>
  <c r="K971" i="23"/>
  <c r="K1181" i="23"/>
  <c r="H1420" i="23"/>
  <c r="J1420" i="23" s="1"/>
  <c r="H1127" i="23"/>
  <c r="J1127" i="23" s="1"/>
  <c r="K374" i="23"/>
  <c r="K555" i="23"/>
  <c r="K722" i="23"/>
  <c r="K1464" i="23"/>
  <c r="K1303" i="23"/>
  <c r="K1273" i="23"/>
  <c r="K1054" i="23"/>
  <c r="K898" i="23"/>
  <c r="K756" i="23"/>
  <c r="K1309" i="23"/>
  <c r="K753" i="23"/>
  <c r="K254" i="23"/>
  <c r="K812" i="23"/>
  <c r="K806" i="23"/>
  <c r="K1322" i="23"/>
  <c r="K1374" i="23"/>
  <c r="H1471" i="23"/>
  <c r="J1471" i="23" s="1"/>
  <c r="H1253" i="23"/>
  <c r="J1253" i="23" s="1"/>
  <c r="K117" i="23"/>
  <c r="K576" i="23"/>
  <c r="K1394" i="23"/>
  <c r="K676" i="23"/>
  <c r="K1390" i="23"/>
  <c r="K544" i="23"/>
  <c r="K1219" i="23"/>
  <c r="H1323" i="23"/>
  <c r="J1323" i="23" s="1"/>
  <c r="H1403" i="23"/>
  <c r="J1403" i="23" s="1"/>
  <c r="K10" i="23"/>
  <c r="K551" i="23"/>
  <c r="K35" i="23"/>
  <c r="K1275" i="23"/>
  <c r="H1322" i="23"/>
  <c r="J1322" i="23" s="1"/>
  <c r="J1309" i="23"/>
  <c r="K1088" i="23"/>
  <c r="K829" i="23"/>
  <c r="K873" i="23"/>
  <c r="K247" i="23"/>
  <c r="K292" i="23"/>
  <c r="K229" i="23"/>
  <c r="K1339" i="23"/>
  <c r="K1254" i="23"/>
  <c r="K1269" i="23"/>
  <c r="K1385" i="23"/>
  <c r="K1323" i="23"/>
  <c r="H1215" i="23"/>
  <c r="J1215" i="23" s="1"/>
  <c r="J756" i="23"/>
  <c r="J575" i="23"/>
  <c r="J993" i="23"/>
  <c r="H753" i="23"/>
  <c r="J753" i="23" s="1"/>
  <c r="H1255" i="23"/>
  <c r="J1255" i="23" s="1"/>
  <c r="H1394" i="23"/>
  <c r="J1394" i="23" s="1"/>
  <c r="K444" i="23"/>
  <c r="K1192" i="23"/>
  <c r="K519" i="23"/>
  <c r="K183" i="23"/>
  <c r="K1304" i="23"/>
  <c r="K240" i="23"/>
  <c r="K1368" i="23"/>
  <c r="K1399" i="23"/>
  <c r="K1355" i="23"/>
  <c r="K1282" i="23"/>
  <c r="H1151" i="23"/>
  <c r="J1151" i="23" s="1"/>
  <c r="H1354" i="23"/>
  <c r="J1354" i="23" s="1"/>
  <c r="H1181" i="23"/>
  <c r="J1181" i="23" s="1"/>
  <c r="K263" i="23"/>
  <c r="K926" i="23"/>
  <c r="K499" i="23"/>
  <c r="K1285" i="23"/>
  <c r="K1364" i="23"/>
  <c r="K1191" i="23"/>
  <c r="H1454" i="23"/>
  <c r="J1454" i="23" s="1"/>
  <c r="H1063" i="23"/>
  <c r="J1063" i="23" s="1"/>
  <c r="H217" i="23"/>
  <c r="J217" i="23" s="1"/>
  <c r="H996" i="23"/>
  <c r="J996" i="23" s="1"/>
  <c r="H464" i="23"/>
  <c r="J464" i="23" s="1"/>
  <c r="K885" i="23"/>
  <c r="H839" i="23"/>
  <c r="J839" i="23" s="1"/>
  <c r="H1419" i="23"/>
  <c r="J1419" i="23" s="1"/>
  <c r="J1405" i="23"/>
  <c r="J901" i="23"/>
  <c r="H971" i="23"/>
  <c r="J971" i="23" s="1"/>
  <c r="H795" i="23"/>
  <c r="J795" i="23" s="1"/>
  <c r="H1241" i="23"/>
  <c r="J1241" i="23" s="1"/>
  <c r="H1357" i="23"/>
  <c r="J1357" i="23" s="1"/>
  <c r="H326" i="23"/>
  <c r="J326" i="23" s="1"/>
  <c r="H1070" i="23"/>
  <c r="J1070" i="23" s="1"/>
  <c r="H1121" i="23"/>
  <c r="J1121" i="23" s="1"/>
  <c r="J1387" i="23"/>
  <c r="H1401" i="23"/>
  <c r="J1401" i="23" s="1"/>
  <c r="J1448" i="23"/>
  <c r="K778" i="23"/>
  <c r="H1274" i="23"/>
  <c r="J1274" i="23" s="1"/>
  <c r="H1295" i="23"/>
  <c r="J1295" i="23" s="1"/>
  <c r="J1207" i="23"/>
  <c r="J1389" i="23"/>
  <c r="H1281" i="23"/>
  <c r="J1281" i="23" s="1"/>
  <c r="H1299" i="23"/>
  <c r="J1299" i="23" s="1"/>
  <c r="J1379" i="23"/>
  <c r="K593" i="23"/>
  <c r="H1452" i="23"/>
  <c r="J1452" i="23" s="1"/>
  <c r="K955" i="23"/>
  <c r="K182" i="23"/>
  <c r="H1243" i="23"/>
  <c r="J1243" i="23" s="1"/>
  <c r="H694" i="23"/>
  <c r="J694" i="23" s="1"/>
  <c r="H600" i="23"/>
  <c r="J600" i="23" s="1"/>
  <c r="H1308" i="23"/>
  <c r="J1308" i="23" s="1"/>
  <c r="H439" i="23"/>
  <c r="J439" i="23" s="1"/>
  <c r="H1467" i="23"/>
  <c r="J1467" i="23" s="1"/>
  <c r="H872" i="23"/>
  <c r="J872" i="23" s="1"/>
  <c r="H1065" i="23"/>
  <c r="J1065" i="23" s="1"/>
  <c r="J1315" i="23"/>
  <c r="K693" i="23"/>
  <c r="H134" i="23"/>
  <c r="J134" i="23" s="1"/>
  <c r="H1150" i="23"/>
  <c r="J1150" i="23" s="1"/>
  <c r="H1141" i="23"/>
  <c r="J1141" i="23" s="1"/>
  <c r="H264" i="23"/>
  <c r="J264" i="23" s="1"/>
  <c r="H1042" i="23"/>
  <c r="J1042" i="23" s="1"/>
  <c r="H1347" i="23"/>
  <c r="J1347" i="23" s="1"/>
  <c r="H737" i="23"/>
  <c r="J737" i="23" s="1"/>
  <c r="H421" i="23"/>
  <c r="J421" i="23" s="1"/>
  <c r="H1275" i="23"/>
  <c r="J1275" i="23" s="1"/>
  <c r="H1306" i="23"/>
  <c r="J1306" i="23" s="1"/>
  <c r="H1202" i="23"/>
  <c r="J1202" i="23" s="1"/>
  <c r="H1400" i="23"/>
  <c r="J1400" i="23" s="1"/>
  <c r="H1117" i="23"/>
  <c r="J1117" i="23" s="1"/>
  <c r="J1025" i="23"/>
  <c r="H977" i="23"/>
  <c r="J977" i="23" s="1"/>
  <c r="H1055" i="23"/>
  <c r="J1055" i="23" s="1"/>
  <c r="H1370" i="23"/>
  <c r="J1370" i="23" s="1"/>
  <c r="H607" i="23"/>
  <c r="J607" i="23" s="1"/>
  <c r="H1447" i="23"/>
  <c r="J1447" i="23" s="1"/>
  <c r="H725" i="23"/>
  <c r="J725" i="23" s="1"/>
  <c r="H1017" i="23"/>
  <c r="J1017" i="23" s="1"/>
  <c r="H591" i="23"/>
  <c r="J591" i="23" s="1"/>
  <c r="H1300" i="23"/>
  <c r="J1300" i="23" s="1"/>
  <c r="H412" i="23"/>
  <c r="J412" i="23" s="1"/>
  <c r="H1351" i="23"/>
  <c r="J1351" i="23" s="1"/>
  <c r="J1221" i="23"/>
  <c r="H1303" i="23"/>
  <c r="J1303" i="23" s="1"/>
  <c r="H1182" i="23"/>
  <c r="J1182" i="23" s="1"/>
  <c r="K826" i="23"/>
  <c r="H1158" i="23"/>
  <c r="J1158" i="23" s="1"/>
  <c r="H997" i="23"/>
  <c r="J997" i="23" s="1"/>
  <c r="H1460" i="23"/>
  <c r="J1460" i="23" s="1"/>
  <c r="H1311" i="23"/>
  <c r="J1311" i="23" s="1"/>
  <c r="H827" i="23"/>
  <c r="J827" i="23" s="1"/>
  <c r="H63" i="23"/>
  <c r="J63" i="23" s="1"/>
  <c r="H1345" i="23"/>
  <c r="J1345" i="23" s="1"/>
  <c r="K744" i="23"/>
  <c r="H1436" i="23"/>
  <c r="J1436" i="23" s="1"/>
  <c r="H1178" i="23"/>
  <c r="J1178" i="23" s="1"/>
  <c r="H1041" i="23"/>
  <c r="J1041" i="23" s="1"/>
  <c r="H1030" i="23"/>
  <c r="J1030" i="23" s="1"/>
  <c r="H223" i="23"/>
  <c r="J223" i="23" s="1"/>
  <c r="H1404" i="23"/>
  <c r="J1404" i="23" s="1"/>
  <c r="H952" i="23"/>
  <c r="J952" i="23" s="1"/>
  <c r="K882" i="23"/>
  <c r="H499" i="23"/>
  <c r="J499" i="23" s="1"/>
  <c r="H1457" i="23"/>
  <c r="J1457" i="23" s="1"/>
  <c r="H1108" i="23"/>
  <c r="J1108" i="23" s="1"/>
  <c r="H352" i="23"/>
  <c r="J352" i="23" s="1"/>
  <c r="H81" i="23"/>
  <c r="J81" i="23" s="1"/>
  <c r="K730" i="23"/>
  <c r="H1091" i="23"/>
  <c r="J1091" i="23" s="1"/>
  <c r="H1148" i="23"/>
  <c r="J1148" i="23" s="1"/>
  <c r="H613" i="23"/>
  <c r="J613" i="23" s="1"/>
  <c r="H805" i="23"/>
  <c r="J805" i="23" s="1"/>
  <c r="K591" i="23"/>
  <c r="H917" i="23"/>
  <c r="J917" i="23" s="1"/>
  <c r="K231" i="23"/>
  <c r="H1225" i="23"/>
  <c r="J1225" i="23" s="1"/>
  <c r="H341" i="23"/>
  <c r="J341" i="23" s="1"/>
  <c r="H1155" i="23"/>
  <c r="J1155" i="23" s="1"/>
  <c r="H1392" i="23"/>
  <c r="J1392" i="23" s="1"/>
  <c r="H1304" i="23"/>
  <c r="J1304" i="23" s="1"/>
  <c r="H1249" i="23"/>
  <c r="J1249" i="23" s="1"/>
  <c r="H1209" i="23"/>
  <c r="J1209" i="23" s="1"/>
  <c r="H948" i="23"/>
  <c r="J948" i="23" s="1"/>
  <c r="H1082" i="23"/>
  <c r="J1082" i="23" s="1"/>
  <c r="H682" i="23"/>
  <c r="J682" i="23" s="1"/>
  <c r="H713" i="23"/>
  <c r="J713" i="23" s="1"/>
  <c r="H1007" i="23"/>
  <c r="J1007" i="23" s="1"/>
  <c r="H1373" i="23"/>
  <c r="J1373" i="23" s="1"/>
  <c r="H1376" i="23"/>
  <c r="J1376" i="23" s="1"/>
  <c r="H1107" i="23"/>
  <c r="J1107" i="23" s="1"/>
  <c r="H1050" i="23"/>
  <c r="J1050" i="23" s="1"/>
  <c r="H1293" i="23"/>
  <c r="J1293" i="23" s="1"/>
  <c r="H723" i="23"/>
  <c r="J723" i="23" s="1"/>
  <c r="H473" i="23"/>
  <c r="J473" i="23" s="1"/>
  <c r="H146" i="23"/>
  <c r="J146" i="23" s="1"/>
  <c r="H1144" i="23"/>
  <c r="J1144" i="23" s="1"/>
  <c r="H1185" i="23"/>
  <c r="J1185" i="23" s="1"/>
  <c r="J965" i="23"/>
  <c r="J1346" i="23"/>
  <c r="H956" i="23"/>
  <c r="J956" i="23" s="1"/>
  <c r="H667" i="23"/>
  <c r="J667" i="23" s="1"/>
  <c r="H945" i="23"/>
  <c r="J945" i="23" s="1"/>
  <c r="K1373" i="23"/>
  <c r="H854" i="23"/>
  <c r="J854" i="23" s="1"/>
  <c r="H790" i="23"/>
  <c r="J790" i="23" s="1"/>
  <c r="H1427" i="23"/>
  <c r="J1427" i="23" s="1"/>
  <c r="H1103" i="23"/>
  <c r="J1103" i="23" s="1"/>
  <c r="H1074" i="23"/>
  <c r="J1074" i="23" s="1"/>
  <c r="H1052" i="23"/>
  <c r="J1052" i="23" s="1"/>
  <c r="H775" i="23"/>
  <c r="J775" i="23" s="1"/>
  <c r="H608" i="23"/>
  <c r="J608" i="23" s="1"/>
  <c r="H1440" i="23"/>
  <c r="J1440" i="23" s="1"/>
  <c r="H963" i="23"/>
  <c r="J963" i="23" s="1"/>
  <c r="H245" i="23"/>
  <c r="J245" i="23" s="1"/>
  <c r="J1250" i="23"/>
  <c r="H1372" i="23"/>
  <c r="J1372" i="23" s="1"/>
  <c r="H99" i="23"/>
  <c r="J99" i="23" s="1"/>
  <c r="H671" i="23"/>
  <c r="J671" i="23" s="1"/>
  <c r="H1298" i="23"/>
  <c r="J1298" i="23" s="1"/>
  <c r="H1261" i="23"/>
  <c r="J1261" i="23" s="1"/>
  <c r="H999" i="23"/>
  <c r="J999" i="23" s="1"/>
  <c r="H4" i="23"/>
  <c r="J4" i="23" s="1"/>
  <c r="H919" i="23"/>
  <c r="J919" i="23" s="1"/>
  <c r="H263" i="23"/>
  <c r="J263" i="23" s="1"/>
  <c r="H595" i="23"/>
  <c r="J595" i="23" s="1"/>
  <c r="H74" i="23"/>
  <c r="J74" i="23" s="1"/>
  <c r="H1201" i="23"/>
  <c r="J1201" i="23" s="1"/>
  <c r="K1359" i="23"/>
  <c r="K574" i="23"/>
  <c r="H1146" i="23"/>
  <c r="J1146" i="23" s="1"/>
  <c r="H1037" i="23"/>
  <c r="J1037" i="23" s="1"/>
  <c r="H603" i="23"/>
  <c r="J603" i="23" s="1"/>
  <c r="H387" i="23"/>
  <c r="J387" i="23" s="1"/>
  <c r="H923" i="23"/>
  <c r="J923" i="23" s="1"/>
  <c r="H1191" i="23"/>
  <c r="J1191" i="23" s="1"/>
  <c r="H1114" i="23"/>
  <c r="J1114" i="23" s="1"/>
  <c r="H1262" i="23"/>
  <c r="J1262" i="23" s="1"/>
  <c r="H765" i="23"/>
  <c r="J765" i="23" s="1"/>
  <c r="H588" i="23"/>
  <c r="J588" i="23" s="1"/>
  <c r="H1411" i="23"/>
  <c r="J1411" i="23" s="1"/>
  <c r="H957" i="23"/>
  <c r="J957" i="23" s="1"/>
  <c r="H1388" i="23"/>
  <c r="J1388" i="23" s="1"/>
  <c r="H1019" i="23"/>
  <c r="J1019" i="23" s="1"/>
  <c r="H1183" i="23"/>
  <c r="J1183" i="23" s="1"/>
  <c r="H1235" i="23"/>
  <c r="J1235" i="23" s="1"/>
  <c r="J1384" i="23"/>
  <c r="H1076" i="23"/>
  <c r="J1076" i="23" s="1"/>
  <c r="H573" i="23"/>
  <c r="J573" i="23" s="1"/>
  <c r="H770" i="23"/>
  <c r="J770" i="23" s="1"/>
  <c r="H673" i="23"/>
  <c r="J673" i="23" s="1"/>
  <c r="H1458" i="23"/>
  <c r="J1458" i="23" s="1"/>
  <c r="H867" i="23"/>
  <c r="J867" i="23" s="1"/>
  <c r="H381" i="23"/>
  <c r="J381" i="23" s="1"/>
  <c r="H896" i="23"/>
  <c r="J896" i="23" s="1"/>
  <c r="H1217" i="23"/>
  <c r="J1217" i="23" s="1"/>
  <c r="J811" i="23"/>
  <c r="H1118" i="23"/>
  <c r="J1118" i="23" s="1"/>
  <c r="H1077" i="23"/>
  <c r="J1077" i="23" s="1"/>
  <c r="H1360" i="23"/>
  <c r="J1360" i="23" s="1"/>
  <c r="H227" i="23"/>
  <c r="J227" i="23" s="1"/>
  <c r="K800" i="23"/>
  <c r="K779" i="23"/>
  <c r="K1310" i="23"/>
  <c r="K907" i="23"/>
  <c r="H809" i="23"/>
  <c r="J809" i="23" s="1"/>
  <c r="H690" i="23"/>
  <c r="J690" i="23" s="1"/>
  <c r="H1003" i="23"/>
  <c r="J1003" i="23" s="1"/>
  <c r="H1464" i="23"/>
  <c r="J1464" i="23" s="1"/>
  <c r="H508" i="23"/>
  <c r="J508" i="23" s="1"/>
  <c r="H534" i="23"/>
  <c r="J534" i="23" s="1"/>
  <c r="H1337" i="23"/>
  <c r="J1337" i="23" s="1"/>
  <c r="H140" i="23"/>
  <c r="J140" i="23" s="1"/>
  <c r="H320" i="23"/>
  <c r="J320" i="23" s="1"/>
  <c r="H1247" i="23"/>
  <c r="J1247" i="23" s="1"/>
  <c r="H1367" i="23"/>
  <c r="J1367" i="23" s="1"/>
  <c r="H1381" i="23"/>
  <c r="J1381" i="23" s="1"/>
  <c r="H1170" i="23"/>
  <c r="J1170" i="23" s="1"/>
  <c r="H1133" i="23"/>
  <c r="J1133" i="23" s="1"/>
  <c r="H657" i="23"/>
  <c r="J657" i="23" s="1"/>
  <c r="H386" i="23"/>
  <c r="J386" i="23" s="1"/>
  <c r="H574" i="23"/>
  <c r="J574" i="23" s="1"/>
  <c r="H466" i="23"/>
  <c r="J466" i="23" s="1"/>
  <c r="H233" i="23"/>
  <c r="J233" i="23" s="1"/>
  <c r="H1112" i="23"/>
  <c r="J1112" i="23" s="1"/>
  <c r="J1087" i="23"/>
  <c r="H799" i="23"/>
  <c r="J799" i="23" s="1"/>
  <c r="H183" i="23"/>
  <c r="J183" i="23" s="1"/>
  <c r="H1195" i="23"/>
  <c r="J1195" i="23" s="1"/>
  <c r="H1094" i="23"/>
  <c r="J1094" i="23" s="1"/>
  <c r="H1366" i="23"/>
  <c r="J1366" i="23" s="1"/>
  <c r="H1461" i="23"/>
  <c r="J1461" i="23" s="1"/>
  <c r="H758" i="23"/>
  <c r="J758" i="23" s="1"/>
  <c r="H1113" i="23"/>
  <c r="J1113" i="23" s="1"/>
  <c r="H302" i="23"/>
  <c r="J302" i="23" s="1"/>
  <c r="H149" i="23"/>
  <c r="J149" i="23" s="1"/>
  <c r="H1431" i="23"/>
  <c r="J1431" i="23" s="1"/>
  <c r="H850" i="23"/>
  <c r="J850" i="23" s="1"/>
  <c r="H555" i="23"/>
  <c r="J555" i="23" s="1"/>
  <c r="K913" i="23"/>
  <c r="H258" i="23"/>
  <c r="J258" i="23" s="1"/>
  <c r="H656" i="23"/>
  <c r="J656" i="23" s="1"/>
  <c r="H1338" i="23"/>
  <c r="J1338" i="23" s="1"/>
  <c r="H979" i="23"/>
  <c r="J979" i="23" s="1"/>
  <c r="H942" i="23"/>
  <c r="J942" i="23" s="1"/>
  <c r="H860" i="23"/>
  <c r="J860" i="23" s="1"/>
  <c r="H1040" i="23"/>
  <c r="J1040" i="23" s="1"/>
  <c r="H169" i="23"/>
  <c r="J169" i="23" s="1"/>
  <c r="H394" i="23"/>
  <c r="J394" i="23" s="1"/>
  <c r="H373" i="23"/>
  <c r="J373" i="23" s="1"/>
  <c r="J852" i="23"/>
  <c r="H1067" i="23"/>
  <c r="J1067" i="23" s="1"/>
  <c r="H1018" i="23"/>
  <c r="J1018" i="23" s="1"/>
  <c r="H951" i="23"/>
  <c r="J951" i="23" s="1"/>
  <c r="J1368" i="23"/>
  <c r="J1282" i="23"/>
  <c r="H1453" i="23"/>
  <c r="J1453" i="23" s="1"/>
  <c r="H1397" i="23"/>
  <c r="J1397" i="23" s="1"/>
  <c r="H1246" i="23"/>
  <c r="J1246" i="23" s="1"/>
  <c r="H1081" i="23"/>
  <c r="J1081" i="23" s="1"/>
  <c r="H1439" i="23"/>
  <c r="J1439" i="23" s="1"/>
  <c r="H1418" i="23"/>
  <c r="J1418" i="23" s="1"/>
  <c r="H579" i="23"/>
  <c r="J579" i="23" s="1"/>
  <c r="H511" i="23"/>
  <c r="J511" i="23" s="1"/>
  <c r="H646" i="23"/>
  <c r="J646" i="23" s="1"/>
  <c r="K230" i="23"/>
  <c r="K228" i="23"/>
  <c r="H889" i="23"/>
  <c r="J889" i="23" s="1"/>
  <c r="H1038" i="23"/>
  <c r="J1038" i="23" s="1"/>
  <c r="H755" i="23"/>
  <c r="J755" i="23" s="1"/>
  <c r="H453" i="23"/>
  <c r="J453" i="23" s="1"/>
  <c r="H157" i="23"/>
  <c r="J157" i="23" s="1"/>
  <c r="H1126" i="23"/>
  <c r="J1126" i="23" s="1"/>
  <c r="H1115" i="23"/>
  <c r="J1115" i="23" s="1"/>
  <c r="H985" i="23"/>
  <c r="J985" i="23" s="1"/>
  <c r="H204" i="23"/>
  <c r="J204" i="23" s="1"/>
  <c r="H596" i="23"/>
  <c r="J596" i="23" s="1"/>
  <c r="H1171" i="23"/>
  <c r="J1171" i="23" s="1"/>
  <c r="H293" i="23"/>
  <c r="J293" i="23" s="1"/>
  <c r="H704" i="23"/>
  <c r="J704" i="23" s="1"/>
  <c r="H1054" i="23"/>
  <c r="J1054" i="23" s="1"/>
  <c r="H705" i="23"/>
  <c r="J705" i="23" s="1"/>
  <c r="H1301" i="23"/>
  <c r="J1301" i="23" s="1"/>
  <c r="H1137" i="23"/>
  <c r="J1137" i="23" s="1"/>
  <c r="K78" i="23"/>
  <c r="K1220" i="23"/>
  <c r="H1340" i="23"/>
  <c r="J1340" i="23" s="1"/>
  <c r="H902" i="23"/>
  <c r="J902" i="23" s="1"/>
  <c r="H774" i="23"/>
  <c r="J774" i="23" s="1"/>
  <c r="H1240" i="23"/>
  <c r="J1240" i="23" s="1"/>
  <c r="H1430" i="23"/>
  <c r="J1430" i="23" s="1"/>
  <c r="H1234" i="23"/>
  <c r="J1234" i="23" s="1"/>
  <c r="H375" i="23"/>
  <c r="J375" i="23" s="1"/>
  <c r="H165" i="23"/>
  <c r="J165" i="23" s="1"/>
  <c r="H218" i="23"/>
  <c r="J218" i="23" s="1"/>
  <c r="H953" i="23"/>
  <c r="J953" i="23" s="1"/>
  <c r="H1353" i="23"/>
  <c r="J1353" i="23" s="1"/>
  <c r="H779" i="23"/>
  <c r="J779" i="23" s="1"/>
  <c r="H740" i="23"/>
  <c r="J740" i="23" s="1"/>
  <c r="H549" i="23"/>
  <c r="J549" i="23" s="1"/>
  <c r="H90" i="23"/>
  <c r="J90" i="23" s="1"/>
  <c r="J1317" i="23"/>
  <c r="H840" i="23"/>
  <c r="J840" i="23" s="1"/>
  <c r="H505" i="23"/>
  <c r="J505" i="23" s="1"/>
  <c r="H1062" i="23"/>
  <c r="J1062" i="23" s="1"/>
  <c r="H1153" i="23"/>
  <c r="J1153" i="23" s="1"/>
  <c r="H524" i="23"/>
  <c r="J524" i="23" s="1"/>
  <c r="H1013" i="23"/>
  <c r="J1013" i="23" s="1"/>
  <c r="H1355" i="23"/>
  <c r="J1355" i="23" s="1"/>
  <c r="K142" i="23"/>
  <c r="K260" i="23"/>
  <c r="K415" i="23"/>
  <c r="K623" i="23"/>
  <c r="K131" i="23"/>
  <c r="K485" i="23"/>
  <c r="H632" i="23"/>
  <c r="J632" i="23" s="1"/>
  <c r="H1273" i="23"/>
  <c r="J1273" i="23" s="1"/>
  <c r="H882" i="23"/>
  <c r="J882" i="23" s="1"/>
  <c r="H215" i="23"/>
  <c r="J215" i="23" s="1"/>
  <c r="H1084" i="23"/>
  <c r="J1084" i="23" s="1"/>
  <c r="H767" i="23"/>
  <c r="J767" i="23" s="1"/>
  <c r="H871" i="23"/>
  <c r="J871" i="23" s="1"/>
  <c r="H240" i="23"/>
  <c r="J240" i="23" s="1"/>
  <c r="H1198" i="23"/>
  <c r="J1198" i="23" s="1"/>
  <c r="H1161" i="23"/>
  <c r="J1161" i="23" s="1"/>
  <c r="H1048" i="23"/>
  <c r="J1048" i="23" s="1"/>
  <c r="H1424" i="23"/>
  <c r="J1424" i="23" s="1"/>
  <c r="K1015" i="23"/>
  <c r="H1119" i="23"/>
  <c r="J1119" i="23" s="1"/>
  <c r="H1010" i="23"/>
  <c r="J1010" i="23" s="1"/>
  <c r="H1197" i="23"/>
  <c r="J1197" i="23" s="1"/>
  <c r="H918" i="23"/>
  <c r="J918" i="23" s="1"/>
  <c r="H641" i="23"/>
  <c r="J641" i="23" s="1"/>
  <c r="H1414" i="23"/>
  <c r="J1414" i="23" s="1"/>
  <c r="H1134" i="23"/>
  <c r="J1134" i="23" s="1"/>
  <c r="H1097" i="23"/>
  <c r="J1097" i="23" s="1"/>
  <c r="J972" i="23"/>
  <c r="H800" i="23"/>
  <c r="J800" i="23" s="1"/>
  <c r="H722" i="23"/>
  <c r="J722" i="23" s="1"/>
  <c r="H1396" i="23"/>
  <c r="J1396" i="23" s="1"/>
  <c r="H864" i="23"/>
  <c r="J864" i="23" s="1"/>
  <c r="H145" i="23"/>
  <c r="J145" i="23" s="1"/>
  <c r="H1089" i="23"/>
  <c r="J1089" i="23" s="1"/>
  <c r="J1199" i="23"/>
  <c r="H1422" i="23"/>
  <c r="J1422" i="23" s="1"/>
  <c r="H1310" i="23"/>
  <c r="J1310" i="23" s="1"/>
  <c r="H121" i="23"/>
  <c r="J121" i="23" s="1"/>
  <c r="H396" i="23"/>
  <c r="J396" i="23" s="1"/>
  <c r="H1045" i="23"/>
  <c r="J1045" i="23" s="1"/>
  <c r="H492" i="23"/>
  <c r="J492" i="23" s="1"/>
  <c r="H442" i="23"/>
  <c r="J442" i="23" s="1"/>
  <c r="K925" i="23"/>
  <c r="H1402" i="23"/>
  <c r="J1402" i="23" s="1"/>
  <c r="H1399" i="23"/>
  <c r="J1399" i="23" s="1"/>
  <c r="H417" i="23"/>
  <c r="J417" i="23" s="1"/>
  <c r="H506" i="23"/>
  <c r="J506" i="23" s="1"/>
  <c r="H151" i="23"/>
  <c r="J151" i="23" s="1"/>
  <c r="H41" i="23"/>
  <c r="J41" i="23" s="1"/>
  <c r="H1223" i="23"/>
  <c r="J1223" i="23" s="1"/>
  <c r="H714" i="23"/>
  <c r="J714" i="23" s="1"/>
  <c r="H732" i="23"/>
  <c r="J732" i="23" s="1"/>
  <c r="H1200" i="23"/>
  <c r="J1200" i="23" s="1"/>
  <c r="H374" i="23"/>
  <c r="J374" i="23" s="1"/>
  <c r="H1425" i="23"/>
  <c r="J1425" i="23" s="1"/>
  <c r="H91" i="23"/>
  <c r="J91" i="23" s="1"/>
  <c r="H1156" i="23"/>
  <c r="J1156" i="23" s="1"/>
  <c r="H674" i="23"/>
  <c r="J674" i="23" s="1"/>
  <c r="K683" i="23"/>
  <c r="H968" i="23"/>
  <c r="J968" i="23" s="1"/>
  <c r="H205" i="23"/>
  <c r="J205" i="23" s="1"/>
  <c r="H487" i="23"/>
  <c r="J487" i="23" s="1"/>
  <c r="K754" i="23"/>
  <c r="K269" i="23"/>
  <c r="K281" i="23"/>
  <c r="K495" i="23"/>
  <c r="K827" i="23"/>
  <c r="K1311" i="23"/>
  <c r="K1255" i="23"/>
  <c r="K1145" i="23"/>
  <c r="H807" i="23"/>
  <c r="J807" i="23" s="1"/>
  <c r="H541" i="23"/>
  <c r="J541" i="23" s="1"/>
  <c r="H285" i="23"/>
  <c r="J285" i="23" s="1"/>
  <c r="H1328" i="23"/>
  <c r="J1328" i="23" s="1"/>
  <c r="H1228" i="23"/>
  <c r="J1228" i="23" s="1"/>
  <c r="H1256" i="23"/>
  <c r="J1256" i="23" s="1"/>
  <c r="H618" i="23"/>
  <c r="J618" i="23" s="1"/>
  <c r="H126" i="23"/>
  <c r="J126" i="23" s="1"/>
  <c r="H454" i="23"/>
  <c r="J454" i="23" s="1"/>
  <c r="H666" i="23"/>
  <c r="J666" i="23" s="1"/>
  <c r="K561" i="23"/>
  <c r="K1003" i="23"/>
  <c r="K994" i="23"/>
  <c r="K1297" i="23"/>
  <c r="K448" i="23"/>
  <c r="H287" i="23"/>
  <c r="J287" i="23" s="1"/>
  <c r="H92" i="23"/>
  <c r="J92" i="23" s="1"/>
  <c r="H745" i="23"/>
  <c r="J745" i="23" s="1"/>
  <c r="H826" i="23"/>
  <c r="J826" i="23" s="1"/>
  <c r="H398" i="23"/>
  <c r="J398" i="23" s="1"/>
  <c r="H55" i="23"/>
  <c r="J55" i="23" s="1"/>
  <c r="K1378" i="23"/>
  <c r="H808" i="23"/>
  <c r="J808" i="23" s="1"/>
  <c r="H655" i="23"/>
  <c r="J655" i="23" s="1"/>
  <c r="H1220" i="23"/>
  <c r="J1220" i="23" s="1"/>
  <c r="H56" i="23"/>
  <c r="J56" i="23" s="1"/>
  <c r="H543" i="23"/>
  <c r="J543" i="23" s="1"/>
  <c r="H928" i="23"/>
  <c r="J928" i="23" s="1"/>
  <c r="H924" i="23"/>
  <c r="J924" i="23" s="1"/>
  <c r="H116" i="23"/>
  <c r="J116" i="23" s="1"/>
  <c r="H922" i="23"/>
  <c r="J922" i="23" s="1"/>
  <c r="K1044" i="23"/>
  <c r="H1145" i="23"/>
  <c r="J1145" i="23" s="1"/>
  <c r="H389" i="23"/>
  <c r="J389" i="23" s="1"/>
  <c r="H242" i="23"/>
  <c r="J242" i="23" s="1"/>
  <c r="H981" i="23"/>
  <c r="J981" i="23" s="1"/>
  <c r="H1029" i="23"/>
  <c r="J1029" i="23" s="1"/>
  <c r="H606" i="23"/>
  <c r="J606" i="23" s="1"/>
  <c r="H37" i="23"/>
  <c r="J37" i="23" s="1"/>
  <c r="H136" i="23"/>
  <c r="J136" i="23" s="1"/>
  <c r="H1095" i="23"/>
  <c r="J1095" i="23" s="1"/>
  <c r="H1257" i="23"/>
  <c r="J1257" i="23" s="1"/>
  <c r="H1465" i="23"/>
  <c r="J1465" i="23" s="1"/>
  <c r="H1330" i="23"/>
  <c r="J1330" i="23" s="1"/>
  <c r="H384" i="23"/>
  <c r="J384" i="23" s="1"/>
  <c r="H988" i="23"/>
  <c r="J988" i="23" s="1"/>
  <c r="H1083" i="23"/>
  <c r="J1083" i="23" s="1"/>
  <c r="H842" i="23"/>
  <c r="J842" i="23" s="1"/>
  <c r="H456" i="23"/>
  <c r="J456" i="23" s="1"/>
  <c r="J354" i="23"/>
  <c r="H1307" i="23"/>
  <c r="J1307" i="23" s="1"/>
  <c r="H684" i="23"/>
  <c r="J684" i="23" s="1"/>
  <c r="H60" i="23"/>
  <c r="J60" i="23" s="1"/>
  <c r="H858" i="23"/>
  <c r="J858" i="23" s="1"/>
  <c r="H622" i="23"/>
  <c r="J622" i="23" s="1"/>
  <c r="H450" i="23"/>
  <c r="J450" i="23" s="1"/>
  <c r="K108" i="23"/>
  <c r="K52" i="23"/>
  <c r="K446" i="23"/>
  <c r="K1214" i="23"/>
  <c r="H959" i="23"/>
  <c r="J959" i="23" s="1"/>
  <c r="H1212" i="23"/>
  <c r="J1212" i="23" s="1"/>
  <c r="H1016" i="23"/>
  <c r="J1016" i="23" s="1"/>
  <c r="K130" i="23"/>
  <c r="K958" i="23"/>
  <c r="K347" i="23"/>
  <c r="H905" i="23"/>
  <c r="J905" i="23" s="1"/>
  <c r="H1180" i="23"/>
  <c r="J1180" i="23" s="1"/>
  <c r="H38" i="23"/>
  <c r="J38" i="23" s="1"/>
  <c r="H70" i="23"/>
  <c r="J70" i="23" s="1"/>
  <c r="H689" i="23"/>
  <c r="J689" i="23" s="1"/>
  <c r="K772" i="23"/>
  <c r="K336" i="23"/>
  <c r="K84" i="23"/>
  <c r="H377" i="23"/>
  <c r="J377" i="23" s="1"/>
  <c r="H467" i="23"/>
  <c r="J467" i="23" s="1"/>
  <c r="H1326" i="23"/>
  <c r="J1326" i="23" s="1"/>
  <c r="H127" i="23"/>
  <c r="J127" i="23" s="1"/>
  <c r="H495" i="23"/>
  <c r="J495" i="23" s="1"/>
  <c r="H507" i="23"/>
  <c r="J507" i="23" s="1"/>
  <c r="H931" i="23"/>
  <c r="J931" i="23" s="1"/>
  <c r="H638" i="23"/>
  <c r="J638" i="23" s="1"/>
  <c r="H1294" i="23"/>
  <c r="J1294" i="23" s="1"/>
  <c r="H1369" i="23"/>
  <c r="J1369" i="23" s="1"/>
  <c r="H706" i="23"/>
  <c r="J706" i="23" s="1"/>
  <c r="H620" i="23"/>
  <c r="J620" i="23" s="1"/>
  <c r="H1233" i="23"/>
  <c r="J1233" i="23" s="1"/>
  <c r="H292" i="23"/>
  <c r="J292" i="23" s="1"/>
  <c r="H1438" i="23"/>
  <c r="J1438" i="23" s="1"/>
  <c r="H647" i="23"/>
  <c r="J647" i="23" s="1"/>
  <c r="H200" i="23"/>
  <c r="J200" i="23" s="1"/>
  <c r="H1211" i="23"/>
  <c r="J1211" i="23" s="1"/>
  <c r="H310" i="23"/>
  <c r="J310" i="23" s="1"/>
  <c r="H1416" i="23"/>
  <c r="J1416" i="23" s="1"/>
  <c r="H1138" i="23"/>
  <c r="J1138" i="23" s="1"/>
  <c r="H576" i="23"/>
  <c r="J576" i="23" s="1"/>
  <c r="H256" i="23"/>
  <c r="J256" i="23" s="1"/>
  <c r="J1135" i="23"/>
  <c r="H1128" i="23"/>
  <c r="J1128" i="23" s="1"/>
  <c r="H739" i="23"/>
  <c r="J739" i="23" s="1"/>
  <c r="H651" i="23"/>
  <c r="J651" i="23" s="1"/>
  <c r="H980" i="23"/>
  <c r="J980" i="23" s="1"/>
  <c r="H1244" i="23"/>
  <c r="J1244" i="23" s="1"/>
  <c r="H611" i="23"/>
  <c r="J611" i="23" s="1"/>
  <c r="H48" i="23"/>
  <c r="J48" i="23" s="1"/>
  <c r="H1363" i="23"/>
  <c r="J1363" i="23" s="1"/>
  <c r="H660" i="23"/>
  <c r="J660" i="23" s="1"/>
  <c r="H970" i="23"/>
  <c r="J970" i="23" s="1"/>
  <c r="H566" i="23"/>
  <c r="J566" i="23" s="1"/>
  <c r="H273" i="23"/>
  <c r="J273" i="23" s="1"/>
  <c r="H763" i="23"/>
  <c r="J763" i="23" s="1"/>
  <c r="H742" i="23"/>
  <c r="J742" i="23" s="1"/>
  <c r="H182" i="23"/>
  <c r="J182" i="23" s="1"/>
  <c r="H857" i="23"/>
  <c r="J857" i="23" s="1"/>
  <c r="H752" i="23"/>
  <c r="J752" i="23" s="1"/>
  <c r="H1005" i="23"/>
  <c r="J1005" i="23" s="1"/>
  <c r="H554" i="23"/>
  <c r="J554" i="23" s="1"/>
  <c r="H114" i="23"/>
  <c r="J114" i="23" s="1"/>
  <c r="H219" i="23"/>
  <c r="J219" i="23" s="1"/>
  <c r="H1205" i="23"/>
  <c r="J1205" i="23" s="1"/>
  <c r="H1060" i="23"/>
  <c r="J1060" i="23" s="1"/>
  <c r="H108" i="23"/>
  <c r="J108" i="23" s="1"/>
  <c r="H1078" i="23"/>
  <c r="J1078" i="23" s="1"/>
  <c r="H25" i="23"/>
  <c r="J25" i="23" s="1"/>
  <c r="H851" i="23"/>
  <c r="J851" i="23" s="1"/>
  <c r="H570" i="23"/>
  <c r="J570" i="23" s="1"/>
  <c r="H79" i="23"/>
  <c r="J79" i="23" s="1"/>
  <c r="H201" i="23"/>
  <c r="J201" i="23" s="1"/>
  <c r="K520" i="23"/>
  <c r="K221" i="23"/>
  <c r="H1101" i="23"/>
  <c r="J1101" i="23" s="1"/>
  <c r="H681" i="23"/>
  <c r="J681" i="23" s="1"/>
  <c r="H430" i="23"/>
  <c r="J430" i="23" s="1"/>
  <c r="H1159" i="23"/>
  <c r="J1159" i="23" s="1"/>
  <c r="H1102" i="23"/>
  <c r="J1102" i="23" s="1"/>
  <c r="H1002" i="23"/>
  <c r="J1002" i="23" s="1"/>
  <c r="H1057" i="23"/>
  <c r="J1057" i="23" s="1"/>
  <c r="H557" i="23"/>
  <c r="J557" i="23" s="1"/>
  <c r="H738" i="23"/>
  <c r="J738" i="23" s="1"/>
  <c r="H224" i="23"/>
  <c r="J224" i="23" s="1"/>
  <c r="H46" i="23"/>
  <c r="J46" i="23" s="1"/>
  <c r="H363" i="23"/>
  <c r="J363" i="23" s="1"/>
  <c r="H527" i="23"/>
  <c r="J527" i="23" s="1"/>
  <c r="H891" i="23"/>
  <c r="J891" i="23" s="1"/>
  <c r="H778" i="23"/>
  <c r="J778" i="23" s="1"/>
  <c r="H1111" i="23"/>
  <c r="J1111" i="23" s="1"/>
  <c r="H1163" i="23"/>
  <c r="J1163" i="23" s="1"/>
  <c r="H571" i="23"/>
  <c r="J571" i="23" s="1"/>
  <c r="H1283" i="23"/>
  <c r="J1283" i="23" s="1"/>
  <c r="H615" i="23"/>
  <c r="J615" i="23" s="1"/>
  <c r="H101" i="23"/>
  <c r="J101" i="23" s="1"/>
  <c r="J1451" i="23"/>
  <c r="H117" i="23"/>
  <c r="J117" i="23" s="1"/>
  <c r="H1214" i="23"/>
  <c r="J1214" i="23" s="1"/>
  <c r="H652" i="23"/>
  <c r="J652" i="23" s="1"/>
  <c r="H137" i="23"/>
  <c r="J137" i="23" s="1"/>
  <c r="H1242" i="23"/>
  <c r="J1242" i="23" s="1"/>
  <c r="H411" i="23"/>
  <c r="J411" i="23" s="1"/>
  <c r="H26" i="23"/>
  <c r="J26" i="23" s="1"/>
  <c r="H1358" i="23"/>
  <c r="J1358" i="23" s="1"/>
  <c r="H1208" i="23"/>
  <c r="J1208" i="23" s="1"/>
  <c r="H1032" i="23"/>
  <c r="J1032" i="23" s="1"/>
  <c r="H335" i="23"/>
  <c r="J335" i="23" s="1"/>
  <c r="H605" i="23"/>
  <c r="J605" i="23" s="1"/>
  <c r="H24" i="23"/>
  <c r="J24" i="23" s="1"/>
  <c r="H327" i="23"/>
  <c r="J327" i="23" s="1"/>
  <c r="H676" i="23"/>
  <c r="J676" i="23" s="1"/>
  <c r="H281" i="23"/>
  <c r="J281" i="23" s="1"/>
  <c r="H787" i="23"/>
  <c r="J787" i="23" s="1"/>
  <c r="H698" i="23"/>
  <c r="J698" i="23" s="1"/>
  <c r="H663" i="23"/>
  <c r="J663" i="23" s="1"/>
  <c r="H489" i="23"/>
  <c r="J489" i="23" s="1"/>
  <c r="H190" i="23"/>
  <c r="J190" i="23" s="1"/>
  <c r="H866" i="23"/>
  <c r="J866" i="23" s="1"/>
  <c r="H735" i="23"/>
  <c r="J735" i="23" s="1"/>
  <c r="H552" i="23"/>
  <c r="J552" i="23" s="1"/>
  <c r="H1297" i="23"/>
  <c r="J1297" i="23" s="1"/>
  <c r="H610" i="23"/>
  <c r="J610" i="23" s="1"/>
  <c r="H718" i="23"/>
  <c r="J718" i="23" s="1"/>
  <c r="H609" i="23"/>
  <c r="J609" i="23" s="1"/>
  <c r="H943" i="23"/>
  <c r="J943" i="23" s="1"/>
  <c r="H569" i="23"/>
  <c r="J569" i="23" s="1"/>
  <c r="K316" i="23"/>
  <c r="K1023" i="23"/>
  <c r="K969" i="23"/>
  <c r="K55" i="23"/>
  <c r="K954" i="23"/>
  <c r="K1210" i="23"/>
  <c r="H1435" i="23"/>
  <c r="J1435" i="23" s="1"/>
  <c r="H1168" i="23"/>
  <c r="J1168" i="23" s="1"/>
  <c r="H1334" i="23"/>
  <c r="J1334" i="23" s="1"/>
  <c r="H597" i="23"/>
  <c r="J597" i="23" s="1"/>
  <c r="K956" i="23"/>
  <c r="K564" i="23"/>
  <c r="K70" i="23"/>
  <c r="K445" i="23"/>
  <c r="K94" i="23"/>
  <c r="K763" i="23"/>
  <c r="H1390" i="23"/>
  <c r="J1390" i="23" s="1"/>
  <c r="H536" i="23"/>
  <c r="J536" i="23" s="1"/>
  <c r="J992" i="23"/>
  <c r="H493" i="23"/>
  <c r="J493" i="23" s="1"/>
  <c r="H1204" i="23"/>
  <c r="J1204" i="23" s="1"/>
  <c r="H284" i="23"/>
  <c r="J284" i="23" s="1"/>
  <c r="K773" i="23"/>
  <c r="H1444" i="23"/>
  <c r="J1444" i="23" s="1"/>
  <c r="H1231" i="23"/>
  <c r="J1231" i="23" s="1"/>
  <c r="H1409" i="23"/>
  <c r="J1409" i="23" s="1"/>
  <c r="H1276" i="23"/>
  <c r="J1276" i="23" s="1"/>
  <c r="H724" i="23"/>
  <c r="J724" i="23" s="1"/>
  <c r="H766" i="23"/>
  <c r="J766" i="23" s="1"/>
  <c r="H744" i="23"/>
  <c r="J744" i="23" s="1"/>
  <c r="H22" i="23"/>
  <c r="J22" i="23" s="1"/>
  <c r="H516" i="23"/>
  <c r="J516" i="23" s="1"/>
  <c r="H509" i="23"/>
  <c r="J509" i="23" s="1"/>
  <c r="H112" i="23"/>
  <c r="J112" i="23" s="1"/>
  <c r="H72" i="23"/>
  <c r="J72" i="23" s="1"/>
  <c r="H1287" i="23"/>
  <c r="J1287" i="23" s="1"/>
  <c r="H1429" i="23"/>
  <c r="J1429" i="23" s="1"/>
  <c r="H1321" i="23"/>
  <c r="J1321" i="23" s="1"/>
  <c r="H460" i="23"/>
  <c r="J460" i="23" s="1"/>
  <c r="H983" i="23"/>
  <c r="J983" i="23" s="1"/>
  <c r="H1140" i="23"/>
  <c r="J1140" i="23" s="1"/>
  <c r="H841" i="23"/>
  <c r="J841" i="23" s="1"/>
  <c r="H849" i="23"/>
  <c r="J849" i="23" s="1"/>
  <c r="H630" i="23"/>
  <c r="J630" i="23" s="1"/>
  <c r="H462" i="23"/>
  <c r="J462" i="23" s="1"/>
  <c r="H413" i="23"/>
  <c r="J413" i="23" s="1"/>
  <c r="H156" i="23"/>
  <c r="J156" i="23" s="1"/>
  <c r="H820" i="23"/>
  <c r="J820" i="23" s="1"/>
  <c r="J1314" i="23"/>
  <c r="H1068" i="23"/>
  <c r="J1068" i="23" s="1"/>
  <c r="H144" i="23"/>
  <c r="J144" i="23" s="1"/>
  <c r="H692" i="23"/>
  <c r="J692" i="23" s="1"/>
  <c r="H1177" i="23"/>
  <c r="J1177" i="23" s="1"/>
  <c r="H1021" i="23"/>
  <c r="J1021" i="23" s="1"/>
  <c r="H697" i="23"/>
  <c r="J697" i="23" s="1"/>
  <c r="H5" i="23"/>
  <c r="J5" i="23" s="1"/>
  <c r="H1237" i="23"/>
  <c r="J1237" i="23" s="1"/>
  <c r="H1092" i="23"/>
  <c r="J1092" i="23" s="1"/>
  <c r="H1359" i="23"/>
  <c r="J1359" i="23" s="1"/>
  <c r="H960" i="23"/>
  <c r="J960" i="23" s="1"/>
  <c r="H1270" i="23"/>
  <c r="J1270" i="23" s="1"/>
  <c r="H1056" i="23"/>
  <c r="J1056" i="23" s="1"/>
  <c r="H51" i="23"/>
  <c r="J51" i="23" s="1"/>
  <c r="H908" i="23"/>
  <c r="J908" i="23" s="1"/>
  <c r="H278" i="23"/>
  <c r="J278" i="23" s="1"/>
  <c r="H368" i="23"/>
  <c r="J368" i="23" s="1"/>
  <c r="K289" i="23"/>
  <c r="K546" i="23"/>
  <c r="K178" i="23"/>
  <c r="H1165" i="23"/>
  <c r="J1165" i="23" s="1"/>
  <c r="H679" i="23"/>
  <c r="J679" i="23" s="1"/>
  <c r="H376" i="23"/>
  <c r="J376" i="23" s="1"/>
  <c r="H1254" i="23"/>
  <c r="J1254" i="23" s="1"/>
  <c r="J1391" i="23"/>
  <c r="H789" i="23"/>
  <c r="J789" i="23" s="1"/>
  <c r="H1302" i="23"/>
  <c r="J1302" i="23" s="1"/>
  <c r="H1380" i="23"/>
  <c r="J1380" i="23" s="1"/>
  <c r="H1012" i="23"/>
  <c r="J1012" i="23" s="1"/>
  <c r="H1437" i="23"/>
  <c r="J1437" i="23" s="1"/>
  <c r="H1426" i="23"/>
  <c r="J1426" i="23" s="1"/>
  <c r="H1210" i="23"/>
  <c r="J1210" i="23" s="1"/>
  <c r="H838" i="23"/>
  <c r="J838" i="23" s="1"/>
  <c r="H1020" i="23"/>
  <c r="J1020" i="23" s="1"/>
  <c r="H733" i="23"/>
  <c r="J733" i="23" s="1"/>
  <c r="H304" i="23"/>
  <c r="J304" i="23" s="1"/>
  <c r="H333" i="23"/>
  <c r="J333" i="23" s="1"/>
  <c r="H1456" i="23"/>
  <c r="J1456" i="23" s="1"/>
  <c r="H1129" i="23"/>
  <c r="J1129" i="23" s="1"/>
  <c r="H1272" i="23"/>
  <c r="J1272" i="23" s="1"/>
  <c r="H672" i="23"/>
  <c r="J672" i="23" s="1"/>
  <c r="H712" i="23"/>
  <c r="J712" i="23" s="1"/>
  <c r="H1278" i="23"/>
  <c r="J1278" i="23" s="1"/>
  <c r="H1192" i="23"/>
  <c r="J1192" i="23" s="1"/>
  <c r="H947" i="23"/>
  <c r="J947" i="23" s="1"/>
  <c r="H444" i="23"/>
  <c r="J444" i="23" s="1"/>
  <c r="H958" i="23"/>
  <c r="J958" i="23" s="1"/>
  <c r="H593" i="23"/>
  <c r="J593" i="23" s="1"/>
  <c r="H440" i="23"/>
  <c r="J440" i="23" s="1"/>
  <c r="H318" i="23"/>
  <c r="J318" i="23" s="1"/>
  <c r="H52" i="23"/>
  <c r="J52" i="23" s="1"/>
  <c r="H786" i="23"/>
  <c r="J786" i="23" s="1"/>
  <c r="H434" i="23"/>
  <c r="J434" i="23" s="1"/>
  <c r="H1291" i="23"/>
  <c r="J1291" i="23" s="1"/>
  <c r="H813" i="23"/>
  <c r="J813" i="23" s="1"/>
  <c r="H504" i="23"/>
  <c r="J504" i="23" s="1"/>
  <c r="H84" i="23"/>
  <c r="J84" i="23" s="1"/>
  <c r="H1023" i="23"/>
  <c r="J1023" i="23" s="1"/>
  <c r="H269" i="23"/>
  <c r="J269" i="23" s="1"/>
  <c r="H238" i="23"/>
  <c r="J238" i="23" s="1"/>
  <c r="H50" i="23"/>
  <c r="J50" i="23" s="1"/>
  <c r="K356" i="23"/>
  <c r="K617" i="23"/>
  <c r="K643" i="23"/>
  <c r="K138" i="23"/>
  <c r="K497" i="23"/>
  <c r="K443" i="23"/>
  <c r="K133" i="23"/>
  <c r="K592" i="23"/>
  <c r="K680" i="23"/>
  <c r="K627" i="23"/>
  <c r="K716" i="23"/>
  <c r="K1033" i="23"/>
  <c r="K541" i="23"/>
  <c r="K765" i="23"/>
  <c r="K888" i="23"/>
  <c r="K286" i="23"/>
  <c r="K862" i="23"/>
  <c r="K803" i="23"/>
  <c r="K762" i="23"/>
  <c r="K1336" i="23"/>
  <c r="K542" i="23"/>
  <c r="K859" i="23"/>
  <c r="K966" i="23"/>
  <c r="K534" i="23"/>
  <c r="K1140" i="23"/>
  <c r="K1217" i="23"/>
  <c r="K1028" i="23"/>
  <c r="K144" i="23"/>
  <c r="K1333" i="23"/>
  <c r="K1235" i="23"/>
  <c r="K51" i="23"/>
  <c r="K1201" i="23"/>
  <c r="K1049" i="23"/>
  <c r="K1179" i="23"/>
  <c r="H176" i="23"/>
  <c r="J176" i="23" s="1"/>
  <c r="H465" i="23"/>
  <c r="J465" i="23" s="1"/>
  <c r="H410" i="23"/>
  <c r="J410" i="23" s="1"/>
  <c r="H9" i="23"/>
  <c r="J9" i="23" s="1"/>
  <c r="J1406" i="23"/>
  <c r="H1385" i="23"/>
  <c r="J1385" i="23" s="1"/>
  <c r="H846" i="23"/>
  <c r="J846" i="23" s="1"/>
  <c r="H1356" i="23"/>
  <c r="J1356" i="23" s="1"/>
  <c r="H1051" i="23"/>
  <c r="J1051" i="23" s="1"/>
  <c r="H529" i="23"/>
  <c r="J529" i="23" s="1"/>
  <c r="H195" i="23"/>
  <c r="J195" i="23" s="1"/>
  <c r="H1142" i="23"/>
  <c r="J1142" i="23" s="1"/>
  <c r="H1105" i="23"/>
  <c r="J1105" i="23" s="1"/>
  <c r="H677" i="23"/>
  <c r="J677" i="23" s="1"/>
  <c r="H45" i="23"/>
  <c r="J45" i="23" s="1"/>
  <c r="H402" i="23"/>
  <c r="J402" i="23" s="1"/>
  <c r="K312" i="23"/>
  <c r="H229" i="23"/>
  <c r="J229" i="23" s="1"/>
  <c r="H7" i="23"/>
  <c r="J7" i="23" s="1"/>
  <c r="H1166" i="23"/>
  <c r="J1166" i="23" s="1"/>
  <c r="H906" i="23"/>
  <c r="J906" i="23" s="1"/>
  <c r="H913" i="23"/>
  <c r="J913" i="23" s="1"/>
  <c r="H93" i="23"/>
  <c r="J93" i="23" s="1"/>
  <c r="H71" i="23"/>
  <c r="J71" i="23" s="1"/>
  <c r="H1378" i="23"/>
  <c r="J1378" i="23" s="1"/>
  <c r="H1313" i="23"/>
  <c r="J1313" i="23" s="1"/>
  <c r="H502" i="23"/>
  <c r="J502" i="23" s="1"/>
  <c r="H1064" i="23"/>
  <c r="J1064" i="23" s="1"/>
  <c r="H877" i="23"/>
  <c r="J877" i="23" s="1"/>
  <c r="H954" i="23"/>
  <c r="J954" i="23" s="1"/>
  <c r="H436" i="23"/>
  <c r="J436" i="23" s="1"/>
  <c r="H619" i="23"/>
  <c r="J619" i="23" s="1"/>
  <c r="H128" i="23"/>
  <c r="J128" i="23" s="1"/>
  <c r="K279" i="23"/>
  <c r="K1144" i="23"/>
  <c r="H832" i="23"/>
  <c r="J832" i="23" s="1"/>
  <c r="H362" i="23"/>
  <c r="J362" i="23" s="1"/>
  <c r="H640" i="23"/>
  <c r="J640" i="23" s="1"/>
  <c r="H296" i="23"/>
  <c r="J296" i="23" s="1"/>
  <c r="H1339" i="23"/>
  <c r="J1339" i="23" s="1"/>
  <c r="H1289" i="23"/>
  <c r="J1289" i="23" s="1"/>
  <c r="J1189" i="23"/>
  <c r="H587" i="23"/>
  <c r="J587" i="23" s="1"/>
  <c r="H216" i="23"/>
  <c r="J216" i="23" s="1"/>
  <c r="H747" i="23"/>
  <c r="J747" i="23" s="1"/>
  <c r="H241" i="23"/>
  <c r="J241" i="23" s="1"/>
  <c r="H1027" i="23"/>
  <c r="J1027" i="23" s="1"/>
  <c r="H700" i="23"/>
  <c r="J700" i="23" s="1"/>
  <c r="H1319" i="23"/>
  <c r="J1319" i="23" s="1"/>
  <c r="H1468" i="23"/>
  <c r="J1468" i="23" s="1"/>
  <c r="H1382" i="23"/>
  <c r="J1382" i="23" s="1"/>
  <c r="H1432" i="23"/>
  <c r="J1432" i="23" s="1"/>
  <c r="H921" i="23"/>
  <c r="J921" i="23" s="1"/>
  <c r="H178" i="23"/>
  <c r="J178" i="23" s="1"/>
  <c r="H749" i="23"/>
  <c r="J749" i="23" s="1"/>
  <c r="H586" i="23"/>
  <c r="J586" i="23" s="1"/>
  <c r="H49" i="23"/>
  <c r="J49" i="23" s="1"/>
  <c r="H361" i="23"/>
  <c r="J361" i="23" s="1"/>
  <c r="H283" i="23"/>
  <c r="J283" i="23" s="1"/>
  <c r="H1252" i="23"/>
  <c r="J1252" i="23" s="1"/>
  <c r="H650" i="23"/>
  <c r="J650" i="23" s="1"/>
  <c r="H275" i="23"/>
  <c r="J275" i="23" s="1"/>
  <c r="H20" i="23"/>
  <c r="J20" i="23" s="1"/>
  <c r="H730" i="23"/>
  <c r="J730" i="23" s="1"/>
  <c r="H728" i="23"/>
  <c r="J728" i="23" s="1"/>
  <c r="H416" i="23"/>
  <c r="J416" i="23" s="1"/>
  <c r="H94" i="23"/>
  <c r="J94" i="23" s="1"/>
  <c r="H976" i="23"/>
  <c r="J976" i="23" s="1"/>
  <c r="H519" i="23"/>
  <c r="J519" i="23" s="1"/>
  <c r="H892" i="23"/>
  <c r="J892" i="23" s="1"/>
  <c r="H33" i="23"/>
  <c r="J33" i="23" s="1"/>
  <c r="K783" i="23"/>
  <c r="K726" i="23"/>
  <c r="K1035" i="23"/>
  <c r="K1168" i="23"/>
  <c r="K540" i="23"/>
  <c r="K1244" i="23"/>
  <c r="K785" i="23"/>
  <c r="K857" i="23"/>
  <c r="H1268" i="23"/>
  <c r="J1268" i="23" s="1"/>
  <c r="H498" i="23"/>
  <c r="J498" i="23" s="1"/>
  <c r="H152" i="23"/>
  <c r="J152" i="23" s="1"/>
  <c r="H772" i="23"/>
  <c r="J772" i="23" s="1"/>
  <c r="H861" i="23"/>
  <c r="J861" i="23" s="1"/>
  <c r="H1269" i="23"/>
  <c r="J1269" i="23" s="1"/>
  <c r="H873" i="23"/>
  <c r="J873" i="23" s="1"/>
  <c r="H994" i="23"/>
  <c r="J994" i="23" s="1"/>
  <c r="H645" i="23"/>
  <c r="J645" i="23" s="1"/>
  <c r="H382" i="23"/>
  <c r="J382" i="23" s="1"/>
  <c r="K1005" i="23"/>
  <c r="H1423" i="23"/>
  <c r="J1423" i="23" s="1"/>
  <c r="H141" i="23"/>
  <c r="J141" i="23" s="1"/>
  <c r="H764" i="23"/>
  <c r="J764" i="23" s="1"/>
  <c r="H544" i="23"/>
  <c r="J544" i="23" s="1"/>
  <c r="H154" i="23"/>
  <c r="J154" i="23" s="1"/>
  <c r="H1147" i="23"/>
  <c r="J1147" i="23" s="1"/>
  <c r="H987" i="23"/>
  <c r="J987" i="23" s="1"/>
  <c r="H251" i="23"/>
  <c r="J251" i="23" s="1"/>
  <c r="K365" i="23"/>
  <c r="H639" i="23"/>
  <c r="J639" i="23" s="1"/>
  <c r="H1116" i="23"/>
  <c r="J1116" i="23" s="1"/>
  <c r="H966" i="23"/>
  <c r="J966" i="23" s="1"/>
  <c r="H810" i="23"/>
  <c r="J810" i="23" s="1"/>
  <c r="H859" i="23"/>
  <c r="J859" i="23" s="1"/>
  <c r="H982" i="23"/>
  <c r="J982" i="23" s="1"/>
  <c r="H818" i="23"/>
  <c r="J818" i="23" s="1"/>
  <c r="H935" i="23"/>
  <c r="J935" i="23" s="1"/>
  <c r="H542" i="23"/>
  <c r="J542" i="23" s="1"/>
  <c r="H581" i="23"/>
  <c r="J581" i="23" s="1"/>
  <c r="H331" i="23"/>
  <c r="J331" i="23" s="1"/>
  <c r="H424" i="23"/>
  <c r="J424" i="23" s="1"/>
  <c r="H349" i="23"/>
  <c r="J349" i="23" s="1"/>
  <c r="H297" i="23"/>
  <c r="J297" i="23" s="1"/>
  <c r="H105" i="23"/>
  <c r="J105" i="23" s="1"/>
  <c r="H282" i="23"/>
  <c r="J282" i="23" s="1"/>
  <c r="H1421" i="23"/>
  <c r="J1421" i="23" s="1"/>
  <c r="H1393" i="23"/>
  <c r="J1393" i="23" s="1"/>
  <c r="H801" i="23"/>
  <c r="J801" i="23" s="1"/>
  <c r="H1371" i="23"/>
  <c r="J1371" i="23" s="1"/>
  <c r="H1230" i="23"/>
  <c r="J1230" i="23" s="1"/>
  <c r="H346" i="23"/>
  <c r="J346" i="23" s="1"/>
  <c r="H1193" i="23"/>
  <c r="J1193" i="23" s="1"/>
  <c r="H855" i="23"/>
  <c r="J855" i="23" s="1"/>
  <c r="H175" i="23"/>
  <c r="J175" i="23" s="1"/>
  <c r="H1288" i="23"/>
  <c r="J1288" i="23" s="1"/>
  <c r="H946" i="23"/>
  <c r="J946" i="23" s="1"/>
  <c r="H792" i="23"/>
  <c r="J792" i="23" s="1"/>
  <c r="H62" i="23"/>
  <c r="J62" i="23" s="1"/>
  <c r="H1316" i="23"/>
  <c r="J1316" i="23" s="1"/>
  <c r="H621" i="23"/>
  <c r="J621" i="23" s="1"/>
  <c r="H61" i="23"/>
  <c r="J61" i="23" s="1"/>
  <c r="H687" i="23"/>
  <c r="J687" i="23" s="1"/>
  <c r="H237" i="23"/>
  <c r="J237" i="23" s="1"/>
  <c r="H964" i="23"/>
  <c r="J964" i="23" s="1"/>
  <c r="H365" i="23"/>
  <c r="J365" i="23" s="1"/>
  <c r="K655" i="23"/>
  <c r="K799" i="23"/>
  <c r="K952" i="23"/>
  <c r="H426" i="23"/>
  <c r="J426" i="23" s="1"/>
  <c r="H34" i="23"/>
  <c r="J34" i="23" s="1"/>
  <c r="H1350" i="23"/>
  <c r="J1350" i="23" s="1"/>
  <c r="H1224" i="23"/>
  <c r="J1224" i="23" s="1"/>
  <c r="H159" i="23"/>
  <c r="J159" i="23" s="1"/>
  <c r="H525" i="23"/>
  <c r="J525" i="23" s="1"/>
  <c r="H1088" i="23"/>
  <c r="J1088" i="23" s="1"/>
  <c r="H927" i="23"/>
  <c r="J927" i="23" s="1"/>
  <c r="H232" i="23"/>
  <c r="J232" i="23" s="1"/>
  <c r="H448" i="23"/>
  <c r="J448" i="23" s="1"/>
  <c r="H329" i="23"/>
  <c r="J329" i="23" s="1"/>
  <c r="K900" i="23"/>
  <c r="K598" i="23"/>
  <c r="K128" i="23"/>
  <c r="K527" i="23"/>
  <c r="K435" i="23"/>
  <c r="K721" i="23"/>
  <c r="K1319" i="23"/>
  <c r="K99" i="23"/>
  <c r="K1177" i="23"/>
  <c r="K992" i="23"/>
  <c r="J1290" i="23"/>
  <c r="H209" i="23"/>
  <c r="J209" i="23" s="1"/>
  <c r="H1296" i="23"/>
  <c r="J1296" i="23" s="1"/>
  <c r="H57" i="23"/>
  <c r="J57" i="23" s="1"/>
  <c r="H435" i="23"/>
  <c r="J435" i="23" s="1"/>
  <c r="H654" i="23"/>
  <c r="J654" i="23" s="1"/>
  <c r="H437" i="23"/>
  <c r="J437" i="23" s="1"/>
  <c r="H44" i="23"/>
  <c r="J44" i="23" s="1"/>
  <c r="H131" i="23"/>
  <c r="J131" i="23" s="1"/>
  <c r="H19" i="23"/>
  <c r="J19" i="23" s="1"/>
  <c r="H777" i="23"/>
  <c r="J777" i="23" s="1"/>
  <c r="H796" i="23"/>
  <c r="J796" i="23" s="1"/>
  <c r="H1009" i="23"/>
  <c r="J1009" i="23" s="1"/>
  <c r="H876" i="23"/>
  <c r="J876" i="23" s="1"/>
  <c r="H356" i="23"/>
  <c r="J356" i="23" s="1"/>
  <c r="H803" i="23"/>
  <c r="J803" i="23" s="1"/>
  <c r="H784" i="23"/>
  <c r="J784" i="23" s="1"/>
  <c r="H802" i="23"/>
  <c r="J802" i="23" s="1"/>
  <c r="H500" i="23"/>
  <c r="J500" i="23" s="1"/>
  <c r="H150" i="23"/>
  <c r="J150" i="23" s="1"/>
  <c r="H47" i="23"/>
  <c r="J47" i="23" s="1"/>
  <c r="K235" i="23"/>
  <c r="K521" i="23"/>
  <c r="K517" i="23"/>
  <c r="K974" i="23"/>
  <c r="K1276" i="23"/>
  <c r="K804" i="23"/>
  <c r="H720" i="23"/>
  <c r="J720" i="23" s="1"/>
  <c r="H308" i="23"/>
  <c r="J308" i="23" s="1"/>
  <c r="H984" i="23"/>
  <c r="J984" i="23" s="1"/>
  <c r="H648" i="23"/>
  <c r="J648" i="23" s="1"/>
  <c r="H379" i="23"/>
  <c r="J379" i="23" s="1"/>
  <c r="H268" i="23"/>
  <c r="J268" i="23" s="1"/>
  <c r="H865" i="23"/>
  <c r="J865" i="23" s="1"/>
  <c r="H1008" i="23"/>
  <c r="J1008" i="23" s="1"/>
  <c r="H1014" i="23"/>
  <c r="J1014" i="23" s="1"/>
  <c r="H897" i="23"/>
  <c r="J897" i="23" s="1"/>
  <c r="H1035" i="23"/>
  <c r="J1035" i="23" s="1"/>
  <c r="K747" i="23"/>
  <c r="J1194" i="23"/>
  <c r="H1332" i="23"/>
  <c r="J1332" i="23" s="1"/>
  <c r="H305" i="23"/>
  <c r="J305" i="23" s="1"/>
  <c r="H496" i="23"/>
  <c r="J496" i="23" s="1"/>
  <c r="H113" i="23"/>
  <c r="J113" i="23" s="1"/>
  <c r="H28" i="23"/>
  <c r="J28" i="23" s="1"/>
  <c r="H930" i="23"/>
  <c r="J930" i="23" s="1"/>
  <c r="H102" i="23"/>
  <c r="J102" i="23" s="1"/>
  <c r="H934" i="23"/>
  <c r="J934" i="23" s="1"/>
  <c r="H12" i="23"/>
  <c r="J12" i="23" s="1"/>
  <c r="H1342" i="23"/>
  <c r="J1342" i="23" s="1"/>
  <c r="H1086" i="23"/>
  <c r="J1086" i="23" s="1"/>
  <c r="H1305" i="23"/>
  <c r="J1305" i="23" s="1"/>
  <c r="H1049" i="23"/>
  <c r="J1049" i="23" s="1"/>
  <c r="H476" i="23"/>
  <c r="J476" i="23" s="1"/>
  <c r="H196" i="23"/>
  <c r="J196" i="23" s="1"/>
  <c r="H366" i="23"/>
  <c r="J366" i="23" s="1"/>
  <c r="H1173" i="23"/>
  <c r="J1173" i="23" s="1"/>
  <c r="H1375" i="23"/>
  <c r="J1375" i="23" s="1"/>
  <c r="H1099" i="23"/>
  <c r="J1099" i="23" s="1"/>
  <c r="H643" i="23"/>
  <c r="J643" i="23" s="1"/>
  <c r="H371" i="23"/>
  <c r="J371" i="23" s="1"/>
  <c r="H978" i="23"/>
  <c r="J978" i="23" s="1"/>
  <c r="H367" i="23"/>
  <c r="J367" i="23" s="1"/>
  <c r="H400" i="23"/>
  <c r="J400" i="23" s="1"/>
  <c r="H250" i="23"/>
  <c r="J250" i="23" s="1"/>
  <c r="H900" i="23"/>
  <c r="J900" i="23" s="1"/>
  <c r="H601" i="23"/>
  <c r="J601" i="23" s="1"/>
  <c r="H147" i="23"/>
  <c r="J147" i="23" s="1"/>
  <c r="H143" i="23"/>
  <c r="J143" i="23" s="1"/>
  <c r="H230" i="23"/>
  <c r="J230" i="23" s="1"/>
  <c r="K463" i="23"/>
  <c r="K287" i="23"/>
  <c r="K957" i="23"/>
  <c r="K731" i="23"/>
  <c r="K638" i="23"/>
  <c r="K1386" i="23"/>
  <c r="H1167" i="23"/>
  <c r="J1167" i="23" s="1"/>
  <c r="H1374" i="23"/>
  <c r="J1374" i="23" s="1"/>
  <c r="H1219" i="23"/>
  <c r="J1219" i="23" s="1"/>
  <c r="H1362" i="23"/>
  <c r="J1362" i="23" s="1"/>
  <c r="H1106" i="23"/>
  <c r="J1106" i="23" s="1"/>
  <c r="H1325" i="23"/>
  <c r="J1325" i="23" s="1"/>
  <c r="H1069" i="23"/>
  <c r="J1069" i="23" s="1"/>
  <c r="H969" i="23"/>
  <c r="J969" i="23" s="1"/>
  <c r="H853" i="23"/>
  <c r="J853" i="23" s="1"/>
  <c r="H221" i="23"/>
  <c r="J221" i="23" s="1"/>
  <c r="H731" i="23"/>
  <c r="J731" i="23" s="1"/>
  <c r="H1260" i="23"/>
  <c r="J1260" i="23" s="1"/>
  <c r="H1124" i="23"/>
  <c r="J1124" i="23" s="1"/>
  <c r="H357" i="23"/>
  <c r="J357" i="23" s="1"/>
  <c r="H85" i="23"/>
  <c r="J85" i="23" s="1"/>
  <c r="H1410" i="23"/>
  <c r="J1410" i="23" s="1"/>
  <c r="H1206" i="23"/>
  <c r="J1206" i="23" s="1"/>
  <c r="H1265" i="23"/>
  <c r="J1265" i="23" s="1"/>
  <c r="H1344" i="23"/>
  <c r="J1344" i="23" s="1"/>
  <c r="H653" i="23"/>
  <c r="J653" i="23" s="1"/>
  <c r="H553" i="23"/>
  <c r="J553" i="23" s="1"/>
  <c r="H226" i="23"/>
  <c r="J226" i="23" s="1"/>
  <c r="H962" i="23"/>
  <c r="J962" i="23" s="1"/>
  <c r="H565" i="23"/>
  <c r="J565" i="23" s="1"/>
  <c r="H750" i="23"/>
  <c r="J750" i="23" s="1"/>
  <c r="H830" i="23"/>
  <c r="J830" i="23" s="1"/>
  <c r="K43" i="23"/>
  <c r="K379" i="23"/>
  <c r="K1252" i="23"/>
  <c r="K530" i="23"/>
  <c r="K566" i="23"/>
  <c r="K858" i="23"/>
  <c r="K72" i="23"/>
  <c r="K928" i="23"/>
  <c r="K1392" i="23"/>
  <c r="K1437" i="23"/>
  <c r="K145" i="23"/>
  <c r="K1307" i="23"/>
  <c r="H1176" i="23"/>
  <c r="J1176" i="23" s="1"/>
  <c r="H806" i="23"/>
  <c r="J806" i="23" s="1"/>
  <c r="H785" i="23"/>
  <c r="J785" i="23" s="1"/>
  <c r="H904" i="23"/>
  <c r="J904" i="23" s="1"/>
  <c r="H83" i="23"/>
  <c r="J83" i="23" s="1"/>
  <c r="H280" i="23"/>
  <c r="J280" i="23" s="1"/>
  <c r="H53" i="23"/>
  <c r="J53" i="23" s="1"/>
  <c r="J1386" i="23"/>
  <c r="H1100" i="23"/>
  <c r="J1100" i="23" s="1"/>
  <c r="H661" i="23"/>
  <c r="J661" i="23" s="1"/>
  <c r="H883" i="23"/>
  <c r="J883" i="23" s="1"/>
  <c r="H1022" i="23"/>
  <c r="J1022" i="23" s="1"/>
  <c r="H482" i="23"/>
  <c r="J482" i="23" s="1"/>
  <c r="H27" i="23"/>
  <c r="J27" i="23" s="1"/>
  <c r="H1333" i="23"/>
  <c r="J1333" i="23" s="1"/>
  <c r="H392" i="23"/>
  <c r="J392" i="23" s="1"/>
  <c r="H383" i="23"/>
  <c r="J383" i="23" s="1"/>
  <c r="H1047" i="23"/>
  <c r="J1047" i="23" s="1"/>
  <c r="H1408" i="23"/>
  <c r="J1408" i="23" s="1"/>
  <c r="H814" i="23"/>
  <c r="J814" i="23" s="1"/>
  <c r="H880" i="23"/>
  <c r="J880" i="23" s="1"/>
  <c r="H515" i="23"/>
  <c r="J515" i="23" s="1"/>
  <c r="H915" i="23"/>
  <c r="J915" i="23" s="1"/>
  <c r="H1043" i="23"/>
  <c r="J1043" i="23" s="1"/>
  <c r="H950" i="23"/>
  <c r="J950" i="23" s="1"/>
  <c r="H8" i="23"/>
  <c r="J8" i="23" s="1"/>
  <c r="H716" i="23"/>
  <c r="J716" i="23" s="1"/>
  <c r="H451" i="23"/>
  <c r="J451" i="23" s="1"/>
  <c r="H369" i="23"/>
  <c r="J369" i="23" s="1"/>
  <c r="K171" i="23"/>
  <c r="K652" i="23"/>
  <c r="K525" i="23"/>
  <c r="K777" i="23"/>
  <c r="K397" i="23"/>
  <c r="K266" i="23"/>
  <c r="K536" i="23"/>
  <c r="K630" i="23"/>
  <c r="K256" i="23"/>
  <c r="K310" i="23"/>
  <c r="K123" i="23"/>
  <c r="K30" i="23"/>
  <c r="K399" i="23"/>
  <c r="K507" i="23"/>
  <c r="K1358" i="23"/>
  <c r="K1363" i="23"/>
  <c r="K562" i="23"/>
  <c r="K830" i="23"/>
  <c r="K1176" i="23"/>
  <c r="K1438" i="23"/>
  <c r="K1356" i="23"/>
  <c r="H1028" i="23"/>
  <c r="J1028" i="23" s="1"/>
  <c r="H1466" i="23"/>
  <c r="J1466" i="23" s="1"/>
  <c r="H769" i="23"/>
  <c r="J769" i="23" s="1"/>
  <c r="H995" i="23"/>
  <c r="J995" i="23" s="1"/>
  <c r="H1266" i="23"/>
  <c r="J1266" i="23" s="1"/>
  <c r="H933" i="23"/>
  <c r="J933" i="23" s="1"/>
  <c r="H1229" i="23"/>
  <c r="J1229" i="23" s="1"/>
  <c r="H1172" i="23"/>
  <c r="J1172" i="23" s="1"/>
  <c r="H798" i="23"/>
  <c r="J798" i="23" s="1"/>
  <c r="H637" i="23"/>
  <c r="J637" i="23" s="1"/>
  <c r="H58" i="23"/>
  <c r="J58" i="23" s="1"/>
  <c r="H1320" i="23"/>
  <c r="J1320" i="23" s="1"/>
  <c r="H262" i="23"/>
  <c r="J262" i="23" s="1"/>
  <c r="H782" i="23"/>
  <c r="J782" i="23" s="1"/>
  <c r="H443" i="23"/>
  <c r="J443" i="23" s="1"/>
  <c r="H480" i="23"/>
  <c r="J480" i="23" s="1"/>
  <c r="H404" i="23"/>
  <c r="J404" i="23" s="1"/>
  <c r="H254" i="23"/>
  <c r="J254" i="23" s="1"/>
  <c r="H323" i="23"/>
  <c r="J323" i="23" s="1"/>
  <c r="H180" i="23"/>
  <c r="J180" i="23" s="1"/>
  <c r="H884" i="23"/>
  <c r="J884" i="23" s="1"/>
  <c r="H431" i="23"/>
  <c r="J431" i="23" s="1"/>
  <c r="H313" i="23"/>
  <c r="J313" i="23" s="1"/>
  <c r="H246" i="23"/>
  <c r="J246" i="23" s="1"/>
  <c r="H1428" i="23"/>
  <c r="J1428" i="23" s="1"/>
  <c r="H1046" i="23"/>
  <c r="J1046" i="23" s="1"/>
  <c r="H1169" i="23"/>
  <c r="J1169" i="23" s="1"/>
  <c r="H686" i="23"/>
  <c r="J686" i="23" s="1"/>
  <c r="H580" i="23"/>
  <c r="J580" i="23" s="1"/>
  <c r="H340" i="23"/>
  <c r="J340" i="23" s="1"/>
  <c r="H862" i="23"/>
  <c r="J862" i="23" s="1"/>
  <c r="H545" i="23"/>
  <c r="J545" i="23" s="1"/>
  <c r="H286" i="23"/>
  <c r="J286" i="23" s="1"/>
  <c r="H59" i="23"/>
  <c r="J59" i="23" s="1"/>
  <c r="H680" i="23"/>
  <c r="J680" i="23" s="1"/>
  <c r="H272" i="23"/>
  <c r="J272" i="23" s="1"/>
  <c r="H824" i="23"/>
  <c r="J824" i="23" s="1"/>
  <c r="H203" i="23"/>
  <c r="J203" i="23" s="1"/>
  <c r="H316" i="23"/>
  <c r="J316" i="23" s="1"/>
  <c r="K644" i="23"/>
  <c r="K738" i="23"/>
  <c r="K771" i="23"/>
  <c r="K40" i="23"/>
  <c r="K892" i="23"/>
  <c r="K568" i="23"/>
  <c r="K641" i="23"/>
  <c r="K690" i="23"/>
  <c r="K987" i="23"/>
  <c r="K1286" i="23"/>
  <c r="K1133" i="23"/>
  <c r="K141" i="23"/>
  <c r="K1055" i="23"/>
  <c r="K1020" i="23"/>
  <c r="K1047" i="23"/>
  <c r="K1016" i="23"/>
  <c r="K1397" i="23"/>
  <c r="K1453" i="23"/>
  <c r="K1380" i="23"/>
  <c r="H598" i="23"/>
  <c r="J598" i="23" s="1"/>
  <c r="H220" i="23"/>
  <c r="J220" i="23" s="1"/>
  <c r="J1186" i="23"/>
  <c r="H455" i="23"/>
  <c r="J455" i="23" s="1"/>
  <c r="H315" i="23"/>
  <c r="J315" i="23" s="1"/>
  <c r="H1472" i="23"/>
  <c r="J1472" i="23" s="1"/>
  <c r="H1001" i="23"/>
  <c r="J1001" i="23" s="1"/>
  <c r="H438" i="23"/>
  <c r="J438" i="23" s="1"/>
  <c r="H472" i="23"/>
  <c r="J472" i="23" s="1"/>
  <c r="H119" i="23"/>
  <c r="J119" i="23" s="1"/>
  <c r="H212" i="23"/>
  <c r="J212" i="23" s="1"/>
  <c r="H797" i="23"/>
  <c r="J797" i="23" s="1"/>
  <c r="H80" i="23"/>
  <c r="J80" i="23" s="1"/>
  <c r="H837" i="23"/>
  <c r="J837" i="23" s="1"/>
  <c r="H334" i="23"/>
  <c r="J334" i="23" s="1"/>
  <c r="H129" i="23"/>
  <c r="J129" i="23" s="1"/>
  <c r="H452" i="23"/>
  <c r="J452" i="23" s="1"/>
  <c r="K553" i="23"/>
  <c r="K880" i="23"/>
  <c r="K124" i="23"/>
  <c r="K2" i="23"/>
  <c r="K75" i="23"/>
  <c r="K665" i="23"/>
  <c r="K983" i="23"/>
  <c r="K217" i="23"/>
  <c r="K766" i="23"/>
  <c r="K1308" i="23"/>
  <c r="K315" i="23"/>
  <c r="K1302" i="23"/>
  <c r="K1362" i="23"/>
  <c r="H910" i="23"/>
  <c r="J910" i="23" s="1"/>
  <c r="H757" i="23"/>
  <c r="J757" i="23" s="1"/>
  <c r="H359" i="23"/>
  <c r="J359" i="23" s="1"/>
  <c r="H1136" i="23"/>
  <c r="J1136" i="23" s="1"/>
  <c r="H741" i="23"/>
  <c r="J741" i="23" s="1"/>
  <c r="H812" i="23"/>
  <c r="J812" i="23" s="1"/>
  <c r="H1318" i="23"/>
  <c r="J1318" i="23" s="1"/>
  <c r="H1336" i="23"/>
  <c r="J1336" i="23" s="1"/>
  <c r="H1080" i="23"/>
  <c r="J1080" i="23" s="1"/>
  <c r="J822" i="23"/>
  <c r="H888" i="23"/>
  <c r="J888" i="23" s="1"/>
  <c r="H1039" i="23"/>
  <c r="J1039" i="23" s="1"/>
  <c r="H100" i="23"/>
  <c r="J100" i="23" s="1"/>
  <c r="H199" i="23"/>
  <c r="J199" i="23" s="1"/>
  <c r="H1131" i="23"/>
  <c r="J1131" i="23" s="1"/>
  <c r="H1286" i="23"/>
  <c r="J1286" i="23" s="1"/>
  <c r="H1033" i="23"/>
  <c r="J1033" i="23" s="1"/>
  <c r="H721" i="23"/>
  <c r="J721" i="23" s="1"/>
  <c r="H890" i="23"/>
  <c r="J890" i="23" s="1"/>
  <c r="H32" i="23"/>
  <c r="J32" i="23" s="1"/>
  <c r="H194" i="23"/>
  <c r="J194" i="23" s="1"/>
  <c r="H614" i="23"/>
  <c r="J614" i="23" s="1"/>
  <c r="H520" i="23"/>
  <c r="J520" i="23" s="1"/>
  <c r="H124" i="23"/>
  <c r="J124" i="23" s="1"/>
  <c r="H817" i="23"/>
  <c r="J817" i="23" s="1"/>
  <c r="H531" i="23"/>
  <c r="J531" i="23" s="1"/>
  <c r="H762" i="23"/>
  <c r="J762" i="23" s="1"/>
  <c r="H602" i="23"/>
  <c r="J602" i="23" s="1"/>
  <c r="H115" i="23"/>
  <c r="J115" i="23" s="1"/>
  <c r="H380" i="23"/>
  <c r="J380" i="23" s="1"/>
  <c r="H247" i="23"/>
  <c r="J247" i="23" s="1"/>
  <c r="H844" i="23"/>
  <c r="J844" i="23" s="1"/>
  <c r="H562" i="23"/>
  <c r="J562" i="23" s="1"/>
  <c r="H225" i="23"/>
  <c r="J225" i="23" s="1"/>
  <c r="K477" i="23"/>
  <c r="K524" i="23"/>
  <c r="K447" i="23"/>
  <c r="K157" i="23"/>
  <c r="K218" i="23"/>
  <c r="I385" i="23"/>
  <c r="K385" i="23" s="1"/>
  <c r="H385" i="23"/>
  <c r="J385" i="23" s="1"/>
  <c r="I578" i="23"/>
  <c r="K578" i="23" s="1"/>
  <c r="H578" i="23"/>
  <c r="J578" i="23" s="1"/>
  <c r="I678" i="23"/>
  <c r="K678" i="23" s="1"/>
  <c r="H678" i="23"/>
  <c r="J678" i="23" s="1"/>
  <c r="I252" i="23"/>
  <c r="K252" i="23" s="1"/>
  <c r="H252" i="23"/>
  <c r="J252" i="23" s="1"/>
  <c r="I179" i="23"/>
  <c r="K179" i="23" s="1"/>
  <c r="H179" i="23"/>
  <c r="J179" i="23" s="1"/>
  <c r="I170" i="23"/>
  <c r="K170" i="23" s="1"/>
  <c r="H170" i="23"/>
  <c r="J170" i="23" s="1"/>
  <c r="I938" i="23"/>
  <c r="K938" i="23" s="1"/>
  <c r="H938" i="23"/>
  <c r="J938" i="23" s="1"/>
  <c r="I503" i="23"/>
  <c r="K503" i="23" s="1"/>
  <c r="H503" i="23"/>
  <c r="J503" i="23" s="1"/>
  <c r="I702" i="23"/>
  <c r="K702" i="23" s="1"/>
  <c r="H702" i="23"/>
  <c r="J702" i="23" s="1"/>
  <c r="I709" i="23"/>
  <c r="K709" i="23" s="1"/>
  <c r="H709" i="23"/>
  <c r="J709" i="23" s="1"/>
  <c r="I893" i="23"/>
  <c r="K893" i="23" s="1"/>
  <c r="H893" i="23"/>
  <c r="J893" i="23" s="1"/>
  <c r="H270" i="23"/>
  <c r="J270" i="23" s="1"/>
  <c r="I388" i="23"/>
  <c r="K388" i="23" s="1"/>
  <c r="H388" i="23"/>
  <c r="J388" i="23" s="1"/>
  <c r="I15" i="23"/>
  <c r="K15" i="23" s="1"/>
  <c r="H15" i="23"/>
  <c r="J15" i="23" s="1"/>
  <c r="I649" i="23"/>
  <c r="K649" i="23" s="1"/>
  <c r="H649" i="23"/>
  <c r="J649" i="23" s="1"/>
  <c r="I1238" i="23"/>
  <c r="K1238" i="23" s="1"/>
  <c r="H1238" i="23"/>
  <c r="J1238" i="23" s="1"/>
  <c r="I1109" i="23"/>
  <c r="K1109" i="23" s="1"/>
  <c r="H1109" i="23"/>
  <c r="J1109" i="23" s="1"/>
  <c r="I1365" i="23"/>
  <c r="K1365" i="23" s="1"/>
  <c r="H1365" i="23"/>
  <c r="J1365" i="23" s="1"/>
  <c r="K1299" i="23"/>
  <c r="H1232" i="23"/>
  <c r="J1232" i="23" s="1"/>
  <c r="H974" i="23"/>
  <c r="J974" i="23" s="1"/>
  <c r="H726" i="23"/>
  <c r="J726" i="23" s="1"/>
  <c r="H939" i="23"/>
  <c r="J939" i="23" s="1"/>
  <c r="H228" i="23"/>
  <c r="J228" i="23" s="1"/>
  <c r="H1160" i="23"/>
  <c r="J1160" i="23" s="1"/>
  <c r="H989" i="23"/>
  <c r="J989" i="23" s="1"/>
  <c r="H664" i="23"/>
  <c r="J664" i="23" s="1"/>
  <c r="H497" i="23"/>
  <c r="J497" i="23" s="1"/>
  <c r="H625" i="23"/>
  <c r="J625" i="23" s="1"/>
  <c r="H419" i="23"/>
  <c r="J419" i="23" s="1"/>
  <c r="H67" i="23"/>
  <c r="J67" i="23" s="1"/>
  <c r="H155" i="23"/>
  <c r="J155" i="23" s="1"/>
  <c r="H821" i="23"/>
  <c r="J821" i="23" s="1"/>
  <c r="H1000" i="23"/>
  <c r="J1000" i="23" s="1"/>
  <c r="H589" i="23"/>
  <c r="J589" i="23" s="1"/>
  <c r="H390" i="23"/>
  <c r="J390" i="23" s="1"/>
  <c r="H189" i="23"/>
  <c r="J189" i="23" s="1"/>
  <c r="H167" i="23"/>
  <c r="J167" i="23" s="1"/>
  <c r="H1280" i="23"/>
  <c r="J1280" i="23" s="1"/>
  <c r="H773" i="23"/>
  <c r="J773" i="23" s="1"/>
  <c r="H760" i="23"/>
  <c r="J760" i="23" s="1"/>
  <c r="H166" i="23"/>
  <c r="J166" i="23" s="1"/>
  <c r="H78" i="23"/>
  <c r="J78" i="23" s="1"/>
  <c r="H540" i="23"/>
  <c r="J540" i="23" s="1"/>
  <c r="H30" i="23"/>
  <c r="J30" i="23" s="1"/>
  <c r="H123" i="23"/>
  <c r="J123" i="23" s="1"/>
  <c r="H627" i="23"/>
  <c r="J627" i="23" s="1"/>
  <c r="H558" i="23"/>
  <c r="J558" i="23" s="1"/>
  <c r="H265" i="23"/>
  <c r="J265" i="23" s="1"/>
  <c r="H449" i="23"/>
  <c r="J449" i="23" s="1"/>
  <c r="H665" i="23"/>
  <c r="J665" i="23" s="1"/>
  <c r="H633" i="23"/>
  <c r="J633" i="23" s="1"/>
  <c r="H564" i="23"/>
  <c r="J564" i="23" s="1"/>
  <c r="H75" i="23"/>
  <c r="J75" i="23" s="1"/>
  <c r="H174" i="23"/>
  <c r="J174" i="23" s="1"/>
  <c r="H703" i="23"/>
  <c r="J703" i="23" s="1"/>
  <c r="H592" i="23"/>
  <c r="J592" i="23" s="1"/>
  <c r="H104" i="23"/>
  <c r="J104" i="23" s="1"/>
  <c r="I474" i="23"/>
  <c r="K474" i="23" s="1"/>
  <c r="H474" i="23"/>
  <c r="J474" i="23" s="1"/>
  <c r="I743" i="23"/>
  <c r="K743" i="23" s="1"/>
  <c r="H743" i="23"/>
  <c r="J743" i="23" s="1"/>
  <c r="I634" i="23"/>
  <c r="K634" i="23" s="1"/>
  <c r="H634" i="23"/>
  <c r="J634" i="23" s="1"/>
  <c r="I337" i="23"/>
  <c r="K337" i="23" s="1"/>
  <c r="H337" i="23"/>
  <c r="J337" i="23" s="1"/>
  <c r="I1034" i="23"/>
  <c r="K1034" i="23" s="1"/>
  <c r="H1034" i="23"/>
  <c r="J1034" i="23" s="1"/>
  <c r="K1205" i="23"/>
  <c r="H471" i="23"/>
  <c r="J471" i="23" s="1"/>
  <c r="I300" i="23"/>
  <c r="K300" i="23" s="1"/>
  <c r="H300" i="23"/>
  <c r="J300" i="23" s="1"/>
  <c r="K1223" i="23"/>
  <c r="K559" i="23"/>
  <c r="K581" i="23"/>
  <c r="K1381" i="23"/>
  <c r="K1249" i="23"/>
  <c r="K757" i="23"/>
  <c r="I781" i="23"/>
  <c r="K781" i="23" s="1"/>
  <c r="H781" i="23"/>
  <c r="J781" i="23" s="1"/>
  <c r="I468" i="23"/>
  <c r="K468" i="23" s="1"/>
  <c r="H468" i="23"/>
  <c r="J468" i="23" s="1"/>
  <c r="I1361" i="23"/>
  <c r="K1361" i="23" s="1"/>
  <c r="H1361" i="23"/>
  <c r="J1361" i="23" s="1"/>
  <c r="I1239" i="23"/>
  <c r="K1239" i="23" s="1"/>
  <c r="H1239" i="23"/>
  <c r="J1239" i="23" s="1"/>
  <c r="K1278" i="23"/>
  <c r="H266" i="23"/>
  <c r="J266" i="23" s="1"/>
  <c r="H1072" i="23"/>
  <c r="J1072" i="23" s="1"/>
  <c r="H1132" i="23"/>
  <c r="J1132" i="23" s="1"/>
  <c r="H768" i="23"/>
  <c r="J768" i="23" s="1"/>
  <c r="H459" i="23"/>
  <c r="J459" i="23" s="1"/>
  <c r="H171" i="23"/>
  <c r="J171" i="23" s="1"/>
  <c r="H887" i="23"/>
  <c r="J887" i="23" s="1"/>
  <c r="H393" i="23"/>
  <c r="J393" i="23" s="1"/>
  <c r="H76" i="23"/>
  <c r="J76" i="23" s="1"/>
  <c r="H834" i="23"/>
  <c r="J834" i="23" s="1"/>
  <c r="H446" i="23"/>
  <c r="J446" i="23" s="1"/>
  <c r="H556" i="23"/>
  <c r="J556" i="23" s="1"/>
  <c r="H364" i="23"/>
  <c r="J364" i="23" s="1"/>
  <c r="H130" i="23"/>
  <c r="J130" i="23" s="1"/>
  <c r="H683" i="23"/>
  <c r="J683" i="23" s="1"/>
  <c r="H87" i="23"/>
  <c r="J87" i="23" s="1"/>
  <c r="H138" i="23"/>
  <c r="J138" i="23" s="1"/>
  <c r="H829" i="23"/>
  <c r="J829" i="23" s="1"/>
  <c r="H550" i="23"/>
  <c r="J550" i="23" s="1"/>
  <c r="H403" i="23"/>
  <c r="J403" i="23" s="1"/>
  <c r="H248" i="23"/>
  <c r="J248" i="23" s="1"/>
  <c r="H343" i="23"/>
  <c r="J343" i="23" s="1"/>
  <c r="H911" i="23"/>
  <c r="J911" i="23" s="1"/>
  <c r="H42" i="23"/>
  <c r="J42" i="23" s="1"/>
  <c r="H617" i="23"/>
  <c r="J617" i="23" s="1"/>
  <c r="H235" i="23"/>
  <c r="J235" i="23" s="1"/>
  <c r="H559" i="23"/>
  <c r="J559" i="23" s="1"/>
  <c r="H290" i="23"/>
  <c r="J290" i="23" s="1"/>
  <c r="H3" i="23"/>
  <c r="J3" i="23" s="1"/>
  <c r="H899" i="23"/>
  <c r="J899" i="23" s="1"/>
  <c r="H528" i="23"/>
  <c r="J528" i="23" s="1"/>
  <c r="H97" i="23"/>
  <c r="J97" i="23" s="1"/>
  <c r="H518" i="23"/>
  <c r="J518" i="23" s="1"/>
  <c r="H513" i="23"/>
  <c r="J513" i="23" s="1"/>
  <c r="H68" i="23"/>
  <c r="J68" i="23" s="1"/>
  <c r="H339" i="23"/>
  <c r="J339" i="23" s="1"/>
  <c r="H2" i="23"/>
  <c r="J2" i="23" s="1"/>
  <c r="H173" i="23"/>
  <c r="J173" i="23" s="1"/>
  <c r="H133" i="23"/>
  <c r="J133" i="23" s="1"/>
  <c r="K691" i="23"/>
  <c r="K563" i="23"/>
  <c r="K116" i="23"/>
  <c r="K261" i="23"/>
  <c r="K330" i="23"/>
  <c r="K802" i="23"/>
  <c r="K959" i="23"/>
  <c r="K327" i="23"/>
  <c r="K905" i="23"/>
  <c r="K570" i="23"/>
  <c r="K1036" i="23"/>
  <c r="K543" i="23"/>
  <c r="K233" i="23"/>
  <c r="K384" i="23"/>
  <c r="K1030" i="23"/>
  <c r="K1083" i="23"/>
  <c r="K769" i="23"/>
  <c r="K795" i="23"/>
  <c r="K1029" i="23"/>
  <c r="K1293" i="23"/>
  <c r="K1074" i="23"/>
  <c r="K1465" i="23"/>
  <c r="K380" i="23"/>
  <c r="K484" i="23"/>
  <c r="K1370" i="23"/>
  <c r="K1233" i="23"/>
  <c r="K1242" i="23"/>
  <c r="K1375" i="23"/>
  <c r="K667" i="23"/>
  <c r="K1367" i="23"/>
  <c r="K1436" i="23"/>
  <c r="K177" i="23"/>
  <c r="K991" i="23"/>
  <c r="K14" i="23"/>
  <c r="K621" i="23"/>
  <c r="K258" i="23"/>
  <c r="K215" i="23"/>
  <c r="K947" i="23"/>
  <c r="K560" i="23"/>
  <c r="K65" i="23"/>
  <c r="K596" i="23"/>
  <c r="K696" i="23"/>
  <c r="K666" i="23"/>
  <c r="K135" i="23"/>
  <c r="K755" i="23"/>
  <c r="K714" i="23"/>
  <c r="K375" i="23"/>
  <c r="K151" i="23"/>
  <c r="K549" i="23"/>
  <c r="K506" i="23"/>
  <c r="K775" i="23"/>
  <c r="K774" i="23"/>
  <c r="K1086" i="23"/>
  <c r="K1234" i="23"/>
  <c r="K1069" i="23"/>
  <c r="K985" i="23"/>
  <c r="H161" i="23"/>
  <c r="J161" i="23" s="1"/>
  <c r="I932" i="23"/>
  <c r="K932" i="23" s="1"/>
  <c r="H932" i="23"/>
  <c r="J932" i="23" s="1"/>
  <c r="I523" i="23"/>
  <c r="K523" i="23" s="1"/>
  <c r="H523" i="23"/>
  <c r="J523" i="23" s="1"/>
  <c r="I306" i="23"/>
  <c r="K306" i="23" s="1"/>
  <c r="H306" i="23"/>
  <c r="J306" i="23" s="1"/>
  <c r="I717" i="23"/>
  <c r="K717" i="23" s="1"/>
  <c r="H717" i="23"/>
  <c r="J717" i="23" s="1"/>
  <c r="I501" i="23"/>
  <c r="K501" i="23" s="1"/>
  <c r="H501" i="23"/>
  <c r="J501" i="23" s="1"/>
  <c r="I909" i="23"/>
  <c r="K909" i="23" s="1"/>
  <c r="H909" i="23"/>
  <c r="J909" i="23" s="1"/>
  <c r="I1184" i="23"/>
  <c r="K1184" i="23" s="1"/>
  <c r="H1184" i="23"/>
  <c r="J1184" i="23" s="1"/>
  <c r="I132" i="23"/>
  <c r="K132" i="23" s="1"/>
  <c r="H132" i="23"/>
  <c r="J132" i="23" s="1"/>
  <c r="K613" i="23"/>
  <c r="K259" i="23"/>
  <c r="K1261" i="23"/>
  <c r="I475" i="23"/>
  <c r="K475" i="23" s="1"/>
  <c r="H475" i="23"/>
  <c r="J475" i="23" s="1"/>
  <c r="K760" i="23"/>
  <c r="K654" i="23"/>
  <c r="I342" i="23"/>
  <c r="K342" i="23" s="1"/>
  <c r="H342" i="23"/>
  <c r="J342" i="23" s="1"/>
  <c r="I348" i="23"/>
  <c r="K348" i="23" s="1"/>
  <c r="H348" i="23"/>
  <c r="J348" i="23" s="1"/>
  <c r="K512" i="23"/>
  <c r="K946" i="23"/>
  <c r="K246" i="23"/>
  <c r="K824" i="23"/>
  <c r="K718" i="23"/>
  <c r="K713" i="23"/>
  <c r="K1150" i="23"/>
  <c r="H344" i="23"/>
  <c r="J344" i="23" s="1"/>
  <c r="H1196" i="23"/>
  <c r="J1196" i="23" s="1"/>
  <c r="H1352" i="23"/>
  <c r="J1352" i="23" s="1"/>
  <c r="H1096" i="23"/>
  <c r="J1096" i="23" s="1"/>
  <c r="H925" i="23"/>
  <c r="J925" i="23" s="1"/>
  <c r="H783" i="23"/>
  <c r="J783" i="23" s="1"/>
  <c r="H825" i="23"/>
  <c r="J825" i="23" s="1"/>
  <c r="H941" i="23"/>
  <c r="J941" i="23" s="1"/>
  <c r="H791" i="23"/>
  <c r="J791" i="23" s="1"/>
  <c r="H894" i="23"/>
  <c r="J894" i="23" s="1"/>
  <c r="H522" i="23"/>
  <c r="J522" i="23" s="1"/>
  <c r="H561" i="23"/>
  <c r="J561" i="23" s="1"/>
  <c r="H202" i="23"/>
  <c r="J202" i="23" s="1"/>
  <c r="H397" i="23"/>
  <c r="J397" i="23" s="1"/>
  <c r="H314" i="23"/>
  <c r="J314" i="23" s="1"/>
  <c r="H259" i="23"/>
  <c r="J259" i="23" s="1"/>
  <c r="H66" i="23"/>
  <c r="J66" i="23" s="1"/>
  <c r="H244" i="23"/>
  <c r="J244" i="23" s="1"/>
  <c r="H1188" i="23"/>
  <c r="J1188" i="23" s="1"/>
  <c r="H856" i="23"/>
  <c r="J856" i="23" s="1"/>
  <c r="H937" i="23"/>
  <c r="J937" i="23" s="1"/>
  <c r="H428" i="23"/>
  <c r="J428" i="23" s="1"/>
  <c r="H949" i="23"/>
  <c r="J949" i="23" s="1"/>
  <c r="H106" i="23"/>
  <c r="J106" i="23" s="1"/>
  <c r="H31" i="23"/>
  <c r="J31" i="23" s="1"/>
  <c r="H6" i="23"/>
  <c r="J6" i="23" s="1"/>
  <c r="H312" i="23"/>
  <c r="J312" i="23" s="1"/>
  <c r="H295" i="23"/>
  <c r="J295" i="23" s="1"/>
  <c r="H1152" i="23"/>
  <c r="J1152" i="23" s="1"/>
  <c r="H929" i="23"/>
  <c r="J929" i="23" s="1"/>
  <c r="H729" i="23"/>
  <c r="J729" i="23" s="1"/>
  <c r="H695" i="23"/>
  <c r="J695" i="23" s="1"/>
  <c r="H512" i="23"/>
  <c r="J512" i="23" s="1"/>
  <c r="H612" i="23"/>
  <c r="J612" i="23" s="1"/>
  <c r="H118" i="23"/>
  <c r="J118" i="23" s="1"/>
  <c r="H973" i="23"/>
  <c r="J973" i="23" s="1"/>
  <c r="H399" i="23"/>
  <c r="J399" i="23" s="1"/>
  <c r="H355" i="23"/>
  <c r="J355" i="23" s="1"/>
  <c r="H604" i="23"/>
  <c r="J604" i="23" s="1"/>
  <c r="H158" i="23"/>
  <c r="J158" i="23" s="1"/>
  <c r="H669" i="23"/>
  <c r="J669" i="23" s="1"/>
  <c r="H445" i="23"/>
  <c r="J445" i="23" s="1"/>
  <c r="H567" i="23"/>
  <c r="J567" i="23" s="1"/>
  <c r="H336" i="23"/>
  <c r="J336" i="23" s="1"/>
  <c r="H628" i="23"/>
  <c r="J628" i="23" s="1"/>
  <c r="H95" i="23"/>
  <c r="J95" i="23" s="1"/>
  <c r="H207" i="23"/>
  <c r="J207" i="23" s="1"/>
  <c r="H65" i="23"/>
  <c r="J65" i="23" s="1"/>
  <c r="H160" i="23"/>
  <c r="J160" i="23" s="1"/>
  <c r="H1044" i="23"/>
  <c r="J1044" i="23" s="1"/>
  <c r="I478" i="23"/>
  <c r="K478" i="23" s="1"/>
  <c r="H478" i="23"/>
  <c r="J478" i="23" s="1"/>
  <c r="I311" i="23"/>
  <c r="K311" i="23" s="1"/>
  <c r="H311" i="23"/>
  <c r="J311" i="23" s="1"/>
  <c r="I967" i="23"/>
  <c r="K967" i="23" s="1"/>
  <c r="H967" i="23"/>
  <c r="J967" i="23" s="1"/>
  <c r="I831" i="23"/>
  <c r="K831" i="23" s="1"/>
  <c r="H831" i="23"/>
  <c r="J831" i="23" s="1"/>
  <c r="I372" i="23"/>
  <c r="K372" i="23" s="1"/>
  <c r="H372" i="23"/>
  <c r="J372" i="23" s="1"/>
  <c r="I594" i="23"/>
  <c r="K594" i="23" s="1"/>
  <c r="H594" i="23"/>
  <c r="J594" i="23" s="1"/>
  <c r="I211" i="23"/>
  <c r="K211" i="23" s="1"/>
  <c r="H211" i="23"/>
  <c r="J211" i="23" s="1"/>
  <c r="I299" i="23"/>
  <c r="K299" i="23" s="1"/>
  <c r="H299" i="23"/>
  <c r="J299" i="23" s="1"/>
  <c r="I288" i="23"/>
  <c r="K288" i="23" s="1"/>
  <c r="H288" i="23"/>
  <c r="J288" i="23" s="1"/>
  <c r="I370" i="23"/>
  <c r="K370" i="23" s="1"/>
  <c r="H370" i="23"/>
  <c r="J370" i="23" s="1"/>
  <c r="K8" i="23"/>
  <c r="K251" i="23"/>
  <c r="K894" i="23"/>
  <c r="K44" i="23"/>
  <c r="K625" i="23"/>
  <c r="K248" i="23"/>
  <c r="K1376" i="23"/>
  <c r="K452" i="23"/>
  <c r="K724" i="23"/>
  <c r="K1246" i="23"/>
  <c r="K227" i="23"/>
  <c r="K522" i="23"/>
  <c r="K295" i="23"/>
  <c r="K735" i="23"/>
  <c r="I298" i="23"/>
  <c r="K298" i="23" s="1"/>
  <c r="H298" i="23"/>
  <c r="J298" i="23" s="1"/>
  <c r="I414" i="23"/>
  <c r="K414" i="23" s="1"/>
  <c r="H414" i="23"/>
  <c r="J414" i="23" s="1"/>
  <c r="I685" i="23"/>
  <c r="K685" i="23" s="1"/>
  <c r="H685" i="23"/>
  <c r="J685" i="23" s="1"/>
  <c r="I688" i="23"/>
  <c r="K688" i="23" s="1"/>
  <c r="H688" i="23"/>
  <c r="J688" i="23" s="1"/>
  <c r="I823" i="23"/>
  <c r="K823" i="23" s="1"/>
  <c r="H823" i="23"/>
  <c r="J823" i="23" s="1"/>
  <c r="K1208" i="23"/>
  <c r="K175" i="23"/>
  <c r="K672" i="23"/>
  <c r="K647" i="23"/>
  <c r="K646" i="23"/>
  <c r="K343" i="23"/>
  <c r="K1171" i="23"/>
  <c r="K158" i="23"/>
  <c r="K883" i="23"/>
  <c r="K970" i="23"/>
  <c r="K1366" i="23"/>
  <c r="K449" i="23"/>
  <c r="K371" i="23"/>
  <c r="K788" i="23"/>
  <c r="K184" i="23"/>
  <c r="K736" i="23"/>
  <c r="K236" i="23"/>
  <c r="K526" i="23"/>
  <c r="K53" i="23"/>
  <c r="K83" i="23"/>
  <c r="K136" i="23"/>
  <c r="K1058" i="23"/>
  <c r="I353" i="23"/>
  <c r="K353" i="23" s="1"/>
  <c r="H353" i="23"/>
  <c r="J353" i="23" s="1"/>
  <c r="I585" i="23"/>
  <c r="K585" i="23" s="1"/>
  <c r="H585" i="23"/>
  <c r="J585" i="23" s="1"/>
  <c r="I662" i="23"/>
  <c r="K662" i="23" s="1"/>
  <c r="H662" i="23"/>
  <c r="J662" i="23" s="1"/>
  <c r="I69" i="23"/>
  <c r="K69" i="23" s="1"/>
  <c r="H69" i="23"/>
  <c r="J69" i="23" s="1"/>
  <c r="H1236" i="23"/>
  <c r="J1236" i="23" s="1"/>
  <c r="H635" i="23"/>
  <c r="J635" i="23" s="1"/>
  <c r="H479" i="23"/>
  <c r="J479" i="23" s="1"/>
  <c r="H551" i="23"/>
  <c r="J551" i="23" s="1"/>
  <c r="H670" i="23"/>
  <c r="J670" i="23" s="1"/>
  <c r="H547" i="23"/>
  <c r="J547" i="23" s="1"/>
  <c r="H599" i="23"/>
  <c r="J599" i="23" s="1"/>
  <c r="H378" i="23"/>
  <c r="J378" i="23" s="1"/>
  <c r="H347" i="23"/>
  <c r="J347" i="23" s="1"/>
  <c r="H420" i="23"/>
  <c r="J420" i="23" s="1"/>
  <c r="H568" i="23"/>
  <c r="J568" i="23" s="1"/>
  <c r="H407" i="23"/>
  <c r="J407" i="23" s="1"/>
  <c r="H88" i="23"/>
  <c r="J88" i="23" s="1"/>
  <c r="H29" i="23"/>
  <c r="J29" i="23" s="1"/>
  <c r="H181" i="23"/>
  <c r="J181" i="23" s="1"/>
  <c r="H10" i="23"/>
  <c r="J10" i="23" s="1"/>
  <c r="H1104" i="23"/>
  <c r="J1104" i="23" s="1"/>
  <c r="H1264" i="23"/>
  <c r="J1264" i="23" s="1"/>
  <c r="H142" i="23"/>
  <c r="J142" i="23" s="1"/>
  <c r="H1348" i="23"/>
  <c r="J1348" i="23" s="1"/>
  <c r="H563" i="23"/>
  <c r="J563" i="23" s="1"/>
  <c r="H463" i="23"/>
  <c r="J463" i="23" s="1"/>
  <c r="H881" i="23"/>
  <c r="J881" i="23" s="1"/>
  <c r="H517" i="23"/>
  <c r="J517" i="23" s="1"/>
  <c r="H584" i="23"/>
  <c r="J584" i="23" s="1"/>
  <c r="H358" i="23"/>
  <c r="J358" i="23" s="1"/>
  <c r="H188" i="23"/>
  <c r="J188" i="23" s="1"/>
  <c r="H907" i="23"/>
  <c r="J907" i="23" s="1"/>
  <c r="H1174" i="23"/>
  <c r="J1174" i="23" s="1"/>
  <c r="H1120" i="23"/>
  <c r="J1120" i="23" s="1"/>
  <c r="H433" i="23"/>
  <c r="J433" i="23" s="1"/>
  <c r="H401" i="23"/>
  <c r="J401" i="23" s="1"/>
  <c r="H644" i="23"/>
  <c r="J644" i="23" s="1"/>
  <c r="H675" i="23"/>
  <c r="J675" i="23" s="1"/>
  <c r="H425" i="23"/>
  <c r="J425" i="23" s="1"/>
  <c r="H35" i="23"/>
  <c r="J35" i="23" s="1"/>
  <c r="H629" i="23"/>
  <c r="J629" i="23" s="1"/>
  <c r="H122" i="23"/>
  <c r="J122" i="23" s="1"/>
  <c r="H746" i="23"/>
  <c r="J746" i="23" s="1"/>
  <c r="H754" i="23"/>
  <c r="J754" i="23" s="1"/>
  <c r="H869" i="23"/>
  <c r="J869" i="23" s="1"/>
  <c r="H36" i="23"/>
  <c r="J36" i="23" s="1"/>
  <c r="H885" i="23"/>
  <c r="J885" i="23" s="1"/>
  <c r="H441" i="23"/>
  <c r="J441" i="23" s="1"/>
  <c r="H360" i="23"/>
  <c r="J360" i="23" s="1"/>
  <c r="H231" i="23"/>
  <c r="J231" i="23" s="1"/>
  <c r="H279" i="23"/>
  <c r="J279" i="23" s="1"/>
  <c r="H546" i="23"/>
  <c r="J546" i="23" s="1"/>
  <c r="H521" i="23"/>
  <c r="J521" i="23" s="1"/>
  <c r="H583" i="23"/>
  <c r="J583" i="23" s="1"/>
  <c r="H990" i="23"/>
  <c r="J990" i="23" s="1"/>
  <c r="H461" i="23"/>
  <c r="J461" i="23" s="1"/>
  <c r="H332" i="23"/>
  <c r="J332" i="23" s="1"/>
  <c r="H991" i="23"/>
  <c r="J991" i="23" s="1"/>
  <c r="H835" i="23"/>
  <c r="J835" i="23" s="1"/>
  <c r="H696" i="23"/>
  <c r="J696" i="23" s="1"/>
  <c r="H530" i="23"/>
  <c r="J530" i="23" s="1"/>
  <c r="H457" i="23"/>
  <c r="J457" i="23" s="1"/>
  <c r="H330" i="23"/>
  <c r="J330" i="23" s="1"/>
  <c r="H86" i="23"/>
  <c r="J86" i="23" s="1"/>
  <c r="H447" i="23"/>
  <c r="J447" i="23" s="1"/>
  <c r="H1031" i="23"/>
  <c r="J1031" i="23" s="1"/>
  <c r="H560" i="23"/>
  <c r="J560" i="23" s="1"/>
  <c r="H328" i="23"/>
  <c r="J328" i="23" s="1"/>
  <c r="I239" i="23"/>
  <c r="K239" i="23" s="1"/>
  <c r="H239" i="23"/>
  <c r="J239" i="23" s="1"/>
  <c r="I514" i="23"/>
  <c r="K514" i="23" s="1"/>
  <c r="H514" i="23"/>
  <c r="J514" i="23" s="1"/>
  <c r="K153" i="23"/>
  <c r="I109" i="23"/>
  <c r="K109" i="23" s="1"/>
  <c r="H109" i="23"/>
  <c r="J109" i="23" s="1"/>
  <c r="K595" i="23"/>
  <c r="K1256" i="23"/>
  <c r="I301" i="23"/>
  <c r="K301" i="23" s="1"/>
  <c r="H301" i="23"/>
  <c r="J301" i="23" s="1"/>
  <c r="I197" i="23"/>
  <c r="K197" i="23" s="1"/>
  <c r="H197" i="23"/>
  <c r="J197" i="23" s="1"/>
  <c r="I624" i="23"/>
  <c r="K624" i="23" s="1"/>
  <c r="H624" i="23"/>
  <c r="J624" i="23" s="1"/>
  <c r="I494" i="23"/>
  <c r="K494" i="23" s="1"/>
  <c r="H494" i="23"/>
  <c r="J494" i="23" s="1"/>
  <c r="I711" i="23"/>
  <c r="K711" i="23" s="1"/>
  <c r="H711" i="23"/>
  <c r="J711" i="23" s="1"/>
  <c r="I1292" i="23"/>
  <c r="K1292" i="23" s="1"/>
  <c r="H1292" i="23"/>
  <c r="J1292" i="23" s="1"/>
  <c r="I193" i="23"/>
  <c r="K193" i="23" s="1"/>
  <c r="H193" i="23"/>
  <c r="J193" i="23" s="1"/>
  <c r="I21" i="23"/>
  <c r="K21" i="23" s="1"/>
  <c r="H21" i="23"/>
  <c r="J21" i="23" s="1"/>
  <c r="I214" i="23"/>
  <c r="K214" i="23" s="1"/>
  <c r="H214" i="23"/>
  <c r="J214" i="23" s="1"/>
  <c r="I267" i="23"/>
  <c r="K267" i="23" s="1"/>
  <c r="H267" i="23"/>
  <c r="J267" i="23" s="1"/>
  <c r="I351" i="23"/>
  <c r="K351" i="23" s="1"/>
  <c r="H351" i="23"/>
  <c r="J351" i="23" s="1"/>
  <c r="I82" i="23"/>
  <c r="K82" i="23" s="1"/>
  <c r="H82" i="23"/>
  <c r="J82" i="23" s="1"/>
  <c r="I537" i="23"/>
  <c r="K537" i="23" s="1"/>
  <c r="H537" i="23"/>
  <c r="J537" i="23" s="1"/>
  <c r="I490" i="23"/>
  <c r="K490" i="23" s="1"/>
  <c r="H490" i="23"/>
  <c r="J490" i="23" s="1"/>
  <c r="I848" i="23"/>
  <c r="K848" i="23" s="1"/>
  <c r="H848" i="23"/>
  <c r="J848" i="23" s="1"/>
  <c r="I759" i="23"/>
  <c r="K759" i="23" s="1"/>
  <c r="H759" i="23"/>
  <c r="J759" i="23" s="1"/>
  <c r="I895" i="23"/>
  <c r="K895" i="23" s="1"/>
  <c r="H895" i="23"/>
  <c r="J895" i="23" s="1"/>
  <c r="I793" i="23"/>
  <c r="K793" i="23" s="1"/>
  <c r="H793" i="23"/>
  <c r="J793" i="23" s="1"/>
  <c r="I751" i="23"/>
  <c r="K751" i="23" s="1"/>
  <c r="H751" i="23"/>
  <c r="J751" i="23" s="1"/>
  <c r="I879" i="23"/>
  <c r="K879" i="23" s="1"/>
  <c r="H879" i="23"/>
  <c r="J879" i="23" s="1"/>
  <c r="K341" i="23"/>
  <c r="I276" i="23"/>
  <c r="K276" i="23" s="1"/>
  <c r="H276" i="23"/>
  <c r="J276" i="23" s="1"/>
  <c r="I98" i="23"/>
  <c r="K98" i="23" s="1"/>
  <c r="H98" i="23"/>
  <c r="J98" i="23" s="1"/>
  <c r="I291" i="23"/>
  <c r="K291" i="23" s="1"/>
  <c r="H291" i="23"/>
  <c r="J291" i="23" s="1"/>
  <c r="I345" i="23"/>
  <c r="K345" i="23" s="1"/>
  <c r="H345" i="23"/>
  <c r="J345" i="23" s="1"/>
  <c r="I418" i="23"/>
  <c r="K418" i="23" s="1"/>
  <c r="H418" i="23"/>
  <c r="J418" i="23" s="1"/>
  <c r="K657" i="23"/>
  <c r="I1216" i="23"/>
  <c r="K1216" i="23" s="1"/>
  <c r="H1216" i="23"/>
  <c r="J1216" i="23" s="1"/>
  <c r="I39" i="23"/>
  <c r="K39" i="23" s="1"/>
  <c r="H39" i="23"/>
  <c r="J39" i="23" s="1"/>
  <c r="I186" i="23"/>
  <c r="K186" i="23" s="1"/>
  <c r="H186" i="23"/>
  <c r="J186" i="23" s="1"/>
  <c r="I828" i="23"/>
  <c r="K828" i="23" s="1"/>
  <c r="H828" i="23"/>
  <c r="J828" i="23" s="1"/>
  <c r="I870" i="23"/>
  <c r="K870" i="23" s="1"/>
  <c r="H870" i="23"/>
  <c r="J870" i="23" s="1"/>
  <c r="I1324" i="23"/>
  <c r="K1324" i="23" s="1"/>
  <c r="H1324" i="23"/>
  <c r="J1324" i="23" s="1"/>
  <c r="K1141" i="23"/>
  <c r="H321" i="23"/>
  <c r="J321" i="23" s="1"/>
  <c r="H874" i="23"/>
  <c r="J874" i="23" s="1"/>
  <c r="H936" i="23"/>
  <c r="J936" i="23" s="1"/>
  <c r="H481" i="23"/>
  <c r="J481" i="23" s="1"/>
  <c r="H477" i="23"/>
  <c r="J477" i="23" s="1"/>
  <c r="H253" i="23"/>
  <c r="J253" i="23" s="1"/>
  <c r="H944" i="23"/>
  <c r="J944" i="23" s="1"/>
  <c r="H469" i="23"/>
  <c r="J469" i="23" s="1"/>
  <c r="H863" i="23"/>
  <c r="J863" i="23" s="1"/>
  <c r="H1036" i="23"/>
  <c r="J1036" i="23" s="1"/>
  <c r="H483" i="23"/>
  <c r="J483" i="23" s="1"/>
  <c r="H162" i="23"/>
  <c r="J162" i="23" s="1"/>
  <c r="H955" i="23"/>
  <c r="J955" i="23" s="1"/>
  <c r="H289" i="23"/>
  <c r="J289" i="23" s="1"/>
  <c r="H794" i="23"/>
  <c r="J794" i="23" s="1"/>
  <c r="H707" i="23"/>
  <c r="J707" i="23" s="1"/>
  <c r="H912" i="23"/>
  <c r="J912" i="23" s="1"/>
  <c r="H405" i="23"/>
  <c r="J405" i="23" s="1"/>
  <c r="H408" i="23"/>
  <c r="J408" i="23" s="1"/>
  <c r="H139" i="23"/>
  <c r="J139" i="23" s="1"/>
  <c r="H257" i="23"/>
  <c r="J257" i="23" s="1"/>
  <c r="H1164" i="23"/>
  <c r="J1164" i="23" s="1"/>
  <c r="H699" i="23"/>
  <c r="J699" i="23" s="1"/>
  <c r="H819" i="23"/>
  <c r="J819" i="23" s="1"/>
  <c r="H658" i="23"/>
  <c r="J658" i="23" s="1"/>
  <c r="H14" i="23"/>
  <c r="J14" i="23" s="1"/>
  <c r="H309" i="23"/>
  <c r="J309" i="23" s="1"/>
  <c r="H213" i="23"/>
  <c r="J213" i="23" s="1"/>
  <c r="H1026" i="23"/>
  <c r="J1026" i="23" s="1"/>
  <c r="H1312" i="23"/>
  <c r="J1312" i="23" s="1"/>
  <c r="H771" i="23"/>
  <c r="J771" i="23" s="1"/>
  <c r="H153" i="23"/>
  <c r="J153" i="23" s="1"/>
  <c r="H234" i="23"/>
  <c r="J234" i="23" s="1"/>
  <c r="H164" i="23"/>
  <c r="J164" i="23" s="1"/>
  <c r="H914" i="23"/>
  <c r="J914" i="23" s="1"/>
  <c r="H395" i="23"/>
  <c r="J395" i="23" s="1"/>
  <c r="H423" i="23"/>
  <c r="J423" i="23" s="1"/>
  <c r="H18" i="23"/>
  <c r="J18" i="23" s="1"/>
  <c r="H13" i="23"/>
  <c r="J13" i="23" s="1"/>
  <c r="I77" i="23"/>
  <c r="K77" i="23" s="1"/>
  <c r="H77" i="23"/>
  <c r="J77" i="23" s="1"/>
  <c r="I488" i="23"/>
  <c r="K488" i="23" s="1"/>
  <c r="H488" i="23"/>
  <c r="J488" i="23" s="1"/>
  <c r="I590" i="23"/>
  <c r="K590" i="23" s="1"/>
  <c r="H590" i="23"/>
  <c r="J590" i="23" s="1"/>
  <c r="I172" i="23"/>
  <c r="K172" i="23" s="1"/>
  <c r="H172" i="23"/>
  <c r="J172" i="23" s="1"/>
  <c r="I110" i="23"/>
  <c r="K110" i="23" s="1"/>
  <c r="H110" i="23"/>
  <c r="J110" i="23" s="1"/>
  <c r="I271" i="23"/>
  <c r="K271" i="23" s="1"/>
  <c r="H271" i="23"/>
  <c r="J271" i="23" s="1"/>
  <c r="I16" i="23"/>
  <c r="K16" i="23" s="1"/>
  <c r="H16" i="23"/>
  <c r="J16" i="23" s="1"/>
  <c r="I249" i="23"/>
  <c r="K249" i="23" s="1"/>
  <c r="H249" i="23"/>
  <c r="J249" i="23" s="1"/>
  <c r="I532" i="23"/>
  <c r="K532" i="23" s="1"/>
  <c r="H532" i="23"/>
  <c r="J532" i="23" s="1"/>
  <c r="I255" i="23"/>
  <c r="K255" i="23" s="1"/>
  <c r="H255" i="23"/>
  <c r="J255" i="23" s="1"/>
  <c r="I191" i="23"/>
  <c r="K191" i="23" s="1"/>
  <c r="H191" i="23"/>
  <c r="J191" i="23" s="1"/>
  <c r="I626" i="23"/>
  <c r="K626" i="23" s="1"/>
  <c r="H626" i="23"/>
  <c r="J626" i="23" s="1"/>
  <c r="I294" i="23"/>
  <c r="K294" i="23" s="1"/>
  <c r="H294" i="23"/>
  <c r="J294" i="23" s="1"/>
  <c r="I210" i="23"/>
  <c r="K210" i="23" s="1"/>
  <c r="H210" i="23"/>
  <c r="J210" i="23" s="1"/>
  <c r="I486" i="23"/>
  <c r="K486" i="23" s="1"/>
  <c r="H486" i="23"/>
  <c r="J486" i="23" s="1"/>
  <c r="I274" i="23"/>
  <c r="K274" i="23" s="1"/>
  <c r="H274" i="23"/>
  <c r="J274" i="23" s="1"/>
  <c r="I961" i="23"/>
  <c r="K961" i="23" s="1"/>
  <c r="H961" i="23"/>
  <c r="J961" i="23" s="1"/>
  <c r="K1170" i="23"/>
  <c r="I1073" i="23"/>
  <c r="K1073" i="23" s="1"/>
  <c r="H1073" i="23"/>
  <c r="J1073" i="23" s="1"/>
  <c r="I1329" i="23"/>
  <c r="K1329" i="23" s="1"/>
  <c r="H1329" i="23"/>
  <c r="J1329" i="23" s="1"/>
  <c r="I1110" i="23"/>
  <c r="K1110" i="23" s="1"/>
  <c r="H1110" i="23"/>
  <c r="J1110" i="23" s="1"/>
  <c r="I192" i="23"/>
  <c r="K192" i="23" s="1"/>
  <c r="H192" i="23"/>
  <c r="J192" i="23" s="1"/>
  <c r="I1227" i="23"/>
  <c r="K1227" i="23" s="1"/>
  <c r="H1227" i="23"/>
  <c r="J1227" i="23" s="1"/>
  <c r="I1383" i="23"/>
  <c r="K1383" i="23" s="1"/>
  <c r="H1383" i="23"/>
  <c r="J1383" i="23" s="1"/>
  <c r="I1175" i="23"/>
  <c r="K1175" i="23" s="1"/>
  <c r="H1175" i="23"/>
  <c r="J1175" i="23" s="1"/>
  <c r="K1195" i="23"/>
  <c r="K223" i="23"/>
  <c r="I338" i="23"/>
  <c r="K338" i="23" s="1"/>
  <c r="H338" i="23"/>
  <c r="J338" i="23" s="1"/>
  <c r="I780" i="23"/>
  <c r="K780" i="23" s="1"/>
  <c r="H780" i="23"/>
  <c r="J780" i="23" s="1"/>
  <c r="H317" i="23"/>
  <c r="J317" i="23" s="1"/>
  <c r="H135" i="23"/>
  <c r="J135" i="23" s="1"/>
  <c r="H836" i="23"/>
  <c r="J836" i="23" s="1"/>
  <c r="H406" i="23"/>
  <c r="J406" i="23" s="1"/>
  <c r="H429" i="23"/>
  <c r="J429" i="23" s="1"/>
  <c r="H708" i="23"/>
  <c r="J708" i="23" s="1"/>
  <c r="H920" i="23"/>
  <c r="J920" i="23" s="1"/>
  <c r="H691" i="23"/>
  <c r="J691" i="23" s="1"/>
  <c r="H582" i="23"/>
  <c r="J582" i="23" s="1"/>
  <c r="H185" i="23"/>
  <c r="J185" i="23" s="1"/>
  <c r="H120" i="23"/>
  <c r="J120" i="23" s="1"/>
  <c r="H847" i="23"/>
  <c r="J847" i="23" s="1"/>
  <c r="H89" i="23"/>
  <c r="J89" i="23" s="1"/>
  <c r="H391" i="23"/>
  <c r="J391" i="23" s="1"/>
  <c r="H111" i="23"/>
  <c r="J111" i="23" s="1"/>
  <c r="H631" i="23"/>
  <c r="J631" i="23" s="1"/>
  <c r="H572" i="23"/>
  <c r="J572" i="23" s="1"/>
  <c r="H187" i="23"/>
  <c r="J187" i="23" s="1"/>
  <c r="H485" i="23"/>
  <c r="J485" i="23" s="1"/>
  <c r="H40" i="23"/>
  <c r="J40" i="23" s="1"/>
  <c r="H886" i="23"/>
  <c r="J886" i="23" s="1"/>
  <c r="H623" i="23"/>
  <c r="J623" i="23" s="1"/>
  <c r="I868" i="23"/>
  <c r="K868" i="23" s="1"/>
  <c r="H868" i="23"/>
  <c r="J868" i="23" s="1"/>
  <c r="I815" i="23"/>
  <c r="K815" i="23" s="1"/>
  <c r="H815" i="23"/>
  <c r="J815" i="23" s="1"/>
  <c r="I975" i="23"/>
  <c r="K975" i="23" s="1"/>
  <c r="H975" i="23"/>
  <c r="J975" i="23" s="1"/>
  <c r="I23" i="23"/>
  <c r="K23" i="23" s="1"/>
  <c r="H23" i="23"/>
  <c r="J23" i="23" s="1"/>
  <c r="I168" i="23"/>
  <c r="K168" i="23" s="1"/>
  <c r="H168" i="23"/>
  <c r="J168" i="23" s="1"/>
  <c r="I409" i="23"/>
  <c r="K409" i="23" s="1"/>
  <c r="H409" i="23"/>
  <c r="J409" i="23" s="1"/>
  <c r="I243" i="23"/>
  <c r="K243" i="23" s="1"/>
  <c r="H243" i="23"/>
  <c r="J243" i="23" s="1"/>
  <c r="I535" i="23"/>
  <c r="K535" i="23" s="1"/>
  <c r="H535" i="23"/>
  <c r="J535" i="23" s="1"/>
  <c r="I470" i="23"/>
  <c r="K470" i="23" s="1"/>
  <c r="H470" i="23"/>
  <c r="J470" i="23" s="1"/>
  <c r="I659" i="23"/>
  <c r="K659" i="23" s="1"/>
  <c r="H659" i="23"/>
  <c r="J659" i="23" s="1"/>
  <c r="I491" i="23"/>
  <c r="K491" i="23" s="1"/>
  <c r="H491" i="23"/>
  <c r="J491" i="23" s="1"/>
  <c r="I148" i="23"/>
  <c r="K148" i="23" s="1"/>
  <c r="H148" i="23"/>
  <c r="J148" i="23" s="1"/>
  <c r="I322" i="23"/>
  <c r="K322" i="23" s="1"/>
  <c r="H322" i="23"/>
  <c r="J322" i="23" s="1"/>
  <c r="I163" i="23"/>
  <c r="K163" i="23" s="1"/>
  <c r="H163" i="23"/>
  <c r="J163" i="23" s="1"/>
  <c r="I222" i="23"/>
  <c r="K222" i="23" s="1"/>
  <c r="H222" i="23"/>
  <c r="J222" i="23" s="1"/>
  <c r="I198" i="23"/>
  <c r="K198" i="23" s="1"/>
  <c r="H198" i="23"/>
  <c r="J198" i="23" s="1"/>
  <c r="I636" i="23"/>
  <c r="K636" i="23" s="1"/>
  <c r="H636" i="23"/>
  <c r="J636" i="23" s="1"/>
  <c r="I510" i="23"/>
  <c r="K510" i="23" s="1"/>
  <c r="H510" i="23"/>
  <c r="J510" i="23" s="1"/>
  <c r="I458" i="23"/>
  <c r="K458" i="23" s="1"/>
  <c r="H458" i="23"/>
  <c r="J458" i="23" s="1"/>
  <c r="I748" i="23"/>
  <c r="K748" i="23" s="1"/>
  <c r="H748" i="23"/>
  <c r="J748" i="23" s="1"/>
  <c r="I727" i="23"/>
  <c r="K727" i="23" s="1"/>
  <c r="H727" i="23"/>
  <c r="J727" i="23" s="1"/>
  <c r="I845" i="23"/>
  <c r="K845" i="23" s="1"/>
  <c r="H845" i="23"/>
  <c r="J845" i="23" s="1"/>
  <c r="I761" i="23"/>
  <c r="K761" i="23" s="1"/>
  <c r="H761" i="23"/>
  <c r="J761" i="23" s="1"/>
  <c r="I719" i="23"/>
  <c r="K719" i="23" s="1"/>
  <c r="H719" i="23"/>
  <c r="J719" i="23" s="1"/>
  <c r="I816" i="23"/>
  <c r="K816" i="23" s="1"/>
  <c r="H816" i="23"/>
  <c r="J816" i="23" s="1"/>
  <c r="K1082" i="23"/>
  <c r="K297" i="23"/>
  <c r="K1222" i="23"/>
  <c r="K531" i="23"/>
  <c r="K277" i="23"/>
  <c r="K734" i="23"/>
  <c r="K529" i="23"/>
  <c r="K749" i="23"/>
  <c r="K272" i="23"/>
  <c r="K565" i="23"/>
  <c r="K998" i="23"/>
  <c r="H926" i="23"/>
  <c r="J926" i="23" s="1"/>
  <c r="H538" i="23"/>
  <c r="J538" i="23" s="1"/>
  <c r="H577" i="23"/>
  <c r="J577" i="23" s="1"/>
  <c r="H303" i="23"/>
  <c r="J303" i="23" s="1"/>
  <c r="K93" i="23"/>
  <c r="K154" i="23"/>
  <c r="K1377" i="23"/>
  <c r="H11" i="23"/>
  <c r="J11" i="23" s="1"/>
  <c r="H325" i="23"/>
  <c r="J325" i="23" s="1"/>
  <c r="H526" i="23"/>
  <c r="J526" i="23" s="1"/>
  <c r="H236" i="23"/>
  <c r="J236" i="23" s="1"/>
  <c r="H54" i="23"/>
  <c r="J54" i="23" s="1"/>
  <c r="H206" i="23"/>
  <c r="J206" i="23" s="1"/>
  <c r="K1024" i="23"/>
  <c r="H642" i="23"/>
  <c r="J642" i="23" s="1"/>
  <c r="H1248" i="23"/>
  <c r="J1248" i="23" s="1"/>
  <c r="H788" i="23"/>
  <c r="J788" i="23" s="1"/>
  <c r="H107" i="23"/>
  <c r="J107" i="23" s="1"/>
  <c r="H533" i="23"/>
  <c r="J533" i="23" s="1"/>
  <c r="H208" i="23"/>
  <c r="J208" i="23" s="1"/>
  <c r="H903" i="23"/>
  <c r="J903" i="23" s="1"/>
  <c r="H43" i="23"/>
  <c r="J43" i="23" s="1"/>
  <c r="K1395" i="23"/>
  <c r="H1284" i="23"/>
  <c r="J1284" i="23" s="1"/>
  <c r="H1015" i="23"/>
  <c r="J1015" i="23" s="1"/>
  <c r="H736" i="23"/>
  <c r="J736" i="23" s="1"/>
  <c r="H693" i="23"/>
  <c r="J693" i="23" s="1"/>
  <c r="H734" i="23"/>
  <c r="J734" i="23" s="1"/>
  <c r="H776" i="23"/>
  <c r="J776" i="23" s="1"/>
  <c r="H701" i="23"/>
  <c r="J701" i="23" s="1"/>
  <c r="H668" i="23"/>
  <c r="J668" i="23" s="1"/>
  <c r="H432" i="23"/>
  <c r="J432" i="23" s="1"/>
  <c r="H484" i="23"/>
  <c r="J484" i="23" s="1"/>
  <c r="H616" i="23"/>
  <c r="J616" i="23" s="1"/>
  <c r="H96" i="23"/>
  <c r="J96" i="23" s="1"/>
  <c r="H184" i="23"/>
  <c r="J184" i="23" s="1"/>
  <c r="H125" i="23"/>
  <c r="J125" i="23" s="1"/>
  <c r="H277" i="23"/>
  <c r="J277" i="23" s="1"/>
  <c r="H103" i="23"/>
  <c r="J103" i="23" s="1"/>
  <c r="H415" i="23"/>
  <c r="J415" i="23" s="1"/>
  <c r="H427" i="23"/>
  <c r="J427" i="23" s="1"/>
  <c r="H17" i="23"/>
  <c r="J17" i="23" s="1"/>
  <c r="H260" i="23"/>
  <c r="J260" i="23" s="1"/>
  <c r="H319" i="23"/>
  <c r="J319" i="23" s="1"/>
  <c r="H548" i="23"/>
  <c r="J548" i="23" s="1"/>
  <c r="H350" i="23"/>
  <c r="J350" i="23" s="1"/>
  <c r="H64" i="23"/>
  <c r="J64" i="23" s="1"/>
  <c r="H261" i="23"/>
  <c r="J261" i="23" s="1"/>
  <c r="H73" i="23"/>
  <c r="J73" i="23" s="1"/>
  <c r="H307" i="23"/>
  <c r="J307"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9F794DF1-4B0A-4938-984E-6857E8AC8D1A}">
      <text>
        <r>
          <rPr>
            <b/>
            <sz val="9"/>
            <color indexed="81"/>
            <rFont val="Tahoma"/>
            <charset val="177"/>
          </rPr>
          <t>יניב שפירא:</t>
        </r>
        <r>
          <rPr>
            <sz val="9"/>
            <color indexed="81"/>
            <rFont val="Tahoma"/>
            <charset val="177"/>
          </rPr>
          <t xml:space="preserve">
post election</t>
        </r>
      </text>
    </comment>
    <comment ref="AA1" authorId="0" shapeId="0" xr:uid="{A5B968F8-8E48-4896-AD2D-22BFFBAA10A2}">
      <text>
        <r>
          <rPr>
            <b/>
            <sz val="9"/>
            <color indexed="81"/>
            <rFont val="Tahoma"/>
            <charset val="177"/>
          </rPr>
          <t>יניב שפירא:</t>
        </r>
        <r>
          <rPr>
            <sz val="9"/>
            <color indexed="81"/>
            <rFont val="Tahoma"/>
            <charset val="177"/>
          </rPr>
          <t xml:space="preserve">
post Kippur + post election</t>
        </r>
      </text>
    </comment>
    <comment ref="AB1" authorId="0" shapeId="0" xr:uid="{9C93A4D5-59BC-469A-85FF-C5DA97428D6F}">
      <text>
        <r>
          <rPr>
            <b/>
            <sz val="9"/>
            <color indexed="81"/>
            <rFont val="Tahoma"/>
            <charset val="177"/>
          </rPr>
          <t>יניב שפירא:</t>
        </r>
        <r>
          <rPr>
            <sz val="9"/>
            <color indexed="81"/>
            <rFont val="Tahoma"/>
            <charset val="177"/>
          </rPr>
          <t xml:space="preserve">
post Kippur</t>
        </r>
      </text>
    </comment>
    <comment ref="AC1" authorId="0" shapeId="0" xr:uid="{30084070-8717-4348-BAB6-CE6E4740E7D0}">
      <text>
        <r>
          <rPr>
            <b/>
            <sz val="9"/>
            <color indexed="81"/>
            <rFont val="Tahoma"/>
            <charset val="177"/>
          </rPr>
          <t>יניב שפירא:</t>
        </r>
        <r>
          <rPr>
            <sz val="9"/>
            <color indexed="81"/>
            <rFont val="Tahoma"/>
            <charset val="177"/>
          </rPr>
          <t xml:space="preserve">
post Kippur</t>
        </r>
      </text>
    </comment>
    <comment ref="AF1" authorId="0" shapeId="0" xr:uid="{342F16C5-B52A-4B12-A000-C308367CDB88}">
      <text>
        <r>
          <rPr>
            <b/>
            <sz val="9"/>
            <color indexed="81"/>
            <rFont val="Tahoma"/>
            <charset val="177"/>
          </rPr>
          <t>יניב שפירא:</t>
        </r>
        <r>
          <rPr>
            <sz val="9"/>
            <color indexed="81"/>
            <rFont val="Tahoma"/>
            <charset val="177"/>
          </rPr>
          <t xml:space="preserve">
pre + post election</t>
        </r>
      </text>
    </comment>
    <comment ref="L3" authorId="0" shapeId="0" xr:uid="{BD0512BB-8A03-4404-961E-6D8FDA7EEB18}">
      <text>
        <r>
          <rPr>
            <b/>
            <sz val="9"/>
            <color indexed="81"/>
            <rFont val="Tahoma"/>
            <family val="2"/>
          </rPr>
          <t>יניב שפירא:</t>
        </r>
        <r>
          <rPr>
            <sz val="9"/>
            <color indexed="81"/>
            <rFont val="Tahoma"/>
            <family val="2"/>
          </rPr>
          <t xml:space="preserve">
1 = ינואר
2 = פברואר</t>
        </r>
      </text>
    </comment>
    <comment ref="A5" authorId="0" shapeId="0" xr:uid="{AF2F546C-C217-4646-BDD9-F96AFEBC8C4C}">
      <text>
        <r>
          <rPr>
            <b/>
            <sz val="9"/>
            <color indexed="81"/>
            <rFont val="Tahoma"/>
            <family val="2"/>
          </rPr>
          <t>יניב שפירא:</t>
        </r>
        <r>
          <rPr>
            <sz val="9"/>
            <color indexed="81"/>
            <rFont val="Tahoma"/>
            <family val="2"/>
          </rPr>
          <t xml:space="preserve">
שאלה 145
אין קידוד בstata
גם ב2020 וגם ב2019
גם ב2021</t>
        </r>
      </text>
    </comment>
    <comment ref="D6" authorId="0" shapeId="0" xr:uid="{F8451A7E-5DB4-40B5-8107-017CE9F7B951}">
      <text>
        <r>
          <rPr>
            <b/>
            <sz val="9"/>
            <color indexed="81"/>
            <rFont val="Tahoma"/>
            <charset val="177"/>
          </rPr>
          <t>יניב שפירא:</t>
        </r>
        <r>
          <rPr>
            <sz val="9"/>
            <color indexed="81"/>
            <rFont val="Tahoma"/>
            <charset val="177"/>
          </rPr>
          <t xml:space="preserve">
1 = יהודי
2 = ערבי</t>
        </r>
      </text>
    </comment>
    <comment ref="F8" authorId="0" shapeId="0" xr:uid="{EF5D0969-2407-45A9-8CEC-BAAA429ADC03}">
      <text>
        <r>
          <rPr>
            <b/>
            <sz val="9"/>
            <color indexed="81"/>
            <rFont val="Tahoma"/>
            <charset val="177"/>
          </rPr>
          <t>יניב שפירא:</t>
        </r>
        <r>
          <rPr>
            <sz val="9"/>
            <color indexed="81"/>
            <rFont val="Tahoma"/>
            <charset val="177"/>
          </rPr>
          <t xml:space="preserve">
1 = גרסה A
2 = גרסה B</t>
        </r>
      </text>
    </comment>
    <comment ref="I8" authorId="0" shapeId="0" xr:uid="{EFFA1C68-EB85-4D8B-B76F-953D3F56661A}">
      <text>
        <r>
          <rPr>
            <b/>
            <sz val="9"/>
            <color indexed="81"/>
            <rFont val="Tahoma"/>
            <charset val="177"/>
          </rPr>
          <t>יניב שפירא:</t>
        </r>
        <r>
          <rPr>
            <sz val="9"/>
            <color indexed="81"/>
            <rFont val="Tahoma"/>
            <charset val="177"/>
          </rPr>
          <t xml:space="preserve">
a , b, c</t>
        </r>
      </text>
    </comment>
    <comment ref="L9" authorId="0" shapeId="0" xr:uid="{8C594D42-BC09-4B47-86E2-CEDC9C09BDF7}">
      <text>
        <r>
          <rPr>
            <b/>
            <sz val="9"/>
            <color indexed="81"/>
            <rFont val="Tahoma"/>
            <family val="2"/>
          </rPr>
          <t>יניב שפירא:</t>
        </r>
        <r>
          <rPr>
            <sz val="9"/>
            <color indexed="81"/>
            <rFont val="Tahoma"/>
            <family val="2"/>
          </rPr>
          <t xml:space="preserve">
1 = עברית
2 = ערבית
3 = רוסית</t>
        </r>
      </text>
    </comment>
    <comment ref="W10" authorId="0" shapeId="0" xr:uid="{89360187-9931-41CB-B2B4-E390BDFA685F}">
      <text>
        <r>
          <rPr>
            <b/>
            <sz val="9"/>
            <color indexed="81"/>
            <rFont val="Tahoma"/>
            <charset val="177"/>
          </rPr>
          <t>יניב שפירא:</t>
        </r>
        <r>
          <rPr>
            <sz val="9"/>
            <color indexed="81"/>
            <rFont val="Tahoma"/>
            <charset val="177"/>
          </rPr>
          <t xml:space="preserve">
1 = 20-25
2 = 25-29
3 = 30-34
4 = 35-39
5 = 40-44
6 = 45-49
7 = 50-54
8 = 55-64
9 = 65+</t>
        </r>
      </text>
    </comment>
    <comment ref="AB10" authorId="0" shapeId="0" xr:uid="{EC521A8F-386F-47A0-BBD6-E3D7DFC5B7DA}">
      <text>
        <r>
          <rPr>
            <b/>
            <sz val="9"/>
            <color indexed="81"/>
            <rFont val="Tahoma"/>
            <charset val="177"/>
          </rPr>
          <t>יניב שפירא:</t>
        </r>
        <r>
          <rPr>
            <sz val="9"/>
            <color indexed="81"/>
            <rFont val="Tahoma"/>
            <charset val="177"/>
          </rPr>
          <t xml:space="preserve">
1 = 20-24
2 = 25-29
3 = 30-34
4 = 35-39
5 = 40-44
6 = 45-49
7 = 50-54
8 = 55-64
9 = 65+</t>
        </r>
      </text>
    </comment>
    <comment ref="AH10" authorId="0" shapeId="0" xr:uid="{F66BBC09-5F8E-4B02-9299-E06B5676AC39}">
      <text>
        <r>
          <rPr>
            <b/>
            <sz val="9"/>
            <color indexed="81"/>
            <rFont val="Tahoma"/>
            <charset val="177"/>
          </rPr>
          <t>יניב שפירא:</t>
        </r>
        <r>
          <rPr>
            <sz val="9"/>
            <color indexed="81"/>
            <rFont val="Tahoma"/>
            <charset val="177"/>
          </rPr>
          <t xml:space="preserve">
1 = 18-24
2 = 25-29
3 = 30-34
4 = 35-39
5 = 40-44
6 = 45-49
7 = 50-54
8 = 55-64
9 = 65+</t>
        </r>
      </text>
    </comment>
    <comment ref="D12" authorId="0" shapeId="0" xr:uid="{1A44DC3A-6F0B-470F-BE02-B5E56990A823}">
      <text>
        <r>
          <rPr>
            <b/>
            <sz val="9"/>
            <color indexed="81"/>
            <rFont val="Tahoma"/>
            <family val="2"/>
          </rPr>
          <t>יניב שפירא:</t>
        </r>
        <r>
          <rPr>
            <sz val="9"/>
            <color indexed="81"/>
            <rFont val="Tahoma"/>
            <family val="2"/>
          </rPr>
          <t xml:space="preserve">
1 = 18-22
2 = 23-29
3 = 30-39
4 = 40-49
5 = 50-59
6 = 60-69
7 = 70-79
8 = 80 ומעלה</t>
        </r>
      </text>
    </comment>
    <comment ref="D13" authorId="0" shapeId="0" xr:uid="{CAB905A7-CF5F-4695-8A5A-A3C8C08E3997}">
      <text>
        <r>
          <rPr>
            <b/>
            <sz val="9"/>
            <color indexed="81"/>
            <rFont val="Tahoma"/>
            <family val="2"/>
          </rPr>
          <t>יניב שפירא:</t>
        </r>
        <r>
          <rPr>
            <sz val="9"/>
            <color indexed="81"/>
            <rFont val="Tahoma"/>
            <family val="2"/>
          </rPr>
          <t xml:space="preserve">
1 = male
2 = female</t>
        </r>
      </text>
    </comment>
    <comment ref="M13" authorId="0" shapeId="0" xr:uid="{1D4FBBA8-1C9E-43B7-9D5D-375E6B51801D}">
      <text>
        <r>
          <rPr>
            <b/>
            <sz val="9"/>
            <color indexed="81"/>
            <rFont val="Tahoma"/>
            <family val="2"/>
          </rPr>
          <t>יניב שפירא:</t>
        </r>
        <r>
          <rPr>
            <sz val="9"/>
            <color indexed="81"/>
            <rFont val="Tahoma"/>
            <family val="2"/>
          </rPr>
          <t xml:space="preserve">
1 = אישה
2 = גבר</t>
        </r>
      </text>
    </comment>
    <comment ref="N13" authorId="0" shapeId="0" xr:uid="{C63AE633-BB8D-47A2-972B-39DF09FADCF9}">
      <text>
        <r>
          <rPr>
            <b/>
            <sz val="9"/>
            <color indexed="81"/>
            <rFont val="Tahoma"/>
            <family val="2"/>
          </rPr>
          <t>יניב שפירא:</t>
        </r>
        <r>
          <rPr>
            <sz val="9"/>
            <color indexed="81"/>
            <rFont val="Tahoma"/>
            <family val="2"/>
          </rPr>
          <t xml:space="preserve">
1 = זכר
2 = נקבה</t>
        </r>
      </text>
    </comment>
    <comment ref="O13" authorId="0" shapeId="0" xr:uid="{56B31E09-F5CD-4A4D-8C42-DAAA49987171}">
      <text>
        <r>
          <rPr>
            <b/>
            <sz val="9"/>
            <color indexed="81"/>
            <rFont val="Tahoma"/>
            <family val="2"/>
          </rPr>
          <t>יניב שפירא:</t>
        </r>
        <r>
          <rPr>
            <sz val="9"/>
            <color indexed="81"/>
            <rFont val="Tahoma"/>
            <family val="2"/>
          </rPr>
          <t xml:space="preserve">
1 = אישה
2 = גבר</t>
        </r>
      </text>
    </comment>
    <comment ref="T13" authorId="0" shapeId="0" xr:uid="{9937028E-8B33-4B14-AD51-5C2342036208}">
      <text>
        <r>
          <rPr>
            <b/>
            <sz val="9"/>
            <color indexed="81"/>
            <rFont val="Tahoma"/>
            <charset val="177"/>
          </rPr>
          <t>יניב שפירא:</t>
        </r>
        <r>
          <rPr>
            <sz val="9"/>
            <color indexed="81"/>
            <rFont val="Tahoma"/>
            <charset val="177"/>
          </rPr>
          <t xml:space="preserve">
1 = גבר
2 = אישה</t>
        </r>
      </text>
    </comment>
    <comment ref="D14" authorId="0" shapeId="0" xr:uid="{B78FA745-7203-41F6-85C9-AF14F6375D45}">
      <text>
        <r>
          <rPr>
            <b/>
            <sz val="9"/>
            <color indexed="81"/>
            <rFont val="Tahoma"/>
            <family val="2"/>
          </rPr>
          <t>יניב שפירא:</t>
        </r>
        <r>
          <rPr>
            <sz val="9"/>
            <color indexed="81"/>
            <rFont val="Tahoma"/>
            <family val="2"/>
          </rPr>
          <t xml:space="preserve">
1 = עממית או פחות
2 = תיכונית חלקית
3 = תיכונית מלאה - ללא בגרות
4 = תיכונית מלאה - עם בגרות
5 = על תיכונית לא אקדמית
6 = תואר אקדמאי חלקי
7 = תואר ראשון
8 = תואר שני ומעלה</t>
        </r>
      </text>
    </comment>
    <comment ref="S15" authorId="0" shapeId="0" xr:uid="{A460F9AB-A7CF-4CF4-965B-DFED6A320FD7}">
      <text>
        <r>
          <rPr>
            <b/>
            <sz val="9"/>
            <color indexed="81"/>
            <rFont val="Tahoma"/>
            <family val="2"/>
          </rPr>
          <t>יניב שפירא:</t>
        </r>
        <r>
          <rPr>
            <sz val="9"/>
            <color indexed="81"/>
            <rFont val="Tahoma"/>
            <family val="2"/>
          </rPr>
          <t xml:space="preserve">
1 = לא למד בכלל
2 = עד 4 שנים
3 = 5-8
4 = 9-10
5 = 11
6 = 12
7 = 13 + (בלי תואר)
8 = בעל תואר</t>
        </r>
      </text>
    </comment>
    <comment ref="D16" authorId="0" shapeId="0" xr:uid="{5677A756-DB6D-465F-8248-D4A32287DF1F}">
      <text>
        <r>
          <rPr>
            <b/>
            <sz val="9"/>
            <color indexed="81"/>
            <rFont val="Tahoma"/>
            <family val="2"/>
          </rPr>
          <t>יניב שפירא:</t>
        </r>
        <r>
          <rPr>
            <sz val="9"/>
            <color indexed="81"/>
            <rFont val="Tahoma"/>
            <family val="2"/>
          </rPr>
          <t xml:space="preserve">
1 = yes
2 = no</t>
        </r>
      </text>
    </comment>
    <comment ref="A17" authorId="0" shapeId="0" xr:uid="{27417990-FDD7-4277-980D-B59C353C693A}">
      <text>
        <r>
          <rPr>
            <b/>
            <sz val="9"/>
            <color indexed="81"/>
            <rFont val="Tahoma"/>
            <charset val="177"/>
          </rPr>
          <t>יניב שפירא:</t>
        </r>
        <r>
          <rPr>
            <sz val="9"/>
            <color indexed="81"/>
            <rFont val="Tahoma"/>
            <charset val="177"/>
          </rPr>
          <t xml:space="preserve">
שאלה פתוחה</t>
        </r>
      </text>
    </comment>
    <comment ref="I17" authorId="0" shapeId="0" xr:uid="{6B4E86E8-CC7D-48F7-9FCB-3E848AC21E48}">
      <text>
        <r>
          <rPr>
            <b/>
            <sz val="9"/>
            <color indexed="81"/>
            <rFont val="Tahoma"/>
            <family val="2"/>
          </rPr>
          <t>יניב שפירא:</t>
        </r>
        <r>
          <rPr>
            <sz val="9"/>
            <color indexed="81"/>
            <rFont val="Tahoma"/>
            <family val="2"/>
          </rPr>
          <t xml:space="preserve">
קידוד לתשובות תחת
</t>
        </r>
        <r>
          <rPr>
            <b/>
            <sz val="9"/>
            <color indexed="81"/>
            <rFont val="Tahoma"/>
            <family val="2"/>
          </rPr>
          <t>nv176</t>
        </r>
      </text>
    </comment>
    <comment ref="AF17" authorId="0" shapeId="0" xr:uid="{6EF0EAEA-FE5A-4D9C-8CBB-299B0A6C08E8}">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18" authorId="0" shapeId="0" xr:uid="{70DCCA11-9967-439F-906D-F7C596B3B03A}">
      <text>
        <r>
          <rPr>
            <b/>
            <sz val="9"/>
            <color indexed="81"/>
            <rFont val="Tahoma"/>
            <family val="2"/>
          </rPr>
          <t>יניב שפירא:</t>
        </r>
        <r>
          <rPr>
            <sz val="9"/>
            <color indexed="81"/>
            <rFont val="Tahoma"/>
            <family val="2"/>
          </rPr>
          <t xml:space="preserve">
יהודים בלבד</t>
        </r>
      </text>
    </comment>
    <comment ref="D18" authorId="0" shapeId="0" xr:uid="{F1831827-976C-47C9-B2F0-AC42AF993715}">
      <text>
        <r>
          <rPr>
            <b/>
            <sz val="9"/>
            <color indexed="81"/>
            <rFont val="Tahoma"/>
            <family val="2"/>
          </rPr>
          <t>יניב שפירא:</t>
        </r>
        <r>
          <rPr>
            <sz val="9"/>
            <color indexed="81"/>
            <rFont val="Tahoma"/>
            <family val="2"/>
          </rPr>
          <t xml:space="preserve">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r>
      </text>
    </comment>
    <comment ref="F18" authorId="0" shapeId="0" xr:uid="{38E8B46A-66F6-49AD-B4AC-7EBE0B5A1216}">
      <text>
        <r>
          <rPr>
            <b/>
            <sz val="9"/>
            <color indexed="81"/>
            <rFont val="Tahoma"/>
            <family val="2"/>
          </rPr>
          <t>יניב שפירא:</t>
        </r>
        <r>
          <rPr>
            <sz val="9"/>
            <color indexed="81"/>
            <rFont val="Tahoma"/>
            <family val="2"/>
          </rPr>
          <t xml:space="preserve">
1 = ישראל
2 = אסיה או אפריקה
3 = אירופה או אמריקה
4 = בהר"מ/חבר העמים</t>
        </r>
      </text>
    </comment>
    <comment ref="L18" authorId="0" shapeId="0" xr:uid="{B5C4D1AC-0853-4348-8C09-76BCC447B3E5}">
      <text>
        <r>
          <rPr>
            <b/>
            <sz val="9"/>
            <color indexed="81"/>
            <rFont val="Tahoma"/>
            <family val="2"/>
          </rPr>
          <t>יניב שפירא:</t>
        </r>
        <r>
          <rPr>
            <sz val="9"/>
            <color indexed="81"/>
            <rFont val="Tahoma"/>
            <family val="2"/>
          </rPr>
          <t xml:space="preserve">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r>
      </text>
    </comment>
    <comment ref="T18" authorId="0" shapeId="0" xr:uid="{B692E34B-63DA-47F4-98EA-9B2F55B3DCCD}">
      <text>
        <r>
          <rPr>
            <b/>
            <sz val="9"/>
            <color indexed="81"/>
            <rFont val="Tahoma"/>
            <charset val="177"/>
          </rPr>
          <t>יניב שפירא:</t>
        </r>
        <r>
          <rPr>
            <sz val="9"/>
            <color indexed="81"/>
            <rFont val="Tahoma"/>
            <charset val="177"/>
          </rPr>
          <t xml:space="preserve">
1 = ישראל-ישראל
2 = ישראל- אסיה/אפריקה
3 = ישראל- אירופה/אמריקה
4 = אסיה/אפריקה-אסיה/אפריקה
5 = אירופה/אמריקה- אירופה/אמריקה
6 = כל צירוף אחר</t>
        </r>
      </text>
    </comment>
    <comment ref="AF18" authorId="0" shapeId="0" xr:uid="{41A1AC4D-6D40-49CD-9209-12F889986931}">
      <text>
        <r>
          <rPr>
            <b/>
            <sz val="9"/>
            <color indexed="81"/>
            <rFont val="Tahoma"/>
            <charset val="177"/>
          </rPr>
          <t>יניב שפירא:</t>
        </r>
        <r>
          <rPr>
            <sz val="9"/>
            <color indexed="81"/>
            <rFont val="Tahoma"/>
            <charset val="177"/>
          </rPr>
          <t xml:space="preserve">
1 = אסיה וצפון אפריקה
2 = אירופה ואנגלו-סכסיות
3 = ישראל והאב מאסיה צפון אפריקה
4 = ישראל והאב אירופה או האנגלו-סכסיות
5 = ישראל וגם האב ישראל</t>
        </r>
      </text>
    </comment>
    <comment ref="A19" authorId="0" shapeId="0" xr:uid="{58F50A0F-615A-4D12-B5FC-6752EC7909B3}">
      <text>
        <r>
          <rPr>
            <b/>
            <sz val="9"/>
            <color indexed="81"/>
            <rFont val="Tahoma"/>
            <family val="2"/>
          </rPr>
          <t>יניב שפירא:</t>
        </r>
        <r>
          <rPr>
            <sz val="9"/>
            <color indexed="81"/>
            <rFont val="Tahoma"/>
            <family val="2"/>
          </rPr>
          <t xml:space="preserve">
יהודים בלבד</t>
        </r>
      </text>
    </comment>
    <comment ref="Q19" authorId="0" shapeId="0" xr:uid="{93535A76-8848-4AD0-9AE1-AE9105589293}">
      <text>
        <r>
          <rPr>
            <b/>
            <sz val="9"/>
            <color indexed="81"/>
            <rFont val="Tahoma"/>
            <family val="2"/>
          </rPr>
          <t>יניב שפירא:</t>
        </r>
        <r>
          <rPr>
            <sz val="9"/>
            <color indexed="81"/>
            <rFont val="Tahoma"/>
            <family val="2"/>
          </rPr>
          <t xml:space="preserve">
1 = יליד הארץ
2 = לפני 1948
3 = 1948-1954
4 = 1955-1960
5 = 61-66
6 = 67-72
7 = 73-77
8 = 78-83
9 = 1984 ומעלה</t>
        </r>
      </text>
    </comment>
    <comment ref="T19" authorId="0" shapeId="0" xr:uid="{CCF2D386-B62D-4C3F-9DEA-8805A0F58746}">
      <text>
        <r>
          <rPr>
            <b/>
            <sz val="9"/>
            <color indexed="81"/>
            <rFont val="Tahoma"/>
            <charset val="177"/>
          </rPr>
          <t>יניב שפירא:</t>
        </r>
        <r>
          <rPr>
            <sz val="9"/>
            <color indexed="81"/>
            <rFont val="Tahoma"/>
            <charset val="177"/>
          </rPr>
          <t xml:space="preserve">
1 = יליד הארץ
2 = לפני 1948
3 = 1948-1954
4 = 1955-1960
5 = 61-66
6 = 67-72
7 = 73-77
8 = 78-79
9 = 1980 ואלך</t>
        </r>
      </text>
    </comment>
    <comment ref="A20" authorId="0" shapeId="0" xr:uid="{E869B75E-3A1B-4781-A8D9-FBBD9E2F8895}">
      <text>
        <r>
          <rPr>
            <b/>
            <sz val="9"/>
            <color indexed="81"/>
            <rFont val="Tahoma"/>
            <family val="2"/>
          </rPr>
          <t>יניב שפירא:</t>
        </r>
        <r>
          <rPr>
            <sz val="9"/>
            <color indexed="81"/>
            <rFont val="Tahoma"/>
            <family val="2"/>
          </rPr>
          <t xml:space="preserve">
יהודים בלבד</t>
        </r>
      </text>
    </comment>
    <comment ref="B20" authorId="1" shapeId="0" xr:uid="{97E9272A-FE87-401A-B624-1C5263355164}">
      <text>
        <r>
          <rPr>
            <b/>
            <sz val="9"/>
            <color indexed="81"/>
            <rFont val="Tahoma"/>
            <family val="2"/>
          </rPr>
          <t>adi:</t>
        </r>
        <r>
          <rPr>
            <sz val="9"/>
            <color indexed="81"/>
            <rFont val="Tahoma"/>
            <family val="2"/>
          </rPr>
          <t xml:space="preserve">
1 = אשכנזי
2 = ספרדי
3 = מזרחי
4 = אחר (פרט):_____</t>
        </r>
      </text>
    </comment>
    <comment ref="D20" authorId="0" shapeId="0" xr:uid="{8F6156C1-5EFD-4ADE-89A3-B849B07D11A8}">
      <text>
        <r>
          <rPr>
            <b/>
            <sz val="9"/>
            <color indexed="81"/>
            <rFont val="Tahoma"/>
            <family val="2"/>
          </rPr>
          <t>יניב שפירא:</t>
        </r>
        <r>
          <rPr>
            <sz val="9"/>
            <color indexed="81"/>
            <rFont val="Tahoma"/>
            <family val="2"/>
          </rPr>
          <t xml:space="preserve">
1 = אשכנזי
2 = ספרדי
3 = מזרחי
4 = אחר
5 = מעורב
6 = לא זה ולא זה, לא מגדיר את עצמי לפי מוצא עדתי</t>
        </r>
      </text>
    </comment>
    <comment ref="N20" authorId="0" shapeId="0" xr:uid="{F625CBF7-2F0A-42CF-8204-CED969CAA35C}">
      <text>
        <r>
          <rPr>
            <b/>
            <sz val="9"/>
            <color indexed="81"/>
            <rFont val="Tahoma"/>
            <family val="2"/>
          </rPr>
          <t>יניב שפירא:</t>
        </r>
        <r>
          <rPr>
            <sz val="9"/>
            <color indexed="81"/>
            <rFont val="Tahoma"/>
            <family val="2"/>
          </rPr>
          <t xml:space="preserve">
1 = אשכנזי
2 = ספרדי
3 = לא זה ולא זה</t>
        </r>
      </text>
    </comment>
    <comment ref="O20" authorId="0" shapeId="0" xr:uid="{8E5D75EA-39F0-4E47-835B-FA67C81934AF}">
      <text>
        <r>
          <rPr>
            <b/>
            <sz val="9"/>
            <color indexed="81"/>
            <rFont val="Tahoma"/>
            <family val="2"/>
          </rPr>
          <t>יניב שפירא:</t>
        </r>
        <r>
          <rPr>
            <sz val="9"/>
            <color indexed="81"/>
            <rFont val="Tahoma"/>
            <family val="2"/>
          </rPr>
          <t xml:space="preserve">
1 = אשכנזי
2 = ספרדי
3 = לא זה ולא זה
4 = שניהם</t>
        </r>
      </text>
    </comment>
    <comment ref="P20" authorId="0" shapeId="0" xr:uid="{FA908CA1-AD7C-4AF3-A436-81A563D943E1}">
      <text>
        <r>
          <rPr>
            <b/>
            <sz val="9"/>
            <color indexed="81"/>
            <rFont val="Tahoma"/>
            <charset val="177"/>
          </rPr>
          <t>יניב שפירא:</t>
        </r>
        <r>
          <rPr>
            <sz val="9"/>
            <color indexed="81"/>
            <rFont val="Tahoma"/>
            <charset val="177"/>
          </rPr>
          <t xml:space="preserve">
1 = אשכנזי
2 = ספרדי
3 = לא זה ולא זה</t>
        </r>
      </text>
    </comment>
    <comment ref="Q20" authorId="0" shapeId="0" xr:uid="{75678FB8-6E78-4BEE-A5F4-F686AFEBE15F}">
      <text>
        <r>
          <rPr>
            <b/>
            <sz val="9"/>
            <color indexed="81"/>
            <rFont val="Tahoma"/>
            <family val="2"/>
          </rPr>
          <t>יניב שפירא:</t>
        </r>
        <r>
          <rPr>
            <sz val="9"/>
            <color indexed="81"/>
            <rFont val="Tahoma"/>
            <family val="2"/>
          </rPr>
          <t xml:space="preserve">
1 = אשכנזי
2 = ספרדי
3 = לא זה ולא זה
4 = שניהם</t>
        </r>
      </text>
    </comment>
    <comment ref="S20" authorId="0" shapeId="0" xr:uid="{7A8A3180-CD88-4C42-A0FD-6F3092EA9B06}">
      <text>
        <r>
          <rPr>
            <b/>
            <sz val="9"/>
            <color indexed="81"/>
            <rFont val="Tahoma"/>
            <family val="2"/>
          </rPr>
          <t>יניב שפירא:</t>
        </r>
        <r>
          <rPr>
            <sz val="9"/>
            <color indexed="81"/>
            <rFont val="Tahoma"/>
            <family val="2"/>
          </rPr>
          <t xml:space="preserve">
1 = אשכנזי
2 = ספרדי
3 = לא זה ולא זה</t>
        </r>
      </text>
    </comment>
    <comment ref="L21" authorId="0" shapeId="0" xr:uid="{F8D26E99-F312-4B6B-AD56-E06A9164AD9F}">
      <text>
        <r>
          <rPr>
            <b/>
            <sz val="9"/>
            <color indexed="81"/>
            <rFont val="Tahoma"/>
            <family val="2"/>
          </rPr>
          <t>יניב שפירא:</t>
        </r>
        <r>
          <rPr>
            <sz val="9"/>
            <color indexed="81"/>
            <rFont val="Tahoma"/>
            <family val="2"/>
          </rPr>
          <t xml:space="preserve">
1 = כן
2 = לא</t>
        </r>
      </text>
    </comment>
    <comment ref="B22" authorId="1" shapeId="0" xr:uid="{17BAA417-A06E-4A2F-9FE1-F51DF3B52124}">
      <text>
        <r>
          <rPr>
            <b/>
            <sz val="9"/>
            <color indexed="81"/>
            <rFont val="Tahoma"/>
            <family val="2"/>
          </rPr>
          <t>adi:</t>
        </r>
        <r>
          <rPr>
            <sz val="9"/>
            <color indexed="81"/>
            <rFont val="Tahoma"/>
            <family val="2"/>
          </rPr>
          <t xml:space="preserve">
1 = ישראלי
2 = יהודי (לערבים: פלסטיני)
3 = העדה שלי (לערבים: הדת שלי)
4 = החילוניות/דתיות שלי</t>
        </r>
      </text>
    </comment>
    <comment ref="I22" authorId="0" shapeId="0" xr:uid="{DCC0D34D-C31B-4E2A-88F7-0661C8286368}">
      <text>
        <r>
          <rPr>
            <b/>
            <sz val="9"/>
            <color indexed="81"/>
            <rFont val="Tahoma"/>
            <family val="2"/>
          </rPr>
          <t>יניב שפירא:</t>
        </r>
        <r>
          <rPr>
            <sz val="9"/>
            <color indexed="81"/>
            <rFont val="Tahoma"/>
            <family val="2"/>
          </rPr>
          <t xml:space="preserve">
רק יהודים
1 = ישראלי
2 = יהודי
3 = העדה שלי
4 = החילוניות/דתיות שלי</t>
        </r>
      </text>
    </comment>
    <comment ref="L22" authorId="0" shapeId="0" xr:uid="{03610B0E-3052-437B-907D-3AF9AF35D510}">
      <text>
        <r>
          <rPr>
            <b/>
            <sz val="9"/>
            <color indexed="81"/>
            <rFont val="Tahoma"/>
            <family val="2"/>
          </rPr>
          <t>יניב שפירא:</t>
        </r>
        <r>
          <rPr>
            <sz val="9"/>
            <color indexed="81"/>
            <rFont val="Tahoma"/>
            <family val="2"/>
          </rPr>
          <t xml:space="preserve">
1 = ישראלי (ערבי)
2 = פלסטיני
3 = ערבי
4 = הדת שלי (מוסלמי/נוצרי/דרוזי)
5 = ישראלי (יהודי)
6 = יהודי
7 = העדה שלי
8 = החילוניות/דתיות שלי</t>
        </r>
      </text>
    </comment>
    <comment ref="M22" authorId="0" shapeId="0" xr:uid="{9798E079-92A4-499D-8036-426C8AD1373E}">
      <text>
        <r>
          <rPr>
            <b/>
            <sz val="9"/>
            <color indexed="81"/>
            <rFont val="Tahoma"/>
            <family val="2"/>
          </rPr>
          <t>יניב שפירא:</t>
        </r>
        <r>
          <rPr>
            <sz val="9"/>
            <color indexed="81"/>
            <rFont val="Tahoma"/>
            <family val="2"/>
          </rPr>
          <t xml:space="preserve">
1 = ישראלי
2 = יהודי
3 = העדה שלי
4 = חילוניות/דתיות שלי</t>
        </r>
      </text>
    </comment>
    <comment ref="A26" authorId="0" shapeId="0" xr:uid="{7368C4FF-333F-4B57-820C-368C944DA5AC}">
      <text>
        <r>
          <rPr>
            <b/>
            <sz val="9"/>
            <color indexed="81"/>
            <rFont val="Tahoma"/>
            <family val="2"/>
          </rPr>
          <t>יניב שפירא:</t>
        </r>
        <r>
          <rPr>
            <sz val="9"/>
            <color indexed="81"/>
            <rFont val="Tahoma"/>
            <family val="2"/>
          </rPr>
          <t xml:space="preserve">
יהודים בלבד</t>
        </r>
      </text>
    </comment>
    <comment ref="D26" authorId="0" shapeId="0" xr:uid="{2273BC38-3AF7-4699-9B4E-7539B5BA2244}">
      <text>
        <r>
          <rPr>
            <b/>
            <sz val="9"/>
            <color indexed="81"/>
            <rFont val="Tahoma"/>
            <family val="2"/>
          </rPr>
          <t>יניב שפירא:</t>
        </r>
        <r>
          <rPr>
            <sz val="9"/>
            <color indexed="81"/>
            <rFont val="Tahoma"/>
            <family val="2"/>
          </rPr>
          <t xml:space="preserve">
1 = לא למד
2 = למד במסגרת דתית</t>
        </r>
      </text>
    </comment>
    <comment ref="A27" authorId="0" shapeId="0" xr:uid="{838F7A77-0D76-4752-A487-44A988E2C756}">
      <text>
        <r>
          <rPr>
            <b/>
            <sz val="9"/>
            <color indexed="81"/>
            <rFont val="Tahoma"/>
            <family val="2"/>
          </rPr>
          <t>יניב שפירא:</t>
        </r>
        <r>
          <rPr>
            <sz val="9"/>
            <color indexed="81"/>
            <rFont val="Tahoma"/>
            <family val="2"/>
          </rPr>
          <t xml:space="preserve">
ב2022 הוצאה עמדה על 16,000 ₪ 
ב2019 הוצאה עמדה על 15,000 ₪ 
ב2015 ההוצאה עמדה על 14,000 ₪ </t>
        </r>
      </text>
    </comment>
    <comment ref="D27" authorId="0" shapeId="0" xr:uid="{F6741711-D713-4826-8CE0-A42F6212BBAE}">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I27" authorId="0" shapeId="0" xr:uid="{D91E0D53-18ED-4111-AAD8-87A4466DF405}">
      <text>
        <r>
          <rPr>
            <b/>
            <sz val="9"/>
            <color indexed="81"/>
            <rFont val="Tahoma"/>
            <family val="2"/>
          </rPr>
          <t>יניב שפירא:</t>
        </r>
        <r>
          <rPr>
            <sz val="9"/>
            <color indexed="81"/>
            <rFont val="Tahoma"/>
            <family val="2"/>
          </rPr>
          <t xml:space="preserve">
1 = הרבה מעל הממוצע
2 = מעט מעל הממוצע
3 = כמו הממוצע
4 = מעט מתחת לממוצע
5 = הרבה מתחת לממוצע</t>
        </r>
      </text>
    </comment>
    <comment ref="S27" authorId="0" shapeId="0" xr:uid="{64B67BE4-5C50-4576-879B-A15798F9CB38}">
      <text>
        <r>
          <rPr>
            <b/>
            <sz val="9"/>
            <color indexed="81"/>
            <rFont val="Tahoma"/>
            <family val="2"/>
          </rPr>
          <t>יניב שפירא:</t>
        </r>
        <r>
          <rPr>
            <sz val="9"/>
            <color indexed="81"/>
            <rFont val="Tahoma"/>
            <family val="2"/>
          </rPr>
          <t xml:space="preserve">
1 = הרבה מתחת לממוצע
2 = מעט מתחת לממוצע
3 = כמו הממוצע
4 = מעט מעל הממוצע
5 = הרבה מעל הממוצע</t>
        </r>
      </text>
    </comment>
    <comment ref="T28" authorId="0" shapeId="0" xr:uid="{6BD40CD7-553E-4D67-8EFB-039C50E1485E}">
      <text>
        <r>
          <rPr>
            <b/>
            <sz val="9"/>
            <color indexed="81"/>
            <rFont val="Tahoma"/>
            <charset val="177"/>
          </rPr>
          <t>יניב שפירא:</t>
        </r>
        <r>
          <rPr>
            <sz val="9"/>
            <color indexed="81"/>
            <rFont val="Tahoma"/>
            <charset val="177"/>
          </rPr>
          <t xml:space="preserve">
1 = עד 1,000
2 = 1,001-1,500
3 = 1,501-2,000
4 = 2,001-2,500
5 = 2,501-3,000
6 = 3,001-4,000
7 = 4,001-5,000
8 = 5,001-6,000
9 = 6,001-7,000
10 = 7,001 +</t>
        </r>
      </text>
    </comment>
    <comment ref="T29" authorId="0" shapeId="0" xr:uid="{0F1BB5DF-D09C-4B84-B82B-02B7C33AFF2A}">
      <text>
        <r>
          <rPr>
            <b/>
            <sz val="9"/>
            <color indexed="81"/>
            <rFont val="Tahoma"/>
            <charset val="177"/>
          </rPr>
          <t>יניב שפירא:</t>
        </r>
        <r>
          <rPr>
            <sz val="9"/>
            <color indexed="81"/>
            <rFont val="Tahoma"/>
            <charset val="177"/>
          </rPr>
          <t xml:space="preserve">
1 = חדר אחד
2 = שני חדרים
3 = שלושה חדרים
4 = ארבעה חדרים
5 = חמישה חדרים
6 = שישה חדרים
7 = שבעה חדרים
8 = שמונה חדרים
9 = תשעה חדשים ויותר</t>
        </r>
      </text>
    </comment>
    <comment ref="T30" authorId="0" shapeId="0" xr:uid="{422A99C0-BC4F-4CF2-A7B2-2484782BEC57}">
      <text>
        <r>
          <rPr>
            <b/>
            <sz val="9"/>
            <color indexed="81"/>
            <rFont val="Tahoma"/>
            <charset val="177"/>
          </rPr>
          <t>יניב שפירא:</t>
        </r>
        <r>
          <rPr>
            <sz val="9"/>
            <color indexed="81"/>
            <rFont val="Tahoma"/>
            <charset val="177"/>
          </rPr>
          <t xml:space="preserve">
1 = 1
2 = 2
3 = 3
4 = 4
5 = 5
6 = 6
7 = 7
8 = 8
9 = 9+</t>
        </r>
      </text>
    </comment>
    <comment ref="AF30" authorId="0" shapeId="0" xr:uid="{3DDB672A-A27E-4447-9D2B-A772086C30B7}">
      <text>
        <r>
          <rPr>
            <b/>
            <sz val="9"/>
            <color indexed="81"/>
            <rFont val="Tahoma"/>
            <charset val="177"/>
          </rPr>
          <t>יניב שפירא:</t>
        </r>
        <r>
          <rPr>
            <sz val="9"/>
            <color indexed="81"/>
            <rFont val="Tahoma"/>
            <charset val="177"/>
          </rPr>
          <t xml:space="preserve">
מס' הילדים שגרים בבית</t>
        </r>
      </text>
    </comment>
    <comment ref="S31" authorId="0" shapeId="0" xr:uid="{A89AEB99-F4B9-49D7-94A4-2FB950AA3BC9}">
      <text>
        <r>
          <rPr>
            <b/>
            <sz val="9"/>
            <color indexed="81"/>
            <rFont val="Tahoma"/>
            <family val="2"/>
          </rPr>
          <t>יניב שפירא:</t>
        </r>
        <r>
          <rPr>
            <sz val="9"/>
            <color indexed="81"/>
            <rFont val="Tahoma"/>
            <family val="2"/>
          </rPr>
          <t xml:space="preserve">
צפיפות
מדד אחד לחדרים\נפשות</t>
        </r>
      </text>
    </comment>
    <comment ref="AF31" authorId="0" shapeId="0" xr:uid="{4BC6F649-1795-4525-B1A2-DC28064B9D33}">
      <text>
        <r>
          <rPr>
            <b/>
            <sz val="9"/>
            <color indexed="81"/>
            <rFont val="Tahoma"/>
            <charset val="177"/>
          </rPr>
          <t>יניב שפירא:</t>
        </r>
        <r>
          <rPr>
            <sz val="9"/>
            <color indexed="81"/>
            <rFont val="Tahoma"/>
            <charset val="177"/>
          </rPr>
          <t xml:space="preserve">
1 = עד ולא כולל 1
2 = 1-1.99
2 = 2-2.99
3 = 3-3.99
4 = 4+</t>
        </r>
      </text>
    </comment>
    <comment ref="D32" authorId="0" shapeId="0" xr:uid="{2CE58DD4-CECE-49D9-8482-E9030B825801}">
      <text>
        <r>
          <rPr>
            <b/>
            <sz val="9"/>
            <color indexed="81"/>
            <rFont val="Tahoma"/>
            <family val="2"/>
          </rPr>
          <t>יניב שפירא:</t>
        </r>
        <r>
          <rPr>
            <sz val="9"/>
            <color indexed="81"/>
            <rFont val="Tahoma"/>
            <family val="2"/>
          </rPr>
          <t xml:space="preserve">
1 = יהודי
2 = מוסלמי
3 = נוצרי
4 = דרוזי
5 = אחר</t>
        </r>
      </text>
    </comment>
    <comment ref="K32" authorId="0" shapeId="0" xr:uid="{858DA3F7-329D-4D43-879B-13F98B95C033}">
      <text>
        <r>
          <rPr>
            <b/>
            <sz val="9"/>
            <color indexed="81"/>
            <rFont val="Tahoma"/>
            <charset val="177"/>
          </rPr>
          <t>יניב שפירא:</t>
        </r>
        <r>
          <rPr>
            <sz val="9"/>
            <color indexed="81"/>
            <rFont val="Tahoma"/>
            <charset val="177"/>
          </rPr>
          <t xml:space="preserve">
לא ליהודים
1 = מוסלמי
2 = נוצרי
3 = דרוזי</t>
        </r>
      </text>
    </comment>
    <comment ref="L32" authorId="0" shapeId="0" xr:uid="{891395EF-EFE0-4A7C-BF5D-BB7D08BB08F6}">
      <text>
        <r>
          <rPr>
            <b/>
            <sz val="9"/>
            <color indexed="81"/>
            <rFont val="Tahoma"/>
            <family val="2"/>
          </rPr>
          <t>יניב שפירא:</t>
        </r>
        <r>
          <rPr>
            <sz val="9"/>
            <color indexed="81"/>
            <rFont val="Tahoma"/>
            <family val="2"/>
          </rPr>
          <t xml:space="preserve">
5 = מוסלמי
6 = נוצרי
7 = דרוזי</t>
        </r>
      </text>
    </comment>
    <comment ref="D33" authorId="0" shapeId="0" xr:uid="{C05976AE-7988-480E-91DF-8B950BA17633}">
      <text>
        <r>
          <rPr>
            <b/>
            <sz val="9"/>
            <color indexed="81"/>
            <rFont val="Tahoma"/>
            <family val="2"/>
          </rPr>
          <t>יניב שפירא:</t>
        </r>
        <r>
          <rPr>
            <sz val="9"/>
            <color indexed="81"/>
            <rFont val="Tahoma"/>
            <family val="2"/>
          </rPr>
          <t xml:space="preserve">
1 = דתי מאד, חרדי
2 = דתי
3 = מסורתי דתי
4 = מסורתי לא כ"כ דתי
5 = לא דתי, חילוני</t>
        </r>
      </text>
    </comment>
    <comment ref="H33" authorId="0" shapeId="0" xr:uid="{652CAC45-9029-468B-ADA5-E331B25CC102}">
      <text>
        <r>
          <rPr>
            <b/>
            <sz val="9"/>
            <color indexed="81"/>
            <rFont val="Tahoma"/>
            <family val="2"/>
          </rPr>
          <t>יניב שפירא:</t>
        </r>
        <r>
          <rPr>
            <sz val="9"/>
            <color indexed="81"/>
            <rFont val="Tahoma"/>
            <family val="2"/>
          </rPr>
          <t xml:space="preserve">
1 = חילוני
2 = מסורתי
3 = דתי
4 = חרדי</t>
        </r>
      </text>
    </comment>
    <comment ref="F34" authorId="0" shapeId="0" xr:uid="{695673B3-60DD-4D01-B0AB-53F8A60EC48D}">
      <text>
        <r>
          <rPr>
            <b/>
            <sz val="9"/>
            <color indexed="81"/>
            <rFont val="Tahoma"/>
            <family val="2"/>
          </rPr>
          <t>יניב שפירא:</t>
        </r>
        <r>
          <rPr>
            <sz val="9"/>
            <color indexed="81"/>
            <rFont val="Tahoma"/>
            <family val="2"/>
          </rPr>
          <t xml:space="preserve">
1 = נשוי
2 = חי עם בן\בת זוג קבוע\ה
3 = גרוש
4 = פרוד 
5 = אלמן
6 = רווק, מעולם לא נישא</t>
        </r>
      </text>
    </comment>
    <comment ref="O34" authorId="0" shapeId="0" xr:uid="{2594E82A-E66D-4E1F-B9A8-8C3998B21995}">
      <text>
        <r>
          <rPr>
            <b/>
            <sz val="9"/>
            <color indexed="81"/>
            <rFont val="Tahoma"/>
            <family val="2"/>
          </rPr>
          <t>יניב שפירא:</t>
        </r>
        <r>
          <rPr>
            <sz val="9"/>
            <color indexed="81"/>
            <rFont val="Tahoma"/>
            <family val="2"/>
          </rPr>
          <t xml:space="preserve">
1 = רווק
2 = נשוי
3 = גרוש
4 = אלמן</t>
        </r>
      </text>
    </comment>
    <comment ref="T34" authorId="0" shapeId="0" xr:uid="{EAE2B156-8511-4EAE-8DEA-3D840C071C80}">
      <text>
        <r>
          <rPr>
            <b/>
            <sz val="9"/>
            <color indexed="81"/>
            <rFont val="Tahoma"/>
            <charset val="177"/>
          </rPr>
          <t>יניב שפירא:</t>
        </r>
        <r>
          <rPr>
            <sz val="9"/>
            <color indexed="81"/>
            <rFont val="Tahoma"/>
            <charset val="177"/>
          </rPr>
          <t xml:space="preserve">
1 = רווק
2 = נשוי בלי ילדים
3 = נשוי עם ילד אחד
4 = נשוי עם שני ילדים
5 = נשוי עם שלושה או יותר ילדים
6 = גרוש בלי ילדים
7 = גרוש עם ילדים
8 = אלמן בלי ילדים
9 = אלמן עם ילדים</t>
        </r>
      </text>
    </comment>
    <comment ref="AD34" authorId="0" shapeId="0" xr:uid="{F3E1BEC0-B9E7-41F1-909E-94ACFD3BFEFD}">
      <text>
        <r>
          <rPr>
            <b/>
            <sz val="9"/>
            <color indexed="81"/>
            <rFont val="Tahoma"/>
            <family val="2"/>
          </rPr>
          <t>יניב שפירא:</t>
        </r>
        <r>
          <rPr>
            <sz val="9"/>
            <color indexed="81"/>
            <rFont val="Tahoma"/>
            <family val="2"/>
          </rPr>
          <t xml:space="preserve">
1 = רווק
2 = אלמן/גרוש ללא
3 = נשוי ללא
4 = אלמן/גרוש + 1/2
5 = אלמן/גרוש + 3
6 = אלמן/גרוש + 4
7 = נשוי + 1/2
8 = נשוי + 3
9 = נשוי + 4</t>
        </r>
      </text>
    </comment>
    <comment ref="AF34" authorId="0" shapeId="0" xr:uid="{0B053FEC-CA48-4226-8E49-428A816FC1CC}">
      <text>
        <r>
          <rPr>
            <b/>
            <sz val="9"/>
            <color indexed="81"/>
            <rFont val="Tahoma"/>
            <charset val="177"/>
          </rPr>
          <t>יניב שפירא:</t>
        </r>
        <r>
          <rPr>
            <sz val="9"/>
            <color indexed="81"/>
            <rFont val="Tahoma"/>
            <charset val="177"/>
          </rPr>
          <t xml:space="preserve">
1 = רווק/אלמן/גרוש
2 = נשוי</t>
        </r>
      </text>
    </comment>
    <comment ref="AH34" authorId="0" shapeId="0" xr:uid="{9EDC1832-55DB-4B25-BDC6-0FBFA9A82FA6}">
      <text>
        <r>
          <rPr>
            <b/>
            <sz val="9"/>
            <color indexed="81"/>
            <rFont val="Tahoma"/>
            <charset val="177"/>
          </rPr>
          <t>יניב שפירא:</t>
        </r>
        <r>
          <rPr>
            <sz val="9"/>
            <color indexed="81"/>
            <rFont val="Tahoma"/>
            <charset val="177"/>
          </rPr>
          <t xml:space="preserve">
1 = רווק
2 = נשוי בלי ילדים
3 = נשוי עם ילדים
4 = אלמן/גרוש בלי ילדים
5 = אלמן/גרוש עם ילדים</t>
        </r>
      </text>
    </comment>
    <comment ref="F35" authorId="0" shapeId="0" xr:uid="{7CF45AC0-76C6-4FE2-B6D5-EDD4F526B8F1}">
      <text>
        <r>
          <rPr>
            <b/>
            <sz val="9"/>
            <color indexed="81"/>
            <rFont val="Tahoma"/>
            <family val="2"/>
          </rPr>
          <t>יניב שפירא:</t>
        </r>
        <r>
          <rPr>
            <sz val="9"/>
            <color indexed="81"/>
            <rFont val="Tahoma"/>
            <family val="2"/>
          </rPr>
          <t xml:space="preserve">
1 = אתה כלל לא שומר על המסורת
2 = אתה שומר במקצת על המסורת
3 = אתה שומר במידה רבה על המסורת
4 = אתה שומר על המסורת על כל דקדוקיה</t>
        </r>
      </text>
    </comment>
    <comment ref="M35" authorId="0" shapeId="0" xr:uid="{AB1D15F6-7B18-4C30-829B-9F68A8D42F96}">
      <text>
        <r>
          <rPr>
            <b/>
            <sz val="9"/>
            <color indexed="81"/>
            <rFont val="Tahoma"/>
            <family val="2"/>
          </rPr>
          <t>יניב שפירא:</t>
        </r>
        <r>
          <rPr>
            <sz val="9"/>
            <color indexed="81"/>
            <rFont val="Tahoma"/>
            <family val="2"/>
          </rPr>
          <t xml:space="preserve">
1 = שומר על המסורת על כל דקדוקיה
2 = שומר במידה רבה
3 = שומר במקצת
4 = לא שומר כלל</t>
        </r>
      </text>
    </comment>
    <comment ref="T36" authorId="0" shapeId="0" xr:uid="{8B1D33A9-09FD-4322-BFE6-A5C0284EF254}">
      <text>
        <r>
          <rPr>
            <b/>
            <sz val="9"/>
            <color indexed="81"/>
            <rFont val="Tahoma"/>
            <charset val="177"/>
          </rPr>
          <t>יניב שפירא:</t>
        </r>
        <r>
          <rPr>
            <sz val="9"/>
            <color indexed="81"/>
            <rFont val="Tahoma"/>
            <charset val="177"/>
          </rPr>
          <t xml:space="preserve">
1 = כן
2 = לא</t>
        </r>
      </text>
    </comment>
    <comment ref="T37" authorId="0" shapeId="0" xr:uid="{2B7B84A0-B135-4320-805D-6C95D289E2CE}">
      <text>
        <r>
          <rPr>
            <b/>
            <sz val="9"/>
            <color indexed="81"/>
            <rFont val="Tahoma"/>
            <charset val="177"/>
          </rPr>
          <t>יניב שפירא:</t>
        </r>
        <r>
          <rPr>
            <sz val="9"/>
            <color indexed="81"/>
            <rFont val="Tahoma"/>
            <charset val="177"/>
          </rPr>
          <t xml:space="preserve">
1 = כן 
2 = לא</t>
        </r>
      </text>
    </comment>
    <comment ref="T38" authorId="0" shapeId="0" xr:uid="{5A5D0E59-232C-4916-904D-7AD59FB052B3}">
      <text>
        <r>
          <rPr>
            <b/>
            <sz val="9"/>
            <color indexed="81"/>
            <rFont val="Tahoma"/>
            <charset val="177"/>
          </rPr>
          <t>יניב שפירא:</t>
        </r>
        <r>
          <rPr>
            <sz val="9"/>
            <color indexed="81"/>
            <rFont val="Tahoma"/>
            <charset val="177"/>
          </rPr>
          <t xml:space="preserve">
1 = כל יום
2 = כמעט כל שבת וחג
3 = פעמים אחדות בשנה
4 = רק ביום כיפור
5 = אף פעם</t>
        </r>
      </text>
    </comment>
    <comment ref="F39" authorId="0" shapeId="0" xr:uid="{CF0ABF41-FFB7-4BBA-BCE7-FE7A32CC2DA5}">
      <text>
        <r>
          <rPr>
            <b/>
            <sz val="9"/>
            <color indexed="81"/>
            <rFont val="Tahoma"/>
            <family val="2"/>
          </rPr>
          <t>יניב שפירא:</t>
        </r>
        <r>
          <rPr>
            <sz val="9"/>
            <color indexed="81"/>
            <rFont val="Tahoma"/>
            <family val="2"/>
          </rPr>
          <t xml:space="preserve">
1 = ישראל
2 = אסיה או אפריקה
3 = אירופה או אמריקה
4 = ברה"מ/חבר העמים</t>
        </r>
      </text>
    </comment>
    <comment ref="I39" authorId="0" shapeId="0" xr:uid="{536490B4-5890-462E-8DF5-D49FA7211B6E}">
      <text>
        <r>
          <rPr>
            <b/>
            <sz val="9"/>
            <color indexed="81"/>
            <rFont val="Tahoma"/>
            <family val="2"/>
          </rPr>
          <t>יניב שפירא:</t>
        </r>
        <r>
          <rPr>
            <sz val="9"/>
            <color indexed="81"/>
            <rFont val="Tahoma"/>
            <family val="2"/>
          </rPr>
          <t xml:space="preserve">
שאלה פתוחה
קידוד תחת
nv179</t>
        </r>
      </text>
    </comment>
    <comment ref="J39" authorId="0" shapeId="0" xr:uid="{622FE363-2C05-4BE4-9E54-8CA09E2BDD03}">
      <text>
        <r>
          <rPr>
            <b/>
            <sz val="9"/>
            <color indexed="81"/>
            <rFont val="Tahoma"/>
            <family val="2"/>
          </rPr>
          <t>יניב שפירא:</t>
        </r>
        <r>
          <rPr>
            <sz val="9"/>
            <color indexed="81"/>
            <rFont val="Tahoma"/>
            <family val="2"/>
          </rPr>
          <t xml:space="preserve">
שאלה פתוחה
לא לערבים</t>
        </r>
      </text>
    </comment>
    <comment ref="AF39" authorId="0" shapeId="0" xr:uid="{49EF2277-954F-423F-90F9-0A79809EB269}">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I40" authorId="0" shapeId="0" xr:uid="{FBE0293B-39A9-47F9-A2ED-93E11FD5ECFC}">
      <text>
        <r>
          <rPr>
            <b/>
            <sz val="9"/>
            <color indexed="81"/>
            <rFont val="Tahoma"/>
            <family val="2"/>
          </rPr>
          <t>יניב שפירא:</t>
        </r>
        <r>
          <rPr>
            <sz val="9"/>
            <color indexed="81"/>
            <rFont val="Tahoma"/>
            <family val="2"/>
          </rPr>
          <t xml:space="preserve">
שאלה פתוחה
קידוד תחת
 nv180
</t>
        </r>
      </text>
    </comment>
    <comment ref="J40" authorId="0" shapeId="0" xr:uid="{D98530D4-5210-4E50-A565-CE2921ED192A}">
      <text>
        <r>
          <rPr>
            <b/>
            <sz val="9"/>
            <color indexed="81"/>
            <rFont val="Tahoma"/>
            <family val="2"/>
          </rPr>
          <t>יניב שפירא:</t>
        </r>
        <r>
          <rPr>
            <sz val="9"/>
            <color indexed="81"/>
            <rFont val="Tahoma"/>
            <family val="2"/>
          </rPr>
          <t xml:space="preserve">
שאלה פתוחה
לא לערבים</t>
        </r>
      </text>
    </comment>
    <comment ref="AF40" authorId="0" shapeId="0" xr:uid="{CC2AE3BA-EECD-4249-A235-9D85919BAD85}">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M41" authorId="0" shapeId="0" xr:uid="{754F43A6-AA88-43B8-B7E7-3E424460EDA3}">
      <text>
        <r>
          <rPr>
            <b/>
            <sz val="9"/>
            <color indexed="81"/>
            <rFont val="Tahoma"/>
            <family val="2"/>
          </rPr>
          <t>יניב שפירא:</t>
        </r>
        <r>
          <rPr>
            <sz val="9"/>
            <color indexed="81"/>
            <rFont val="Tahoma"/>
            <family val="2"/>
          </rPr>
          <t xml:space="preserve">
1 = כן
2 = לא</t>
        </r>
      </text>
    </comment>
    <comment ref="G42" authorId="0" shapeId="0" xr:uid="{37A84914-140A-4244-9474-62363FBDAF30}">
      <text>
        <r>
          <rPr>
            <b/>
            <sz val="9"/>
            <color indexed="81"/>
            <rFont val="Tahoma"/>
            <family val="2"/>
          </rPr>
          <t>יניב שפירא:</t>
        </r>
        <r>
          <rPr>
            <sz val="9"/>
            <color indexed="81"/>
            <rFont val="Tahoma"/>
            <family val="2"/>
          </rPr>
          <t xml:space="preserve">
1 = שכיר
2 = עצמאי
3 = פנסיונר
4 = עקרת בית
5 = חייל/תלמיד/סטודנט
6 = מחפש עבודה
7 = אחר</t>
        </r>
      </text>
    </comment>
    <comment ref="M42" authorId="0" shapeId="0" xr:uid="{553C470D-876D-44CA-8DE2-26D1CE5F7C9C}">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t>
        </r>
      </text>
    </comment>
    <comment ref="O42" authorId="0" shapeId="0" xr:uid="{F3A366FD-46DB-45A6-A1E6-C6A1B598A988}">
      <text>
        <r>
          <rPr>
            <b/>
            <sz val="9"/>
            <color indexed="81"/>
            <rFont val="Tahoma"/>
            <family val="2"/>
          </rPr>
          <t>יניב שפירא:</t>
        </r>
        <r>
          <rPr>
            <sz val="9"/>
            <color indexed="81"/>
            <rFont val="Tahoma"/>
            <family val="2"/>
          </rPr>
          <t xml:space="preserve">
1 = שכיר פועל
2 = שכיר פקיד
3 = שכיר מנהל
4 = עצמאי קטן
5 = עצמאי בעל חברה
6 = לא עובד</t>
        </r>
      </text>
    </comment>
    <comment ref="T42" authorId="0" shapeId="0" xr:uid="{A48387EE-0FDF-43B3-A20D-3A4009D5079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W42" authorId="0" shapeId="0" xr:uid="{77992EBE-3132-499F-ABC5-4599CDE6B699}">
      <text>
        <r>
          <rPr>
            <b/>
            <sz val="9"/>
            <color indexed="81"/>
            <rFont val="Tahoma"/>
            <charset val="177"/>
          </rPr>
          <t>יניב שפירא:</t>
        </r>
        <r>
          <rPr>
            <sz val="9"/>
            <color indexed="81"/>
            <rFont val="Tahoma"/>
            <charset val="177"/>
          </rPr>
          <t xml:space="preserve">
1 = שכיר
2 = עצמאי
3 = לא מועסק</t>
        </r>
      </text>
    </comment>
    <comment ref="AE42" authorId="0" shapeId="0" xr:uid="{3A309A40-7AC9-4E95-A7AD-FB5A1C964F70}">
      <text>
        <r>
          <rPr>
            <b/>
            <sz val="9"/>
            <color indexed="81"/>
            <rFont val="Tahoma"/>
            <family val="2"/>
          </rPr>
          <t>יניב שפירא:</t>
        </r>
        <r>
          <rPr>
            <sz val="9"/>
            <color indexed="81"/>
            <rFont val="Tahoma"/>
            <family val="2"/>
          </rPr>
          <t xml:space="preserve">
1 = שכיר
2 = עצמאי - מעביד
3 = עצמאי - לא מעסיק אחרים
4 = חבר קואופרטיב
5 = אחר
6 = מחפש עבודה
7 = עקרת בית
8 = פנסיונר</t>
        </r>
      </text>
    </comment>
    <comment ref="V43" authorId="0" shapeId="0" xr:uid="{956EBDCD-A784-44D9-8D70-FF8FDF5F08D2}">
      <text>
        <r>
          <rPr>
            <b/>
            <sz val="9"/>
            <color indexed="81"/>
            <rFont val="Tahoma"/>
            <charset val="177"/>
          </rPr>
          <t>יניב שפירא:</t>
        </r>
        <r>
          <rPr>
            <sz val="9"/>
            <color indexed="81"/>
            <rFont val="Tahoma"/>
            <charset val="177"/>
          </rPr>
          <t xml:space="preserve">
1 = שכיר
2 = עצמאי
3 = חבר קואופרטיב
4 = פנסיונר
5 = עקרת בית
6 = חייל/תלמיד/סטודנט
7 = אחר שלא מועסק</t>
        </r>
      </text>
    </comment>
    <comment ref="W43" authorId="0" shapeId="0" xr:uid="{8DCE9152-A1F1-4A55-BC72-644EA0B2CAD8}">
      <text>
        <r>
          <rPr>
            <b/>
            <sz val="9"/>
            <color indexed="81"/>
            <rFont val="Tahoma"/>
            <charset val="177"/>
          </rPr>
          <t>יניב שפירא:</t>
        </r>
        <r>
          <rPr>
            <sz val="9"/>
            <color indexed="81"/>
            <rFont val="Tahoma"/>
            <charset val="177"/>
          </rPr>
          <t xml:space="preserve">
1 = שכיר
2 = עצמאי
3 = לא מועסק
4 = אין בן/בת זוג</t>
        </r>
      </text>
    </comment>
    <comment ref="AF44" authorId="0" shapeId="0" xr:uid="{9A26D285-9904-4C8E-A99E-5F66745E5420}">
      <text>
        <r>
          <rPr>
            <b/>
            <sz val="9"/>
            <color indexed="81"/>
            <rFont val="Tahoma"/>
            <charset val="177"/>
          </rPr>
          <t>יניב שפירא:</t>
        </r>
        <r>
          <rPr>
            <sz val="9"/>
            <color indexed="81"/>
            <rFont val="Tahoma"/>
            <charset val="177"/>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F45" authorId="0" shapeId="0" xr:uid="{A95E5B94-60AC-44D7-8D92-82C2FFCEEBB0}">
      <text>
        <r>
          <rPr>
            <b/>
            <sz val="9"/>
            <color indexed="81"/>
            <rFont val="Tahoma"/>
            <charset val="177"/>
          </rPr>
          <t>יניב שפירא:</t>
        </r>
        <r>
          <rPr>
            <sz val="9"/>
            <color indexed="81"/>
            <rFont val="Tahoma"/>
            <charset val="177"/>
          </rPr>
          <t xml:space="preserve">
1 = לא למד כלל
2 = עממי חלקי
3 = סיים עממי
4 = תיכון חלקי
5 = סיים תיכון
6 = גבוהה חלקית
7 = ב.א.
8 = תואר שני ומעלה</t>
        </r>
      </text>
    </comment>
    <comment ref="A46" authorId="0" shapeId="0" xr:uid="{83162F25-CEBB-4C88-9C6E-992A784CD175}">
      <text>
        <r>
          <rPr>
            <b/>
            <sz val="9"/>
            <color indexed="81"/>
            <rFont val="Tahoma"/>
            <family val="2"/>
          </rPr>
          <t>יניב שפירא:</t>
        </r>
        <r>
          <rPr>
            <sz val="9"/>
            <color indexed="81"/>
            <rFont val="Tahoma"/>
            <family val="2"/>
          </rPr>
          <t xml:space="preserve">
רק למי שענה שעובד</t>
        </r>
      </text>
    </comment>
    <comment ref="G46" authorId="0" shapeId="0" xr:uid="{BD252AEA-22B8-4141-9A47-661B728A2633}">
      <text>
        <r>
          <rPr>
            <b/>
            <sz val="9"/>
            <color indexed="81"/>
            <rFont val="Tahoma"/>
            <family val="2"/>
          </rPr>
          <t>יניב שפירא:</t>
        </r>
        <r>
          <rPr>
            <sz val="9"/>
            <color indexed="81"/>
            <rFont val="Tahoma"/>
            <family val="2"/>
          </rPr>
          <t xml:space="preserve">
1 = משרה מלאה
2 = משרה חלקית</t>
        </r>
      </text>
    </comment>
    <comment ref="AA47" authorId="0" shapeId="0" xr:uid="{86B618C8-9C6D-4452-978C-F305DDCD7E5D}">
      <text>
        <r>
          <rPr>
            <b/>
            <sz val="9"/>
            <color indexed="81"/>
            <rFont val="Tahoma"/>
            <charset val="177"/>
          </rPr>
          <t>יניב שפירא:</t>
        </r>
        <r>
          <rPr>
            <sz val="9"/>
            <color indexed="81"/>
            <rFont val="Tahoma"/>
            <charset val="177"/>
          </rPr>
          <t xml:space="preserve">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r>
      </text>
    </comment>
    <comment ref="AG47" authorId="0" shapeId="0" xr:uid="{6EA30B3F-C781-4B6B-A635-140ACFE9E721}">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G48" authorId="0" shapeId="0" xr:uid="{BD2B8053-9B7D-432E-9DB8-C5A34FABDB9F}">
      <text>
        <r>
          <rPr>
            <b/>
            <sz val="9"/>
            <color indexed="81"/>
            <rFont val="Tahoma"/>
            <family val="2"/>
          </rPr>
          <t>יניב שפירא:</t>
        </r>
        <r>
          <rPr>
            <sz val="9"/>
            <color indexed="81"/>
            <rFont val="Tahoma"/>
            <family val="2"/>
          </rPr>
          <t xml:space="preserve">
1 = מגזר ציבורי
2 = מגזר פרטי/חברה פרטית</t>
        </r>
      </text>
    </comment>
    <comment ref="I49" authorId="0" shapeId="0" xr:uid="{32CEEC66-005F-4AB7-B966-2B3A1FE25B4D}">
      <text>
        <r>
          <rPr>
            <b/>
            <sz val="9"/>
            <color indexed="81"/>
            <rFont val="Tahoma"/>
            <family val="2"/>
          </rPr>
          <t>יניב שפירא:</t>
        </r>
        <r>
          <rPr>
            <sz val="9"/>
            <color indexed="81"/>
            <rFont val="Tahoma"/>
            <family val="2"/>
          </rPr>
          <t xml:space="preserve">
1 = כלל לא מודאג
2 = מודרג במקצת
3 = מודאג מאוד
4 = איבדתי את מקום העבודה שלי לאחרונה ואני מחפש עבודה
5 = אינני עובד ואינני מחפש עבודה</t>
        </r>
      </text>
    </comment>
    <comment ref="F50" authorId="0" shapeId="0" xr:uid="{47142277-BA00-4C75-B891-21C44E7491E5}">
      <text>
        <r>
          <rPr>
            <b/>
            <sz val="9"/>
            <color indexed="81"/>
            <rFont val="Tahoma"/>
            <charset val="177"/>
          </rPr>
          <t>יניב שפירא:</t>
        </r>
        <r>
          <rPr>
            <sz val="9"/>
            <color indexed="81"/>
            <rFont val="Tahoma"/>
            <charset val="177"/>
          </rPr>
          <t xml:space="preserve">
1 = גבוה
2 = בינוני-גבוה
3 = בינוני
4 = נמוך</t>
        </r>
      </text>
    </comment>
    <comment ref="Q50" authorId="0" shapeId="0" xr:uid="{AD757007-311E-4FFC-A27A-F73BBFB57DB9}">
      <text>
        <r>
          <rPr>
            <b/>
            <sz val="9"/>
            <color indexed="81"/>
            <rFont val="Tahoma"/>
            <family val="2"/>
          </rPr>
          <t>יניב שפירא:</t>
        </r>
        <r>
          <rPr>
            <sz val="9"/>
            <color indexed="81"/>
            <rFont val="Tahoma"/>
            <family val="2"/>
          </rPr>
          <t xml:space="preserve">
1 = גבוה
2 = בינוני-גבוה
3 = בינוני
4 = נמוך
5 = מעמד הפועלים
6 = לא משויך לשום מעמד</t>
        </r>
      </text>
    </comment>
    <comment ref="S50" authorId="0" shapeId="0" xr:uid="{A575E4AF-C4CD-4E87-AB2C-79CECF7AB555}">
      <text>
        <r>
          <rPr>
            <b/>
            <sz val="9"/>
            <color indexed="81"/>
            <rFont val="Tahoma"/>
            <family val="2"/>
          </rPr>
          <t>יניב שפירא:</t>
        </r>
        <r>
          <rPr>
            <sz val="9"/>
            <color indexed="81"/>
            <rFont val="Tahoma"/>
            <family val="2"/>
          </rPr>
          <t xml:space="preserve">
1 = מעמד גבוה
2 = מעמד בינוני
3 = מעמד פועלים
4 = מעמד נמוך
5 = לא שייף לאף מעמד</t>
        </r>
      </text>
    </comment>
    <comment ref="AF50" authorId="0" shapeId="0" xr:uid="{A64CADE9-CB85-4018-B58C-230BAB46EA47}">
      <text>
        <r>
          <rPr>
            <b/>
            <sz val="9"/>
            <color indexed="81"/>
            <rFont val="Tahoma"/>
            <family val="2"/>
          </rPr>
          <t>יניב שפירא:</t>
        </r>
        <r>
          <rPr>
            <sz val="9"/>
            <color indexed="81"/>
            <rFont val="Tahoma"/>
            <family val="2"/>
          </rPr>
          <t xml:space="preserve">
1 = בינוני-עליון
2 = בינוני
3 = נמוך
4 = עליון
5 = פועלים
6 = אחר
7 = לא מסווג את עצמי לשום מעמד</t>
        </r>
      </text>
    </comment>
    <comment ref="G51" authorId="0" shapeId="0" xr:uid="{99817423-CE2B-4C9E-AE05-C9B75642D1E8}">
      <text>
        <r>
          <rPr>
            <b/>
            <sz val="9"/>
            <color indexed="81"/>
            <rFont val="Tahoma"/>
            <charset val="177"/>
          </rPr>
          <t>יניב שפירא:</t>
        </r>
        <r>
          <rPr>
            <sz val="9"/>
            <color indexed="81"/>
            <rFont val="Tahoma"/>
            <charset val="177"/>
          </rPr>
          <t xml:space="preserve">
0 = לא
1 = כן</t>
        </r>
      </text>
    </comment>
    <comment ref="H51" authorId="0" shapeId="0" xr:uid="{F35F0572-DB33-47FE-81FE-3AA34ADEEF8F}">
      <text>
        <r>
          <rPr>
            <b/>
            <sz val="9"/>
            <color indexed="81"/>
            <rFont val="Tahoma"/>
            <family val="2"/>
          </rPr>
          <t>יניב שפירא:</t>
        </r>
        <r>
          <rPr>
            <sz val="9"/>
            <color indexed="81"/>
            <rFont val="Tahoma"/>
            <family val="2"/>
          </rPr>
          <t xml:space="preserve">
1 = לא
2 = כן</t>
        </r>
      </text>
    </comment>
    <comment ref="P53" authorId="0" shapeId="0" xr:uid="{98739711-AA56-479A-B9E9-C2E71D85CBFD}">
      <text>
        <r>
          <rPr>
            <b/>
            <sz val="9"/>
            <color indexed="81"/>
            <rFont val="Tahoma"/>
            <family val="2"/>
          </rPr>
          <t>יניב שפירא:</t>
        </r>
        <r>
          <rPr>
            <sz val="9"/>
            <color indexed="81"/>
            <rFont val="Tahoma"/>
            <family val="2"/>
          </rPr>
          <t xml:space="preserve">
1 = אין
2 = יש בן/בנים
3 = יש בת/בנות
4 = יש בן+בת</t>
        </r>
      </text>
    </comment>
    <comment ref="A56" authorId="0" shapeId="0" xr:uid="{A2F17BC4-A048-471A-8103-11D3B0A26767}">
      <text>
        <r>
          <rPr>
            <b/>
            <sz val="9"/>
            <color indexed="81"/>
            <rFont val="Tahoma"/>
            <charset val="177"/>
          </rPr>
          <t>יניב שפירא:</t>
        </r>
        <r>
          <rPr>
            <sz val="9"/>
            <color indexed="81"/>
            <rFont val="Tahoma"/>
            <charset val="177"/>
          </rPr>
          <t xml:space="preserve">
רק למי שענה שיש לו ילדים</t>
        </r>
      </text>
    </comment>
    <comment ref="G56" authorId="0" shapeId="0" xr:uid="{4BEA2FE7-1F72-4BD8-91C4-226D0E0AF42D}">
      <text>
        <r>
          <rPr>
            <b/>
            <sz val="9"/>
            <color indexed="81"/>
            <rFont val="Tahoma"/>
            <charset val="177"/>
          </rPr>
          <t>יניב שפירא:</t>
        </r>
        <r>
          <rPr>
            <sz val="9"/>
            <color indexed="81"/>
            <rFont val="Tahoma"/>
            <charset val="177"/>
          </rPr>
          <t xml:space="preserve">
1 = לא
2 = כן</t>
        </r>
      </text>
    </comment>
    <comment ref="H57" authorId="0" shapeId="0" xr:uid="{EDA882FB-695A-479B-A9A9-E55CDE4FAF65}">
      <text>
        <r>
          <rPr>
            <b/>
            <sz val="9"/>
            <color indexed="81"/>
            <rFont val="Tahoma"/>
            <family val="2"/>
          </rPr>
          <t>יניב שפירא:</t>
        </r>
        <r>
          <rPr>
            <sz val="9"/>
            <color indexed="81"/>
            <rFont val="Tahoma"/>
            <family val="2"/>
          </rPr>
          <t xml:space="preserve">
1 = הכנסה מעבודה
2 = גמלאות
3 = דמי אבטלה, קצבאות או מענקי סעד
4 = הכנסה מהשקעות חסכונות ביטוח או רכוש
5 = הכנסה ממקורות אחרים</t>
        </r>
      </text>
    </comment>
    <comment ref="H58" authorId="0" shapeId="0" xr:uid="{4BBFF61B-4FD5-48F5-A3C3-5B125C99673A}">
      <text>
        <r>
          <rPr>
            <b/>
            <sz val="9"/>
            <color indexed="81"/>
            <rFont val="Tahoma"/>
            <family val="2"/>
          </rPr>
          <t>יניב שפירא:</t>
        </r>
        <r>
          <rPr>
            <sz val="9"/>
            <color indexed="81"/>
            <rFont val="Tahoma"/>
            <family val="2"/>
          </rPr>
          <t xml:space="preserve">
1 = עד 3,000 ₪
2 = 3,001-4,500 ₪
3 = 4,501-6,000 ₪
4 = 6,001-8,000 ₪
5 = 8,001-10,000 ₪
6 = 10,001-12,000 ₪
7 = 12,001-14,000 ₪
8 = 14,001-16,000 ₪
9 = 16,001-20,000 ₪
10 = יותר מ-20,001 ₪ </t>
        </r>
      </text>
    </comment>
    <comment ref="U58" authorId="0" shapeId="0" xr:uid="{8E491F3F-127E-445A-ABC4-D6FCC6997FDE}">
      <text>
        <r>
          <rPr>
            <b/>
            <sz val="9"/>
            <color indexed="81"/>
            <rFont val="Tahoma"/>
            <charset val="177"/>
          </rPr>
          <t>יניב שפירא:</t>
        </r>
        <r>
          <rPr>
            <sz val="9"/>
            <color indexed="81"/>
            <rFont val="Tahoma"/>
            <charset val="177"/>
          </rPr>
          <t xml:space="preserve">
1 = עד 20,000 
2 = 20,001-30,000
3 = 30,001-40,000
4 = 40,001-50,000
5 = 50,001-60,000
6 = 60,001-75,000
7 = 75,001-85,000
8 = 85,001 +</t>
        </r>
      </text>
    </comment>
    <comment ref="H59" authorId="0" shapeId="0" xr:uid="{5B4F6551-A567-44B4-8C4B-3CB7EEFD5A8D}">
      <text>
        <r>
          <rPr>
            <b/>
            <sz val="9"/>
            <color indexed="81"/>
            <rFont val="Tahoma"/>
            <family val="2"/>
          </rPr>
          <t>יניב שפירא:</t>
        </r>
        <r>
          <rPr>
            <sz val="9"/>
            <color indexed="81"/>
            <rFont val="Tahoma"/>
            <family val="2"/>
          </rPr>
          <t xml:space="preserve">
1 = כלום
2 = חלק קטן מאוד
3 = פחות מחצי
4 = בערך חצי
5 = מעל לחצי
6 = חלק גדול מאוד
7 = הכל</t>
        </r>
      </text>
    </comment>
    <comment ref="I61" authorId="0" shapeId="0" xr:uid="{B9A652E0-F248-455D-AE73-A9138920B0D5}">
      <text>
        <r>
          <rPr>
            <b/>
            <sz val="9"/>
            <color indexed="81"/>
            <rFont val="Tahoma"/>
            <family val="2"/>
          </rPr>
          <t>יניב שפירא:</t>
        </r>
        <r>
          <rPr>
            <sz val="9"/>
            <color indexed="81"/>
            <rFont val="Tahoma"/>
            <family val="2"/>
          </rPr>
          <t xml:space="preserve">
1 = כן
2 = לא</t>
        </r>
      </text>
    </comment>
    <comment ref="I62" authorId="0" shapeId="0" xr:uid="{55A5AA0D-9978-4E5E-80CD-A1022F8D75B8}">
      <text>
        <r>
          <rPr>
            <b/>
            <sz val="9"/>
            <color indexed="81"/>
            <rFont val="Tahoma"/>
            <family val="2"/>
          </rPr>
          <t>יניב שפירא:</t>
        </r>
        <r>
          <rPr>
            <sz val="9"/>
            <color indexed="81"/>
            <rFont val="Tahoma"/>
            <family val="2"/>
          </rPr>
          <t xml:space="preserve">
1 = לא למד כלל
2 = ביה"ס יסודי וחטיבת בינים
3 = תיכון
4 = מוסד הנותן קורסים של הכשרה והשתלמות
5 = מוסד על תיכוני
6 = מוסד אקדמי
</t>
        </r>
      </text>
    </comment>
    <comment ref="A63" authorId="0" shapeId="0" xr:uid="{2EB80418-9113-4C76-BE90-EE5AD311E740}">
      <text>
        <r>
          <rPr>
            <b/>
            <sz val="9"/>
            <color indexed="81"/>
            <rFont val="Tahoma"/>
            <family val="2"/>
          </rPr>
          <t>יניב שפירא:</t>
        </r>
        <r>
          <rPr>
            <sz val="9"/>
            <color indexed="81"/>
            <rFont val="Tahoma"/>
            <family val="2"/>
          </rPr>
          <t xml:space="preserve">
רק לעולי ברה"מ</t>
        </r>
      </text>
    </comment>
    <comment ref="A64" authorId="0" shapeId="0" xr:uid="{F0B49095-7820-48BF-9E32-25EC16151F60}">
      <text>
        <r>
          <rPr>
            <b/>
            <sz val="9"/>
            <color indexed="81"/>
            <rFont val="Tahoma"/>
            <family val="2"/>
          </rPr>
          <t>יניב שפירא:</t>
        </r>
        <r>
          <rPr>
            <sz val="9"/>
            <color indexed="81"/>
            <rFont val="Tahoma"/>
            <family val="2"/>
          </rPr>
          <t xml:space="preserve">
רק לעולי ברה"מ</t>
        </r>
      </text>
    </comment>
    <comment ref="A65" authorId="0" shapeId="0" xr:uid="{2120F9FC-D823-4DE6-BC1D-FD54B8453426}">
      <text>
        <r>
          <rPr>
            <b/>
            <sz val="9"/>
            <color indexed="81"/>
            <rFont val="Tahoma"/>
            <family val="2"/>
          </rPr>
          <t>יניב שפירא:</t>
        </r>
        <r>
          <rPr>
            <sz val="9"/>
            <color indexed="81"/>
            <rFont val="Tahoma"/>
            <family val="2"/>
          </rPr>
          <t xml:space="preserve">
רק לעולי ברה"מ</t>
        </r>
      </text>
    </comment>
    <comment ref="J65" authorId="0" shapeId="0" xr:uid="{03C422B7-BD3A-44B4-9793-F4EBE0BA30BE}">
      <text>
        <r>
          <rPr>
            <b/>
            <sz val="9"/>
            <color indexed="81"/>
            <rFont val="Tahoma"/>
            <family val="2"/>
          </rPr>
          <t>יניב שפירא:</t>
        </r>
        <r>
          <rPr>
            <sz val="9"/>
            <color indexed="81"/>
            <rFont val="Tahoma"/>
            <family val="2"/>
          </rPr>
          <t xml:space="preserve">
1 = עולים מברה"מ
2 = ישראלים לא עולים
3 = חצי חצי</t>
        </r>
      </text>
    </comment>
    <comment ref="O66" authorId="0" shapeId="0" xr:uid="{27326860-24EA-4ECB-9783-78D03E1B094B}">
      <text>
        <r>
          <rPr>
            <b/>
            <sz val="9"/>
            <color indexed="81"/>
            <rFont val="Tahoma"/>
            <family val="2"/>
          </rPr>
          <t>יניב שפירא:</t>
        </r>
        <r>
          <rPr>
            <sz val="9"/>
            <color indexed="81"/>
            <rFont val="Tahoma"/>
            <family val="2"/>
          </rPr>
          <t xml:space="preserve">
1 = טרם, אך אשרת בעתיד
2 = כיום בשירות חובה
3 = כיום בשירות קבע
4 = שירתתי בעבר
5 = לא שירתתי כלל</t>
        </r>
      </text>
    </comment>
    <comment ref="AH66" authorId="0" shapeId="0" xr:uid="{A49B5B17-5FCA-48DD-A425-4F60B14527BE}">
      <text>
        <r>
          <rPr>
            <b/>
            <sz val="9"/>
            <color indexed="81"/>
            <rFont val="Tahoma"/>
            <charset val="177"/>
          </rPr>
          <t>יניב שפירא:</t>
        </r>
        <r>
          <rPr>
            <sz val="9"/>
            <color indexed="81"/>
            <rFont val="Tahoma"/>
            <charset val="177"/>
          </rPr>
          <t xml:space="preserve">
1 = לא, דח"ש
2 = לא, שחרור רפואי
3 = לא, סיבות אישיות
4 = לא, עקב נישואין
5 = לא, עלה לארץ בגיל מבוגר
6 = לא, כאשר צה"ל הוקם היה מבוגר מדי
7 = לא, אין פירוט
8 = סיבה אחרת
9 = שירת בצה"ל</t>
        </r>
      </text>
    </comment>
    <comment ref="P67" authorId="0" shapeId="0" xr:uid="{226B96E7-26EE-4779-BB81-C0EA1A693904}">
      <text>
        <r>
          <rPr>
            <b/>
            <sz val="9"/>
            <color indexed="81"/>
            <rFont val="Tahoma"/>
            <charset val="177"/>
          </rPr>
          <t>יניב שפירא:</t>
        </r>
        <r>
          <rPr>
            <sz val="9"/>
            <color indexed="81"/>
            <rFont val="Tahoma"/>
            <charset val="177"/>
          </rPr>
          <t xml:space="preserve">
1 = כן
2 = לא</t>
        </r>
      </text>
    </comment>
    <comment ref="P69" authorId="0" shapeId="0" xr:uid="{81ABB87E-0467-4874-8D3C-293F772753E6}">
      <text>
        <r>
          <rPr>
            <b/>
            <sz val="9"/>
            <color indexed="81"/>
            <rFont val="Tahoma"/>
            <charset val="177"/>
          </rPr>
          <t>יניב שפירא:</t>
        </r>
        <r>
          <rPr>
            <sz val="9"/>
            <color indexed="81"/>
            <rFont val="Tahoma"/>
            <charset val="177"/>
          </rPr>
          <t xml:space="preserve">
1 = קרבי
2 = לא קרבי</t>
        </r>
      </text>
    </comment>
    <comment ref="P70" authorId="0" shapeId="0" xr:uid="{25E63FDA-C38D-4CFC-B02C-1F724F09ADD8}">
      <text>
        <r>
          <rPr>
            <b/>
            <sz val="9"/>
            <color indexed="81"/>
            <rFont val="Tahoma"/>
            <charset val="177"/>
          </rPr>
          <t>יניב שפירא:</t>
        </r>
        <r>
          <rPr>
            <sz val="9"/>
            <color indexed="81"/>
            <rFont val="Tahoma"/>
            <charset val="177"/>
          </rPr>
          <t xml:space="preserve">
1 = עד שנה
2 = שנה-שנה וחצי
3 = שנה וחצי-שנתיים
4 = שנתיים-שנתיים וחצי
5 = שנתיים וחצי-שלוש
6 = 3-6 שנים
7 = 6-15 שנים
8 = מעל 15 שנים</t>
        </r>
      </text>
    </comment>
    <comment ref="P71" authorId="0" shapeId="0" xr:uid="{134CB311-CE7C-4323-9428-66618C3FF02C}">
      <text>
        <r>
          <rPr>
            <b/>
            <sz val="9"/>
            <color indexed="81"/>
            <rFont val="Tahoma"/>
            <charset val="177"/>
          </rPr>
          <t>יניב שפירא:</t>
        </r>
        <r>
          <rPr>
            <sz val="9"/>
            <color indexed="81"/>
            <rFont val="Tahoma"/>
            <charset val="177"/>
          </rPr>
          <t xml:space="preserve">
1 = קרבי
2 = לא קרבי</t>
        </r>
      </text>
    </comment>
    <comment ref="P72" authorId="0" shapeId="0" xr:uid="{FF50DC1B-4FAE-4C41-A1F0-D84BAE644109}">
      <text>
        <r>
          <rPr>
            <b/>
            <sz val="9"/>
            <color indexed="81"/>
            <rFont val="Tahoma"/>
            <charset val="177"/>
          </rPr>
          <t>יניב שפירא:</t>
        </r>
        <r>
          <rPr>
            <sz val="9"/>
            <color indexed="81"/>
            <rFont val="Tahoma"/>
            <charset val="177"/>
          </rPr>
          <t xml:space="preserve">
1 = טוראי
2 = טר"ש
3 = רב"ט
4 = סמל
5 = סמ"ר
6 = רס"ל
7 = רס"ר
8 = רס"מ/רס"ב
9 = סג"מ
10 = סגן
11 = סרן
12 = רס"ן
13 = סא"ל
14 = אל"ם
15 = תא"ל
16 = אלוף
17 = רא"ל</t>
        </r>
      </text>
    </comment>
    <comment ref="AE73" authorId="0" shapeId="0" xr:uid="{38A281DC-3063-4DDE-AFD8-72117801A0BB}">
      <text>
        <r>
          <rPr>
            <b/>
            <sz val="9"/>
            <color indexed="81"/>
            <rFont val="Tahoma"/>
            <family val="2"/>
          </rPr>
          <t>יניב שפירא:</t>
        </r>
        <r>
          <rPr>
            <sz val="9"/>
            <color indexed="81"/>
            <rFont val="Tahoma"/>
            <family val="2"/>
          </rPr>
          <t xml:space="preserve">
1 = המרואיין
2 = בעלה של המרואיינת
3 = אביו של המרואיין
4 = בנו של המרואיין
5 = אחר</t>
        </r>
      </text>
    </comment>
    <comment ref="AE74" authorId="0" shapeId="0" xr:uid="{18E6BDA2-7314-4D6E-9B1C-8BC56C1D09CA}">
      <text>
        <r>
          <rPr>
            <b/>
            <sz val="9"/>
            <color indexed="81"/>
            <rFont val="Tahoma"/>
            <family val="2"/>
          </rPr>
          <t>יניב שפירא:</t>
        </r>
        <r>
          <rPr>
            <sz val="9"/>
            <color indexed="81"/>
            <rFont val="Tahoma"/>
            <family val="2"/>
          </rPr>
          <t xml:space="preserve">
1 = לא למד כלל
2 = עד 4 שנים
3 = 5-8 שנים
4 = 9-10 שנים
5 = 11 שנים
6 = 12 שנים
7 = השכלה על תיכונית או אקדמית חלקית
8 = השכלה אקדמית מלאה</t>
        </r>
      </text>
    </comment>
    <comment ref="AF75" authorId="0" shapeId="0" xr:uid="{A77D1558-9A18-4C6D-9C0B-ECE8BC87C0A8}">
      <text>
        <r>
          <rPr>
            <b/>
            <sz val="9"/>
            <color indexed="81"/>
            <rFont val="Tahoma"/>
            <charset val="177"/>
          </rPr>
          <t>יניב שפירא:</t>
        </r>
        <r>
          <rPr>
            <sz val="9"/>
            <color indexed="81"/>
            <rFont val="Tahoma"/>
            <charset val="177"/>
          </rPr>
          <t xml:space="preserve">
1 = לא למד כלל
2 = עד 4 שנים
3 = 5-8 שנים
4 = 9-10 שנים
5 = 11 שנים
6 = 12 שנים
7 = השכלה על תיכונית או אקדמית חלקית
8 = השכלה אקדמית מלאה</t>
        </r>
      </text>
    </comment>
    <comment ref="AE76" authorId="0" shapeId="0" xr:uid="{881696EA-7942-49F2-BE44-3CCF29A1F9A7}">
      <text>
        <r>
          <rPr>
            <b/>
            <sz val="9"/>
            <color indexed="81"/>
            <rFont val="Tahoma"/>
            <family val="2"/>
          </rPr>
          <t>יניב שפירא:</t>
        </r>
        <r>
          <rPr>
            <sz val="9"/>
            <color indexed="81"/>
            <rFont val="Tahoma"/>
            <family val="2"/>
          </rPr>
          <t xml:space="preserve">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r>
      </text>
    </comment>
    <comment ref="AF76" authorId="0" shapeId="0" xr:uid="{D625DF1F-3613-4A54-945B-CCE8B5656516}">
      <text>
        <r>
          <rPr>
            <b/>
            <sz val="9"/>
            <color indexed="81"/>
            <rFont val="Tahoma"/>
            <charset val="177"/>
          </rPr>
          <t>יניב שפירא:</t>
        </r>
        <r>
          <rPr>
            <sz val="9"/>
            <color indexed="81"/>
            <rFont val="Tahoma"/>
            <charset val="177"/>
          </rPr>
          <t xml:space="preserve">
1 = מקצוע חופשי
2 = מנהל/פקיד
3 = סוחר
4 = חקלאי
5 = עובד תחבורה
6 = בנייה
7 = בעל מלאכה
8 = ספורט/בידור
9 = לא עובד</t>
        </r>
      </text>
    </comment>
    <comment ref="AE77" authorId="0" shapeId="0" xr:uid="{131F96A0-3215-418C-A362-F020FE51B204}">
      <text>
        <r>
          <rPr>
            <b/>
            <sz val="9"/>
            <color indexed="81"/>
            <rFont val="Tahoma"/>
            <family val="2"/>
          </rPr>
          <t>יניב שפירא:</t>
        </r>
        <r>
          <rPr>
            <sz val="9"/>
            <color indexed="81"/>
            <rFont val="Tahoma"/>
            <family val="2"/>
          </rPr>
          <t xml:space="preserve">
1 = שכיר
2 = עצמאי-מעסיק
3 = עצמאי לא מעסיק
4 = חבר קואופרטיב
5 = אחר
6 = מחפש עבודה
7 = עקרת בית
8 = פנסיונר
9 = אחר</t>
        </r>
      </text>
    </comment>
    <comment ref="AE78" authorId="0" shapeId="0" xr:uid="{E8D51452-DE4A-4B2E-8FC7-795312810C90}">
      <text>
        <r>
          <rPr>
            <b/>
            <sz val="9"/>
            <color indexed="81"/>
            <rFont val="Tahoma"/>
            <family val="2"/>
          </rPr>
          <t>יניב שפירא:</t>
        </r>
        <r>
          <rPr>
            <sz val="9"/>
            <color indexed="81"/>
            <rFont val="Tahoma"/>
            <family val="2"/>
          </rPr>
          <t xml:space="preserve">
1 = אתה או ראש המשפחה
2 = בעלים פרטיים
3 = הסתדרות
4 = סקטור ציבורי
5 = אחר
6 = לא עובד</t>
        </r>
      </text>
    </comment>
    <comment ref="AE79" authorId="0" shapeId="0" xr:uid="{BBE74CF2-1D93-4EDA-9E95-9E3762F0E3C8}">
      <text>
        <r>
          <rPr>
            <b/>
            <sz val="9"/>
            <color indexed="81"/>
            <rFont val="Tahoma"/>
            <family val="2"/>
          </rPr>
          <t>יניב שפירא:</t>
        </r>
        <r>
          <rPr>
            <sz val="9"/>
            <color indexed="81"/>
            <rFont val="Tahoma"/>
            <family val="2"/>
          </rPr>
          <t xml:space="preserve">
1 = כן
2 = לא
6 = לא עובד</t>
        </r>
      </text>
    </comment>
    <comment ref="O80" authorId="0" shapeId="0" xr:uid="{66A95824-D818-4C94-8680-485B59B4FF7E}">
      <text>
        <r>
          <rPr>
            <b/>
            <sz val="9"/>
            <color indexed="81"/>
            <rFont val="Tahoma"/>
            <family val="2"/>
          </rPr>
          <t>יניב שפירא:</t>
        </r>
        <r>
          <rPr>
            <sz val="9"/>
            <color indexed="81"/>
            <rFont val="Tahoma"/>
            <family val="2"/>
          </rPr>
          <t xml:space="preserve">
1 = כן
2 = לא</t>
        </r>
      </text>
    </comment>
    <comment ref="Z80" authorId="0" shapeId="0" xr:uid="{46190F1C-381C-4DA1-A71C-9E4517B89C8B}">
      <text>
        <r>
          <rPr>
            <b/>
            <sz val="9"/>
            <color indexed="81"/>
            <rFont val="Tahoma"/>
            <charset val="177"/>
          </rPr>
          <t>יניב שפירא:</t>
        </r>
        <r>
          <rPr>
            <sz val="9"/>
            <color indexed="81"/>
            <rFont val="Tahoma"/>
            <charset val="177"/>
          </rPr>
          <t xml:space="preserve">
1 = כן
2 = לא</t>
        </r>
      </text>
    </comment>
    <comment ref="AE81" authorId="0" shapeId="0" xr:uid="{3C3186B7-C928-4D03-B86A-9DA9EA6F2342}">
      <text>
        <r>
          <rPr>
            <b/>
            <sz val="9"/>
            <color indexed="81"/>
            <rFont val="Tahoma"/>
            <family val="2"/>
          </rPr>
          <t>יניב שפירא:</t>
        </r>
        <r>
          <rPr>
            <sz val="9"/>
            <color indexed="81"/>
            <rFont val="Tahoma"/>
            <family val="2"/>
          </rPr>
          <t xml:space="preserve">
2 = קופ"ח של העובדים הלאומיים
3 = קופ"ח מכבי
4 = קופ" מרכזית
5 = קופ"ח עממית
6 = ביטוח אחר
7 = באמצעות סעד
8 = פרטי
</t>
        </r>
      </text>
    </comment>
    <comment ref="AF82" authorId="0" shapeId="0" xr:uid="{9E537A32-AFEF-4A7E-9657-066908B7AC0F}">
      <text>
        <r>
          <rPr>
            <b/>
            <sz val="9"/>
            <color indexed="81"/>
            <rFont val="Tahoma"/>
            <charset val="177"/>
          </rPr>
          <t>יניב שפירא:</t>
        </r>
        <r>
          <rPr>
            <sz val="9"/>
            <color indexed="81"/>
            <rFont val="Tahoma"/>
            <charset val="177"/>
          </rPr>
          <t xml:space="preserve">
1 = עברית
2 = יידיש
3 = ערבית
4 = שפות מזרח אירופאיות
5 = שפות מערב אירופה
6 = שפות לטיניות ובלקניות
7 = אחר</t>
        </r>
      </text>
    </comment>
    <comment ref="AH83" authorId="0" shapeId="0" xr:uid="{8C5A8004-F1C3-458F-B79A-6355E89FC9B0}">
      <text>
        <r>
          <rPr>
            <b/>
            <sz val="9"/>
            <color indexed="81"/>
            <rFont val="Tahoma"/>
            <charset val="177"/>
          </rPr>
          <t>יניב שפירא:</t>
        </r>
        <r>
          <rPr>
            <sz val="9"/>
            <color indexed="81"/>
            <rFont val="Tahoma"/>
            <charset val="177"/>
          </rPr>
          <t xml:space="preserve">
1 = כן
2 = לא</t>
        </r>
      </text>
    </comment>
    <comment ref="AH84" authorId="0" shapeId="0" xr:uid="{7CA35462-07CB-4B6A-B606-0324FA66D5E0}">
      <text>
        <r>
          <rPr>
            <b/>
            <sz val="9"/>
            <color indexed="81"/>
            <rFont val="Tahoma"/>
            <charset val="177"/>
          </rPr>
          <t>יניב שפירא:</t>
        </r>
        <r>
          <rPr>
            <sz val="9"/>
            <color indexed="81"/>
            <rFont val="Tahoma"/>
            <charset val="177"/>
          </rPr>
          <t xml:space="preserve">
1 = כן
2 = לא</t>
        </r>
      </text>
    </comment>
    <comment ref="AH85" authorId="0" shapeId="0" xr:uid="{AABD5D0D-01EC-4FEF-B7ED-C8BDC6D777E3}">
      <text>
        <r>
          <rPr>
            <b/>
            <sz val="9"/>
            <color indexed="81"/>
            <rFont val="Tahoma"/>
            <charset val="177"/>
          </rPr>
          <t>יניב שפירא:</t>
        </r>
        <r>
          <rPr>
            <sz val="9"/>
            <color indexed="81"/>
            <rFont val="Tahoma"/>
            <charset val="177"/>
          </rPr>
          <t xml:space="preserve">
1 = אותו מקום
2 = מקום אחר</t>
        </r>
      </text>
    </comment>
    <comment ref="AE86" authorId="0" shapeId="0" xr:uid="{4284F6C8-B7D7-41DF-9ADD-CDE0BD136247}">
      <text>
        <r>
          <rPr>
            <b/>
            <sz val="9"/>
            <color indexed="81"/>
            <rFont val="Tahoma"/>
            <charset val="177"/>
          </rPr>
          <t>יניב שפירא:</t>
        </r>
        <r>
          <rPr>
            <sz val="9"/>
            <color indexed="81"/>
            <rFont val="Tahoma"/>
            <charset val="177"/>
          </rPr>
          <t xml:space="preserve">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r>
      </text>
    </comment>
    <comment ref="AH87" authorId="0" shapeId="0" xr:uid="{063A936A-C866-4908-AD78-14EEF8DBBF77}">
      <text>
        <r>
          <rPr>
            <b/>
            <sz val="9"/>
            <color indexed="81"/>
            <rFont val="Tahoma"/>
            <charset val="177"/>
          </rPr>
          <t>יניב שפירא:</t>
        </r>
        <r>
          <rPr>
            <sz val="9"/>
            <color indexed="81"/>
            <rFont val="Tahoma"/>
            <charset val="177"/>
          </rPr>
          <t xml:space="preserve">
1 = איחוד הקבוצות והקיבוצים
2 = הקיבוץ המאוחד
3 = קיבוצי השמו"צ
4 = הקיבוץ הדתי
5 = הנוער הציוני
6 = הבלתי מצורפים
7 = זרם אחר
8 = לא היה חבר קיבוץ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607B829D-9A43-4808-A7EF-48430A9B40B9}">
      <text>
        <r>
          <rPr>
            <b/>
            <sz val="9"/>
            <color indexed="81"/>
            <rFont val="Tahoma"/>
            <charset val="177"/>
          </rPr>
          <t>יניב שפירא:</t>
        </r>
        <r>
          <rPr>
            <sz val="9"/>
            <color indexed="81"/>
            <rFont val="Tahoma"/>
            <charset val="177"/>
          </rPr>
          <t xml:space="preserve">
post election</t>
        </r>
      </text>
    </comment>
    <comment ref="AA1" authorId="0" shapeId="0" xr:uid="{CB599201-E449-497E-88E4-1BB3C43E5F8E}">
      <text>
        <r>
          <rPr>
            <b/>
            <sz val="9"/>
            <color indexed="81"/>
            <rFont val="Tahoma"/>
            <charset val="177"/>
          </rPr>
          <t>יניב שפירא:</t>
        </r>
        <r>
          <rPr>
            <sz val="9"/>
            <color indexed="81"/>
            <rFont val="Tahoma"/>
            <charset val="177"/>
          </rPr>
          <t xml:space="preserve">
post Kippur + post election</t>
        </r>
      </text>
    </comment>
    <comment ref="AB1" authorId="0" shapeId="0" xr:uid="{85505AF2-0943-4F08-A344-90D42817023E}">
      <text>
        <r>
          <rPr>
            <b/>
            <sz val="9"/>
            <color indexed="81"/>
            <rFont val="Tahoma"/>
            <charset val="177"/>
          </rPr>
          <t>יניב שפירא:</t>
        </r>
        <r>
          <rPr>
            <sz val="9"/>
            <color indexed="81"/>
            <rFont val="Tahoma"/>
            <charset val="177"/>
          </rPr>
          <t xml:space="preserve">
post Kippur</t>
        </r>
      </text>
    </comment>
    <comment ref="AC1" authorId="0" shapeId="0" xr:uid="{19D37D34-3CDA-49DF-93FA-D88BA54E65DA}">
      <text>
        <r>
          <rPr>
            <b/>
            <sz val="9"/>
            <color indexed="81"/>
            <rFont val="Tahoma"/>
            <charset val="177"/>
          </rPr>
          <t>יניב שפירא:</t>
        </r>
        <r>
          <rPr>
            <sz val="9"/>
            <color indexed="81"/>
            <rFont val="Tahoma"/>
            <charset val="177"/>
          </rPr>
          <t xml:space="preserve">
post Kippur</t>
        </r>
      </text>
    </comment>
    <comment ref="AF1" authorId="0" shapeId="0" xr:uid="{606C5549-2579-40A2-9DD4-34644797D351}">
      <text>
        <r>
          <rPr>
            <b/>
            <sz val="9"/>
            <color indexed="81"/>
            <rFont val="Tahoma"/>
            <charset val="177"/>
          </rPr>
          <t>יניב שפירא:</t>
        </r>
        <r>
          <rPr>
            <sz val="9"/>
            <color indexed="81"/>
            <rFont val="Tahoma"/>
            <charset val="177"/>
          </rPr>
          <t xml:space="preserve">
pre + post election</t>
        </r>
      </text>
    </comment>
    <comment ref="D2" authorId="0" shapeId="0" xr:uid="{CD0CBEE0-6DEF-4A53-BF26-13557163A881}">
      <text>
        <r>
          <rPr>
            <b/>
            <sz val="9"/>
            <color indexed="81"/>
            <rFont val="Tahoma"/>
            <charset val="177"/>
          </rPr>
          <t>יניב שפירא:</t>
        </r>
        <r>
          <rPr>
            <sz val="9"/>
            <color indexed="81"/>
            <rFont val="Tahoma"/>
            <charset val="177"/>
          </rPr>
          <t xml:space="preserve">
1 = טוב מאוד
2 = טוב
3 = ככה ככה
4 = לא טוב
5 = רע</t>
        </r>
      </text>
    </comment>
    <comment ref="L2" authorId="0" shapeId="0" xr:uid="{97111619-157A-4D2D-BADF-C66DF284F524}">
      <text>
        <r>
          <rPr>
            <b/>
            <sz val="9"/>
            <color indexed="81"/>
            <rFont val="Tahoma"/>
            <charset val="177"/>
          </rPr>
          <t>יניב שפירא:</t>
        </r>
        <r>
          <rPr>
            <sz val="9"/>
            <color indexed="81"/>
            <rFont val="Tahoma"/>
            <charset val="177"/>
          </rPr>
          <t xml:space="preserve">
1 = רע
2 = לא טוב
3 = ככה ככה
4 = טוב
5 = טוב מאוד</t>
        </r>
      </text>
    </comment>
    <comment ref="M2" authorId="0" shapeId="0" xr:uid="{482303F1-6B15-44C2-ACE9-454FD550094F}">
      <text>
        <r>
          <rPr>
            <b/>
            <sz val="9"/>
            <color indexed="81"/>
            <rFont val="Tahoma"/>
            <charset val="177"/>
          </rPr>
          <t>יניב שפירא:</t>
        </r>
        <r>
          <rPr>
            <sz val="9"/>
            <color indexed="81"/>
            <rFont val="Tahoma"/>
            <charset val="177"/>
          </rPr>
          <t xml:space="preserve">
1 = טוב מאד
2 = טוב
3 = ככה ככה
4 = לא טוב
5 = רע</t>
        </r>
      </text>
    </comment>
    <comment ref="F3" authorId="0" shapeId="0" xr:uid="{AE84D631-CDDF-4A22-BBCB-0A0EA17926A1}">
      <text>
        <r>
          <rPr>
            <b/>
            <sz val="9"/>
            <color indexed="81"/>
            <rFont val="Tahoma"/>
            <charset val="177"/>
          </rPr>
          <t>יניב שפירא:</t>
        </r>
        <r>
          <rPr>
            <sz val="9"/>
            <color indexed="81"/>
            <rFont val="Tahoma"/>
            <charset val="177"/>
          </rPr>
          <t xml:space="preserve">
1 = מטפלת בדרך טובה מאד
2 = מטפלת בדרך טובה
3 = מטפלת בדרך לא כ"כ טובה
4 = מטפלת בדרך לא טובה כלל</t>
        </r>
      </text>
    </comment>
    <comment ref="L3" authorId="0" shapeId="0" xr:uid="{55D44756-1959-4559-A8D5-E3E0A8321FB4}">
      <text>
        <r>
          <rPr>
            <b/>
            <sz val="9"/>
            <color indexed="81"/>
            <rFont val="Tahoma"/>
            <charset val="177"/>
          </rPr>
          <t>יניב שפירא:</t>
        </r>
        <r>
          <rPr>
            <sz val="9"/>
            <color indexed="81"/>
            <rFont val="Tahoma"/>
            <charset val="177"/>
          </rPr>
          <t xml:space="preserve">
1 = לא טובה כלל
2 = בדרך לא כ"כ טובה
3 = בדרך טובה
4 = בדרך טובה מאוד</t>
        </r>
      </text>
    </comment>
    <comment ref="M3" authorId="0" shapeId="0" xr:uid="{8DF8DA0A-C479-4529-B828-9CC02B7BA487}">
      <text>
        <r>
          <rPr>
            <b/>
            <sz val="9"/>
            <color indexed="81"/>
            <rFont val="Tahoma"/>
            <charset val="177"/>
          </rPr>
          <t>יניב שפירא:</t>
        </r>
        <r>
          <rPr>
            <sz val="9"/>
            <color indexed="81"/>
            <rFont val="Tahoma"/>
            <charset val="177"/>
          </rPr>
          <t xml:space="preserve">
1 = בדרך טובה מאד
2 = בדרך טובה
3 = לא כ"כ טובה
4 = לא טובה בכלל</t>
        </r>
      </text>
    </comment>
    <comment ref="B4" authorId="1" shapeId="0" xr:uid="{808B10FF-163F-487C-BE37-20AECDF2A705}">
      <text>
        <r>
          <rPr>
            <b/>
            <sz val="9"/>
            <color indexed="81"/>
            <rFont val="Tahoma"/>
          </rPr>
          <t>adi:</t>
        </r>
        <r>
          <rPr>
            <sz val="9"/>
            <color indexed="81"/>
            <rFont val="Tahoma"/>
          </rPr>
          <t xml:space="preserve">
קידוד 1-103</t>
        </r>
      </text>
    </comment>
    <comment ref="D4" authorId="0" shapeId="0" xr:uid="{15D9341C-FE8E-4C8B-A9D5-D7FD4612F848}">
      <text>
        <r>
          <rPr>
            <b/>
            <sz val="9"/>
            <color indexed="81"/>
            <rFont val="Tahoma"/>
            <charset val="177"/>
          </rPr>
          <t>יניב שפירא:</t>
        </r>
        <r>
          <rPr>
            <sz val="9"/>
            <color indexed="81"/>
            <rFont val="Tahoma"/>
            <charset val="177"/>
          </rPr>
          <t xml:space="preserve">
קידוד
1-72</t>
        </r>
      </text>
    </comment>
    <comment ref="E4" authorId="0" shapeId="0" xr:uid="{A77CA6D3-89F5-4296-B1E8-92ED88B2FCED}">
      <text>
        <r>
          <rPr>
            <b/>
            <sz val="9"/>
            <color indexed="81"/>
            <rFont val="Tahoma"/>
            <family val="2"/>
          </rPr>
          <t>יניב שפירא:</t>
        </r>
        <r>
          <rPr>
            <sz val="9"/>
            <color indexed="81"/>
            <rFont val="Tahoma"/>
            <family val="2"/>
          </rPr>
          <t xml:space="preserve">
אפשר לתת 2 תשובות
c8_code1
c8_code2</t>
        </r>
      </text>
    </comment>
    <comment ref="F4" authorId="0" shapeId="0" xr:uid="{E314C122-CECE-454F-B3D3-95B04B708A24}">
      <text>
        <r>
          <rPr>
            <b/>
            <sz val="9"/>
            <color indexed="81"/>
            <rFont val="Tahoma"/>
            <charset val="177"/>
          </rPr>
          <t>יניב שפירא:</t>
        </r>
        <r>
          <rPr>
            <sz val="9"/>
            <color indexed="81"/>
            <rFont val="Tahoma"/>
            <charset val="177"/>
          </rPr>
          <t xml:space="preserve">
אפשר לתת שתי תשובות
v8_code_1
v8_code_2</t>
        </r>
      </text>
    </comment>
    <comment ref="S4" authorId="0" shapeId="0" xr:uid="{AB802C73-EC77-4CE0-8CFC-9B9A9FC83418}">
      <text>
        <r>
          <rPr>
            <b/>
            <sz val="9"/>
            <color indexed="81"/>
            <rFont val="Tahoma"/>
            <charset val="177"/>
          </rPr>
          <t>יניב שפירא:</t>
        </r>
        <r>
          <rPr>
            <sz val="9"/>
            <color indexed="81"/>
            <rFont val="Tahoma"/>
            <charset val="177"/>
          </rPr>
          <t xml:space="preserve">
1 = בטחון
2 = כלכלה
3 = פער חברתי
4 = שלום
5 = זוגות צעירים
6 = אינפלציה
7 = קליטת עולים
8 = חינוך
9 = חוסר מנהיגות
10 = אחר</t>
        </r>
      </text>
    </comment>
    <comment ref="Z4" authorId="0" shapeId="0" xr:uid="{A29E9761-98EE-49B1-8AFE-FC2A48728639}">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AB4" authorId="0" shapeId="0" xr:uid="{78F334A4-B43A-48FF-AE47-B44A8E7F7A32}">
      <text>
        <r>
          <rPr>
            <b/>
            <sz val="9"/>
            <color indexed="81"/>
            <rFont val="Tahoma"/>
            <charset val="177"/>
          </rPr>
          <t>יניב שפירא:</t>
        </r>
        <r>
          <rPr>
            <sz val="9"/>
            <color indexed="81"/>
            <rFont val="Tahoma"/>
            <charset val="177"/>
          </rPr>
          <t xml:space="preserve">
1 = בטחון
2 = שלום
3 = כלכלה
4 = עליה וקליטה
5 = חינוך
6 = הפער החברתי
7 = שיכון זוגות צעירים
8 = בעיות פנים</t>
        </r>
      </text>
    </comment>
    <comment ref="AG4" authorId="0" shapeId="0" xr:uid="{274FBC11-3A65-4B3C-8FA0-0E527609490E}">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D7" authorId="0" shapeId="0" xr:uid="{C350210D-97DF-45D7-8594-B2349A2E6497}">
      <text>
        <r>
          <rPr>
            <b/>
            <sz val="9"/>
            <color indexed="81"/>
            <rFont val="Tahoma"/>
            <charset val="177"/>
          </rPr>
          <t>יניב שפירא:</t>
        </r>
        <r>
          <rPr>
            <sz val="9"/>
            <color indexed="81"/>
            <rFont val="Tahoma"/>
            <charset val="177"/>
          </rPr>
          <t xml:space="preserve">
1 = תפתור בקרוב את שתיהן
2 = תפתור בקרוב רק את הראשונה
3 = תפתור בקרוב רק את השנייה
4 = לא תפתור שום בעיה בקרוב</t>
        </r>
      </text>
    </comment>
    <comment ref="M8" authorId="0" shapeId="0" xr:uid="{41C427DF-BCB7-4700-B856-D4578AC9FA4F}">
      <text>
        <r>
          <rPr>
            <b/>
            <sz val="9"/>
            <color indexed="81"/>
            <rFont val="Tahoma"/>
            <charset val="177"/>
          </rPr>
          <t>יניב שפירא:</t>
        </r>
        <r>
          <rPr>
            <sz val="9"/>
            <color indexed="81"/>
            <rFont val="Tahoma"/>
            <charset val="177"/>
          </rPr>
          <t xml:space="preserve">
1 = נתניהו
2 = ברק
3 = מרדכי
4 = בגין
5 = בשארה
6 = רפול
7 = אף אחד
8 = אין הבדל</t>
        </r>
      </text>
    </comment>
    <comment ref="N8" authorId="0" shapeId="0" xr:uid="{4FFB7CB0-6D44-4E88-BA7F-EE07F3B4BC1B}">
      <text>
        <r>
          <rPr>
            <b/>
            <sz val="9"/>
            <color indexed="81"/>
            <rFont val="Tahoma"/>
            <charset val="177"/>
          </rPr>
          <t>יניב שפירא:</t>
        </r>
        <r>
          <rPr>
            <sz val="9"/>
            <color indexed="81"/>
            <rFont val="Tahoma"/>
            <charset val="177"/>
          </rPr>
          <t xml:space="preserve">
1 = נתניהו
2 = פרס
3 = אותו דבר
4 = אף אחד</t>
        </r>
      </text>
    </comment>
    <comment ref="T8" authorId="0" shapeId="0" xr:uid="{DBC3B93C-C66C-4665-96B5-AA9D705B776C}">
      <text>
        <r>
          <rPr>
            <b/>
            <sz val="9"/>
            <color indexed="81"/>
            <rFont val="Tahoma"/>
            <charset val="177"/>
          </rPr>
          <t>יניב שפירא:</t>
        </r>
        <r>
          <rPr>
            <sz val="9"/>
            <color indexed="81"/>
            <rFont val="Tahoma"/>
            <charset val="177"/>
          </rPr>
          <t xml:space="preserve">
1 = פרס
2 = בגין</t>
        </r>
      </text>
    </comment>
    <comment ref="S11" authorId="0" shapeId="0" xr:uid="{369E7753-956F-498B-9ACA-CA205ADDF5CA}">
      <text>
        <r>
          <rPr>
            <b/>
            <sz val="9"/>
            <color indexed="81"/>
            <rFont val="Tahoma"/>
            <charset val="177"/>
          </rPr>
          <t>יניב שפירא:</t>
        </r>
        <r>
          <rPr>
            <sz val="9"/>
            <color indexed="81"/>
            <rFont val="Tahoma"/>
            <charset val="177"/>
          </rPr>
          <t xml:space="preserve">
1 = המערך
2 = הליכוד
3 = שניהם אותו דבר
4 = אף אחד מהם</t>
        </r>
      </text>
    </comment>
    <comment ref="A12" authorId="0" shapeId="0" xr:uid="{74582B6E-A16C-4A46-BF1B-F3B7FAB0D8CC}">
      <text>
        <r>
          <rPr>
            <b/>
            <sz val="9"/>
            <color indexed="81"/>
            <rFont val="Tahoma"/>
            <family val="2"/>
          </rPr>
          <t>יניב שפירא:</t>
        </r>
        <r>
          <rPr>
            <sz val="9"/>
            <color indexed="81"/>
            <rFont val="Tahoma"/>
            <family val="2"/>
          </rPr>
          <t xml:space="preserve">
אין קידוד
גם ב2020 וגם ב2021</t>
        </r>
      </text>
    </comment>
    <comment ref="D12" authorId="0" shapeId="0" xr:uid="{09417B47-4D55-4CDE-BE90-29C616FF392E}">
      <text>
        <r>
          <rPr>
            <b/>
            <sz val="9"/>
            <color indexed="81"/>
            <rFont val="Tahoma"/>
            <family val="2"/>
          </rPr>
          <t>יניב שפירא:</t>
        </r>
        <r>
          <rPr>
            <sz val="9"/>
            <color indexed="81"/>
            <rFont val="Tahoma"/>
            <family val="2"/>
          </rPr>
          <t xml:space="preserve">
1 = שחיתות
2 = פוליטיקאים שלא מקיימים הבטחות
3 = גורמים שמתערבים בבחירות כך שהתוצאות לא מייצגות את רצון הבוחר
4 = שיטת הבחירות שמעוותת את רצון הבוחרים</t>
        </r>
      </text>
    </comment>
    <comment ref="D13" authorId="0" shapeId="0" xr:uid="{B98FBBE9-E482-41CC-B920-4D1A490982E6}">
      <text>
        <r>
          <rPr>
            <b/>
            <sz val="9"/>
            <color indexed="81"/>
            <rFont val="Tahoma"/>
            <family val="2"/>
          </rPr>
          <t>יניב שפירא:</t>
        </r>
        <r>
          <rPr>
            <sz val="9"/>
            <color indexed="81"/>
            <rFont val="Tahoma"/>
            <family val="2"/>
          </rPr>
          <t xml:space="preserve">
1-10
1 = כלל לא מרוצה
10 = מרוצה לגמרי</t>
        </r>
      </text>
    </comment>
    <comment ref="A14" authorId="0" shapeId="0" xr:uid="{75163956-48EC-4323-BFF2-FC6AF65A2933}">
      <text>
        <r>
          <rPr>
            <b/>
            <sz val="9"/>
            <color indexed="81"/>
            <rFont val="Tahoma"/>
            <family val="2"/>
          </rPr>
          <t>יניב שפירא:</t>
        </r>
        <r>
          <rPr>
            <sz val="9"/>
            <color indexed="81"/>
            <rFont val="Tahoma"/>
            <family val="2"/>
          </rPr>
          <t xml:space="preserve">
שאלות 12A-14A בפוסט בחירות 2019 לא מקודדות בstata</t>
        </r>
      </text>
    </comment>
    <comment ref="B14" authorId="1" shapeId="0" xr:uid="{760B8CCE-344D-44DB-ACC2-5A203FE27D3E}">
      <text>
        <r>
          <rPr>
            <b/>
            <sz val="9"/>
            <color indexed="81"/>
            <rFont val="Tahoma"/>
            <family val="2"/>
          </rPr>
          <t>adi:</t>
        </r>
        <r>
          <rPr>
            <sz val="9"/>
            <color indexed="81"/>
            <rFont val="Tahoma"/>
            <family val="2"/>
          </rPr>
          <t xml:space="preserve">
שאלות 709-711 לא מקודדות בנתונים</t>
        </r>
      </text>
    </comment>
    <comment ref="B15" authorId="1" shapeId="0" xr:uid="{724D065A-5451-405C-9020-7B8A333A6A55}">
      <text>
        <r>
          <rPr>
            <b/>
            <sz val="9"/>
            <color indexed="81"/>
            <rFont val="Tahoma"/>
            <family val="2"/>
          </rPr>
          <t>adi:</t>
        </r>
        <r>
          <rPr>
            <sz val="9"/>
            <color indexed="81"/>
            <rFont val="Tahoma"/>
            <family val="2"/>
          </rPr>
          <t xml:space="preserve">
שאלות 709-711 לא מקודדות בנתונים</t>
        </r>
      </text>
    </comment>
    <comment ref="B16" authorId="1" shapeId="0" xr:uid="{9FF05446-D8FD-430B-8AF9-0413478B8BF1}">
      <text>
        <r>
          <rPr>
            <b/>
            <sz val="9"/>
            <color indexed="81"/>
            <rFont val="Tahoma"/>
            <family val="2"/>
          </rPr>
          <t>adi:</t>
        </r>
        <r>
          <rPr>
            <sz val="9"/>
            <color indexed="81"/>
            <rFont val="Tahoma"/>
            <family val="2"/>
          </rPr>
          <t xml:space="preserve">
שאלות 709-711 לא מקודדות בנתונים</t>
        </r>
      </text>
    </comment>
    <comment ref="G17" authorId="0" shapeId="0" xr:uid="{AD40D9D2-798F-45A9-8D78-631074A4BE7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H18" authorId="0" shapeId="0" xr:uid="{2E15B27C-0A39-4AE6-B6A6-4623F0956229}">
      <text>
        <r>
          <rPr>
            <b/>
            <sz val="9"/>
            <color indexed="81"/>
            <rFont val="Tahoma"/>
            <family val="2"/>
          </rPr>
          <t>יניב שפירא:</t>
        </r>
        <r>
          <rPr>
            <sz val="9"/>
            <color indexed="81"/>
            <rFont val="Tahoma"/>
            <family val="2"/>
          </rPr>
          <t xml:space="preserve">
1 = בהחלט לא מסכים
2 = לא מסכים
3 = מסכים
4 = מסכים מאד</t>
        </r>
      </text>
    </comment>
    <comment ref="G19" authorId="0" shapeId="0" xr:uid="{EF61D838-2ACB-411B-BB1A-23097E752D04}">
      <text>
        <r>
          <rPr>
            <b/>
            <sz val="9"/>
            <color indexed="81"/>
            <rFont val="Tahoma"/>
            <charset val="177"/>
          </rPr>
          <t>יניב שפירא:</t>
        </r>
        <r>
          <rPr>
            <sz val="9"/>
            <color indexed="81"/>
            <rFont val="Tahoma"/>
            <charset val="177"/>
          </rPr>
          <t xml:space="preserve">
1 = שמירה על כלכלה יציבה
2 = יצירה של סביבה אנושית יותר, שמדגישה יותר יחסי אנוש
3 = יצירת סביבה בה רעיונות נחשבים יותר מכסף
4 = מלחמה בפשע</t>
        </r>
      </text>
    </comment>
    <comment ref="I21" authorId="0" shapeId="0" xr:uid="{75F0FE1A-125B-4E58-84E4-6EFAD202EAE9}">
      <text>
        <r>
          <rPr>
            <b/>
            <sz val="9"/>
            <color indexed="81"/>
            <rFont val="Tahoma"/>
            <family val="2"/>
          </rPr>
          <t>יניב שפירא:</t>
        </r>
        <r>
          <rPr>
            <sz val="9"/>
            <color indexed="81"/>
            <rFont val="Tahoma"/>
            <family val="2"/>
          </rPr>
          <t xml:space="preserve">
סולם 1-9
1 = מצב גרוע ביותר
9 = מצב טוב ביותר</t>
        </r>
      </text>
    </comment>
    <comment ref="T21" authorId="0" shapeId="0" xr:uid="{C05BABB7-F35D-4237-9862-54ED835BB6E0}">
      <text>
        <r>
          <rPr>
            <b/>
            <sz val="9"/>
            <color indexed="81"/>
            <rFont val="Tahoma"/>
            <family val="2"/>
          </rPr>
          <t>יניב שפירא:</t>
        </r>
        <r>
          <rPr>
            <sz val="9"/>
            <color indexed="81"/>
            <rFont val="Tahoma"/>
            <family val="2"/>
          </rPr>
          <t xml:space="preserve">
ארבע שנים ולא חמש
סולם 1-10
1 = החיים הטובים ביותר
10 = החיים הגרועים ביותר</t>
        </r>
      </text>
    </comment>
    <comment ref="V21" authorId="0" shapeId="0" xr:uid="{A7F4E0BD-9BE9-4B9A-9E97-E972EC730F13}">
      <text>
        <r>
          <rPr>
            <b/>
            <sz val="9"/>
            <color indexed="81"/>
            <rFont val="Tahoma"/>
            <charset val="177"/>
          </rPr>
          <t>יניב שפירא:</t>
        </r>
        <r>
          <rPr>
            <sz val="9"/>
            <color indexed="81"/>
            <rFont val="Tahoma"/>
            <charset val="177"/>
          </rPr>
          <t xml:space="preserve">
ארבע שנים ולא חמש
סולם 1-10
1 = החיים הטובים ביותר
10 = החיים הגרועים ביותר</t>
        </r>
      </text>
    </comment>
    <comment ref="AG21" authorId="0" shapeId="0" xr:uid="{7FA6E3C8-65FC-4E4C-B62D-AE6F6AC19E8B}">
      <text>
        <r>
          <rPr>
            <b/>
            <sz val="9"/>
            <color indexed="81"/>
            <rFont val="Tahoma"/>
            <charset val="177"/>
          </rPr>
          <t>יניב שפירא:</t>
        </r>
        <r>
          <rPr>
            <sz val="9"/>
            <color indexed="81"/>
            <rFont val="Tahoma"/>
            <charset val="177"/>
          </rPr>
          <t xml:space="preserve">
סולם 0-10
0 = המצב הגרוע ביותר
10 = המצב הטוב ביותר</t>
        </r>
      </text>
    </comment>
    <comment ref="AD24" authorId="0" shapeId="0" xr:uid="{BC337B1A-CDF0-4FD5-ABBA-823144447749}">
      <text>
        <r>
          <rPr>
            <b/>
            <sz val="9"/>
            <color indexed="81"/>
            <rFont val="Tahoma"/>
            <charset val="177"/>
          </rPr>
          <t>יניב שפירא:</t>
        </r>
        <r>
          <rPr>
            <sz val="9"/>
            <color indexed="81"/>
            <rFont val="Tahoma"/>
            <charset val="177"/>
          </rPr>
          <t xml:space="preserve">
1 = תשנה את מצבי באופן אישי
2 = תשנה את המצב במדינה ולכן זה ישנה את מצבי
3 = לא תשנה את מצבי</t>
        </r>
      </text>
    </comment>
    <comment ref="B25" authorId="1" shapeId="0" xr:uid="{9B732C11-3445-4C67-8143-FBC9F2C9676C}">
      <text>
        <r>
          <rPr>
            <b/>
            <sz val="9"/>
            <color indexed="81"/>
            <rFont val="Tahoma"/>
          </rPr>
          <t>adi:</t>
        </r>
        <r>
          <rPr>
            <sz val="9"/>
            <color indexed="81"/>
            <rFont val="Tahoma"/>
          </rPr>
          <t xml:space="preserve">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r>
      </text>
    </comment>
    <comment ref="L25" authorId="0" shapeId="0" xr:uid="{CDDA36A0-EABA-4628-B07B-0235259F00B7}">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25" authorId="0" shapeId="0" xr:uid="{BF551F37-E7FA-47DD-AA7E-359D22E92093}">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M26" authorId="0" shapeId="0" xr:uid="{F158EAA8-D2E2-47C7-9EBE-44CEAD4B2F63}">
      <text>
        <r>
          <rPr>
            <b/>
            <sz val="9"/>
            <color indexed="81"/>
            <rFont val="Tahoma"/>
            <family val="2"/>
          </rPr>
          <t>יניב שפירא:</t>
        </r>
        <r>
          <rPr>
            <sz val="9"/>
            <color indexed="81"/>
            <rFont val="Tahoma"/>
            <family val="2"/>
          </rPr>
          <t xml:space="preserve">
1 = האינטרסים של המדינה חשובים יותר
2 = באותה מידה
3 = האינטרסים של הפרט חשובים יותר</t>
        </r>
      </text>
    </comment>
    <comment ref="T26" authorId="0" shapeId="0" xr:uid="{E310CB1D-6DBF-4ECC-9696-BCD4FDC79B1A}">
      <text>
        <r>
          <rPr>
            <b/>
            <sz val="9"/>
            <color indexed="81"/>
            <rFont val="Tahoma"/>
            <family val="2"/>
          </rPr>
          <t>יניב שפירא:</t>
        </r>
        <r>
          <rPr>
            <sz val="9"/>
            <color indexed="81"/>
            <rFont val="Tahoma"/>
            <family val="2"/>
          </rPr>
          <t xml:space="preserve">
1 = של המדינה חשובים הרבה יותר
2 = של המדינה חשובים יותר
3 = באותה מידה
4 = של הפרט חשובים יותר
5 = של הפרט חשובים הרבה יותר</t>
        </r>
      </text>
    </comment>
    <comment ref="AG26" authorId="0" shapeId="0" xr:uid="{62946522-CBF6-40DC-A918-DB8E8669E796}">
      <text>
        <r>
          <rPr>
            <b/>
            <sz val="9"/>
            <color indexed="81"/>
            <rFont val="Tahoma"/>
            <family val="2"/>
          </rPr>
          <t>יניב שפירא:</t>
        </r>
        <r>
          <rPr>
            <sz val="9"/>
            <color indexed="81"/>
            <rFont val="Tahoma"/>
            <family val="2"/>
          </rPr>
          <t xml:space="preserve">
1 = אינטרס כללי בהחלט חשוב יותר
2 = אינטרס כללי אולי חשוב יותר
3 = חשובים באותה מידה
4 = אינטרס אישי אולי חשוב יותר
5 = אינטרס אישי בהחלט חשוב יותר</t>
        </r>
      </text>
    </comment>
    <comment ref="N27" authorId="0" shapeId="0" xr:uid="{C0E11A65-3404-418A-A244-AA9F8BFB9373}">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N28" authorId="0" shapeId="0" xr:uid="{62331610-155A-47C5-B803-8F057486A65C}">
      <text>
        <r>
          <rPr>
            <b/>
            <sz val="9"/>
            <color indexed="81"/>
            <rFont val="Tahoma"/>
            <family val="2"/>
          </rPr>
          <t>יניב שפירא:</t>
        </r>
        <r>
          <rPr>
            <sz val="9"/>
            <color indexed="81"/>
            <rFont val="Tahoma"/>
            <family val="2"/>
          </rPr>
          <t xml:space="preserve">
1 = אפשר להשיג הכל בו זמנית
2 = אי אפשר להשיג הכל בו זמנית</t>
        </r>
      </text>
    </comment>
    <comment ref="N29" authorId="0" shapeId="0" xr:uid="{BB4C4F58-764C-498F-A672-88527021FFFA}">
      <text>
        <r>
          <rPr>
            <b/>
            <sz val="9"/>
            <color indexed="81"/>
            <rFont val="Tahoma"/>
            <family val="2"/>
          </rPr>
          <t>יניב שפירא:</t>
        </r>
        <r>
          <rPr>
            <sz val="9"/>
            <color indexed="81"/>
            <rFont val="Tahoma"/>
            <family val="2"/>
          </rPr>
          <t xml:space="preserve">
1 = בכלל לא
2 = במסגרת העבודה בלבד
3 = יש, ידיד אחד או שניים
4 = יש, קשרים רבים</t>
        </r>
      </text>
    </comment>
    <comment ref="O30" authorId="0" shapeId="0" xr:uid="{088FBE51-B3D7-4B4B-BAB2-F18D88B6C1C2}">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O32" authorId="0" shapeId="0" xr:uid="{C56C00D0-0058-4842-A6CF-A53B0A7BF10C}">
      <text>
        <r>
          <rPr>
            <b/>
            <sz val="9"/>
            <color indexed="81"/>
            <rFont val="Tahoma"/>
            <family val="2"/>
          </rPr>
          <t>יניב שפירא:</t>
        </r>
        <r>
          <rPr>
            <sz val="9"/>
            <color indexed="81"/>
            <rFont val="Tahoma"/>
            <family val="2"/>
          </rPr>
          <t xml:space="preserve">
1 = סיכוי גבוה
2 = סיכוי נמוך</t>
        </r>
      </text>
    </comment>
    <comment ref="P34" authorId="0" shapeId="0" xr:uid="{992F56D3-5785-473F-9E9A-069612D96718}">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39" authorId="0" shapeId="0" xr:uid="{F3D57C82-FDC8-4477-A733-7C8205CDDA1B}">
      <text>
        <r>
          <rPr>
            <b/>
            <sz val="9"/>
            <color indexed="81"/>
            <rFont val="Tahoma"/>
            <family val="2"/>
          </rPr>
          <t>יניב שפירא:</t>
        </r>
        <r>
          <rPr>
            <sz val="9"/>
            <color indexed="81"/>
            <rFont val="Tahoma"/>
            <family val="2"/>
          </rPr>
          <t xml:space="preserve">
1 = מאמין בהחלט
2 = מאמין אך לא בטוח
3 = מטיל ספק
4 = בהחלט לא מאמין</t>
        </r>
      </text>
    </comment>
    <comment ref="P40" authorId="0" shapeId="0" xr:uid="{C5D387E5-16E7-4DBD-AD95-B741B095B9C0}">
      <text>
        <r>
          <rPr>
            <b/>
            <sz val="9"/>
            <color indexed="81"/>
            <rFont val="Tahoma"/>
            <family val="2"/>
          </rPr>
          <t>יניב שפירא:</t>
        </r>
        <r>
          <rPr>
            <sz val="9"/>
            <color indexed="81"/>
            <rFont val="Tahoma"/>
            <family val="2"/>
          </rPr>
          <t xml:space="preserve">
1 = צודק
2 = לא צודק</t>
        </r>
      </text>
    </comment>
    <comment ref="P41" authorId="0" shapeId="0" xr:uid="{4FC057DA-E9E8-42A1-BFAB-4015394EBDB5}">
      <text>
        <r>
          <rPr>
            <b/>
            <sz val="9"/>
            <color indexed="81"/>
            <rFont val="Tahoma"/>
            <family val="2"/>
          </rPr>
          <t>יניב שפירא:</t>
        </r>
        <r>
          <rPr>
            <sz val="9"/>
            <color indexed="81"/>
            <rFont val="Tahoma"/>
            <family val="2"/>
          </rPr>
          <t xml:space="preserve">
1 = בדר"כ ביעילות
2 = בדר"כ לא ביעילות</t>
        </r>
      </text>
    </comment>
    <comment ref="P42" authorId="0" shapeId="0" xr:uid="{40AC8108-076C-43B6-BCBC-B20D68E71C60}">
      <text>
        <r>
          <rPr>
            <b/>
            <sz val="9"/>
            <color indexed="81"/>
            <rFont val="Tahoma"/>
            <family val="2"/>
          </rPr>
          <t>יניב שפירא:</t>
        </r>
        <r>
          <rPr>
            <sz val="9"/>
            <color indexed="81"/>
            <rFont val="Tahoma"/>
            <family val="2"/>
          </rPr>
          <t xml:space="preserve">
1 = ארוך מדי
2 = במידה הנכונה
3 = קצר מדי</t>
        </r>
      </text>
    </comment>
    <comment ref="P43" authorId="0" shapeId="0" xr:uid="{9215409E-1CF8-49F8-9E5F-A82525DE0DF5}">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52" authorId="0" shapeId="0" xr:uid="{397B2F57-24C8-4C6F-91D5-9D7E034A3A21}">
      <text>
        <r>
          <rPr>
            <b/>
            <sz val="9"/>
            <color indexed="81"/>
            <rFont val="Tahoma"/>
            <family val="2"/>
          </rPr>
          <t>יניב שפירא:</t>
        </r>
        <r>
          <rPr>
            <sz val="9"/>
            <color indexed="81"/>
            <rFont val="Tahoma"/>
            <family val="2"/>
          </rPr>
          <t xml:space="preserve">
1 = אלוהים
2 = צה"ל
3 = ארה"ב
4 = מדינת ישראל
5 = עם ישראל
6 = כל אחד צריך לשמור על עצמו
7 = אחר</t>
        </r>
      </text>
    </comment>
    <comment ref="P53" authorId="0" shapeId="0" xr:uid="{BF58CB4F-DA2F-4DE9-B15D-4E2357FF8CD3}">
      <text>
        <r>
          <rPr>
            <b/>
            <sz val="9"/>
            <color indexed="81"/>
            <rFont val="Tahoma"/>
            <family val="2"/>
          </rPr>
          <t>יניב שפירא:</t>
        </r>
        <r>
          <rPr>
            <sz val="9"/>
            <color indexed="81"/>
            <rFont val="Tahoma"/>
            <family val="2"/>
          </rPr>
          <t xml:space="preserve">
1 = למכור לכל המעוניין
2 = למכור לכל מדינה, פרט למדינות עוינות
3 = למכור רק למדינות שהמשטר שלהם נראה לנו
4 = לא למכור נשק כלל</t>
        </r>
      </text>
    </comment>
    <comment ref="P54" authorId="0" shapeId="0" xr:uid="{B4F2EB66-1BAC-4768-94CE-62DB17E90709}">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58" authorId="0" shapeId="0" xr:uid="{FF15A3C5-C829-43E2-B77D-4A9CB4D4A502}">
      <text>
        <r>
          <rPr>
            <b/>
            <sz val="9"/>
            <color indexed="81"/>
            <rFont val="Tahoma"/>
            <family val="2"/>
          </rPr>
          <t>יניב שפירא:</t>
        </r>
        <r>
          <rPr>
            <sz val="9"/>
            <color indexed="81"/>
            <rFont val="Tahoma"/>
            <family val="2"/>
          </rPr>
          <t xml:space="preserve">
1 = אפשר לתת אמון
2 = יש להיות זהירים</t>
        </r>
      </text>
    </comment>
    <comment ref="P59" authorId="0" shapeId="0" xr:uid="{509767BB-2466-4E07-A293-AF66623FD208}">
      <text>
        <r>
          <rPr>
            <b/>
            <sz val="9"/>
            <color indexed="81"/>
            <rFont val="Tahoma"/>
            <family val="2"/>
          </rPr>
          <t>יניב שפירא:</t>
        </r>
        <r>
          <rPr>
            <sz val="9"/>
            <color indexed="81"/>
            <rFont val="Tahoma"/>
            <family val="2"/>
          </rPr>
          <t xml:space="preserve">
1 = נוטים יותר לעזור
2 = נוטים לדאוג לעצמם</t>
        </r>
      </text>
    </comment>
    <comment ref="P60" authorId="0" shapeId="0" xr:uid="{B9F3B4F9-10EB-40DD-AA0D-B0D293C9E504}">
      <text>
        <r>
          <rPr>
            <b/>
            <sz val="9"/>
            <color indexed="81"/>
            <rFont val="Tahoma"/>
            <family val="2"/>
          </rPr>
          <t>יניב שפירא:</t>
        </r>
        <r>
          <rPr>
            <sz val="9"/>
            <color indexed="81"/>
            <rFont val="Tahoma"/>
            <family val="2"/>
          </rPr>
          <t xml:space="preserve">
1 = הגשמה עצמית
2 = הערכה עצמית
3 = חיבה, אהבה
4 = ודאות ובטחון בחיים
5 = חיים נוחים</t>
        </r>
      </text>
    </comment>
    <comment ref="P61" authorId="0" shapeId="0" xr:uid="{B2AF095C-6EA7-4FFF-9B93-A39C6C8337CF}">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9" authorId="0" shapeId="0" xr:uid="{0BF54F58-8361-44D8-94E9-12B05B0F70C4}">
      <text>
        <r>
          <rPr>
            <b/>
            <sz val="9"/>
            <color indexed="81"/>
            <rFont val="Tahoma"/>
            <family val="2"/>
          </rPr>
          <t>יניב שפירא:</t>
        </r>
        <r>
          <rPr>
            <sz val="9"/>
            <color indexed="81"/>
            <rFont val="Tahoma"/>
            <family val="2"/>
          </rPr>
          <t xml:space="preserve">
1 = דעה טובה מאד
2 = דעה די טובה
3 = לא טובה ולא רעה
4 = דעה די רעה
5 = דעה רעה מאד</t>
        </r>
      </text>
    </comment>
    <comment ref="A70" authorId="0" shapeId="0" xr:uid="{6D4BD141-9247-4FDE-8F71-299F8830B1B9}">
      <text>
        <r>
          <rPr>
            <b/>
            <sz val="9"/>
            <color indexed="81"/>
            <rFont val="Tahoma"/>
            <family val="2"/>
          </rPr>
          <t>יניב שפירא:</t>
        </r>
        <r>
          <rPr>
            <sz val="9"/>
            <color indexed="81"/>
            <rFont val="Tahoma"/>
            <family val="2"/>
          </rPr>
          <t xml:space="preserve">
מי שענה '3' בשאלה הקודמת (a45)</t>
        </r>
      </text>
    </comment>
    <comment ref="P70" authorId="0" shapeId="0" xr:uid="{47FB9118-3EC4-4F77-830D-AFBF709CA5B2}">
      <text>
        <r>
          <rPr>
            <b/>
            <sz val="9"/>
            <color indexed="81"/>
            <rFont val="Tahoma"/>
            <family val="2"/>
          </rPr>
          <t>יניב שפירא:</t>
        </r>
        <r>
          <rPr>
            <sz val="9"/>
            <color indexed="81"/>
            <rFont val="Tahoma"/>
            <family val="2"/>
          </rPr>
          <t xml:space="preserve">
1 = לכיוון הדעה הטובה
2 = לכיוון הדעה הרעה</t>
        </r>
      </text>
    </comment>
    <comment ref="P71" authorId="0" shapeId="0" xr:uid="{2640339E-A35A-4EFE-82F5-FA17E1109E70}">
      <text>
        <r>
          <rPr>
            <b/>
            <sz val="9"/>
            <color indexed="81"/>
            <rFont val="Tahoma"/>
            <family val="2"/>
          </rPr>
          <t>יניב שפירא:</t>
        </r>
        <r>
          <rPr>
            <sz val="9"/>
            <color indexed="81"/>
            <rFont val="Tahoma"/>
            <family val="2"/>
          </rPr>
          <t xml:space="preserve">
1 = מרוצה מאד
2 = די מרוצה
3 = לא כ"כ מרוצה
4 = כלל לא מרוצה</t>
        </r>
      </text>
    </comment>
    <comment ref="P72" authorId="0" shapeId="0" xr:uid="{D42665D1-A005-4C5C-9B98-B6123E536446}">
      <text>
        <r>
          <rPr>
            <b/>
            <sz val="9"/>
            <color indexed="81"/>
            <rFont val="Tahoma"/>
            <charset val="177"/>
          </rPr>
          <t>יניב שפירא:</t>
        </r>
        <r>
          <rPr>
            <sz val="9"/>
            <color indexed="81"/>
            <rFont val="Tahoma"/>
            <charset val="177"/>
          </rPr>
          <t xml:space="preserve">
1 = לעתים קרובות
2 = לפעמים
3 = לעתים רחוקות
4 = אף פעם לא</t>
        </r>
      </text>
    </comment>
    <comment ref="P73" authorId="0" shapeId="0" xr:uid="{C324BF9F-DB78-427A-8A13-CDF3D902C1DF}">
      <text>
        <r>
          <rPr>
            <b/>
            <sz val="9"/>
            <color indexed="81"/>
            <rFont val="Tahoma"/>
            <charset val="177"/>
          </rPr>
          <t>יניב שפירא:</t>
        </r>
        <r>
          <rPr>
            <sz val="9"/>
            <color indexed="81"/>
            <rFont val="Tahoma"/>
            <charset val="177"/>
          </rPr>
          <t xml:space="preserve">
1 = משוכנע שרוצה
2 = רוצה אך לא משוכנע
3 = יש לי ספיקות
4 = משוכנע שלא רוצה</t>
        </r>
      </text>
    </comment>
    <comment ref="P74" authorId="0" shapeId="0" xr:uid="{EC95CEE3-D70B-450D-B50C-2379C9D26503}">
      <text>
        <r>
          <rPr>
            <b/>
            <sz val="9"/>
            <color indexed="81"/>
            <rFont val="Tahoma"/>
            <charset val="177"/>
          </rPr>
          <t>יניב שפירא:</t>
        </r>
        <r>
          <rPr>
            <sz val="9"/>
            <color indexed="81"/>
            <rFont val="Tahoma"/>
            <charset val="177"/>
          </rPr>
          <t xml:space="preserve">
1 = המצב הבטחוני
2 = המצב הכלכלי
3 = המצב החברתי
4 = עליות נטיות אנטי דמוקרטיות
5 = מעמד הדת במדינה</t>
        </r>
      </text>
    </comment>
    <comment ref="P75" authorId="0" shapeId="0" xr:uid="{F75CFF42-E82A-4E79-912F-9DDBAAEAFFAC}">
      <text>
        <r>
          <rPr>
            <b/>
            <sz val="9"/>
            <color indexed="81"/>
            <rFont val="Tahoma"/>
            <charset val="177"/>
          </rPr>
          <t>יניב שפירא:</t>
        </r>
        <r>
          <rPr>
            <sz val="9"/>
            <color indexed="81"/>
            <rFont val="Tahoma"/>
            <charset val="177"/>
          </rPr>
          <t xml:space="preserve">
1 = מאושר מאד
2 = די מאושר
3 = לא כ"כ מאושר</t>
        </r>
      </text>
    </comment>
    <comment ref="P76" authorId="0" shapeId="0" xr:uid="{F023FCC7-D067-4D46-8830-C3CF8D166542}">
      <text>
        <r>
          <rPr>
            <b/>
            <sz val="9"/>
            <color indexed="81"/>
            <rFont val="Tahoma"/>
            <charset val="177"/>
          </rPr>
          <t>יניב שפירא:</t>
        </r>
        <r>
          <rPr>
            <sz val="9"/>
            <color indexed="81"/>
            <rFont val="Tahoma"/>
            <charset val="177"/>
          </rPr>
          <t xml:space="preserve">
1 = מרוצה מאד
2 = מרוצה
3 = אין דעה
4 = לא מרוצה
5 = כלל לא מרוצה</t>
        </r>
      </text>
    </comment>
    <comment ref="P77" authorId="0" shapeId="0" xr:uid="{BB213C96-2F64-47FA-82CD-74047D5C0560}">
      <text>
        <r>
          <rPr>
            <b/>
            <sz val="9"/>
            <color indexed="81"/>
            <rFont val="Tahoma"/>
            <charset val="177"/>
          </rPr>
          <t>יניב שפירא:</t>
        </r>
        <r>
          <rPr>
            <sz val="9"/>
            <color indexed="81"/>
            <rFont val="Tahoma"/>
            <charset val="177"/>
          </rPr>
          <t xml:space="preserve">
1 = טרם הגיע מועד הגיוס שלי
2 = אני בעתודה אקדמית
3 = עולה חדש
4 = אינני אזרח המדינה
5 = מסיבות דתיות
6 = מסיבות מצפוניות
7 = אחר</t>
        </r>
      </text>
    </comment>
    <comment ref="P78" authorId="0" shapeId="0" xr:uid="{062FF621-F7EC-448D-8892-9373049B9938}">
      <text>
        <r>
          <rPr>
            <b/>
            <sz val="9"/>
            <color indexed="81"/>
            <rFont val="Tahoma"/>
            <charset val="177"/>
          </rPr>
          <t>יניב שפירא:</t>
        </r>
        <r>
          <rPr>
            <sz val="9"/>
            <color indexed="81"/>
            <rFont val="Tahoma"/>
            <charset val="177"/>
          </rPr>
          <t xml:space="preserve">
1 = כן
2 = לא</t>
        </r>
      </text>
    </comment>
    <comment ref="P79" authorId="0" shapeId="0" xr:uid="{AC388466-D5B9-4A0A-9872-C9AB0CE0D6C8}">
      <text>
        <r>
          <rPr>
            <b/>
            <sz val="9"/>
            <color indexed="81"/>
            <rFont val="Tahoma"/>
            <family val="2"/>
          </rPr>
          <t>יניב שפירא:</t>
        </r>
        <r>
          <rPr>
            <sz val="9"/>
            <color indexed="81"/>
            <rFont val="Tahoma"/>
            <family val="2"/>
          </rPr>
          <t xml:space="preserve">
1 = אני נפצעתי קשה
2 = אני נפצעתי, אך לא קשה
3 = מישהו מבני משפחתי נפצע קשה
4 = מישהו מבני משפחתי נפצע, אף ךא קשה</t>
        </r>
      </text>
    </comment>
    <comment ref="P80" authorId="0" shapeId="0" xr:uid="{9D66F95F-7A61-4420-B4E3-C405730FAD10}">
      <text>
        <r>
          <rPr>
            <b/>
            <sz val="9"/>
            <color indexed="81"/>
            <rFont val="Tahoma"/>
            <family val="2"/>
          </rPr>
          <t>יניב שפירא:</t>
        </r>
        <r>
          <rPr>
            <sz val="9"/>
            <color indexed="81"/>
            <rFont val="Tahoma"/>
            <family val="2"/>
          </rPr>
          <t xml:space="preserve">
1 = כן
2 = לא</t>
        </r>
      </text>
    </comment>
    <comment ref="P81" authorId="0" shapeId="0" xr:uid="{D841C8F3-31D9-4337-883F-561DDABD4460}">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P82" authorId="0" shapeId="0" xr:uid="{7B8BA57E-8D46-42E5-AD40-F0251FC368A3}">
      <text>
        <r>
          <rPr>
            <b/>
            <sz val="9"/>
            <color indexed="81"/>
            <rFont val="Tahoma"/>
            <family val="2"/>
          </rPr>
          <t>יניב שפירא:</t>
        </r>
        <r>
          <rPr>
            <sz val="9"/>
            <color indexed="81"/>
            <rFont val="Tahoma"/>
            <family val="2"/>
          </rPr>
          <t xml:space="preserve">
1 = כן
2 = לא</t>
        </r>
      </text>
    </comment>
    <comment ref="P83" authorId="0" shapeId="0" xr:uid="{4504AE1D-E464-4809-B84A-B009BC344DBE}">
      <text>
        <r>
          <rPr>
            <b/>
            <sz val="9"/>
            <color indexed="81"/>
            <rFont val="Tahoma"/>
            <family val="2"/>
          </rPr>
          <t>יניב שפירא:</t>
        </r>
        <r>
          <rPr>
            <sz val="9"/>
            <color indexed="81"/>
            <rFont val="Tahoma"/>
            <family val="2"/>
          </rPr>
          <t xml:space="preserve">
1 = כן
2 - לא</t>
        </r>
      </text>
    </comment>
    <comment ref="P84" authorId="0" shapeId="0" xr:uid="{A4011425-4934-49B9-A2D0-8BADB113A80E}">
      <text>
        <r>
          <rPr>
            <b/>
            <sz val="9"/>
            <color indexed="81"/>
            <rFont val="Tahoma"/>
            <family val="2"/>
          </rPr>
          <t>יניב שפירא:</t>
        </r>
        <r>
          <rPr>
            <sz val="9"/>
            <color indexed="81"/>
            <rFont val="Tahoma"/>
            <family val="2"/>
          </rPr>
          <t xml:space="preserve">
1 = כן
2 = לא</t>
        </r>
      </text>
    </comment>
    <comment ref="U85" authorId="0" shapeId="0" xr:uid="{E3FB6B67-CAF3-4730-802A-84740DB36297}">
      <text>
        <r>
          <rPr>
            <b/>
            <sz val="9"/>
            <color indexed="81"/>
            <rFont val="Tahoma"/>
            <family val="2"/>
          </rPr>
          <t>יניב שפירא:</t>
        </r>
        <r>
          <rPr>
            <sz val="9"/>
            <color indexed="81"/>
            <rFont val="Tahoma"/>
            <family val="2"/>
          </rPr>
          <t xml:space="preserve">
1 = מתאים מאד
2 = מתאים
3 = לא בטוח
4 = לא מתאים
5 = כלל לא מתאים</t>
        </r>
      </text>
    </comment>
    <comment ref="AA92" authorId="0" shapeId="0" xr:uid="{1B3AC77F-4731-4F1C-AF91-52BC597FE4F2}">
      <text>
        <r>
          <rPr>
            <b/>
            <sz val="9"/>
            <color indexed="81"/>
            <rFont val="Tahoma"/>
            <charset val="177"/>
          </rPr>
          <t>יניב שפירא:</t>
        </r>
        <r>
          <rPr>
            <sz val="9"/>
            <color indexed="81"/>
            <rFont val="Tahoma"/>
            <charset val="177"/>
          </rPr>
          <t xml:space="preserve">
1 = מאמין במידה רבה
2 = מאמין במידה מסוימת
3 = מאמין במידה מועטה
4 = לא מאמין כלל</t>
        </r>
      </text>
    </comment>
    <comment ref="AA93" authorId="0" shapeId="0" xr:uid="{4A2B1430-77B2-483F-8464-34146EA50450}">
      <text>
        <r>
          <rPr>
            <b/>
            <sz val="9"/>
            <color indexed="81"/>
            <rFont val="Tahoma"/>
            <charset val="177"/>
          </rPr>
          <t>יניב שפירא:</t>
        </r>
        <r>
          <rPr>
            <sz val="9"/>
            <color indexed="81"/>
            <rFont val="Tahoma"/>
            <charset val="177"/>
          </rPr>
          <t xml:space="preserve">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r>
      </text>
    </comment>
    <comment ref="AB94" authorId="0" shapeId="0" xr:uid="{C561208A-CD26-4869-8D66-D5E340B069A8}">
      <text>
        <r>
          <rPr>
            <b/>
            <sz val="9"/>
            <color indexed="81"/>
            <rFont val="Tahoma"/>
            <charset val="177"/>
          </rPr>
          <t>יניב שפירא:</t>
        </r>
        <r>
          <rPr>
            <sz val="9"/>
            <color indexed="81"/>
            <rFont val="Tahoma"/>
            <charset val="177"/>
          </rPr>
          <t xml:space="preserve">
1 = מרוצה מאוד
2 = מרוצה
3 = לא כ"כ מרוצה
4 = לא מרוצה כלל</t>
        </r>
      </text>
    </comment>
    <comment ref="AD94" authorId="0" shapeId="0" xr:uid="{78384AEA-0C97-4CA2-8E75-020EC6D3E591}">
      <text>
        <r>
          <rPr>
            <b/>
            <sz val="9"/>
            <color indexed="81"/>
            <rFont val="Tahoma"/>
            <family val="2"/>
          </rPr>
          <t>יניב שפירא:</t>
        </r>
        <r>
          <rPr>
            <sz val="9"/>
            <color indexed="81"/>
            <rFont val="Tahoma"/>
            <family val="2"/>
          </rPr>
          <t xml:space="preserve">
1 = מאד מרוצה
2 = מרוצה
3 = לא כ"כ מרוצה
4 = כלל לא מרוצה</t>
        </r>
      </text>
    </comment>
    <comment ref="AD96" authorId="0" shapeId="0" xr:uid="{83AA6B39-D2DE-4A1E-AC4A-A7EF59E5D858}">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D97" authorId="0" shapeId="0" xr:uid="{7F77E3C3-7B75-498A-82A8-1780C965B8B4}">
      <text>
        <r>
          <rPr>
            <b/>
            <sz val="9"/>
            <color indexed="81"/>
            <rFont val="Tahoma"/>
            <family val="2"/>
          </rPr>
          <t>יניב שפירא:</t>
        </r>
        <r>
          <rPr>
            <sz val="9"/>
            <color indexed="81"/>
            <rFont val="Tahoma"/>
            <family val="2"/>
          </rPr>
          <t xml:space="preserve">
1 = במידה רבה
2 = במידה מסוימת
3 = במדה מועטה
4 = כלל לא
9 = לא פעיל</t>
        </r>
      </text>
    </comment>
    <comment ref="A98" authorId="0" shapeId="0" xr:uid="{2D7B1005-A683-4AB2-ABF1-869B616CABA2}">
      <text>
        <r>
          <rPr>
            <b/>
            <sz val="9"/>
            <color indexed="81"/>
            <rFont val="Tahoma"/>
            <charset val="177"/>
          </rPr>
          <t>יניב שפירא:</t>
        </r>
        <r>
          <rPr>
            <sz val="9"/>
            <color indexed="81"/>
            <rFont val="Tahoma"/>
            <charset val="177"/>
          </rPr>
          <t xml:space="preserve">
לנשים בלבד</t>
        </r>
      </text>
    </comment>
    <comment ref="AB98" authorId="0" shapeId="0" xr:uid="{C877C6D2-4C6A-453B-AEBC-14B97C606AC3}">
      <text>
        <r>
          <rPr>
            <b/>
            <sz val="9"/>
            <color indexed="81"/>
            <rFont val="Tahoma"/>
            <charset val="177"/>
          </rPr>
          <t>יניב שפירא:</t>
        </r>
        <r>
          <rPr>
            <sz val="9"/>
            <color indexed="81"/>
            <rFont val="Tahoma"/>
            <charset val="177"/>
          </rPr>
          <t xml:space="preserve">
1 = מזה חודשיים
2 = מזה חודש
3 = מזה שבועיים
4 = פחות משבועיים
5 = לא מגוייס
6 = אין לי בעל</t>
        </r>
      </text>
    </comment>
    <comment ref="AC99" authorId="0" shapeId="0" xr:uid="{D9D43374-FEAC-4B95-B32F-F2D49CDA0CDC}">
      <text>
        <r>
          <rPr>
            <b/>
            <sz val="9"/>
            <color indexed="81"/>
            <rFont val="Tahoma"/>
            <charset val="177"/>
          </rPr>
          <t>יניב שפירא:</t>
        </r>
        <r>
          <rPr>
            <sz val="9"/>
            <color indexed="81"/>
            <rFont val="Tahoma"/>
            <charset val="177"/>
          </rPr>
          <t xml:space="preserve">
1 = הוטב במידה רבה
2 = הוטב במידה מסוימת
3 = לא חל שינוי
4 = הורע במידה מסוימת
5 = הוקע במידה רבה</t>
        </r>
      </text>
    </comment>
    <comment ref="AC100" authorId="0" shapeId="0" xr:uid="{B5582F91-41B6-4BEC-AA9D-8903B74CC2EC}">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104" authorId="0" shapeId="0" xr:uid="{A5E6D345-34D7-47ED-A93A-D278C4C9D82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5" authorId="0" shapeId="0" xr:uid="{6B4644D0-9FBD-473D-92C5-D627C18EC084}">
      <text>
        <r>
          <rPr>
            <b/>
            <sz val="9"/>
            <color indexed="81"/>
            <rFont val="Tahoma"/>
            <family val="2"/>
          </rPr>
          <t>יניב שפירא:</t>
        </r>
        <r>
          <rPr>
            <sz val="9"/>
            <color indexed="81"/>
            <rFont val="Tahoma"/>
            <family val="2"/>
          </rPr>
          <t xml:space="preserve">
1 = באופן חיובי ביותר
2 = באופן חיובי
3 = באופן שלילי
4 = באופן שלילי ביותר</t>
        </r>
      </text>
    </comment>
    <comment ref="AD106" authorId="0" shapeId="0" xr:uid="{4FD1D6F2-4FAB-4048-A841-965E9932368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07" authorId="0" shapeId="0" xr:uid="{D0E68A10-C1CC-4DB3-9240-64D52A93FBF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08" authorId="0" shapeId="0" xr:uid="{E654C7FA-04E2-4253-88D9-8D87B8B0EAB4}">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09" authorId="0" shapeId="0" xr:uid="{897377EC-95F4-49D9-B5EB-3E8803AA8794}">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10" authorId="0" shapeId="0" xr:uid="{B472622F-D4A9-4783-A43A-00CE9B36953A}">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11" authorId="0" shapeId="0" xr:uid="{65FF07CA-011C-4353-8FAA-593CD003B4C6}">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12" authorId="0" shapeId="0" xr:uid="{5B813C2C-4E78-45C5-8C2A-61562681FEB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13" authorId="0" shapeId="0" xr:uid="{82B82C17-7A69-4028-8FA4-FE9D848AD799}">
      <text>
        <r>
          <rPr>
            <b/>
            <sz val="9"/>
            <color indexed="81"/>
            <rFont val="Tahoma"/>
            <family val="2"/>
          </rPr>
          <t>יניב שפירא:</t>
        </r>
        <r>
          <rPr>
            <sz val="9"/>
            <color indexed="81"/>
            <rFont val="Tahoma"/>
            <family val="2"/>
          </rPr>
          <t xml:space="preserve">
1 = דרך טובה מאוד
2 = דרך טובה
3 = דרך לא כ"כ טובה
4 = דרך גרועה
5 = דרך גרועה מאוד</t>
        </r>
      </text>
    </comment>
    <comment ref="AD114" authorId="0" shapeId="0" xr:uid="{D804E01A-0662-4A1A-ABB9-B5037512C63A}">
      <text>
        <r>
          <rPr>
            <b/>
            <sz val="9"/>
            <color indexed="81"/>
            <rFont val="Tahoma"/>
            <family val="2"/>
          </rPr>
          <t>יניב שפירא:</t>
        </r>
        <r>
          <rPr>
            <sz val="9"/>
            <color indexed="81"/>
            <rFont val="Tahoma"/>
            <family val="2"/>
          </rPr>
          <t xml:space="preserve">
1 = לשפר את השירותים
2 = לפתח את העיר
3 = לדאוג לפרנסה
4 = אחר</t>
        </r>
      </text>
    </comment>
    <comment ref="AH115" authorId="0" shapeId="0" xr:uid="{5AF228E2-73D3-4722-A0DC-D5B1CF748D62}">
      <text>
        <r>
          <rPr>
            <b/>
            <sz val="9"/>
            <color indexed="81"/>
            <rFont val="Tahoma"/>
            <family val="2"/>
          </rPr>
          <t>יניב שפירא:</t>
        </r>
        <r>
          <rPr>
            <sz val="9"/>
            <color indexed="81"/>
            <rFont val="Tahoma"/>
            <family val="2"/>
          </rPr>
          <t xml:space="preserve">
1 = מאוד ברור
2 = ברור
3 = לא כ"כ ברור
4 = לא ברור כלל</t>
        </r>
      </text>
    </comment>
    <comment ref="AD117" authorId="0" shapeId="0" xr:uid="{872A5896-9FA9-4393-904F-712903C2377D}">
      <text>
        <r>
          <rPr>
            <b/>
            <sz val="9"/>
            <color indexed="81"/>
            <rFont val="Tahoma"/>
            <family val="2"/>
          </rPr>
          <t>יניב שפירא:</t>
        </r>
        <r>
          <rPr>
            <sz val="9"/>
            <color indexed="81"/>
            <rFont val="Tahoma"/>
            <family val="2"/>
          </rPr>
          <t xml:space="preserve">
1 = במידה רבה מאוד
2 = במידה רבה
3 = במידה מועטה
4 = כלל לא</t>
        </r>
      </text>
    </comment>
    <comment ref="AD118" authorId="0" shapeId="0" xr:uid="{74883D7A-BEE1-4BC6-A4A2-97334E634E9B}">
      <text>
        <r>
          <rPr>
            <b/>
            <sz val="9"/>
            <color indexed="81"/>
            <rFont val="Tahoma"/>
            <family val="2"/>
          </rPr>
          <t>יניב שפירא:</t>
        </r>
        <r>
          <rPr>
            <sz val="9"/>
            <color indexed="81"/>
            <rFont val="Tahoma"/>
            <family val="2"/>
          </rPr>
          <t xml:space="preserve">
1 = מאוד רצוי
2 = רצוי
3 = לא כ"כ רצוי
4 = כלל לא רצוי</t>
        </r>
      </text>
    </comment>
    <comment ref="AH119" authorId="0" shapeId="0" xr:uid="{32D6497C-7B07-47D9-A708-4F6763B8B833}">
      <text>
        <r>
          <rPr>
            <b/>
            <sz val="9"/>
            <color indexed="81"/>
            <rFont val="Tahoma"/>
            <family val="2"/>
          </rPr>
          <t>יניב שפירא:</t>
        </r>
        <r>
          <rPr>
            <sz val="9"/>
            <color indexed="81"/>
            <rFont val="Tahoma"/>
            <family val="2"/>
          </rPr>
          <t xml:space="preserve">
1 = בהחלט בחירות ישירות
2 = בחירות אישיות
3 = רשימות מפלגתיות
4 = בהחלט רשימות מפלגתיות
5 = אין דעה</t>
        </r>
      </text>
    </comment>
    <comment ref="AE120" authorId="0" shapeId="0" xr:uid="{67B85DC4-9A55-4E9F-B2B4-32CA1CB755B3}">
      <text>
        <r>
          <rPr>
            <b/>
            <sz val="9"/>
            <color indexed="81"/>
            <rFont val="Tahoma"/>
            <charset val="177"/>
          </rPr>
          <t>יניב שפירא:</t>
        </r>
        <r>
          <rPr>
            <sz val="9"/>
            <color indexed="81"/>
            <rFont val="Tahoma"/>
            <charset val="177"/>
          </rPr>
          <t xml:space="preserve">
1 = כן
2 = לא
3 = לא חבר תנועת נוער</t>
        </r>
      </text>
    </comment>
    <comment ref="AG121" authorId="0" shapeId="0" xr:uid="{F87AC63D-AE22-49CB-9D6B-24B9E1786F0B}">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H122" authorId="0" shapeId="0" xr:uid="{5E78EA96-4903-47D2-9004-7C9933D26D16}">
      <text>
        <r>
          <rPr>
            <b/>
            <sz val="9"/>
            <color indexed="81"/>
            <rFont val="Tahoma"/>
            <family val="2"/>
          </rPr>
          <t>יניב שפירא:</t>
        </r>
        <r>
          <rPr>
            <sz val="9"/>
            <color indexed="81"/>
            <rFont val="Tahoma"/>
            <family val="2"/>
          </rPr>
          <t xml:space="preserve">
1 = בהחלט ברור
2 = ברור
3 = לא כ"כ ברור
4 = כלל לא ברור</t>
        </r>
      </text>
    </comment>
    <comment ref="AG123" authorId="0" shapeId="0" xr:uid="{2A61D354-68F2-4CF8-B65B-ABF0ADCDCAF9}">
      <text>
        <r>
          <rPr>
            <b/>
            <sz val="9"/>
            <color indexed="81"/>
            <rFont val="Tahoma"/>
            <family val="2"/>
          </rPr>
          <t>יניב שפירא:</t>
        </r>
        <r>
          <rPr>
            <sz val="9"/>
            <color indexed="81"/>
            <rFont val="Tahoma"/>
            <family val="2"/>
          </rPr>
          <t xml:space="preserve">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r>
      </text>
    </comment>
    <comment ref="AG124" authorId="0" shapeId="0" xr:uid="{8DF34514-358E-418B-BBCD-7AC481D11C65}">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25" authorId="0" shapeId="0" xr:uid="{0A6F25BD-2D6E-42EB-823A-5030DE6237E5}">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26" authorId="0" shapeId="0" xr:uid="{3C32AD26-BE5A-400D-BF2C-350A1B61EF1F}">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27" authorId="0" shapeId="0" xr:uid="{379B8C63-D40A-4414-90F9-EB614695A9A0}">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28" authorId="0" shapeId="0" xr:uid="{67333E92-B268-4299-80B0-88F622F1CA66}">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29" authorId="0" shapeId="0" xr:uid="{09997FB5-3C42-4C5E-A6E1-7E3408779B2E}">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30" authorId="0" shapeId="0" xr:uid="{5D8DE209-7101-4611-9AF9-F2E26A6179BF}">
      <text>
        <r>
          <rPr>
            <b/>
            <sz val="9"/>
            <color indexed="81"/>
            <rFont val="Tahoma"/>
            <family val="2"/>
          </rPr>
          <t>יניב שפירא:</t>
        </r>
        <r>
          <rPr>
            <sz val="9"/>
            <color indexed="81"/>
            <rFont val="Tahoma"/>
            <family val="2"/>
          </rPr>
          <t xml:space="preserve">
1 = צעירים
2 = מבוגרים
3 = אין קבוצת גיל מיוחדת</t>
        </r>
      </text>
    </comment>
    <comment ref="AG131" authorId="0" shapeId="0" xr:uid="{6282D79B-35F0-4D7A-A58D-732CEED96E8E}">
      <text>
        <r>
          <rPr>
            <b/>
            <sz val="9"/>
            <color indexed="81"/>
            <rFont val="Tahoma"/>
            <family val="2"/>
          </rPr>
          <t>יניב שפירא:</t>
        </r>
        <r>
          <rPr>
            <sz val="9"/>
            <color indexed="81"/>
            <rFont val="Tahoma"/>
            <family val="2"/>
          </rPr>
          <t xml:space="preserve">
1 = צפון אפריקה + מזרח תיכון
2 = אירופה
3 = אין קבוצת מוצא מיוחדת</t>
        </r>
      </text>
    </comment>
    <comment ref="AG132" authorId="0" shapeId="0" xr:uid="{65295A0D-FC24-4894-AC84-1FD5CB30508A}">
      <text>
        <r>
          <rPr>
            <b/>
            <sz val="9"/>
            <color indexed="81"/>
            <rFont val="Tahoma"/>
            <family val="2"/>
          </rPr>
          <t>יניב שפירא:</t>
        </r>
        <r>
          <rPr>
            <sz val="9"/>
            <color indexed="81"/>
            <rFont val="Tahoma"/>
            <family val="2"/>
          </rPr>
          <t xml:space="preserve">
1 = פועלים
2 = סוחרים
3 = אנשי רוח
4 = אין קבוצת מקצוע מיוחדת</t>
        </r>
      </text>
    </comment>
    <comment ref="AG133" authorId="0" shapeId="0" xr:uid="{BAFE3EF0-DCC8-4579-8D8F-18BDA6D52227}">
      <text>
        <r>
          <rPr>
            <b/>
            <sz val="9"/>
            <color indexed="81"/>
            <rFont val="Tahoma"/>
            <family val="2"/>
          </rPr>
          <t>יניב שפירא:</t>
        </r>
        <r>
          <rPr>
            <sz val="9"/>
            <color indexed="81"/>
            <rFont val="Tahoma"/>
            <family val="2"/>
          </rPr>
          <t xml:space="preserve">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r>
      </text>
    </comment>
    <comment ref="AG141" authorId="0" shapeId="0" xr:uid="{34CC317B-9B61-4928-9C1B-F33AEC0C52FF}">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142" authorId="0" shapeId="0" xr:uid="{52A290DB-C075-43CE-9D2D-9B9D11F044DA}">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G143" authorId="0" shapeId="0" xr:uid="{96BDB4CA-7A47-4782-9799-F655D4585379}">
      <text>
        <r>
          <rPr>
            <b/>
            <sz val="9"/>
            <color indexed="81"/>
            <rFont val="Tahoma"/>
            <family val="2"/>
          </rPr>
          <t>יניב שפירא:</t>
        </r>
        <r>
          <rPr>
            <sz val="9"/>
            <color indexed="81"/>
            <rFont val="Tahoma"/>
            <family val="2"/>
          </rPr>
          <t xml:space="preserve">
0 = 18-20
1 = 21-24
2 = 25-29
3 = 30-34
4 = 35-39
5 = 40-44
6 = 45-49
7 = 50-54
8 = 55-64
9 = 65+
</t>
        </r>
      </text>
    </comment>
    <comment ref="AG144" authorId="0" shapeId="0" xr:uid="{D541110B-4CD0-489A-AF24-950ADE31F062}">
      <text>
        <r>
          <rPr>
            <b/>
            <sz val="9"/>
            <color indexed="81"/>
            <rFont val="Tahoma"/>
            <family val="2"/>
          </rPr>
          <t>יניב שפירא:</t>
        </r>
        <r>
          <rPr>
            <sz val="9"/>
            <color indexed="81"/>
            <rFont val="Tahoma"/>
            <family val="2"/>
          </rPr>
          <t xml:space="preserve">
1 = צבר
2 = אירופה התיכונית והמזרחית
3 = אירופה הדרומית
4 = אירופה המערבית
5 = ארצות דוברות אנגלית
6 = צפון אפריקה
7 = המזרח התיכון
8 = המזרח הרחוק
9 = דרום אמריקה</t>
        </r>
      </text>
    </comment>
    <comment ref="AG145" authorId="0" shapeId="0" xr:uid="{91E379AC-B7D0-4E43-B589-53A7CD8AB484}">
      <text>
        <r>
          <rPr>
            <b/>
            <sz val="9"/>
            <color indexed="81"/>
            <rFont val="Tahoma"/>
            <family val="2"/>
          </rPr>
          <t>יניב שפירא:</t>
        </r>
        <r>
          <rPr>
            <sz val="9"/>
            <color indexed="81"/>
            <rFont val="Tahoma"/>
            <family val="2"/>
          </rPr>
          <t xml:space="preserve">
1 = מקצוע חופשי
2 = מנהל/פקיד
3 = סוחר
4 = חקלאי
5 = עובד תחבורה
6 = בנייה
7 = בעל מלאכה
8 = ספורט/בידור
9 = לא עובד</t>
        </r>
      </text>
    </comment>
    <comment ref="AG146" authorId="0" shapeId="0" xr:uid="{59DE50E0-899F-46FB-9747-30B5B4D622F3}">
      <text>
        <r>
          <rPr>
            <b/>
            <sz val="9"/>
            <color indexed="81"/>
            <rFont val="Tahoma"/>
            <family val="2"/>
          </rPr>
          <t>יניב שפירא:</t>
        </r>
        <r>
          <rPr>
            <sz val="9"/>
            <color indexed="81"/>
            <rFont val="Tahoma"/>
            <family val="2"/>
          </rPr>
          <t xml:space="preserve">
0 = 18-20
1 = 21-24
2 = 25-29
3 = 30-34
4 = 35-39
5 = 40-44
6 = 45-49
7 = 50-54
8 = 55-64
9 = 65+</t>
        </r>
      </text>
    </comment>
    <comment ref="AH147" authorId="0" shapeId="0" xr:uid="{CC02263E-5151-4B3E-BE9F-3303E0F49C4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48" authorId="0" shapeId="0" xr:uid="{4C1E74D3-6BA6-41E8-A837-EC866963704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149" authorId="0" shapeId="0" xr:uid="{2EA5D3E2-3576-4A19-AED8-53F845D80985}">
      <text>
        <r>
          <rPr>
            <b/>
            <sz val="9"/>
            <color indexed="81"/>
            <rFont val="Tahoma"/>
            <family val="2"/>
          </rPr>
          <t>יניב שפירא:</t>
        </r>
        <r>
          <rPr>
            <sz val="9"/>
            <color indexed="81"/>
            <rFont val="Tahoma"/>
            <family val="2"/>
          </rPr>
          <t xml:space="preserve">
1 = בהחלט מסכים
2 = מסכים במידה מסוימת
3 = מסתייג
4 = בהחלט לא מסכים
5 = אין לי דעה</t>
        </r>
      </text>
    </comment>
    <comment ref="C150" authorId="0" shapeId="0" xr:uid="{CC250CEB-32B9-4137-A380-C35BEBAC5E11}">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2F33B218-7E22-4A43-BB3D-9D28D013424C}">
      <text>
        <r>
          <rPr>
            <b/>
            <sz val="9"/>
            <color indexed="81"/>
            <rFont val="Tahoma"/>
            <charset val="177"/>
          </rPr>
          <t>יניב שפירא:</t>
        </r>
        <r>
          <rPr>
            <sz val="9"/>
            <color indexed="81"/>
            <rFont val="Tahoma"/>
            <charset val="177"/>
          </rPr>
          <t xml:space="preserve">
post election</t>
        </r>
      </text>
    </comment>
    <comment ref="AA1" authorId="0" shapeId="0" xr:uid="{65CC2090-7490-4CB8-A4BA-39F2687CB9BF}">
      <text>
        <r>
          <rPr>
            <b/>
            <sz val="9"/>
            <color indexed="81"/>
            <rFont val="Tahoma"/>
            <charset val="177"/>
          </rPr>
          <t>יניב שפירא:</t>
        </r>
        <r>
          <rPr>
            <sz val="9"/>
            <color indexed="81"/>
            <rFont val="Tahoma"/>
            <charset val="177"/>
          </rPr>
          <t xml:space="preserve">
post Kippur + post election</t>
        </r>
      </text>
    </comment>
    <comment ref="AB1" authorId="0" shapeId="0" xr:uid="{F3088D63-1AD9-4858-8047-61AA176B6FE1}">
      <text>
        <r>
          <rPr>
            <b/>
            <sz val="9"/>
            <color indexed="81"/>
            <rFont val="Tahoma"/>
            <charset val="177"/>
          </rPr>
          <t>יניב שפירא:</t>
        </r>
        <r>
          <rPr>
            <sz val="9"/>
            <color indexed="81"/>
            <rFont val="Tahoma"/>
            <charset val="177"/>
          </rPr>
          <t xml:space="preserve">
post Kippur</t>
        </r>
      </text>
    </comment>
    <comment ref="AC1" authorId="0" shapeId="0" xr:uid="{E9DE48A8-5B28-4F3C-B5AB-F7EA0EA6783F}">
      <text>
        <r>
          <rPr>
            <b/>
            <sz val="9"/>
            <color indexed="81"/>
            <rFont val="Tahoma"/>
            <charset val="177"/>
          </rPr>
          <t>יניב שפירא:</t>
        </r>
        <r>
          <rPr>
            <sz val="9"/>
            <color indexed="81"/>
            <rFont val="Tahoma"/>
            <charset val="177"/>
          </rPr>
          <t xml:space="preserve">
post Kippur</t>
        </r>
      </text>
    </comment>
    <comment ref="AF1" authorId="0" shapeId="0" xr:uid="{CAE8D0B1-AC5D-4F31-9267-37E2F29454CD}">
      <text>
        <r>
          <rPr>
            <b/>
            <sz val="9"/>
            <color indexed="81"/>
            <rFont val="Tahoma"/>
            <charset val="177"/>
          </rPr>
          <t>יניב שפירא:</t>
        </r>
        <r>
          <rPr>
            <sz val="9"/>
            <color indexed="81"/>
            <rFont val="Tahoma"/>
            <charset val="177"/>
          </rPr>
          <t xml:space="preserve">
pre + post election</t>
        </r>
      </text>
    </comment>
    <comment ref="D2" authorId="0" shapeId="0" xr:uid="{EEFF2BD0-A8AE-482D-81A9-5EA329ED22A1}">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L2" authorId="0" shapeId="0" xr:uid="{49638D06-524A-477B-9E7B-FBB6C4F7F264}">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2" authorId="0" shapeId="0" xr:uid="{6773C50E-9E93-4B8A-9002-4C881A8F566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P2" authorId="0" shapeId="0" xr:uid="{062B7E8D-8015-4690-B01A-41F13F63F910}">
      <text>
        <r>
          <rPr>
            <b/>
            <sz val="9"/>
            <color indexed="81"/>
            <rFont val="Tahoma"/>
            <family val="2"/>
          </rPr>
          <t>יניב שפירא:</t>
        </r>
        <r>
          <rPr>
            <sz val="9"/>
            <color indexed="81"/>
            <rFont val="Tahoma"/>
            <family val="2"/>
          </rPr>
          <t xml:space="preserve">
הניסוח הוא:
"החלטות בעניינים בטחוניים"</t>
        </r>
      </text>
    </comment>
    <comment ref="Z2" authorId="0" shapeId="0" xr:uid="{E420C972-8640-4E61-A5D5-E6CAED77387F}">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D3" authorId="0" shapeId="0" xr:uid="{4DD182BE-1FCD-4D72-8374-B4F8A97D9097}">
      <text>
        <r>
          <rPr>
            <b/>
            <sz val="9"/>
            <color indexed="81"/>
            <rFont val="Tahoma"/>
            <charset val="177"/>
          </rPr>
          <t>יניב שפירא:</t>
        </r>
        <r>
          <rPr>
            <sz val="9"/>
            <color indexed="81"/>
            <rFont val="Tahoma"/>
            <charset val="177"/>
          </rPr>
          <t xml:space="preserve">
1 = במידה רבה
2 = במידה מסוימת
3 = במידה מועטה
4 = בכלל לא</t>
        </r>
      </text>
    </comment>
    <comment ref="L3" authorId="0" shapeId="0" xr:uid="{A677D31F-3945-4984-A2FE-59E1EE983205}">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3" authorId="0" shapeId="0" xr:uid="{AB150ADA-1EE2-48AB-9B44-B16508352E07}">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P3" authorId="0" shapeId="0" xr:uid="{0A635F58-FE5E-4C3F-99DA-6AAA8630FECE}">
      <text>
        <r>
          <rPr>
            <b/>
            <sz val="9"/>
            <color indexed="81"/>
            <rFont val="Tahoma"/>
            <charset val="177"/>
          </rPr>
          <t>יניב שפירא:</t>
        </r>
        <r>
          <rPr>
            <sz val="9"/>
            <color indexed="81"/>
            <rFont val="Tahoma"/>
            <charset val="177"/>
          </rPr>
          <t xml:space="preserve">
1 = כמעט כל יום
2 = פעם/פעמיים בשבוע
3 = לעיתים רחוקות
4 = כלל לא</t>
        </r>
      </text>
    </comment>
    <comment ref="U3" authorId="0" shapeId="0" xr:uid="{D7D88F45-267D-4FC8-B6A6-7E52F2BE3AB6}">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E3" authorId="0" shapeId="0" xr:uid="{805CD9B0-6D96-432D-80C9-C18C361C4A28}">
      <text>
        <r>
          <rPr>
            <b/>
            <sz val="9"/>
            <color indexed="81"/>
            <rFont val="Tahoma"/>
            <charset val="177"/>
          </rPr>
          <t>יניב שפירא:</t>
        </r>
        <r>
          <rPr>
            <sz val="9"/>
            <color indexed="81"/>
            <rFont val="Tahoma"/>
            <charset val="177"/>
          </rPr>
          <t xml:space="preserve">
v8 = חברים
v11 = משפחה</t>
        </r>
      </text>
    </comment>
    <comment ref="P4" authorId="0" shapeId="0" xr:uid="{ADE6DADD-F77C-4BDE-B2AF-13FE432A6ED9}">
      <text>
        <r>
          <rPr>
            <b/>
            <sz val="9"/>
            <color indexed="81"/>
            <rFont val="Tahoma"/>
            <family val="2"/>
          </rPr>
          <t>יניב שפירא:</t>
        </r>
        <r>
          <rPr>
            <sz val="9"/>
            <color indexed="81"/>
            <rFont val="Tahoma"/>
            <family val="2"/>
          </rPr>
          <t xml:space="preserve">
1 = לעתים קרובות
2 = לפעמים
3 = לעתים רחוקות
4 = אף פעם לא</t>
        </r>
      </text>
    </comment>
    <comment ref="Q4" authorId="0" shapeId="0" xr:uid="{840CE71D-B165-4A72-98CB-01B2400B2441}">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P5" authorId="0" shapeId="0" xr:uid="{421C2C30-3166-47B7-A00D-53E0E75FF967}">
      <text>
        <r>
          <rPr>
            <b/>
            <sz val="9"/>
            <color indexed="81"/>
            <rFont val="Tahoma"/>
            <family val="2"/>
          </rPr>
          <t>יניב שפירא:</t>
        </r>
        <r>
          <rPr>
            <sz val="9"/>
            <color indexed="81"/>
            <rFont val="Tahoma"/>
            <family val="2"/>
          </rPr>
          <t xml:space="preserve">
1 = לעיתים קרובות
2 = לפעמים
3 = לעיתים רחוקות
4 = אף פעם לא</t>
        </r>
      </text>
    </comment>
    <comment ref="AD6" authorId="0" shapeId="0" xr:uid="{78D1A82F-54E9-4316-A6F3-2637786B933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7" authorId="0" shapeId="0" xr:uid="{A718CB74-25E2-433A-8EF7-2725EF37F7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Q8" authorId="0" shapeId="0" xr:uid="{8ACE190C-20F1-4F93-87C5-53D3256AB157}">
      <text>
        <r>
          <rPr>
            <b/>
            <sz val="9"/>
            <color indexed="81"/>
            <rFont val="Tahoma"/>
            <family val="2"/>
          </rPr>
          <t>יניב שפירא:</t>
        </r>
        <r>
          <rPr>
            <sz val="9"/>
            <color indexed="81"/>
            <rFont val="Tahoma"/>
            <family val="2"/>
          </rPr>
          <t xml:space="preserve">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r>
      </text>
    </comment>
    <comment ref="P9" authorId="0" shapeId="0" xr:uid="{38C6EB77-FC72-4E5F-A5F5-1616DE6DE8FA}">
      <text>
        <r>
          <rPr>
            <b/>
            <sz val="9"/>
            <color indexed="81"/>
            <rFont val="Tahoma"/>
            <charset val="177"/>
          </rPr>
          <t>יניב שפירא:</t>
        </r>
        <r>
          <rPr>
            <sz val="9"/>
            <color indexed="81"/>
            <rFont val="Tahoma"/>
            <charset val="177"/>
          </rPr>
          <t xml:space="preserve">
1 = אבא
2 = אמא
3 = אח/אחות
4 = בן/בת זוג
5 = ילדי
6 = אחר
7 = שני ההורים במידה שווה
8 = כל בני המשפחה במידה שווה
9 = אף אחד מהם</t>
        </r>
      </text>
    </comment>
    <comment ref="P10" authorId="0" shapeId="0" xr:uid="{87EE659E-CCEB-4167-8644-D4DBE6C99E11}">
      <text>
        <r>
          <rPr>
            <b/>
            <sz val="9"/>
            <color indexed="81"/>
            <rFont val="Tahoma"/>
            <charset val="177"/>
          </rPr>
          <t>יניב שפירא:</t>
        </r>
        <r>
          <rPr>
            <sz val="9"/>
            <color indexed="81"/>
            <rFont val="Tahoma"/>
            <charset val="177"/>
          </rPr>
          <t xml:space="preserve">
1 = אבא
2 = אמא
3 = אח/אחות
4 = אחר
5 = שני ההורים במידה שווה
6 = כל בני הבית במידה שווה
7 = אף אחד מהם
8 = אני עדיין מתגורר בבית הורי</t>
        </r>
      </text>
    </comment>
    <comment ref="AE11" authorId="0" shapeId="0" xr:uid="{1E48E5BA-E3DE-4CBA-9BE5-BFCEF40775E7}">
      <text>
        <r>
          <rPr>
            <b/>
            <sz val="9"/>
            <color indexed="81"/>
            <rFont val="Tahoma"/>
            <charset val="177"/>
          </rPr>
          <t>יניב שפירא:</t>
        </r>
        <r>
          <rPr>
            <sz val="9"/>
            <color indexed="81"/>
            <rFont val="Tahoma"/>
            <charset val="177"/>
          </rPr>
          <t xml:space="preserve">
1 = במידה רבה
2 = במידה מסוימת
3 = במידה מועטה
4 = כלל לא
5 = אב נפטר/לא חי איתו</t>
        </r>
      </text>
    </comment>
    <comment ref="G12" authorId="0" shapeId="0" xr:uid="{DF8B41A3-7493-4A88-8CE2-ED848D742C18}">
      <text>
        <r>
          <rPr>
            <b/>
            <sz val="9"/>
            <color indexed="81"/>
            <rFont val="Tahoma"/>
            <family val="2"/>
          </rPr>
          <t>יניב שפירא:</t>
        </r>
        <r>
          <rPr>
            <sz val="9"/>
            <color indexed="81"/>
            <rFont val="Tahoma"/>
            <family val="2"/>
          </rPr>
          <t xml:space="preserve">
1 = לא אוהד ולא פעיל בשום מפלגה
2 = אוהד של מפלגה אך לא חבר בה
3 = חבר במפלגה
4 = חבר פעיל במפלגה
5 = חבר ובעל תפקיד במפלגה</t>
        </r>
      </text>
    </comment>
    <comment ref="T12" authorId="0" shapeId="0" xr:uid="{CB156378-2816-42C4-A21A-1EFDE04541CF}">
      <text>
        <r>
          <rPr>
            <b/>
            <sz val="9"/>
            <color indexed="81"/>
            <rFont val="Tahoma"/>
            <charset val="177"/>
          </rPr>
          <t>יניב שפירא:</t>
        </r>
        <r>
          <rPr>
            <sz val="9"/>
            <color indexed="81"/>
            <rFont val="Tahoma"/>
            <charset val="177"/>
          </rPr>
          <t xml:space="preserve">
1 = חבר ובעל תפקיד בשכר
2 = חבר ובעל תפקיד לא בשכר
3 = חבר ללא תפקיד
4 = אוהד אבל לא חבר
5 = לא אוהד במיוחד אף מפלגה</t>
        </r>
      </text>
    </comment>
    <comment ref="V13" authorId="0" shapeId="0" xr:uid="{5D2ED047-E757-4868-BE33-5E7C528F1FF1}">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E13" authorId="0" shapeId="0" xr:uid="{22058A80-359B-434A-97A5-23B8D78B1ECC}">
      <text>
        <r>
          <rPr>
            <b/>
            <sz val="9"/>
            <color indexed="81"/>
            <rFont val="Tahoma"/>
            <charset val="177"/>
          </rPr>
          <t>יניב שפירא:</t>
        </r>
        <r>
          <rPr>
            <sz val="9"/>
            <color indexed="81"/>
            <rFont val="Tahoma"/>
            <charset val="177"/>
          </rPr>
          <t xml:space="preserve">
1 = לעתים קרובות
2 = לעתים רחוקות
3 = אף פעם
4 = עדיין לא הצביע</t>
        </r>
      </text>
    </comment>
    <comment ref="V14" authorId="0" shapeId="0" xr:uid="{B4208401-E01C-441A-BEE9-8C484C1FF0F0}">
      <text>
        <r>
          <rPr>
            <b/>
            <sz val="9"/>
            <color indexed="81"/>
            <rFont val="Tahoma"/>
            <charset val="177"/>
          </rPr>
          <t>יניב שפירא:</t>
        </r>
        <r>
          <rPr>
            <sz val="9"/>
            <color indexed="81"/>
            <rFont val="Tahoma"/>
            <charset val="177"/>
          </rPr>
          <t xml:space="preserve">
1 = כן, לעיתים קרובות
2 = כן, לעיתים רחוקות
3 = אף פעם לא</t>
        </r>
      </text>
    </comment>
    <comment ref="AD14" authorId="0" shapeId="0" xr:uid="{0BFCBFD4-BD45-4BC9-A50E-38796A9E880A}">
      <text>
        <r>
          <rPr>
            <b/>
            <sz val="9"/>
            <color indexed="81"/>
            <rFont val="Tahoma"/>
            <family val="2"/>
          </rPr>
          <t>יניב שפירא:</t>
        </r>
        <r>
          <rPr>
            <sz val="9"/>
            <color indexed="81"/>
            <rFont val="Tahoma"/>
            <family val="2"/>
          </rPr>
          <t xml:space="preserve">
1 = כן
2 = לא</t>
        </r>
      </text>
    </comment>
    <comment ref="AH14" authorId="0" shapeId="0" xr:uid="{7841925E-B9A4-48F7-B48C-87C430E4B974}">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H15" authorId="0" shapeId="0" xr:uid="{7A4FC32E-DD08-4412-BA26-7BA159F1D37F}">
      <text>
        <r>
          <rPr>
            <b/>
            <sz val="9"/>
            <color indexed="81"/>
            <rFont val="Tahoma"/>
            <charset val="177"/>
          </rPr>
          <t>יניב שפירא:</t>
        </r>
        <r>
          <rPr>
            <sz val="9"/>
            <color indexed="81"/>
            <rFont val="Tahoma"/>
            <charset val="177"/>
          </rPr>
          <t xml:space="preserve">
1 = לעיתים קרובות
2 = לעיתים רחוקות
3 = אף פעם לא</t>
        </r>
      </text>
    </comment>
    <comment ref="AB16" authorId="0" shapeId="0" xr:uid="{59DD4FBB-AAF6-4A79-BE37-74F31E4F1EC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17" authorId="0" shapeId="0" xr:uid="{657B2BBD-2971-4CE8-9C6B-1F02F553B832}">
      <text>
        <r>
          <rPr>
            <b/>
            <sz val="9"/>
            <color indexed="81"/>
            <rFont val="Tahoma"/>
            <charset val="177"/>
          </rPr>
          <t>יניב שפירא:</t>
        </r>
        <r>
          <rPr>
            <sz val="9"/>
            <color indexed="81"/>
            <rFont val="Tahoma"/>
            <charset val="177"/>
          </rPr>
          <t xml:space="preserve">
1 = מאוד פעיל
2 = פעיל 
3 = לא כ"כ פעיל
4 = בכלל לא פעיל</t>
        </r>
      </text>
    </comment>
    <comment ref="AD18" authorId="0" shapeId="0" xr:uid="{B05C2C0B-4B00-4F5A-8960-41C0F586F2A1}">
      <text>
        <r>
          <rPr>
            <b/>
            <sz val="9"/>
            <color indexed="81"/>
            <rFont val="Tahoma"/>
            <charset val="177"/>
          </rPr>
          <t>יניב שפירא:</t>
        </r>
        <r>
          <rPr>
            <sz val="9"/>
            <color indexed="81"/>
            <rFont val="Tahoma"/>
            <charset val="177"/>
          </rPr>
          <t xml:space="preserve">
1 = הרבה יותר
2 = יותר
3 = פחות
4 = הרבה פחות</t>
        </r>
      </text>
    </comment>
    <comment ref="AD19" authorId="0" shapeId="0" xr:uid="{A99D8E1A-0086-4A52-84E5-F6E21FA5B1B1}">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D22" authorId="0" shapeId="0" xr:uid="{E9E53DE0-4B95-4748-B793-6E00CE52415C}">
      <text>
        <r>
          <rPr>
            <b/>
            <sz val="9"/>
            <color indexed="81"/>
            <rFont val="Tahoma"/>
            <family val="2"/>
          </rPr>
          <t>יניב שפירא:</t>
        </r>
        <r>
          <rPr>
            <sz val="9"/>
            <color indexed="81"/>
            <rFont val="Tahoma"/>
            <family val="2"/>
          </rPr>
          <t xml:space="preserve">
שאלה פתוחה</t>
        </r>
      </text>
    </comment>
    <comment ref="AD23" authorId="0" shapeId="0" xr:uid="{97163D4E-7BB6-4B49-9E8C-C1575977DAE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E24" authorId="0" shapeId="0" xr:uid="{2BC3E810-D252-44EE-A26B-10CE2E34CFB3}">
      <text>
        <r>
          <rPr>
            <b/>
            <sz val="9"/>
            <color indexed="81"/>
            <rFont val="Tahoma"/>
            <charset val="177"/>
          </rPr>
          <t>יניב שפירא:</t>
        </r>
        <r>
          <rPr>
            <sz val="9"/>
            <color indexed="81"/>
            <rFont val="Tahoma"/>
            <charset val="177"/>
          </rPr>
          <t xml:space="preserve">
1 = לעיתים קרובות
2 = לעיתים רחוקות
3 = אף פעם</t>
        </r>
      </text>
    </comment>
    <comment ref="AD25" authorId="0" shapeId="0" xr:uid="{31A35519-845B-4746-87DA-A89AEDAE6182}">
      <text>
        <r>
          <rPr>
            <b/>
            <sz val="9"/>
            <color indexed="81"/>
            <rFont val="Tahoma"/>
            <charset val="177"/>
          </rPr>
          <t>יניב שפירא:</t>
        </r>
        <r>
          <rPr>
            <sz val="9"/>
            <color indexed="81"/>
            <rFont val="Tahoma"/>
            <charset val="177"/>
          </rPr>
          <t xml:space="preserve">
1 = פעיל מאוד
2 = פעיל
3 = לא כ"כ פעיל
4 = לא פעיל כלל</t>
        </r>
      </text>
    </comment>
    <comment ref="AD27" authorId="0" shapeId="0" xr:uid="{9A2507C1-2FCC-4578-8342-32A00694EF5C}">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28" authorId="0" shapeId="0" xr:uid="{C601B954-C04B-400E-8023-E65FC49E409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29" authorId="0" shapeId="0" xr:uid="{7641D9C9-2713-49A9-8A85-C4AE2B385DF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E30" authorId="0" shapeId="0" xr:uid="{367EA91C-7EC4-4864-AFA8-976EF764D4BC}">
      <text>
        <r>
          <rPr>
            <b/>
            <sz val="9"/>
            <color indexed="81"/>
            <rFont val="Tahoma"/>
            <charset val="177"/>
          </rPr>
          <t>יניב שפירא:</t>
        </r>
        <r>
          <rPr>
            <sz val="9"/>
            <color indexed="81"/>
            <rFont val="Tahoma"/>
            <charset val="177"/>
          </rPr>
          <t xml:space="preserve">
1 = במידה רבה
2 = במידה מסוימת
3 = במידה מועטה
4 = לא התעניין
5 = אב נפטר/לא חי איתו</t>
        </r>
      </text>
    </comment>
    <comment ref="AE31" authorId="0" shapeId="0" xr:uid="{30FE423A-7A1A-48F8-8E28-174EB8D267B6}">
      <text>
        <r>
          <rPr>
            <b/>
            <sz val="9"/>
            <color indexed="81"/>
            <rFont val="Tahoma"/>
            <family val="2"/>
          </rPr>
          <t>יניב שפירא:</t>
        </r>
        <r>
          <rPr>
            <sz val="9"/>
            <color indexed="81"/>
            <rFont val="Tahoma"/>
            <family val="2"/>
          </rPr>
          <t xml:space="preserve">
1 = מאוד מתעניין
2 = מתעניין
3 = לא כ"כ מתעניין
4 = כלל לא מתעניין</t>
        </r>
      </text>
    </comment>
    <comment ref="AG32" authorId="0" shapeId="0" xr:uid="{6D2CB389-EE0D-4101-AF06-6B9A51AD2B1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E33" authorId="0" shapeId="0" xr:uid="{56A74F3A-447A-45AA-93F2-A783A2971286}">
      <text>
        <r>
          <rPr>
            <b/>
            <sz val="9"/>
            <color indexed="81"/>
            <rFont val="Tahoma"/>
            <family val="2"/>
          </rPr>
          <t>יניב שפירא:</t>
        </r>
        <r>
          <rPr>
            <sz val="9"/>
            <color indexed="81"/>
            <rFont val="Tahoma"/>
            <family val="2"/>
          </rPr>
          <t xml:space="preserve">
1 = מאד מתעניין
2 = מתעניין
3 = לא כ"כ מתעניין
4 = בכלל לא מתעניין</t>
        </r>
      </text>
    </comment>
    <comment ref="AH33" authorId="0" shapeId="0" xr:uid="{FC7B629F-209B-4658-91EB-08A06607282D}">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F34" authorId="0" shapeId="0" xr:uid="{518FFAD6-B6B3-49C6-A480-7C88C5DAEC0B}">
      <text>
        <r>
          <rPr>
            <b/>
            <sz val="9"/>
            <color indexed="81"/>
            <rFont val="Tahoma"/>
            <family val="2"/>
          </rPr>
          <t>יניב שפירא:</t>
        </r>
        <r>
          <rPr>
            <sz val="9"/>
            <color indexed="81"/>
            <rFont val="Tahoma"/>
            <family val="2"/>
          </rPr>
          <t xml:space="preserve">
1 = מאוד מתעניין
2 = מתעניין
3 = לא כ"כ מתעניין
4 = לא מתעניין כלל</t>
        </r>
      </text>
    </comment>
    <comment ref="AG35" authorId="0" shapeId="0" xr:uid="{AC908FF2-5CD1-49A6-9441-CF940406469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36" authorId="0" shapeId="0" xr:uid="{06266765-AF68-47F3-BFF5-62119B6A1273}">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37" authorId="0" shapeId="0" xr:uid="{5E00D23F-0B46-413E-A643-BE38B60328D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38" authorId="0" shapeId="0" xr:uid="{E45B17CB-1D1D-484F-BFAB-E19AFD1F6AD8}">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39" authorId="0" shapeId="0" xr:uid="{454DA8A6-141F-4209-8370-50482CF4462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H40" authorId="0" shapeId="0" xr:uid="{2F9652A0-FAA8-4009-AD28-E7F71CF22C05}">
      <text>
        <r>
          <rPr>
            <b/>
            <sz val="9"/>
            <color indexed="81"/>
            <rFont val="Tahoma"/>
            <family val="2"/>
          </rPr>
          <t>יניב שפירא:</t>
        </r>
        <r>
          <rPr>
            <sz val="9"/>
            <color indexed="81"/>
            <rFont val="Tahoma"/>
            <family val="2"/>
          </rPr>
          <t xml:space="preserve">
1 = צריך במידה רבה
2 = צריך במידה מסוימת
3 = צריך במידה מועטה
4 = לא צריך כלל</t>
        </r>
      </text>
    </comment>
    <comment ref="AH41" authorId="0" shapeId="0" xr:uid="{E967F718-DEEF-429D-9DF7-853F2E5AB4A6}">
      <text>
        <r>
          <rPr>
            <b/>
            <sz val="9"/>
            <color indexed="81"/>
            <rFont val="Tahoma"/>
            <family val="2"/>
          </rPr>
          <t>יניב שפירא:</t>
        </r>
        <r>
          <rPr>
            <sz val="9"/>
            <color indexed="81"/>
            <rFont val="Tahoma"/>
            <family val="2"/>
          </rPr>
          <t xml:space="preserve">
1 = לעיתים קרובות מאוד
2 = לפעמים
3 = לעיתים רחוקות
4 = לא משוחח כלל</t>
        </r>
      </text>
    </comment>
    <comment ref="AH44" authorId="0" shapeId="0" xr:uid="{763C1EED-F7A6-4273-A2EB-5A359213E9A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N45" authorId="0" shapeId="0" xr:uid="{D7B639F6-00FC-426E-9D65-FE818D3090CA}">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N46" authorId="0" shapeId="0" xr:uid="{DE421C4E-D716-4B11-80EF-5EE92962CEF9}">
      <text>
        <r>
          <rPr>
            <b/>
            <sz val="9"/>
            <color indexed="81"/>
            <rFont val="Tahoma"/>
            <family val="2"/>
          </rPr>
          <t>יניב שפירא:</t>
        </r>
        <r>
          <rPr>
            <sz val="9"/>
            <color indexed="81"/>
            <rFont val="Tahoma"/>
            <family val="2"/>
          </rPr>
          <t xml:space="preserve">
1 = אף פעם
2 = פעם או פעמיים
3 = שלוש פעמים או יותר</t>
        </r>
      </text>
    </comment>
    <comment ref="C47" authorId="0" shapeId="0" xr:uid="{0F580746-41F3-4952-B3B2-F2AF8CB3B2C3}">
      <text>
        <r>
          <rPr>
            <b/>
            <sz val="9"/>
            <color indexed="81"/>
            <rFont val="Tahoma"/>
            <charset val="177"/>
          </rPr>
          <t>יניב שפירא:</t>
        </r>
        <r>
          <rPr>
            <sz val="9"/>
            <color indexed="81"/>
            <rFont val="Tahoma"/>
            <charset val="177"/>
          </rPr>
          <t xml:space="preserve">
1 = לא השתתף
2 = השתתף פעם אחת
3 = 2-3 פעמים
4 = פעם בחודש
5 = פעם בשבוע או יותר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4C70ECBB-3985-4413-9179-AE2C6595E2F3}">
      <text>
        <r>
          <rPr>
            <b/>
            <sz val="9"/>
            <color indexed="81"/>
            <rFont val="Tahoma"/>
            <charset val="177"/>
          </rPr>
          <t>יניב שפירא:</t>
        </r>
        <r>
          <rPr>
            <sz val="9"/>
            <color indexed="81"/>
            <rFont val="Tahoma"/>
            <charset val="177"/>
          </rPr>
          <t xml:space="preserve">
post election</t>
        </r>
      </text>
    </comment>
    <comment ref="AA1" authorId="0" shapeId="0" xr:uid="{3C2B686F-50E4-4EA9-B2A8-2F120E27640D}">
      <text>
        <r>
          <rPr>
            <b/>
            <sz val="9"/>
            <color indexed="81"/>
            <rFont val="Tahoma"/>
            <charset val="177"/>
          </rPr>
          <t>יניב שפירא:</t>
        </r>
        <r>
          <rPr>
            <sz val="9"/>
            <color indexed="81"/>
            <rFont val="Tahoma"/>
            <charset val="177"/>
          </rPr>
          <t xml:space="preserve">
post Kippur + post election</t>
        </r>
      </text>
    </comment>
    <comment ref="AB1" authorId="0" shapeId="0" xr:uid="{DC1255D1-2D65-44AA-AB42-5CA0B403D0E4}">
      <text>
        <r>
          <rPr>
            <b/>
            <sz val="9"/>
            <color indexed="81"/>
            <rFont val="Tahoma"/>
            <charset val="177"/>
          </rPr>
          <t>יניב שפירא:</t>
        </r>
        <r>
          <rPr>
            <sz val="9"/>
            <color indexed="81"/>
            <rFont val="Tahoma"/>
            <charset val="177"/>
          </rPr>
          <t xml:space="preserve">
post Kippur</t>
        </r>
      </text>
    </comment>
    <comment ref="AC1" authorId="0" shapeId="0" xr:uid="{A7B0D828-C6A2-407E-9A63-9D64C792C6A4}">
      <text>
        <r>
          <rPr>
            <b/>
            <sz val="9"/>
            <color indexed="81"/>
            <rFont val="Tahoma"/>
            <charset val="177"/>
          </rPr>
          <t>יניב שפירא:</t>
        </r>
        <r>
          <rPr>
            <sz val="9"/>
            <color indexed="81"/>
            <rFont val="Tahoma"/>
            <charset val="177"/>
          </rPr>
          <t xml:space="preserve">
post Kippur</t>
        </r>
      </text>
    </comment>
    <comment ref="AF1" authorId="0" shapeId="0" xr:uid="{7896F30C-423A-47A6-BBE8-92103F5D1F7A}">
      <text>
        <r>
          <rPr>
            <b/>
            <sz val="9"/>
            <color indexed="81"/>
            <rFont val="Tahoma"/>
            <charset val="177"/>
          </rPr>
          <t>יניב שפירא:</t>
        </r>
        <r>
          <rPr>
            <sz val="9"/>
            <color indexed="81"/>
            <rFont val="Tahoma"/>
            <charset val="177"/>
          </rPr>
          <t xml:space="preserve">
pre + post election</t>
        </r>
      </text>
    </comment>
    <comment ref="D2" authorId="0" shapeId="0" xr:uid="{CEA6A5B9-6EDC-443B-B33E-7F1C1B6CBF04}">
      <text>
        <r>
          <rPr>
            <b/>
            <sz val="9"/>
            <color indexed="81"/>
            <rFont val="Tahoma"/>
            <family val="2"/>
          </rPr>
          <t>יניב שפירא:</t>
        </r>
        <r>
          <rPr>
            <sz val="9"/>
            <color indexed="81"/>
            <rFont val="Tahoma"/>
            <family val="2"/>
          </rPr>
          <t xml:space="preserve">
שאלה פתוחה, יש עד 3 תשובות לכל נבדק:
E8A_after_~1
E8A_after_~2
E8A_after_~3</t>
        </r>
      </text>
    </comment>
    <comment ref="G2" authorId="0" shapeId="0" xr:uid="{C7E352EE-A439-47D4-957F-A1344E1B9617}">
      <text>
        <r>
          <rPr>
            <b/>
            <sz val="9"/>
            <color indexed="81"/>
            <rFont val="Tahoma"/>
            <family val="2"/>
          </rPr>
          <t>יניב שפירא:</t>
        </r>
        <r>
          <rPr>
            <sz val="9"/>
            <color indexed="81"/>
            <rFont val="Tahoma"/>
            <family val="2"/>
          </rPr>
          <t xml:space="preserve">
שלוש תשובות מקודדות:
after_v13b_1_1
after_v13b_1_2
after_v13b_1_3</t>
        </r>
      </text>
    </comment>
    <comment ref="D3" authorId="0" shapeId="0" xr:uid="{D54AEF7A-BA30-445C-8778-A695056F8DF6}">
      <text>
        <r>
          <rPr>
            <b/>
            <sz val="9"/>
            <color indexed="81"/>
            <rFont val="Tahoma"/>
            <family val="2"/>
          </rPr>
          <t>יניב שפירא:</t>
        </r>
        <r>
          <rPr>
            <sz val="9"/>
            <color indexed="81"/>
            <rFont val="Tahoma"/>
            <family val="2"/>
          </rPr>
          <t xml:space="preserve">
שאלה פתוחה, יש עד 3 תשובות לכל נבדק:
E8B_after_~1
E8B_after_~2
E8B_after_~3</t>
        </r>
      </text>
    </comment>
    <comment ref="G3" authorId="0" shapeId="0" xr:uid="{E3EAD699-5C6E-4463-9234-70E647E434BB}">
      <text>
        <r>
          <rPr>
            <b/>
            <sz val="9"/>
            <color indexed="81"/>
            <rFont val="Tahoma"/>
            <family val="2"/>
          </rPr>
          <t>יניב שפירא:</t>
        </r>
        <r>
          <rPr>
            <sz val="9"/>
            <color indexed="81"/>
            <rFont val="Tahoma"/>
            <family val="2"/>
          </rPr>
          <t xml:space="preserve">
שלוש תשובות מקודדות:
after_v13b_2_1
after_v13b_2_2
after_v13b_2_3</t>
        </r>
      </text>
    </comment>
    <comment ref="B4" authorId="1" shapeId="0" xr:uid="{D5640BD5-C4CE-449B-B2D3-6BE55DE480D7}">
      <text>
        <r>
          <rPr>
            <b/>
            <sz val="9"/>
            <color indexed="81"/>
            <rFont val="Tahoma"/>
            <family val="2"/>
          </rPr>
          <t>adi:</t>
        </r>
        <r>
          <rPr>
            <sz val="9"/>
            <color indexed="81"/>
            <rFont val="Tahoma"/>
            <family val="2"/>
          </rPr>
          <t xml:space="preserve">
1 = שמאל
2 = שמאל מתון
3 = מרכז
4 = ימין מתון
5 = ימין</t>
        </r>
      </text>
    </comment>
    <comment ref="F4" authorId="0" shapeId="0" xr:uid="{C560C3D8-F04B-402F-B571-29B76EA8418E}">
      <text>
        <r>
          <rPr>
            <b/>
            <sz val="9"/>
            <color indexed="81"/>
            <rFont val="Tahoma"/>
            <family val="2"/>
          </rPr>
          <t>יניב שפירא:</t>
        </r>
        <r>
          <rPr>
            <sz val="9"/>
            <color indexed="81"/>
            <rFont val="Tahoma"/>
            <family val="2"/>
          </rPr>
          <t xml:space="preserve">
1 = שמאל
2 = שמאל מתון
3 = מרכז
4 = ימין מתון
5 = ימין
6 = הזרם הדתי
7 = לא מזדהה עם אף גורם</t>
        </r>
      </text>
    </comment>
    <comment ref="U4" authorId="0" shapeId="0" xr:uid="{B64B2523-DEAD-402A-9BEC-D8B7F83595AA}">
      <text>
        <r>
          <rPr>
            <b/>
            <sz val="9"/>
            <color indexed="81"/>
            <rFont val="Tahoma"/>
            <charset val="177"/>
          </rPr>
          <t>יניב שפירא:</t>
        </r>
        <r>
          <rPr>
            <sz val="9"/>
            <color indexed="81"/>
            <rFont val="Tahoma"/>
            <charset val="177"/>
          </rPr>
          <t xml:space="preserve">
1 = שמאל
2 = שמאל מתון
3 = מרכז
4 = ימין מתון
5 = הזרם הדתי
6 = אף זרם</t>
        </r>
      </text>
    </comment>
    <comment ref="D5" authorId="0" shapeId="0" xr:uid="{DAEBE63D-E4FE-41C0-9DBE-536061D2A99A}">
      <text>
        <r>
          <rPr>
            <b/>
            <sz val="9"/>
            <color indexed="81"/>
            <rFont val="Tahoma"/>
            <family val="2"/>
          </rPr>
          <t>יניב שפירא:</t>
        </r>
        <r>
          <rPr>
            <sz val="9"/>
            <color indexed="81"/>
            <rFont val="Tahoma"/>
            <family val="2"/>
          </rPr>
          <t xml:space="preserve">
1-7
1 = ימין מלא
7 = שמאל מלא</t>
        </r>
      </text>
    </comment>
    <comment ref="A6" authorId="0" shapeId="0" xr:uid="{088DEF8B-2A0C-4713-B21F-EB15B6585B75}">
      <text>
        <r>
          <rPr>
            <b/>
            <sz val="9"/>
            <color indexed="81"/>
            <rFont val="Tahoma"/>
            <charset val="177"/>
          </rPr>
          <t>יניב שפירא:</t>
        </r>
        <r>
          <rPr>
            <sz val="9"/>
            <color indexed="81"/>
            <rFont val="Tahoma"/>
            <charset val="177"/>
          </rPr>
          <t xml:space="preserve">
מי שדירג עצמו "4"
בשאלה של ימין-שמאל</t>
        </r>
      </text>
    </comment>
    <comment ref="M6" authorId="0" shapeId="0" xr:uid="{9B3A014F-B701-4C1E-93A5-9C59DE0B944D}">
      <text>
        <r>
          <rPr>
            <b/>
            <sz val="9"/>
            <color indexed="81"/>
            <rFont val="Tahoma"/>
            <charset val="177"/>
          </rPr>
          <t>יניב שפירא:</t>
        </r>
        <r>
          <rPr>
            <sz val="9"/>
            <color indexed="81"/>
            <rFont val="Tahoma"/>
            <charset val="177"/>
          </rPr>
          <t xml:space="preserve">
1 = למחנה הימין
2 = למחנה השמאל
3 = לכל כיוון
4 = לא עובר</t>
        </r>
      </text>
    </comment>
    <comment ref="A7" authorId="0" shapeId="0" xr:uid="{ACB81CE1-AD0F-45BE-BDB4-E14BE3BA6283}">
      <text>
        <r>
          <rPr>
            <b/>
            <sz val="9"/>
            <color indexed="81"/>
            <rFont val="Tahoma"/>
            <charset val="177"/>
          </rPr>
          <t>יניב שפירא:</t>
        </r>
        <r>
          <rPr>
            <sz val="9"/>
            <color indexed="81"/>
            <rFont val="Tahoma"/>
            <charset val="177"/>
          </rPr>
          <t xml:space="preserve">
כל מי שלא דירג עצמו "4" בשאלה של ימין-שמאל</t>
        </r>
      </text>
    </comment>
    <comment ref="M7" authorId="0" shapeId="0" xr:uid="{8DB48925-F6B7-4E06-83AF-4E188683E9E3}">
      <text>
        <r>
          <rPr>
            <b/>
            <sz val="9"/>
            <color indexed="81"/>
            <rFont val="Tahoma"/>
            <charset val="177"/>
          </rPr>
          <t>יניב שפירא:</t>
        </r>
        <r>
          <rPr>
            <sz val="9"/>
            <color indexed="81"/>
            <rFont val="Tahoma"/>
            <charset val="177"/>
          </rPr>
          <t xml:space="preserve">
1 = כן בקלות
2 = חושב שכן
3 = חושב שלא
4 = בשום אופן לא</t>
        </r>
      </text>
    </comment>
    <comment ref="I8" authorId="0" shapeId="0" xr:uid="{DF3A3266-F0C3-4D4E-85F1-647760EEF2E6}">
      <text>
        <r>
          <rPr>
            <b/>
            <sz val="9"/>
            <color indexed="81"/>
            <rFont val="Tahoma"/>
            <family val="2"/>
          </rPr>
          <t>יניב שפירא:</t>
        </r>
        <r>
          <rPr>
            <sz val="9"/>
            <color indexed="81"/>
            <rFont val="Tahoma"/>
            <family val="2"/>
          </rPr>
          <t xml:space="preserve">
סולם 0-10
0 = שמאל מלא
10 = ימין מלא</t>
        </r>
      </text>
    </comment>
    <comment ref="H9" authorId="0" shapeId="0" xr:uid="{509661DA-62D1-4B48-ADE4-5BBF6915B26B}">
      <text>
        <r>
          <rPr>
            <b/>
            <sz val="9"/>
            <color indexed="81"/>
            <rFont val="Tahoma"/>
            <family val="2"/>
          </rPr>
          <t>יניב שפירא:</t>
        </r>
        <r>
          <rPr>
            <sz val="9"/>
            <color indexed="81"/>
            <rFont val="Tahoma"/>
            <family val="2"/>
          </rPr>
          <t xml:space="preserve">
סולם 0-10
0 = שמאלי (יוני)
10 = ימני (נצי)</t>
        </r>
      </text>
    </comment>
    <comment ref="P9" authorId="0" shapeId="0" xr:uid="{F2E8BC61-CECE-48F2-9289-D031962F05F3}">
      <text>
        <r>
          <rPr>
            <b/>
            <sz val="9"/>
            <color indexed="81"/>
            <rFont val="Tahoma"/>
            <family val="2"/>
          </rPr>
          <t>יניב שפירא:</t>
        </r>
        <r>
          <rPr>
            <sz val="9"/>
            <color indexed="81"/>
            <rFont val="Tahoma"/>
            <family val="2"/>
          </rPr>
          <t xml:space="preserve">
סולם 1-7
1 = נץ
7 = יונה</t>
        </r>
      </text>
    </comment>
    <comment ref="S10" authorId="0" shapeId="0" xr:uid="{193FA0EF-6512-4CE3-A6F4-3DDDE9CD7DE6}">
      <text>
        <r>
          <rPr>
            <b/>
            <sz val="9"/>
            <color indexed="81"/>
            <rFont val="Tahoma"/>
            <family val="2"/>
          </rPr>
          <t xml:space="preserve">יניב שפירא:
</t>
        </r>
        <r>
          <rPr>
            <sz val="9"/>
            <color indexed="81"/>
            <rFont val="Tahoma"/>
            <family val="2"/>
          </rPr>
          <t>סולם 1-7
1 = ימין
7 = שמאל</t>
        </r>
      </text>
    </comment>
    <comment ref="F12" authorId="0" shapeId="0" xr:uid="{6F353B0B-D08A-4DDE-A512-CE28FC80635A}">
      <text>
        <r>
          <rPr>
            <b/>
            <sz val="9"/>
            <color indexed="81"/>
            <rFont val="Tahoma"/>
            <family val="2"/>
          </rPr>
          <t>יניב שפירא:</t>
        </r>
        <r>
          <rPr>
            <sz val="9"/>
            <color indexed="81"/>
            <rFont val="Tahoma"/>
            <family val="2"/>
          </rPr>
          <t xml:space="preserve">
1 = מאד חשובה
2 = די חשובה
3 = לא כ"כ חשובה
4 = כלל לא חשובה</t>
        </r>
      </text>
    </comment>
    <comment ref="F13" authorId="0" shapeId="0" xr:uid="{6DA3438C-7F46-48B9-8E7D-DBE46BE89DBF}">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G16" authorId="0" shapeId="0" xr:uid="{48706EEA-8DA2-4CF4-BBAD-1EADE96193E4}">
      <text>
        <r>
          <rPr>
            <b/>
            <sz val="9"/>
            <color indexed="81"/>
            <rFont val="Tahoma"/>
            <family val="2"/>
          </rPr>
          <t>יניב שפירא:</t>
        </r>
        <r>
          <rPr>
            <sz val="9"/>
            <color indexed="81"/>
            <rFont val="Tahoma"/>
            <family val="2"/>
          </rPr>
          <t xml:space="preserve">
שלוש תשובות מקודדות:
after_v13a_1
after_v13a_2
after_v13a_3</t>
        </r>
      </text>
    </comment>
    <comment ref="S17" authorId="0" shapeId="0" xr:uid="{F861FCAA-5D10-488C-8554-B6FDBA1E97D3}">
      <text>
        <r>
          <rPr>
            <b/>
            <sz val="9"/>
            <color indexed="81"/>
            <rFont val="Tahoma"/>
            <charset val="177"/>
          </rPr>
          <t>יניב שפירא:</t>
        </r>
        <r>
          <rPr>
            <sz val="9"/>
            <color indexed="81"/>
            <rFont val="Tahoma"/>
            <charset val="177"/>
          </rPr>
          <t xml:space="preserve">
1 = הבדלים גדולים מאד
2 = הבדלים גדולים
3 = הבדלים מסוימים
4 = הבדלים קטנים
5 = הבדלים קטנים מאד
6 = אין הבדלים</t>
        </r>
      </text>
    </comment>
    <comment ref="AD17" authorId="0" shapeId="0" xr:uid="{F9C5C234-53EB-4100-A974-03FAFA1B3838}">
      <text>
        <r>
          <rPr>
            <b/>
            <sz val="9"/>
            <color indexed="81"/>
            <rFont val="Tahoma"/>
            <charset val="177"/>
          </rPr>
          <t xml:space="preserve">יניב שפירא:
</t>
        </r>
        <r>
          <rPr>
            <sz val="9"/>
            <color indexed="81"/>
            <rFont val="Tahoma"/>
            <family val="2"/>
          </rPr>
          <t>c54  = בעיה ראשונה
c55 = בעיה שנייה</t>
        </r>
      </text>
    </comment>
    <comment ref="AE17" authorId="0" shapeId="0" xr:uid="{CEF2E9D8-948D-43A8-9EEF-F4242D267D2D}">
      <text>
        <r>
          <rPr>
            <b/>
            <sz val="9"/>
            <color indexed="81"/>
            <rFont val="Tahoma"/>
            <charset val="177"/>
          </rPr>
          <t>יניב שפירא:</t>
        </r>
        <r>
          <rPr>
            <sz val="9"/>
            <color indexed="81"/>
            <rFont val="Tahoma"/>
            <charset val="177"/>
          </rPr>
          <t xml:space="preserve">
v30 בעיה ראשונה
v31 בעיה שנייה</t>
        </r>
      </text>
    </comment>
    <comment ref="Z18" authorId="0" shapeId="0" xr:uid="{43D73212-3206-4BA6-B67C-1D75352A8B4E}">
      <text>
        <r>
          <rPr>
            <b/>
            <sz val="9"/>
            <color indexed="81"/>
            <rFont val="Tahoma"/>
            <charset val="177"/>
          </rPr>
          <t>יניב שפירא:</t>
        </r>
        <r>
          <rPr>
            <sz val="9"/>
            <color indexed="81"/>
            <rFont val="Tahoma"/>
            <charset val="177"/>
          </rPr>
          <t xml:space="preserve">
1 = ברור מאד
2 = ברור
3 = לא כ"כ ברור
4 = כלל לא ברור</t>
        </r>
      </text>
    </comment>
    <comment ref="B19" authorId="1" shapeId="0" xr:uid="{E7D9E126-69C4-455F-9BC9-16830DC45021}">
      <text>
        <r>
          <rPr>
            <b/>
            <sz val="9"/>
            <color indexed="81"/>
            <rFont val="Tahoma"/>
            <family val="2"/>
          </rPr>
          <t>adi:</t>
        </r>
        <r>
          <rPr>
            <sz val="9"/>
            <color indexed="81"/>
            <rFont val="Tahoma"/>
            <family val="2"/>
          </rPr>
          <t xml:space="preserve">
יהודים בלבד</t>
        </r>
      </text>
    </comment>
    <comment ref="F19" authorId="0" shapeId="0" xr:uid="{C1F32055-1385-4D91-AAB1-9818B4D040D2}">
      <text>
        <r>
          <rPr>
            <b/>
            <sz val="9"/>
            <color indexed="81"/>
            <rFont val="Tahoma"/>
            <family val="2"/>
          </rPr>
          <t>יניב שפירא:</t>
        </r>
        <r>
          <rPr>
            <sz val="9"/>
            <color indexed="81"/>
            <rFont val="Tahoma"/>
            <family val="2"/>
          </rPr>
          <t xml:space="preserve">
1 = כמעט ואין הבדלים
2 = הבדלים קטנים
3 = הבדלים מסוימים
4 = הבדלים גדולים
5 = הבדלים גדולים מאד</t>
        </r>
      </text>
    </comment>
    <comment ref="H20" authorId="0" shapeId="0" xr:uid="{47388AD6-9F75-42EF-A448-356C080B4875}">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L20" authorId="0" shapeId="0" xr:uid="{618C95BC-E932-49BB-A646-676DFE31F671}">
      <text>
        <r>
          <rPr>
            <b/>
            <sz val="9"/>
            <color indexed="81"/>
            <rFont val="Tahoma"/>
            <family val="2"/>
          </rPr>
          <t>יניב שפירא:</t>
        </r>
        <r>
          <rPr>
            <sz val="9"/>
            <color indexed="81"/>
            <rFont val="Tahoma"/>
            <family val="2"/>
          </rPr>
          <t xml:space="preserve">
1 = כמעט ואין הבדלים
2 = הבדלים קטנים
3 = הבדלים מסויימים
4 = הבדלים גדולים
5 = הבדלים גדולים מאד</t>
        </r>
      </text>
    </comment>
    <comment ref="N20" authorId="0" shapeId="0" xr:uid="{E204F9FF-B5FE-4886-B8D1-286CFB8120AD}">
      <text>
        <r>
          <rPr>
            <b/>
            <sz val="9"/>
            <color indexed="81"/>
            <rFont val="Tahoma"/>
            <family val="2"/>
          </rPr>
          <t>יניב שפירא:</t>
        </r>
        <r>
          <rPr>
            <sz val="9"/>
            <color indexed="81"/>
            <rFont val="Tahoma"/>
            <family val="2"/>
          </rPr>
          <t xml:space="preserve">
1 = הבדלים גדולים מאד
2 = הבדלים גדולים
3 = הבדלים מסויימים
4 = הבדלים קטנים
5 = כמעט ואין הבדלים</t>
        </r>
      </text>
    </comment>
    <comment ref="V20" authorId="0" shapeId="0" xr:uid="{43AB78BB-DB79-4612-9061-FF357FDFE6A0}">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H21" authorId="0" shapeId="0" xr:uid="{0DB423AB-7670-4EF7-8A73-C0472E2E09B4}">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B22" authorId="1" shapeId="0" xr:uid="{24DCE818-7168-4AB7-86B5-4395C6235388}">
      <text>
        <r>
          <rPr>
            <b/>
            <sz val="9"/>
            <color indexed="81"/>
            <rFont val="Tahoma"/>
            <family val="2"/>
          </rPr>
          <t>adi:</t>
        </r>
        <r>
          <rPr>
            <sz val="9"/>
            <color indexed="81"/>
            <rFont val="Tahoma"/>
            <family val="2"/>
          </rPr>
          <t xml:space="preserve">
יהודים בלבד</t>
        </r>
      </text>
    </comment>
    <comment ref="H22" authorId="0" shapeId="0" xr:uid="{C61D6E78-8FFF-4774-8C84-C599746C44E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B23" authorId="1" shapeId="0" xr:uid="{5F7E81F3-1BE8-4B6C-981A-7ED5C46A4334}">
      <text>
        <r>
          <rPr>
            <b/>
            <sz val="9"/>
            <color indexed="81"/>
            <rFont val="Tahoma"/>
            <family val="2"/>
          </rPr>
          <t>adi:</t>
        </r>
        <r>
          <rPr>
            <sz val="9"/>
            <color indexed="81"/>
            <rFont val="Tahoma"/>
            <family val="2"/>
          </rPr>
          <t xml:space="preserve">
יהודים בלבד</t>
        </r>
      </text>
    </comment>
    <comment ref="L23" authorId="0" shapeId="0" xr:uid="{7863DD2C-39BA-47A1-854E-73DC8F141996}">
      <text>
        <r>
          <rPr>
            <b/>
            <sz val="9"/>
            <color indexed="81"/>
            <rFont val="Tahoma"/>
            <family val="2"/>
          </rPr>
          <t>יניב שפירא:</t>
        </r>
        <r>
          <rPr>
            <sz val="9"/>
            <color indexed="81"/>
            <rFont val="Tahoma"/>
            <family val="2"/>
          </rPr>
          <t xml:space="preserve">
הניסוח הוא:
"הסכם עם הפלסטינים"</t>
        </r>
      </text>
    </comment>
    <comment ref="S23" authorId="0" shapeId="0" xr:uid="{A006B4CA-9009-468A-93FD-F7F452A4FD76}">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V23" authorId="0" shapeId="0" xr:uid="{972E474D-C6ED-4EC2-9663-CB1F9AA12224}">
      <text>
        <r>
          <rPr>
            <b/>
            <sz val="9"/>
            <color indexed="81"/>
            <rFont val="Tahoma"/>
            <charset val="177"/>
          </rPr>
          <t>יניב שפירא:</t>
        </r>
        <r>
          <rPr>
            <sz val="9"/>
            <color indexed="81"/>
            <rFont val="Tahoma"/>
            <charset val="177"/>
          </rPr>
          <t xml:space="preserve">
1 = הבדלים גדולים מאד
2 = הבדלים קטנים
3 = הבדלים מסויימים
4 = הבדלים קטנים
5 = הבדלים קטנים מאד
6 = אין הבדל</t>
        </r>
      </text>
    </comment>
    <comment ref="AE23" authorId="0" shapeId="0" xr:uid="{664B90A1-BB07-4611-916B-B4638C2A5E3B}">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B24" authorId="1" shapeId="0" xr:uid="{A8437994-A5F7-46DA-A81F-815E2F3A632D}">
      <text>
        <r>
          <rPr>
            <b/>
            <sz val="9"/>
            <color indexed="81"/>
            <rFont val="Tahoma"/>
            <family val="2"/>
          </rPr>
          <t>adi:</t>
        </r>
        <r>
          <rPr>
            <sz val="9"/>
            <color indexed="81"/>
            <rFont val="Tahoma"/>
            <family val="2"/>
          </rPr>
          <t xml:space="preserve">
יהודים בלבד</t>
        </r>
      </text>
    </comment>
    <comment ref="P24" authorId="0" shapeId="0" xr:uid="{8517AAA0-4310-4248-8086-912EB38A51B6}">
      <text>
        <r>
          <rPr>
            <b/>
            <sz val="9"/>
            <color indexed="81"/>
            <rFont val="Tahoma"/>
            <family val="2"/>
          </rPr>
          <t>יניב שפירא:</t>
        </r>
        <r>
          <rPr>
            <sz val="9"/>
            <color indexed="81"/>
            <rFont val="Tahoma"/>
            <family val="2"/>
          </rPr>
          <t xml:space="preserve">
1 = רחוקות במידה רבה מאד
2 = רחוקות במידה רבה
3 = בחלקן קרובות ובחלקן רחוקות
4 = העמדות למעדה קרובות
5 = העמדות קרובות מאד</t>
        </r>
      </text>
    </comment>
    <comment ref="T24" authorId="0" shapeId="0" xr:uid="{4B75F0D2-4E31-4343-BB32-B19D31E02174}">
      <text>
        <r>
          <rPr>
            <b/>
            <sz val="9"/>
            <color indexed="81"/>
            <rFont val="Tahoma"/>
            <charset val="177"/>
          </rPr>
          <t>יניב שפירא:</t>
        </r>
        <r>
          <rPr>
            <sz val="9"/>
            <color indexed="81"/>
            <rFont val="Tahoma"/>
            <charset val="177"/>
          </rPr>
          <t xml:space="preserve">
1 = הבדלים גדולים מאד
2 = הבדלים גדולים
3 = הבדלים מסויימים
4 = הבדלים קטנים
5 = כמעט ואין הבדלים</t>
        </r>
      </text>
    </comment>
    <comment ref="AB24" authorId="0" shapeId="0" xr:uid="{A1CB3F66-B632-4048-AA0C-FDCF46A38C2C}">
      <text>
        <r>
          <rPr>
            <b/>
            <sz val="9"/>
            <color indexed="81"/>
            <rFont val="Tahoma"/>
            <charset val="177"/>
          </rPr>
          <t>יניב שפירא:</t>
        </r>
        <r>
          <rPr>
            <sz val="9"/>
            <color indexed="81"/>
            <rFont val="Tahoma"/>
            <charset val="177"/>
          </rPr>
          <t xml:space="preserve">
1 = הבדל גדול מאוד
2 = הבדל גדול
3 = הבדל קטן
4 = אין הבדל כלל</t>
        </r>
      </text>
    </comment>
    <comment ref="B25" authorId="1" shapeId="0" xr:uid="{AA00C895-F721-41B1-8A19-67319B00F4D5}">
      <text>
        <r>
          <rPr>
            <b/>
            <sz val="9"/>
            <color indexed="81"/>
            <rFont val="Tahoma"/>
            <family val="2"/>
          </rPr>
          <t>adi:</t>
        </r>
        <r>
          <rPr>
            <sz val="9"/>
            <color indexed="81"/>
            <rFont val="Tahoma"/>
            <family val="2"/>
          </rPr>
          <t xml:space="preserve">
יהודים בלבד</t>
        </r>
      </text>
    </comment>
    <comment ref="H26" authorId="0" shapeId="0" xr:uid="{3577A090-5351-494A-A3DE-8C9C9B61C742}">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I27" authorId="0" shapeId="0" xr:uid="{EDB529EB-267B-4CB9-AA08-1D48C4BB1D20}">
      <text>
        <r>
          <rPr>
            <b/>
            <sz val="9"/>
            <color indexed="81"/>
            <rFont val="Tahoma"/>
            <family val="2"/>
          </rPr>
          <t>יניב שפירא:</t>
        </r>
        <r>
          <rPr>
            <sz val="9"/>
            <color indexed="81"/>
            <rFont val="Tahoma"/>
            <family val="2"/>
          </rPr>
          <t xml:space="preserve">
1 = הבדלים גדולים מאוד
2 = הבדלים גדולים
3 = הבדלים מסוימים
4 = הבדלים קטנים
5 = הבדלים קטנים מאוד</t>
        </r>
      </text>
    </comment>
    <comment ref="AD29" authorId="0" shapeId="0" xr:uid="{DE280C4E-5E39-42F9-A7B2-F230FE2708E0}">
      <text>
        <r>
          <rPr>
            <b/>
            <sz val="9"/>
            <color indexed="81"/>
            <rFont val="Tahoma"/>
            <family val="2"/>
          </rPr>
          <t>יניב שפירא:</t>
        </r>
        <r>
          <rPr>
            <sz val="9"/>
            <color indexed="81"/>
            <rFont val="Tahoma"/>
            <family val="2"/>
          </rPr>
          <t xml:space="preserve">
1 = בהחלט קיימים
2 = קיימים
3 = אולי קיימים
4 = לא קיימים</t>
        </r>
      </text>
    </comment>
    <comment ref="I30" authorId="0" shapeId="0" xr:uid="{A0A8B6FE-E1FE-4ABD-BE79-9AF2A23AE23D}">
      <text>
        <r>
          <rPr>
            <b/>
            <sz val="9"/>
            <color indexed="81"/>
            <rFont val="Tahoma"/>
            <family val="2"/>
          </rPr>
          <t>יניב שפירא:</t>
        </r>
        <r>
          <rPr>
            <sz val="9"/>
            <color indexed="81"/>
            <rFont val="Tahoma"/>
            <family val="2"/>
          </rPr>
          <t xml:space="preserve">
סולם 0-10
0 = שמאל מלא
10 = ימין מלא</t>
        </r>
      </text>
    </comment>
    <comment ref="C34" authorId="0" shapeId="0" xr:uid="{F00FF6F6-AF79-41D8-927C-25D6189DEC3E}">
      <text>
        <r>
          <rPr>
            <b/>
            <sz val="9"/>
            <color indexed="81"/>
            <rFont val="Tahoma"/>
            <family val="2"/>
          </rPr>
          <t>יניב שפירא:</t>
        </r>
        <r>
          <rPr>
            <sz val="9"/>
            <color indexed="81"/>
            <rFont val="Tahoma"/>
            <family val="2"/>
          </rPr>
          <t xml:space="preserve">
הציונות הדתית</t>
        </r>
      </text>
    </comment>
    <comment ref="J34" authorId="0" shapeId="0" xr:uid="{B3D9FB71-9E94-4022-AD52-2FA0A3B8D562}">
      <text>
        <r>
          <rPr>
            <b/>
            <sz val="9"/>
            <color indexed="81"/>
            <rFont val="Tahoma"/>
            <family val="2"/>
          </rPr>
          <t>יניב שפירא:</t>
        </r>
        <r>
          <rPr>
            <sz val="9"/>
            <color indexed="81"/>
            <rFont val="Tahoma"/>
            <family val="2"/>
          </rPr>
          <t xml:space="preserve">
המפד"ל-האיחוד הלאומי</t>
        </r>
      </text>
    </comment>
    <comment ref="B37" authorId="1" shapeId="0" xr:uid="{313393DA-BACA-47C3-855F-426BAA449F08}">
      <text>
        <r>
          <rPr>
            <b/>
            <sz val="9"/>
            <color indexed="81"/>
            <rFont val="Tahoma"/>
            <family val="2"/>
          </rPr>
          <t>adi:</t>
        </r>
        <r>
          <rPr>
            <sz val="9"/>
            <color indexed="81"/>
            <rFont val="Tahoma"/>
            <family val="2"/>
          </rPr>
          <t xml:space="preserve">
המחנה הממלכתי, איחוד עם תקווה חדשה</t>
        </r>
      </text>
    </comment>
    <comment ref="B42" authorId="1" shapeId="0" xr:uid="{4A5928B9-98AF-4FA6-92E8-83D63F385DE9}">
      <text>
        <r>
          <rPr>
            <b/>
            <sz val="9"/>
            <color indexed="81"/>
            <rFont val="Tahoma"/>
            <family val="2"/>
          </rPr>
          <t>adi:</t>
        </r>
        <r>
          <rPr>
            <sz val="9"/>
            <color indexed="81"/>
            <rFont val="Tahoma"/>
            <family val="2"/>
          </rPr>
          <t xml:space="preserve">
חד"ש תע"ל</t>
        </r>
      </text>
    </comment>
    <comment ref="M44" authorId="0" shapeId="0" xr:uid="{772FAFAA-9F6F-4868-8FCF-7BF3BC0ACF65}">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T45" authorId="0" shapeId="0" xr:uid="{C53A0CDC-B214-453C-BF8E-FD1A81F93F44}">
      <text>
        <r>
          <rPr>
            <b/>
            <sz val="9"/>
            <color indexed="81"/>
            <rFont val="Tahoma"/>
            <charset val="177"/>
          </rPr>
          <t>יניב שפירא:</t>
        </r>
        <r>
          <rPr>
            <sz val="9"/>
            <color indexed="81"/>
            <rFont val="Tahoma"/>
            <charset val="177"/>
          </rPr>
          <t xml:space="preserve">
1 = ההבדלים הם "במה שהם אומרים"
2 = ההבדלים הם "במה שהם עושים"
3 = ההבדלים הם בשניהם
4 = אין הבדלים</t>
        </r>
      </text>
    </comment>
    <comment ref="AD45" authorId="0" shapeId="0" xr:uid="{058587C3-24BA-40BC-97E8-C45B3E51D4EE}">
      <text>
        <r>
          <rPr>
            <b/>
            <sz val="9"/>
            <color indexed="81"/>
            <rFont val="Tahoma"/>
            <charset val="177"/>
          </rPr>
          <t>יניב שפירא:</t>
        </r>
        <r>
          <rPr>
            <sz val="9"/>
            <color indexed="81"/>
            <rFont val="Tahoma"/>
            <charset val="177"/>
          </rPr>
          <t xml:space="preserve">
1 = ההבדלים בעיקר בדיבורים ולא במעשים
2 = ההבדלים בעיקר במעשים ולא בדיבורים
3 = יש הבדלים גם בדיבורים וגם במעשים
9 = אין הבדלים כלל</t>
        </r>
      </text>
    </comment>
    <comment ref="T46" authorId="0" shapeId="0" xr:uid="{C5D72439-5E4B-41D2-B423-B7404185E9A2}">
      <text>
        <r>
          <rPr>
            <b/>
            <sz val="9"/>
            <color indexed="81"/>
            <rFont val="Tahoma"/>
            <charset val="177"/>
          </rPr>
          <t>יניב שפירא:</t>
        </r>
        <r>
          <rPr>
            <sz val="9"/>
            <color indexed="81"/>
            <rFont val="Tahoma"/>
            <charset val="177"/>
          </rPr>
          <t xml:space="preserve">
1 = ניצית במידה רבה
2 = ניצית
3 = לא ניצית ולא יונית
4 = יונית
5 = יונית במידה רבה</t>
        </r>
      </text>
    </comment>
    <comment ref="T48" authorId="0" shapeId="0" xr:uid="{B3A56DD6-2828-4939-8A09-E14CD1FCB5B8}">
      <text>
        <r>
          <rPr>
            <b/>
            <sz val="9"/>
            <color indexed="81"/>
            <rFont val="Tahoma"/>
            <family val="2"/>
          </rPr>
          <t>יניב שפירא:</t>
        </r>
        <r>
          <rPr>
            <sz val="9"/>
            <color indexed="81"/>
            <rFont val="Tahoma"/>
            <family val="2"/>
          </rPr>
          <t xml:space="preserve">
1 = כן בהחלט
2 = חושב שכן
3 = ככה ככה
4 = חושב שלא
5 = בהחלט לא</t>
        </r>
      </text>
    </comment>
    <comment ref="Z49" authorId="0" shapeId="0" xr:uid="{61A7D124-6867-426C-A043-D71FE301D386}">
      <text>
        <r>
          <rPr>
            <b/>
            <sz val="9"/>
            <color indexed="81"/>
            <rFont val="Tahoma"/>
            <charset val="177"/>
          </rPr>
          <t>יניב שפירא:</t>
        </r>
        <r>
          <rPr>
            <sz val="9"/>
            <color indexed="81"/>
            <rFont val="Tahoma"/>
            <charset val="177"/>
          </rPr>
          <t xml:space="preserve">
1 = ברור מאוד
2 = ברור
3 = לא כ"כ ברור
4 = לא ברור כלל</t>
        </r>
      </text>
    </comment>
    <comment ref="AG49" authorId="0" shapeId="0" xr:uid="{D3B76C76-CCA2-4FE2-B866-8410E7096792}">
      <text>
        <r>
          <rPr>
            <b/>
            <sz val="9"/>
            <color indexed="81"/>
            <rFont val="Tahoma"/>
            <family val="2"/>
          </rPr>
          <t>יניב שפירא:</t>
        </r>
        <r>
          <rPr>
            <sz val="9"/>
            <color indexed="81"/>
            <rFont val="Tahoma"/>
            <family val="2"/>
          </rPr>
          <t xml:space="preserve">
1 = ברור מאוד
2 = ברור
3 = לא כ"כ ברור
4 = לא ברור כללי
5 = אין הבדל
6 = אין תשובה</t>
        </r>
      </text>
    </comment>
    <comment ref="AB52" authorId="0" shapeId="0" xr:uid="{6D909884-EABC-4B88-9005-657520768235}">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3" authorId="0" shapeId="0" xr:uid="{2E46858E-B1FD-40A7-9A58-D3EF07B11410}">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54" authorId="0" shapeId="0" xr:uid="{95E77ED1-7727-49C9-84A0-62ABB7E80F9E}">
      <text>
        <r>
          <rPr>
            <b/>
            <sz val="9"/>
            <color indexed="81"/>
            <rFont val="Tahoma"/>
            <charset val="177"/>
          </rPr>
          <t>יניב שפירא:</t>
        </r>
        <r>
          <rPr>
            <sz val="9"/>
            <color indexed="81"/>
            <rFont val="Tahoma"/>
            <charset val="177"/>
          </rPr>
          <t xml:space="preserve">
1 = הבדלים גדולים מאד
2 = הבדלים גדולים
3 = הבדלים קטנים
4 = הבדלים קטנים מאד
5 = אין הבדלים כלל</t>
        </r>
      </text>
    </comment>
    <comment ref="AD55" authorId="0" shapeId="0" xr:uid="{713799C7-FDF0-49A9-A893-EF481AE6AB65}">
      <text>
        <r>
          <rPr>
            <b/>
            <sz val="9"/>
            <color indexed="81"/>
            <rFont val="Tahoma"/>
            <charset val="177"/>
          </rPr>
          <t>יניב שפירא:</t>
        </r>
        <r>
          <rPr>
            <sz val="9"/>
            <color indexed="81"/>
            <rFont val="Tahoma"/>
            <charset val="177"/>
          </rPr>
          <t xml:space="preserve">
1 = שמאלי
2 = ימני
3 = מרכזי
4 = לא הבין את השאלה</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B966039E-D128-42EE-8DD9-1A39989E17AC}">
      <text>
        <r>
          <rPr>
            <b/>
            <sz val="9"/>
            <color indexed="81"/>
            <rFont val="Tahoma"/>
            <charset val="177"/>
          </rPr>
          <t>יניב שפירא:</t>
        </r>
        <r>
          <rPr>
            <sz val="9"/>
            <color indexed="81"/>
            <rFont val="Tahoma"/>
            <charset val="177"/>
          </rPr>
          <t xml:space="preserve">
post election</t>
        </r>
      </text>
    </comment>
    <comment ref="AA1" authorId="0" shapeId="0" xr:uid="{FD2CCD62-FF49-40F1-B76A-DC70E6C86C92}">
      <text>
        <r>
          <rPr>
            <b/>
            <sz val="9"/>
            <color indexed="81"/>
            <rFont val="Tahoma"/>
            <charset val="177"/>
          </rPr>
          <t>יניב שפירא:</t>
        </r>
        <r>
          <rPr>
            <sz val="9"/>
            <color indexed="81"/>
            <rFont val="Tahoma"/>
            <charset val="177"/>
          </rPr>
          <t xml:space="preserve">
post Kippur + post election</t>
        </r>
      </text>
    </comment>
    <comment ref="AB1" authorId="0" shapeId="0" xr:uid="{F9EBDE58-2BB3-48F6-B4AC-EBD3E58B2C3E}">
      <text>
        <r>
          <rPr>
            <b/>
            <sz val="9"/>
            <color indexed="81"/>
            <rFont val="Tahoma"/>
            <charset val="177"/>
          </rPr>
          <t>יניב שפירא:</t>
        </r>
        <r>
          <rPr>
            <sz val="9"/>
            <color indexed="81"/>
            <rFont val="Tahoma"/>
            <charset val="177"/>
          </rPr>
          <t xml:space="preserve">
post Kippur</t>
        </r>
      </text>
    </comment>
    <comment ref="AC1" authorId="0" shapeId="0" xr:uid="{F6A08DEE-920B-48F6-BD1F-EF68D243AFCD}">
      <text>
        <r>
          <rPr>
            <b/>
            <sz val="9"/>
            <color indexed="81"/>
            <rFont val="Tahoma"/>
            <charset val="177"/>
          </rPr>
          <t>יניב שפירא:</t>
        </r>
        <r>
          <rPr>
            <sz val="9"/>
            <color indexed="81"/>
            <rFont val="Tahoma"/>
            <charset val="177"/>
          </rPr>
          <t xml:space="preserve">
post Kippur</t>
        </r>
      </text>
    </comment>
    <comment ref="AF1" authorId="0" shapeId="0" xr:uid="{8CC1E07D-12E0-4E51-BE67-38101652E047}">
      <text>
        <r>
          <rPr>
            <b/>
            <sz val="9"/>
            <color indexed="81"/>
            <rFont val="Tahoma"/>
            <charset val="177"/>
          </rPr>
          <t>יניב שפירא:</t>
        </r>
        <r>
          <rPr>
            <sz val="9"/>
            <color indexed="81"/>
            <rFont val="Tahoma"/>
            <charset val="177"/>
          </rPr>
          <t xml:space="preserve">
pre + post election</t>
        </r>
      </text>
    </comment>
    <comment ref="D2" authorId="0" shapeId="0" xr:uid="{35F92B62-A385-4F34-A449-B813F98E3964}">
      <text>
        <r>
          <rPr>
            <b/>
            <sz val="9"/>
            <color indexed="81"/>
            <rFont val="Tahoma"/>
            <family val="2"/>
          </rPr>
          <t>יניב שפירא:</t>
        </r>
        <r>
          <rPr>
            <sz val="9"/>
            <color indexed="81"/>
            <rFont val="Tahoma"/>
            <family val="2"/>
          </rPr>
          <t xml:space="preserve">
0-10
0 = דחייה/שנאה
10 = תמיכה/אהדה</t>
        </r>
      </text>
    </comment>
    <comment ref="H2" authorId="0" shapeId="0" xr:uid="{0940385E-9723-42F7-B2DB-4EC3683EFF3E}">
      <text>
        <r>
          <rPr>
            <b/>
            <sz val="9"/>
            <color indexed="81"/>
            <rFont val="Tahoma"/>
            <family val="2"/>
          </rPr>
          <t>יניב שפירא:</t>
        </r>
        <r>
          <rPr>
            <sz val="9"/>
            <color indexed="81"/>
            <rFont val="Tahoma"/>
            <family val="2"/>
          </rPr>
          <t xml:space="preserve">
בבחירות האלו - 
הליכוד-ישראל ביתנו</t>
        </r>
      </text>
    </comment>
    <comment ref="K2" authorId="0" shapeId="0" xr:uid="{5CE4DA27-C7B4-4CEF-81F1-31154DC261C6}">
      <text>
        <r>
          <rPr>
            <b/>
            <sz val="9"/>
            <color indexed="81"/>
            <rFont val="Tahoma"/>
            <family val="2"/>
          </rPr>
          <t>יניב שפירא:</t>
        </r>
        <r>
          <rPr>
            <sz val="9"/>
            <color indexed="81"/>
            <rFont val="Tahoma"/>
            <family val="2"/>
          </rPr>
          <t xml:space="preserve">
סולם 1-10</t>
        </r>
      </text>
    </comment>
    <comment ref="O2" authorId="0" shapeId="0" xr:uid="{4684C94D-325F-40F1-A97E-1D2356ED9DFB}">
      <text>
        <r>
          <rPr>
            <b/>
            <sz val="9"/>
            <color indexed="81"/>
            <rFont val="Tahoma"/>
            <charset val="177"/>
          </rPr>
          <t>יניב שפירא:</t>
        </r>
        <r>
          <rPr>
            <sz val="9"/>
            <color indexed="81"/>
            <rFont val="Tahoma"/>
            <charset val="177"/>
          </rPr>
          <t xml:space="preserve">
סולם 1-10
1 = שנאה
10 = אהדה</t>
        </r>
      </text>
    </comment>
    <comment ref="A4" authorId="0" shapeId="0" xr:uid="{D7276714-07C9-48E3-9F91-76A49A92F962}">
      <text>
        <r>
          <rPr>
            <b/>
            <sz val="9"/>
            <color indexed="81"/>
            <rFont val="Tahoma"/>
            <family val="2"/>
          </rPr>
          <t>יניב שפירא:</t>
        </r>
        <r>
          <rPr>
            <sz val="9"/>
            <color indexed="81"/>
            <rFont val="Tahoma"/>
            <family val="2"/>
          </rPr>
          <t xml:space="preserve">
רק מגזר יהודי</t>
        </r>
      </text>
    </comment>
    <comment ref="D7" authorId="0" shapeId="0" xr:uid="{D40A4BB0-DFCF-4E1A-8B8C-01259E5537E0}">
      <text>
        <r>
          <rPr>
            <b/>
            <sz val="9"/>
            <color indexed="81"/>
            <rFont val="Tahoma"/>
            <family val="2"/>
          </rPr>
          <t>יניב שפירא:</t>
        </r>
        <r>
          <rPr>
            <sz val="9"/>
            <color indexed="81"/>
            <rFont val="Tahoma"/>
            <family val="2"/>
          </rPr>
          <t xml:space="preserve">
העבודה-גשר-מרצ</t>
        </r>
      </text>
    </comment>
    <comment ref="E7" authorId="0" shapeId="0" xr:uid="{819A3F1D-312E-49D0-9195-613DD8E4D516}">
      <text>
        <r>
          <rPr>
            <b/>
            <sz val="9"/>
            <color indexed="81"/>
            <rFont val="Tahoma"/>
            <family val="2"/>
          </rPr>
          <t>יניב שפירא:</t>
        </r>
        <r>
          <rPr>
            <sz val="9"/>
            <color indexed="81"/>
            <rFont val="Tahoma"/>
            <family val="2"/>
          </rPr>
          <t xml:space="preserve">
העבודה-גשר</t>
        </r>
      </text>
    </comment>
    <comment ref="G7" authorId="0" shapeId="0" xr:uid="{AE6EC02B-C6AD-4534-9DE1-4EB226B913D4}">
      <text>
        <r>
          <rPr>
            <b/>
            <sz val="9"/>
            <color indexed="81"/>
            <rFont val="Tahoma"/>
            <family val="2"/>
          </rPr>
          <t>יניב שפירא:</t>
        </r>
        <r>
          <rPr>
            <sz val="9"/>
            <color indexed="81"/>
            <rFont val="Tahoma"/>
            <family val="2"/>
          </rPr>
          <t xml:space="preserve">
בבחירות האלו
המחנה הציוני</t>
        </r>
      </text>
    </comment>
    <comment ref="A10" authorId="0" shapeId="0" xr:uid="{E2855596-A43A-487D-A7DA-6F2A15200A27}">
      <text>
        <r>
          <rPr>
            <b/>
            <sz val="9"/>
            <color indexed="81"/>
            <rFont val="Tahoma"/>
            <family val="2"/>
          </rPr>
          <t>יניב שפירא:</t>
        </r>
        <r>
          <rPr>
            <sz val="9"/>
            <color indexed="81"/>
            <rFont val="Tahoma"/>
            <family val="2"/>
          </rPr>
          <t xml:space="preserve">
בבחירות 2015 התאחדו עם העבודה ויצרו את
"המחנה הציוני"</t>
        </r>
      </text>
    </comment>
    <comment ref="E11" authorId="0" shapeId="0" xr:uid="{C574ED2E-7405-47CE-A946-0D5840D5F2FD}">
      <text>
        <r>
          <rPr>
            <b/>
            <sz val="9"/>
            <color indexed="81"/>
            <rFont val="Tahoma"/>
            <family val="2"/>
          </rPr>
          <t>יניב שפירא:</t>
        </r>
        <r>
          <rPr>
            <sz val="9"/>
            <color indexed="81"/>
            <rFont val="Tahoma"/>
            <family val="2"/>
          </rPr>
          <t xml:space="preserve">
המחנה הדמוקרטי
(עם שפיר וברק)</t>
        </r>
      </text>
    </comment>
    <comment ref="A12" authorId="0" shapeId="0" xr:uid="{787234FE-4A8E-493F-8298-63753919CB79}">
      <text>
        <r>
          <rPr>
            <b/>
            <sz val="9"/>
            <color indexed="81"/>
            <rFont val="Tahoma"/>
            <family val="2"/>
          </rPr>
          <t>יניב שפירא:</t>
        </r>
        <r>
          <rPr>
            <sz val="9"/>
            <color indexed="81"/>
            <rFont val="Tahoma"/>
            <family val="2"/>
          </rPr>
          <t xml:space="preserve">
רק מגזר יהודי!</t>
        </r>
      </text>
    </comment>
    <comment ref="A13" authorId="0" shapeId="0" xr:uid="{DD5D45DE-0811-4F51-9A79-049839D2A932}">
      <text>
        <r>
          <rPr>
            <b/>
            <sz val="9"/>
            <color indexed="81"/>
            <rFont val="Tahoma"/>
            <family val="2"/>
          </rPr>
          <t>יניב שפירא:</t>
        </r>
        <r>
          <rPr>
            <sz val="9"/>
            <color indexed="81"/>
            <rFont val="Tahoma"/>
            <family val="2"/>
          </rPr>
          <t xml:space="preserve">
רק מגזר יהודי</t>
        </r>
      </text>
    </comment>
    <comment ref="A14" authorId="0" shapeId="0" xr:uid="{FB6165E6-A5C4-4241-B68C-EA486267C354}">
      <text>
        <r>
          <rPr>
            <b/>
            <sz val="9"/>
            <color indexed="81"/>
            <rFont val="Tahoma"/>
            <family val="2"/>
          </rPr>
          <t>יניב שפירא:</t>
        </r>
        <r>
          <rPr>
            <sz val="9"/>
            <color indexed="81"/>
            <rFont val="Tahoma"/>
            <family val="2"/>
          </rPr>
          <t xml:space="preserve">
רק מגזר יהודי</t>
        </r>
      </text>
    </comment>
    <comment ref="B14" authorId="1" shapeId="0" xr:uid="{6766C00B-6E5A-4048-95E8-FDCBA400E51C}">
      <text>
        <r>
          <rPr>
            <b/>
            <sz val="9"/>
            <color indexed="81"/>
            <rFont val="Tahoma"/>
            <family val="2"/>
          </rPr>
          <t>adi:</t>
        </r>
        <r>
          <rPr>
            <sz val="9"/>
            <color indexed="81"/>
            <rFont val="Tahoma"/>
            <family val="2"/>
          </rPr>
          <t xml:space="preserve">
יחס עם עוצמה יהודית</t>
        </r>
      </text>
    </comment>
    <comment ref="C14" authorId="0" shapeId="0" xr:uid="{9EBD2A85-D0FE-4D0C-B10A-22FC0C089CD2}">
      <text>
        <r>
          <rPr>
            <b/>
            <sz val="9"/>
            <color indexed="81"/>
            <rFont val="Tahoma"/>
            <family val="2"/>
          </rPr>
          <t>יניב שפירא:</t>
        </r>
        <r>
          <rPr>
            <sz val="9"/>
            <color indexed="81"/>
            <rFont val="Tahoma"/>
            <family val="2"/>
          </rPr>
          <t xml:space="preserve">
הציונות הדתית</t>
        </r>
      </text>
    </comment>
    <comment ref="J14" authorId="0" shapeId="0" xr:uid="{1389067F-10AE-4F86-BAAC-FC2D9B33FBF5}">
      <text>
        <r>
          <rPr>
            <b/>
            <sz val="9"/>
            <color indexed="81"/>
            <rFont val="Tahoma"/>
            <family val="2"/>
          </rPr>
          <t>יניב שפירא:</t>
        </r>
        <r>
          <rPr>
            <sz val="9"/>
            <color indexed="81"/>
            <rFont val="Tahoma"/>
            <family val="2"/>
          </rPr>
          <t xml:space="preserve">
מפד"ל-האיחוד הלאומי</t>
        </r>
      </text>
    </comment>
    <comment ref="A15" authorId="0" shapeId="0" xr:uid="{2D998F1A-660F-401F-8578-7B8925009E69}">
      <text>
        <r>
          <rPr>
            <b/>
            <sz val="9"/>
            <color indexed="81"/>
            <rFont val="Tahoma"/>
            <family val="2"/>
          </rPr>
          <t>יניב שפירא:</t>
        </r>
        <r>
          <rPr>
            <sz val="9"/>
            <color indexed="81"/>
            <rFont val="Tahoma"/>
            <family val="2"/>
          </rPr>
          <t xml:space="preserve">
רק מגזר יהודי!
בחירות 2013 רצו עם הליכוד</t>
        </r>
      </text>
    </comment>
    <comment ref="K15" authorId="0" shapeId="0" xr:uid="{A57E2FFD-551A-45EB-9609-55E81FB05BEE}">
      <text>
        <r>
          <rPr>
            <b/>
            <sz val="9"/>
            <color indexed="81"/>
            <rFont val="Tahoma"/>
            <family val="2"/>
          </rPr>
          <t>יניב שפירא:</t>
        </r>
        <r>
          <rPr>
            <sz val="9"/>
            <color indexed="81"/>
            <rFont val="Tahoma"/>
            <family val="2"/>
          </rPr>
          <t xml:space="preserve">
האיחוד הלאומי</t>
        </r>
      </text>
    </comment>
    <comment ref="A16" authorId="0" shapeId="0" xr:uid="{87958ECF-9AA0-4F22-862B-A822BAE0B2B3}">
      <text>
        <r>
          <rPr>
            <b/>
            <sz val="9"/>
            <color indexed="81"/>
            <rFont val="Tahoma"/>
            <family val="2"/>
          </rPr>
          <t>יניב שפירא:</t>
        </r>
        <r>
          <rPr>
            <sz val="9"/>
            <color indexed="81"/>
            <rFont val="Tahoma"/>
            <family val="2"/>
          </rPr>
          <t xml:space="preserve">
רק מגזר יהודי!</t>
        </r>
      </text>
    </comment>
    <comment ref="A18" authorId="0" shapeId="0" xr:uid="{63E2AEF7-8C95-4A4F-9559-ED9CEEDBEC46}">
      <text>
        <r>
          <rPr>
            <b/>
            <sz val="9"/>
            <color indexed="81"/>
            <rFont val="Tahoma"/>
            <family val="2"/>
          </rPr>
          <t>יניב שפירא:</t>
        </r>
        <r>
          <rPr>
            <sz val="9"/>
            <color indexed="81"/>
            <rFont val="Tahoma"/>
            <family val="2"/>
          </rPr>
          <t xml:space="preserve">
רק מגזר יהודי!</t>
        </r>
      </text>
    </comment>
    <comment ref="A19" authorId="0" shapeId="0" xr:uid="{8F376210-0364-47EF-9F58-C26A83643C51}">
      <text>
        <r>
          <rPr>
            <b/>
            <sz val="9"/>
            <color indexed="81"/>
            <rFont val="Tahoma"/>
            <family val="2"/>
          </rPr>
          <t>יניב שפירא:</t>
        </r>
        <r>
          <rPr>
            <sz val="9"/>
            <color indexed="81"/>
            <rFont val="Tahoma"/>
            <family val="2"/>
          </rPr>
          <t xml:space="preserve">
רק מגזר יהודי!</t>
        </r>
      </text>
    </comment>
    <comment ref="B21" authorId="1" shapeId="0" xr:uid="{71723413-F2B0-4865-9B58-0E7F30792E70}">
      <text>
        <r>
          <rPr>
            <b/>
            <sz val="9"/>
            <color indexed="81"/>
            <rFont val="Tahoma"/>
            <family val="2"/>
          </rPr>
          <t>adi:</t>
        </r>
        <r>
          <rPr>
            <sz val="9"/>
            <color indexed="81"/>
            <rFont val="Tahoma"/>
            <family val="2"/>
          </rPr>
          <t xml:space="preserve">
חד"ש תע"ל
</t>
        </r>
      </text>
    </comment>
    <comment ref="F21" authorId="0" shapeId="0" xr:uid="{4B55B5B0-44E2-404B-9317-ED5B6E07B2EA}">
      <text>
        <r>
          <rPr>
            <b/>
            <sz val="9"/>
            <color indexed="81"/>
            <rFont val="Tahoma"/>
            <family val="2"/>
          </rPr>
          <t>יניב שפירא:</t>
        </r>
        <r>
          <rPr>
            <sz val="9"/>
            <color indexed="81"/>
            <rFont val="Tahoma"/>
            <family val="2"/>
          </rPr>
          <t xml:space="preserve">
רק חד"ש-תע"ל</t>
        </r>
      </text>
    </comment>
    <comment ref="A22" authorId="0" shapeId="0" xr:uid="{52969B08-6A41-47E4-97BE-51865D11C20B}">
      <text>
        <r>
          <rPr>
            <b/>
            <sz val="9"/>
            <color indexed="81"/>
            <rFont val="Tahoma"/>
            <family val="2"/>
          </rPr>
          <t>יניב שפירא:</t>
        </r>
        <r>
          <rPr>
            <sz val="9"/>
            <color indexed="81"/>
            <rFont val="Tahoma"/>
            <family val="2"/>
          </rPr>
          <t xml:space="preserve">
רק ערבים</t>
        </r>
      </text>
    </comment>
    <comment ref="A23" authorId="0" shapeId="0" xr:uid="{B613894A-1E21-40CF-BFDE-AF298E213B72}">
      <text>
        <r>
          <rPr>
            <b/>
            <sz val="9"/>
            <color indexed="81"/>
            <rFont val="Tahoma"/>
            <family val="2"/>
          </rPr>
          <t>יניב שפירא:</t>
        </r>
        <r>
          <rPr>
            <sz val="9"/>
            <color indexed="81"/>
            <rFont val="Tahoma"/>
            <family val="2"/>
          </rPr>
          <t xml:space="preserve">
רק ערבים</t>
        </r>
      </text>
    </comment>
    <comment ref="A24" authorId="0" shapeId="0" xr:uid="{A060E2AA-5EC3-4E8A-BBFB-90D5A607E48B}">
      <text>
        <r>
          <rPr>
            <b/>
            <sz val="9"/>
            <color indexed="81"/>
            <rFont val="Tahoma"/>
            <family val="2"/>
          </rPr>
          <t>יניב שפירא:</t>
        </r>
        <r>
          <rPr>
            <sz val="9"/>
            <color indexed="81"/>
            <rFont val="Tahoma"/>
            <family val="2"/>
          </rPr>
          <t xml:space="preserve">
ערבים בלבד</t>
        </r>
      </text>
    </comment>
    <comment ref="A25" authorId="0" shapeId="0" xr:uid="{3F1489AE-BB72-4102-9ECD-69360E517BF5}">
      <text>
        <r>
          <rPr>
            <b/>
            <sz val="9"/>
            <color indexed="81"/>
            <rFont val="Tahoma"/>
            <family val="2"/>
          </rPr>
          <t>יניב שפירא:</t>
        </r>
        <r>
          <rPr>
            <sz val="9"/>
            <color indexed="81"/>
            <rFont val="Tahoma"/>
            <family val="2"/>
          </rPr>
          <t xml:space="preserve">
ערבים בלבד</t>
        </r>
      </text>
    </comment>
    <comment ref="A26" authorId="0" shapeId="0" xr:uid="{6ED6A080-5515-4C3B-B128-F06E55AA120D}">
      <text>
        <r>
          <rPr>
            <b/>
            <sz val="9"/>
            <color indexed="81"/>
            <rFont val="Tahoma"/>
            <family val="2"/>
          </rPr>
          <t>יניב שפירא:</t>
        </r>
        <r>
          <rPr>
            <sz val="9"/>
            <color indexed="81"/>
            <rFont val="Tahoma"/>
            <family val="2"/>
          </rPr>
          <t xml:space="preserve">
ערבים בלבד</t>
        </r>
      </text>
    </comment>
    <comment ref="A27" authorId="0" shapeId="0" xr:uid="{6680B47D-F44E-45BF-8033-DE00FC3E191D}">
      <text>
        <r>
          <rPr>
            <b/>
            <sz val="9"/>
            <color indexed="81"/>
            <rFont val="Tahoma"/>
            <family val="2"/>
          </rPr>
          <t>יניב שפירא:</t>
        </r>
        <r>
          <rPr>
            <sz val="9"/>
            <color indexed="81"/>
            <rFont val="Tahoma"/>
            <family val="2"/>
          </rPr>
          <t xml:space="preserve">
ערבים בלבד</t>
        </r>
      </text>
    </comment>
    <comment ref="C28" authorId="0" shapeId="0" xr:uid="{AE4B7807-C6AA-4C99-8C42-75EB35DDAAF1}">
      <text>
        <r>
          <rPr>
            <b/>
            <sz val="9"/>
            <color indexed="81"/>
            <rFont val="Tahoma"/>
            <family val="2"/>
          </rPr>
          <t>יניב שפירא:</t>
        </r>
        <r>
          <rPr>
            <sz val="9"/>
            <color indexed="81"/>
            <rFont val="Tahoma"/>
            <family val="2"/>
          </rPr>
          <t xml:space="preserve">
סולם 0-10
0 = שנאה
10 = אהדה</t>
        </r>
      </text>
    </comment>
    <comment ref="D33" authorId="0" shapeId="0" xr:uid="{ADF2A09A-29BB-421E-997F-9AFC154C28FC}">
      <text>
        <r>
          <rPr>
            <b/>
            <sz val="9"/>
            <color indexed="81"/>
            <rFont val="Tahoma"/>
            <family val="2"/>
          </rPr>
          <t>יניב שפירא:</t>
        </r>
        <r>
          <rPr>
            <sz val="9"/>
            <color indexed="81"/>
            <rFont val="Tahoma"/>
            <family val="2"/>
          </rPr>
          <t xml:space="preserve">
0-10
0 = דחייה ושנאה
10 = תמיכה ואהדה
95 = לא יכול להכליל</t>
        </r>
      </text>
    </comment>
    <comment ref="C35" authorId="0" shapeId="0" xr:uid="{0BD50238-93AD-4D49-B0E9-7F283030275D}">
      <text>
        <r>
          <rPr>
            <b/>
            <sz val="9"/>
            <color indexed="81"/>
            <rFont val="Tahoma"/>
            <family val="2"/>
          </rPr>
          <t>יניב שפירא:</t>
        </r>
        <r>
          <rPr>
            <sz val="9"/>
            <color indexed="81"/>
            <rFont val="Tahoma"/>
            <family val="2"/>
          </rPr>
          <t xml:space="preserve">
רק ליהודים</t>
        </r>
      </text>
    </comment>
    <comment ref="K35" authorId="0" shapeId="0" xr:uid="{A88EB1FE-DC96-4D9F-9043-86183ED308AC}">
      <text>
        <r>
          <rPr>
            <b/>
            <sz val="9"/>
            <color indexed="81"/>
            <rFont val="Tahoma"/>
            <family val="2"/>
          </rPr>
          <t>יניב שפירא:</t>
        </r>
        <r>
          <rPr>
            <sz val="9"/>
            <color indexed="81"/>
            <rFont val="Tahoma"/>
            <family val="2"/>
          </rPr>
          <t xml:space="preserve">
סולם 1-10
1 = שנאה
10 = אהדה</t>
        </r>
      </text>
    </comment>
    <comment ref="L36" authorId="0" shapeId="0" xr:uid="{74104881-6F46-4CD2-968B-C20894981DF7}">
      <text>
        <r>
          <rPr>
            <b/>
            <sz val="9"/>
            <color indexed="81"/>
            <rFont val="Tahoma"/>
            <family val="2"/>
          </rPr>
          <t>יניב שפירא:</t>
        </r>
        <r>
          <rPr>
            <sz val="9"/>
            <color indexed="81"/>
            <rFont val="Tahoma"/>
            <family val="2"/>
          </rPr>
          <t xml:space="preserve">
סולם 1-10
1 = סלידה
10 = אהדה</t>
        </r>
      </text>
    </comment>
    <comment ref="D45" authorId="0" shapeId="0" xr:uid="{2AD9F78F-4AC9-4E69-9B04-E5D950151EAD}">
      <text>
        <r>
          <rPr>
            <b/>
            <sz val="9"/>
            <color indexed="81"/>
            <rFont val="Tahoma"/>
            <family val="2"/>
          </rPr>
          <t>יניב שפירא:</t>
        </r>
        <r>
          <rPr>
            <sz val="9"/>
            <color indexed="81"/>
            <rFont val="Tahoma"/>
            <family val="2"/>
          </rPr>
          <t xml:space="preserve">
0-10
0 = דחייה ושנאה
10 = תמיכה ואהדה</t>
        </r>
      </text>
    </comment>
    <comment ref="A55" authorId="0" shapeId="0" xr:uid="{992E08F3-EDD5-4F3D-AD57-516732080A6C}">
      <text>
        <r>
          <rPr>
            <b/>
            <sz val="9"/>
            <color indexed="81"/>
            <rFont val="Tahoma"/>
            <family val="2"/>
          </rPr>
          <t>יניב שפירא:</t>
        </r>
        <r>
          <rPr>
            <sz val="9"/>
            <color indexed="81"/>
            <rFont val="Tahoma"/>
            <family val="2"/>
          </rPr>
          <t xml:space="preserve">
ליהודים בלבד</t>
        </r>
      </text>
    </comment>
    <comment ref="A67" authorId="0" shapeId="0" xr:uid="{C14BF794-BCC4-44A3-A3D9-6336DBE8C4D8}">
      <text>
        <r>
          <rPr>
            <b/>
            <sz val="9"/>
            <color indexed="81"/>
            <rFont val="Tahoma"/>
            <family val="2"/>
          </rPr>
          <t>יניב שפירא:</t>
        </r>
        <r>
          <rPr>
            <sz val="9"/>
            <color indexed="81"/>
            <rFont val="Tahoma"/>
            <family val="2"/>
          </rPr>
          <t xml:space="preserve">
מגזר יהודי בלבד</t>
        </r>
      </text>
    </comment>
    <comment ref="A68" authorId="0" shapeId="0" xr:uid="{B02D9156-F820-42BD-8657-597943B6D3C7}">
      <text>
        <r>
          <rPr>
            <b/>
            <sz val="9"/>
            <color indexed="81"/>
            <rFont val="Tahoma"/>
            <family val="2"/>
          </rPr>
          <t>יניב שפירא:</t>
        </r>
        <r>
          <rPr>
            <sz val="9"/>
            <color indexed="81"/>
            <rFont val="Tahoma"/>
            <family val="2"/>
          </rPr>
          <t xml:space="preserve">
ליהודים בלבד</t>
        </r>
      </text>
    </comment>
    <comment ref="A69" authorId="0" shapeId="0" xr:uid="{84F5A5A8-39EF-46E2-A37F-EC5C2962F37B}">
      <text>
        <r>
          <rPr>
            <b/>
            <sz val="9"/>
            <color indexed="81"/>
            <rFont val="Tahoma"/>
            <family val="2"/>
          </rPr>
          <t>יניב שפירא:</t>
        </r>
        <r>
          <rPr>
            <sz val="9"/>
            <color indexed="81"/>
            <rFont val="Tahoma"/>
            <family val="2"/>
          </rPr>
          <t xml:space="preserve">
ליהודים בלבד</t>
        </r>
      </text>
    </comment>
    <comment ref="A71" authorId="0" shapeId="0" xr:uid="{7B4BAC0A-4283-41EA-A80A-BABE09F1A527}">
      <text>
        <r>
          <rPr>
            <b/>
            <sz val="9"/>
            <color indexed="81"/>
            <rFont val="Tahoma"/>
            <family val="2"/>
          </rPr>
          <t>יניב שפירא:</t>
        </r>
        <r>
          <rPr>
            <sz val="9"/>
            <color indexed="81"/>
            <rFont val="Tahoma"/>
            <family val="2"/>
          </rPr>
          <t xml:space="preserve">
ליהודים בלבד</t>
        </r>
      </text>
    </comment>
    <comment ref="A77" authorId="0" shapeId="0" xr:uid="{3453C1FD-7027-471D-B852-5349C9180842}">
      <text>
        <r>
          <rPr>
            <b/>
            <sz val="9"/>
            <color indexed="81"/>
            <rFont val="Tahoma"/>
            <family val="2"/>
          </rPr>
          <t>יניב שפירא:</t>
        </r>
        <r>
          <rPr>
            <sz val="9"/>
            <color indexed="81"/>
            <rFont val="Tahoma"/>
            <family val="2"/>
          </rPr>
          <t xml:space="preserve">
ליהודים בלבד</t>
        </r>
      </text>
    </comment>
    <comment ref="A78" authorId="0" shapeId="0" xr:uid="{F9682C70-C57C-4A49-AE7D-33F97C2FE7D8}">
      <text>
        <r>
          <rPr>
            <b/>
            <sz val="9"/>
            <color indexed="81"/>
            <rFont val="Tahoma"/>
            <family val="2"/>
          </rPr>
          <t>יניב שפירא:</t>
        </r>
        <r>
          <rPr>
            <sz val="9"/>
            <color indexed="81"/>
            <rFont val="Tahoma"/>
            <family val="2"/>
          </rPr>
          <t xml:space="preserve">
ליהודים בלבד</t>
        </r>
      </text>
    </comment>
    <comment ref="A79" authorId="0" shapeId="0" xr:uid="{EC1993BA-5390-41BF-9859-DB3BD36FAB1B}">
      <text>
        <r>
          <rPr>
            <b/>
            <sz val="9"/>
            <color indexed="81"/>
            <rFont val="Tahoma"/>
            <family val="2"/>
          </rPr>
          <t>יניב שפירא:</t>
        </r>
        <r>
          <rPr>
            <sz val="9"/>
            <color indexed="81"/>
            <rFont val="Tahoma"/>
            <family val="2"/>
          </rPr>
          <t xml:space="preserve">
ליהודים בלבד</t>
        </r>
      </text>
    </comment>
    <comment ref="A81" authorId="0" shapeId="0" xr:uid="{DE4E5A22-2496-4F5E-9D21-56BBF9CE0C56}">
      <text>
        <r>
          <rPr>
            <b/>
            <sz val="9"/>
            <color indexed="81"/>
            <rFont val="Tahoma"/>
            <family val="2"/>
          </rPr>
          <t>יניב שפירא:</t>
        </r>
        <r>
          <rPr>
            <sz val="9"/>
            <color indexed="81"/>
            <rFont val="Tahoma"/>
            <family val="2"/>
          </rPr>
          <t xml:space="preserve">
לערבים בלבד</t>
        </r>
      </text>
    </comment>
    <comment ref="A82" authorId="0" shapeId="0" xr:uid="{4F2BEED8-6CF5-4754-B6ED-47461D57C1FF}">
      <text>
        <r>
          <rPr>
            <b/>
            <sz val="9"/>
            <color indexed="81"/>
            <rFont val="Tahoma"/>
            <family val="2"/>
          </rPr>
          <t>יניב שפירא:</t>
        </r>
        <r>
          <rPr>
            <sz val="9"/>
            <color indexed="81"/>
            <rFont val="Tahoma"/>
            <family val="2"/>
          </rPr>
          <t xml:space="preserve">
לערבים בלבד</t>
        </r>
      </text>
    </comment>
    <comment ref="A83" authorId="0" shapeId="0" xr:uid="{8C4FDE29-F551-4A52-A282-26F5EDA4E6C0}">
      <text>
        <r>
          <rPr>
            <b/>
            <sz val="9"/>
            <color indexed="81"/>
            <rFont val="Tahoma"/>
            <family val="2"/>
          </rPr>
          <t>יניב שפירא:</t>
        </r>
        <r>
          <rPr>
            <sz val="9"/>
            <color indexed="81"/>
            <rFont val="Tahoma"/>
            <family val="2"/>
          </rPr>
          <t xml:space="preserve">
לערבים בלבד</t>
        </r>
      </text>
    </comment>
    <comment ref="A84" authorId="0" shapeId="0" xr:uid="{F035AC87-310C-419D-929A-6AC4CE13CD43}">
      <text>
        <r>
          <rPr>
            <b/>
            <sz val="9"/>
            <color indexed="81"/>
            <rFont val="Tahoma"/>
            <family val="2"/>
          </rPr>
          <t>יניב שפירא:</t>
        </r>
        <r>
          <rPr>
            <sz val="9"/>
            <color indexed="81"/>
            <rFont val="Tahoma"/>
            <family val="2"/>
          </rPr>
          <t xml:space="preserve">
לערבים בלבד</t>
        </r>
      </text>
    </comment>
    <comment ref="A85" authorId="0" shapeId="0" xr:uid="{AA98F5F5-F3C2-412B-A73B-EDDA01F75728}">
      <text>
        <r>
          <rPr>
            <b/>
            <sz val="9"/>
            <color indexed="81"/>
            <rFont val="Tahoma"/>
            <family val="2"/>
          </rPr>
          <t>יניב שפירא:</t>
        </r>
        <r>
          <rPr>
            <sz val="9"/>
            <color indexed="81"/>
            <rFont val="Tahoma"/>
            <family val="2"/>
          </rPr>
          <t xml:space="preserve">
לערבים בלבד</t>
        </r>
      </text>
    </comment>
    <comment ref="A86" authorId="0" shapeId="0" xr:uid="{68B40473-9C3E-4C0C-B9CE-64449CB34DE1}">
      <text>
        <r>
          <rPr>
            <b/>
            <sz val="9"/>
            <color indexed="81"/>
            <rFont val="Tahoma"/>
            <family val="2"/>
          </rPr>
          <t>יניב שפירא:</t>
        </r>
        <r>
          <rPr>
            <sz val="9"/>
            <color indexed="81"/>
            <rFont val="Tahoma"/>
            <family val="2"/>
          </rPr>
          <t xml:space="preserve">
לערבים בלבד</t>
        </r>
      </text>
    </comment>
    <comment ref="A87" authorId="0" shapeId="0" xr:uid="{26301F5D-233C-48F6-B06F-B6200B1D03A4}">
      <text>
        <r>
          <rPr>
            <b/>
            <sz val="9"/>
            <color indexed="81"/>
            <rFont val="Tahoma"/>
            <family val="2"/>
          </rPr>
          <t>יניב שפירא:</t>
        </r>
        <r>
          <rPr>
            <sz val="9"/>
            <color indexed="81"/>
            <rFont val="Tahoma"/>
            <family val="2"/>
          </rPr>
          <t xml:space="preserve">
לערבים בלבד</t>
        </r>
      </text>
    </comment>
    <comment ref="A88" authorId="0" shapeId="0" xr:uid="{4457BA17-45F4-4D35-B81E-D93A91386D5D}">
      <text>
        <r>
          <rPr>
            <b/>
            <sz val="9"/>
            <color indexed="81"/>
            <rFont val="Tahoma"/>
            <family val="2"/>
          </rPr>
          <t>יניב שפירא:</t>
        </r>
        <r>
          <rPr>
            <sz val="9"/>
            <color indexed="81"/>
            <rFont val="Tahoma"/>
            <family val="2"/>
          </rPr>
          <t xml:space="preserve">
לערבים בלבד</t>
        </r>
      </text>
    </comment>
    <comment ref="A89" authorId="0" shapeId="0" xr:uid="{9101B6E6-3CEC-40B3-A2CB-CA240FB102F3}">
      <text>
        <r>
          <rPr>
            <b/>
            <sz val="9"/>
            <color indexed="81"/>
            <rFont val="Tahoma"/>
            <family val="2"/>
          </rPr>
          <t>יניב שפירא:</t>
        </r>
        <r>
          <rPr>
            <sz val="9"/>
            <color indexed="81"/>
            <rFont val="Tahoma"/>
            <family val="2"/>
          </rPr>
          <t xml:space="preserve">
לערבים בלבד</t>
        </r>
      </text>
    </comment>
    <comment ref="A90" authorId="0" shapeId="0" xr:uid="{598E7DDD-CDF2-4B1F-B252-EB77CAA5C66C}">
      <text>
        <r>
          <rPr>
            <b/>
            <sz val="9"/>
            <color indexed="81"/>
            <rFont val="Tahoma"/>
            <family val="2"/>
          </rPr>
          <t>יניב שפירא:</t>
        </r>
        <r>
          <rPr>
            <sz val="9"/>
            <color indexed="81"/>
            <rFont val="Tahoma"/>
            <family val="2"/>
          </rPr>
          <t xml:space="preserve">
לערבים בלבד</t>
        </r>
      </text>
    </comment>
    <comment ref="L92" authorId="0" shapeId="0" xr:uid="{617DA325-6644-474F-B8C8-ADE8D37955E0}">
      <text>
        <r>
          <rPr>
            <b/>
            <sz val="9"/>
            <color indexed="81"/>
            <rFont val="Tahoma"/>
            <family val="2"/>
          </rPr>
          <t>יניב שפירא:</t>
        </r>
        <r>
          <rPr>
            <sz val="9"/>
            <color indexed="81"/>
            <rFont val="Tahoma"/>
            <family val="2"/>
          </rPr>
          <t xml:space="preserve">
סולם 1-10
1 = סלידה
10 = אהדה</t>
        </r>
      </text>
    </comment>
    <comment ref="F94" authorId="0" shapeId="0" xr:uid="{C414B434-B557-4D29-9920-B43CEB68E815}">
      <text>
        <r>
          <rPr>
            <b/>
            <sz val="9"/>
            <color indexed="81"/>
            <rFont val="Tahoma"/>
            <family val="2"/>
          </rPr>
          <t>יניב שפירא:</t>
        </r>
        <r>
          <rPr>
            <sz val="9"/>
            <color indexed="81"/>
            <rFont val="Tahoma"/>
            <family val="2"/>
          </rPr>
          <t xml:space="preserve">
1 = כלל לא חשובה
2 = לא כ"כ חשובה
3 = די חשובה
4 = חשובה מאד</t>
        </r>
      </text>
    </comment>
    <comment ref="F95" authorId="0" shapeId="0" xr:uid="{E36F6100-ADD8-44A2-8FB9-E1DD24B8699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F98" authorId="0" shapeId="0" xr:uid="{B61D9E61-02D9-4706-9EA2-B166FE67ED11}">
      <text>
        <r>
          <rPr>
            <b/>
            <sz val="9"/>
            <color indexed="81"/>
            <rFont val="Tahoma"/>
            <family val="2"/>
          </rPr>
          <t>יניב שפירא:</t>
        </r>
        <r>
          <rPr>
            <sz val="9"/>
            <color indexed="81"/>
            <rFont val="Tahoma"/>
            <family val="2"/>
          </rPr>
          <t xml:space="preserve">
1 = בכלל לא גאה
2 = לא גאה
3 = גאה
4 = גאה מאד</t>
        </r>
      </text>
    </comment>
    <comment ref="G99" authorId="0" shapeId="0" xr:uid="{85C29AF6-C500-4158-A848-7D746BAE9FA6}">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G100" authorId="0" shapeId="0" xr:uid="{5F5CA28F-784C-443D-9A51-25854DFF6E7B}">
      <text>
        <r>
          <rPr>
            <b/>
            <sz val="9"/>
            <color indexed="81"/>
            <rFont val="Tahoma"/>
            <family val="2"/>
          </rPr>
          <t>יניב שפירא:</t>
        </r>
        <r>
          <rPr>
            <sz val="9"/>
            <color indexed="81"/>
            <rFont val="Tahoma"/>
            <family val="2"/>
          </rPr>
          <t xml:space="preserve">
1 = בהחלט לא נכון
2 = לא נכון
3 = נכון
4 = נכון בהחלט</t>
        </r>
      </text>
    </comment>
    <comment ref="E106" authorId="0" shapeId="0" xr:uid="{8E0E17BB-4186-4492-9BD7-719F81645F06}">
      <text>
        <r>
          <rPr>
            <b/>
            <sz val="9"/>
            <color indexed="81"/>
            <rFont val="Tahoma"/>
            <family val="2"/>
          </rPr>
          <t>יניב שפירא:</t>
        </r>
        <r>
          <rPr>
            <sz val="9"/>
            <color indexed="81"/>
            <rFont val="Tahoma"/>
            <family val="2"/>
          </rPr>
          <t xml:space="preserve">
1 = בהחלט לא ראוי
2 = לא ראוי
3 = ככה-ככה
4 = ראוי
5 = בהחלט ראוי</t>
        </r>
      </text>
    </comment>
    <comment ref="E111" authorId="0" shapeId="0" xr:uid="{64448421-D085-4234-BEBE-F363DAA4BCCB}">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מאוד</t>
        </r>
      </text>
    </comment>
    <comment ref="L115" authorId="0" shapeId="0" xr:uid="{2AA49062-8CE6-48B1-A1C2-A4A3E8E3ADA3}">
      <text>
        <r>
          <rPr>
            <b/>
            <sz val="9"/>
            <color indexed="81"/>
            <rFont val="Tahoma"/>
            <family val="2"/>
          </rPr>
          <t>יניב שפירא:</t>
        </r>
        <r>
          <rPr>
            <sz val="9"/>
            <color indexed="81"/>
            <rFont val="Tahoma"/>
            <family val="2"/>
          </rPr>
          <t xml:space="preserve">
1 = כן
2 = לא</t>
        </r>
      </text>
    </comment>
    <comment ref="Q141" authorId="0" shapeId="0" xr:uid="{B63A84B4-E415-4127-8943-F0F50E0CB37F}">
      <text>
        <r>
          <rPr>
            <b/>
            <sz val="9"/>
            <color indexed="81"/>
            <rFont val="Tahoma"/>
            <family val="2"/>
          </rPr>
          <t>יניב שפירא:</t>
        </r>
        <r>
          <rPr>
            <sz val="9"/>
            <color indexed="81"/>
            <rFont val="Tahoma"/>
            <family val="2"/>
          </rPr>
          <t xml:space="preserve">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r>
      </text>
    </comment>
    <comment ref="V142" authorId="0" shapeId="0" xr:uid="{CF77E0F4-7FC4-44FB-85A3-0F0BDD6D5CB0}">
      <text>
        <r>
          <rPr>
            <b/>
            <sz val="9"/>
            <color indexed="81"/>
            <rFont val="Tahoma"/>
            <charset val="177"/>
          </rPr>
          <t>יניב שפירא:</t>
        </r>
        <r>
          <rPr>
            <sz val="9"/>
            <color indexed="81"/>
            <rFont val="Tahoma"/>
            <charset val="177"/>
          </rPr>
          <t xml:space="preserve">
1 = מפלגה חזקה מושכת אותי ביותר
2 = מפלגה חזקה מושכת אותי פחות או יותר
3 = מפלגה שמזהירה מושכת אותי פחות או יותר
4 = מפלגה שמזהירה מושכת אותי ביותר</t>
        </r>
      </text>
    </comment>
    <comment ref="AA143" authorId="0" shapeId="0" xr:uid="{D30B94E4-361C-4A64-9A17-EAF52737DA64}">
      <text>
        <r>
          <rPr>
            <b/>
            <sz val="9"/>
            <color indexed="81"/>
            <rFont val="Tahoma"/>
            <family val="2"/>
          </rPr>
          <t>יניב שפירא:</t>
        </r>
        <r>
          <rPr>
            <sz val="9"/>
            <color indexed="81"/>
            <rFont val="Tahoma"/>
            <family val="2"/>
          </rPr>
          <t xml:space="preserve">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r>
      </text>
    </comment>
    <comment ref="AC149" authorId="0" shapeId="0" xr:uid="{F7DFD737-77D5-4537-BEB2-DA69FECE7B53}">
      <text>
        <r>
          <rPr>
            <b/>
            <sz val="9"/>
            <color indexed="81"/>
            <rFont val="Tahoma"/>
            <family val="2"/>
          </rPr>
          <t>יניב שפירא:</t>
        </r>
        <r>
          <rPr>
            <sz val="9"/>
            <color indexed="81"/>
            <rFont val="Tahoma"/>
            <family val="2"/>
          </rPr>
          <t xml:space="preserve">
1 = דעתי הייתה חיובית ונשארה חיובית
2 = דעתי הייתה שלילית ונשארה שלילית
3 = דעתי הייתה חיובית והפכה שלילית
4 = דעתי הייתה שלילית והפכה חיובית</t>
        </r>
      </text>
    </comment>
    <comment ref="AD157" authorId="0" shapeId="0" xr:uid="{E1307663-796B-44AF-838A-93D0845ED852}">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58" authorId="0" shapeId="0" xr:uid="{2A5DA704-5C61-4CD2-ABDB-00B07CB70F5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59" authorId="0" shapeId="0" xr:uid="{8F601902-864C-4257-A2E2-8BE596CC1773}">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160" authorId="0" shapeId="0" xr:uid="{E654E566-F686-4415-9FB5-6CD6B666F73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62" authorId="0" shapeId="0" xr:uid="{4AA14269-9A0C-4EF7-98CF-2DAC3EDBEA56}">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G163" authorId="0" shapeId="0" xr:uid="{4E530F21-16B5-4B21-BAEB-051DB614CBF2}">
      <text>
        <r>
          <rPr>
            <b/>
            <sz val="9"/>
            <color indexed="81"/>
            <rFont val="Tahoma"/>
            <charset val="177"/>
          </rPr>
          <t>יניב שפירא:</t>
        </r>
        <r>
          <rPr>
            <sz val="9"/>
            <color indexed="81"/>
            <rFont val="Tahoma"/>
            <charset val="177"/>
          </rPr>
          <t xml:space="preserve">
1 = כן
2 = לא</t>
        </r>
      </text>
    </comment>
    <comment ref="A164" authorId="0" shapeId="0" xr:uid="{E3ABC70E-A18A-4F79-BA03-188C8C811DB0}">
      <text>
        <r>
          <rPr>
            <b/>
            <sz val="9"/>
            <color indexed="81"/>
            <rFont val="Tahoma"/>
            <charset val="177"/>
          </rPr>
          <t>יניב שפירא:</t>
        </r>
        <r>
          <rPr>
            <sz val="9"/>
            <color indexed="81"/>
            <rFont val="Tahoma"/>
            <charset val="177"/>
          </rPr>
          <t xml:space="preserve">
מי שענה כן בשאלה 10</t>
        </r>
      </text>
    </comment>
    <comment ref="I164" authorId="0" shapeId="0" xr:uid="{8BA7E657-9DB4-4F7F-A32F-B6388368EE02}">
      <text>
        <r>
          <rPr>
            <b/>
            <sz val="9"/>
            <color indexed="81"/>
            <rFont val="Tahoma"/>
            <family val="2"/>
          </rPr>
          <t>יניב שפירא:</t>
        </r>
        <r>
          <rPr>
            <sz val="9"/>
            <color indexed="81"/>
            <rFont val="Tahoma"/>
            <family val="2"/>
          </rPr>
          <t xml:space="preserve">
הניסוח הוא:
"איזו מפלגה אתה הכי אוהד"</t>
        </r>
      </text>
    </comment>
    <comment ref="G165" authorId="0" shapeId="0" xr:uid="{44E84DF8-6DF0-467C-84D0-FC4D54519B78}">
      <text>
        <r>
          <rPr>
            <b/>
            <sz val="9"/>
            <color indexed="81"/>
            <rFont val="Tahoma"/>
            <charset val="177"/>
          </rPr>
          <t>יניב שפירא:</t>
        </r>
        <r>
          <rPr>
            <sz val="9"/>
            <color indexed="81"/>
            <rFont val="Tahoma"/>
            <charset val="177"/>
          </rPr>
          <t xml:space="preserve">
1 = קרוב מאוד
2 = די קרוב
3 = לא מאוד קרוב</t>
        </r>
      </text>
    </comment>
    <comment ref="A171" authorId="0" shapeId="0" xr:uid="{3027552F-2B1D-424B-861E-793FA2F98BF8}">
      <text>
        <r>
          <rPr>
            <b/>
            <sz val="9"/>
            <color indexed="81"/>
            <rFont val="Tahoma"/>
            <family val="2"/>
          </rPr>
          <t>יניב שפירא:</t>
        </r>
        <r>
          <rPr>
            <sz val="9"/>
            <color indexed="81"/>
            <rFont val="Tahoma"/>
            <family val="2"/>
          </rPr>
          <t xml:space="preserve">
היו 10 מפלגות.
3 נבחרו להכי קרובות
3 להכי רחוקות
נותרו 6</t>
        </r>
      </text>
    </comment>
    <comment ref="AE175" authorId="0" shapeId="0" xr:uid="{70DB2367-71C0-4681-82FC-9484D0AAF7DC}">
      <text>
        <r>
          <rPr>
            <b/>
            <sz val="9"/>
            <color indexed="81"/>
            <rFont val="Tahoma"/>
            <family val="2"/>
          </rPr>
          <t>יניב שפירא:</t>
        </r>
        <r>
          <rPr>
            <sz val="9"/>
            <color indexed="81"/>
            <rFont val="Tahoma"/>
            <family val="2"/>
          </rPr>
          <t xml:space="preserve">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r>
      </text>
    </comment>
    <comment ref="AG178" authorId="0" shapeId="0" xr:uid="{693FC018-5FAC-4573-A981-C9F89C286510}">
      <text>
        <r>
          <rPr>
            <b/>
            <sz val="9"/>
            <color indexed="81"/>
            <rFont val="Tahoma"/>
            <family val="2"/>
          </rPr>
          <t>יניב שפירא:</t>
        </r>
        <r>
          <rPr>
            <sz val="9"/>
            <color indexed="81"/>
            <rFont val="Tahoma"/>
            <family val="2"/>
          </rPr>
          <t xml:space="preserve">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F764D23-C669-4476-A563-F0BDB61D00BE}">
      <text>
        <r>
          <rPr>
            <b/>
            <sz val="9"/>
            <color indexed="81"/>
            <rFont val="Tahoma"/>
            <charset val="177"/>
          </rPr>
          <t>יניב שפירא:</t>
        </r>
        <r>
          <rPr>
            <sz val="9"/>
            <color indexed="81"/>
            <rFont val="Tahoma"/>
            <charset val="177"/>
          </rPr>
          <t xml:space="preserve">
post election</t>
        </r>
      </text>
    </comment>
    <comment ref="AA1" authorId="0" shapeId="0" xr:uid="{7C93E28E-1F07-475D-96A2-D388D84D71FF}">
      <text>
        <r>
          <rPr>
            <b/>
            <sz val="9"/>
            <color indexed="81"/>
            <rFont val="Tahoma"/>
            <charset val="177"/>
          </rPr>
          <t>יניב שפירא:</t>
        </r>
        <r>
          <rPr>
            <sz val="9"/>
            <color indexed="81"/>
            <rFont val="Tahoma"/>
            <charset val="177"/>
          </rPr>
          <t xml:space="preserve">
post Kippur + post election</t>
        </r>
      </text>
    </comment>
    <comment ref="AB1" authorId="0" shapeId="0" xr:uid="{3FE70F2E-1015-4B1B-966B-16A54C533424}">
      <text>
        <r>
          <rPr>
            <b/>
            <sz val="9"/>
            <color indexed="81"/>
            <rFont val="Tahoma"/>
            <charset val="177"/>
          </rPr>
          <t>יניב שפירא:</t>
        </r>
        <r>
          <rPr>
            <sz val="9"/>
            <color indexed="81"/>
            <rFont val="Tahoma"/>
            <charset val="177"/>
          </rPr>
          <t xml:space="preserve">
post Kippur</t>
        </r>
      </text>
    </comment>
    <comment ref="AC1" authorId="0" shapeId="0" xr:uid="{25C5738E-05DC-4A1D-9A22-43776CE98783}">
      <text>
        <r>
          <rPr>
            <b/>
            <sz val="9"/>
            <color indexed="81"/>
            <rFont val="Tahoma"/>
            <charset val="177"/>
          </rPr>
          <t>יניב שפירא:</t>
        </r>
        <r>
          <rPr>
            <sz val="9"/>
            <color indexed="81"/>
            <rFont val="Tahoma"/>
            <charset val="177"/>
          </rPr>
          <t xml:space="preserve">
post Kippur</t>
        </r>
      </text>
    </comment>
    <comment ref="AF1" authorId="0" shapeId="0" xr:uid="{E8F8C734-3F5A-4C9F-82DF-07EF8610680B}">
      <text>
        <r>
          <rPr>
            <b/>
            <sz val="9"/>
            <color indexed="81"/>
            <rFont val="Tahoma"/>
            <charset val="177"/>
          </rPr>
          <t>יניב שפירא:</t>
        </r>
        <r>
          <rPr>
            <sz val="9"/>
            <color indexed="81"/>
            <rFont val="Tahoma"/>
            <charset val="177"/>
          </rPr>
          <t xml:space="preserve">
pre + post election</t>
        </r>
      </text>
    </comment>
    <comment ref="I2" authorId="0" shapeId="0" xr:uid="{0C0A49CD-2F08-4C5A-ADEC-08A073F43159}">
      <text>
        <r>
          <rPr>
            <b/>
            <sz val="9"/>
            <color indexed="81"/>
            <rFont val="Tahoma"/>
            <family val="2"/>
          </rPr>
          <t>יניב שפירא:</t>
        </r>
        <r>
          <rPr>
            <sz val="9"/>
            <color indexed="81"/>
            <rFont val="Tahoma"/>
            <family val="2"/>
          </rPr>
          <t xml:space="preserve">
1 = קדימה
2 = ליכוד
3 = עבודה
4 = לכולם באותה מידה
5 = לאף אחת לא מתאים</t>
        </r>
      </text>
    </comment>
    <comment ref="K2" authorId="0" shapeId="0" xr:uid="{9FE3750F-E740-4560-A8B6-38C5B89DC1C8}">
      <text>
        <r>
          <rPr>
            <b/>
            <sz val="9"/>
            <color indexed="81"/>
            <rFont val="Tahoma"/>
            <family val="2"/>
          </rPr>
          <t>יניב שפירא:</t>
        </r>
        <r>
          <rPr>
            <sz val="9"/>
            <color indexed="81"/>
            <rFont val="Tahoma"/>
            <family val="2"/>
          </rPr>
          <t xml:space="preserve">
1 = לעבודה
2 = לליכוד
3 = שתיהן באותה מידה
4 = אף אחת מהן</t>
        </r>
      </text>
    </comment>
    <comment ref="L2" authorId="0" shapeId="0" xr:uid="{367BEC37-2D17-4933-9702-A6D139576FEE}">
      <text>
        <r>
          <rPr>
            <b/>
            <sz val="9"/>
            <color indexed="81"/>
            <rFont val="Tahoma"/>
            <family val="2"/>
          </rPr>
          <t>יניב שפירא:</t>
        </r>
        <r>
          <rPr>
            <sz val="9"/>
            <color indexed="81"/>
            <rFont val="Tahoma"/>
            <family val="2"/>
          </rPr>
          <t xml:space="preserve">
מועמד ולא מפלגה
1 = ברק
2 = שרון
3 = שניהם
4 = אף אחד</t>
        </r>
      </text>
    </comment>
    <comment ref="M2" authorId="0" shapeId="0" xr:uid="{3FBD925C-86D0-4AC4-BAB6-0BF38EF24F73}">
      <text>
        <r>
          <rPr>
            <b/>
            <sz val="9"/>
            <color indexed="81"/>
            <rFont val="Tahoma"/>
            <family val="2"/>
          </rPr>
          <t>יניב שפירא:</t>
        </r>
        <r>
          <rPr>
            <sz val="9"/>
            <color indexed="81"/>
            <rFont val="Tahoma"/>
            <family val="2"/>
          </rPr>
          <t xml:space="preserve">
1 = העבודה
2 = הליכוד
3 = מידה שווה
4 = אף אחת מהן</t>
        </r>
      </text>
    </comment>
    <comment ref="A3" authorId="0" shapeId="0" xr:uid="{D3056A17-4F55-45F5-8BB4-FD53B44DB6F6}">
      <text>
        <r>
          <rPr>
            <b/>
            <sz val="9"/>
            <color indexed="81"/>
            <rFont val="Tahoma"/>
            <family val="2"/>
          </rPr>
          <t>יניב שפירא:</t>
        </r>
        <r>
          <rPr>
            <sz val="9"/>
            <color indexed="81"/>
            <rFont val="Tahoma"/>
            <family val="2"/>
          </rPr>
          <t xml:space="preserve">
רק למי שענה 1-3 בשאלה הקודמת</t>
        </r>
      </text>
    </comment>
    <comment ref="I3" authorId="0" shapeId="0" xr:uid="{FDAA190A-47CA-46AA-8D89-23382603D8AE}">
      <text>
        <r>
          <rPr>
            <b/>
            <sz val="9"/>
            <color indexed="81"/>
            <rFont val="Tahoma"/>
            <family val="2"/>
          </rPr>
          <t>יניב שפירא:</t>
        </r>
        <r>
          <rPr>
            <sz val="9"/>
            <color indexed="81"/>
            <rFont val="Tahoma"/>
            <family val="2"/>
          </rPr>
          <t xml:space="preserve">
1 = קדימה
2 = ליכוד
3 = עבודה</t>
        </r>
      </text>
    </comment>
    <comment ref="A5" authorId="0" shapeId="0" xr:uid="{EEFBC51D-6C09-4518-9654-55777BDC0926}">
      <text>
        <r>
          <rPr>
            <b/>
            <sz val="9"/>
            <color indexed="81"/>
            <rFont val="Tahoma"/>
            <family val="2"/>
          </rPr>
          <t>יניב שפירא:</t>
        </r>
        <r>
          <rPr>
            <sz val="9"/>
            <color indexed="81"/>
            <rFont val="Tahoma"/>
            <family val="2"/>
          </rPr>
          <t xml:space="preserve">
רק למי שענה 1-3 בשאלה הקודמת</t>
        </r>
      </text>
    </comment>
    <comment ref="A7" authorId="0" shapeId="0" xr:uid="{FA093870-F12C-49BA-A84D-1F941B091944}">
      <text>
        <r>
          <rPr>
            <b/>
            <sz val="9"/>
            <color indexed="81"/>
            <rFont val="Tahoma"/>
            <family val="2"/>
          </rPr>
          <t>יניב שפירא:</t>
        </r>
        <r>
          <rPr>
            <sz val="9"/>
            <color indexed="81"/>
            <rFont val="Tahoma"/>
            <family val="2"/>
          </rPr>
          <t xml:space="preserve">
רק למי שענה 1-3 בשאלה הקודמת</t>
        </r>
      </text>
    </comment>
    <comment ref="O8" authorId="0" shapeId="0" xr:uid="{07C2FC3C-8792-4DE0-A759-D54FE6232C05}">
      <text>
        <r>
          <rPr>
            <b/>
            <sz val="9"/>
            <color indexed="81"/>
            <rFont val="Tahoma"/>
            <charset val="177"/>
          </rPr>
          <t>יניב שפירא:</t>
        </r>
        <r>
          <rPr>
            <sz val="9"/>
            <color indexed="81"/>
            <rFont val="Tahoma"/>
            <charset val="177"/>
          </rPr>
          <t xml:space="preserve">
הניסוח:
"שתחזיר את השקט והסדר לשטחים</t>
        </r>
      </text>
    </comment>
    <comment ref="A9" authorId="0" shapeId="0" xr:uid="{58C487C5-543D-4941-BFB5-C23BB611F76C}">
      <text>
        <r>
          <rPr>
            <b/>
            <sz val="9"/>
            <color indexed="81"/>
            <rFont val="Tahoma"/>
            <family val="2"/>
          </rPr>
          <t>יניב שפירא:</t>
        </r>
        <r>
          <rPr>
            <sz val="9"/>
            <color indexed="81"/>
            <rFont val="Tahoma"/>
            <family val="2"/>
          </rPr>
          <t xml:space="preserve">
רק למי שענה 1-3 בשאלה הקודמת</t>
        </r>
      </text>
    </comment>
    <comment ref="T10" authorId="0" shapeId="0" xr:uid="{009E0C4D-61FB-409D-BB5A-013FADF2CE2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A11" authorId="0" shapeId="0" xr:uid="{671D7543-5C35-4552-9E2C-49A9563F3AAA}">
      <text>
        <r>
          <rPr>
            <b/>
            <sz val="9"/>
            <color indexed="81"/>
            <rFont val="Tahoma"/>
            <family val="2"/>
          </rPr>
          <t>יניב שפירא:</t>
        </r>
        <r>
          <rPr>
            <sz val="9"/>
            <color indexed="81"/>
            <rFont val="Tahoma"/>
            <family val="2"/>
          </rPr>
          <t xml:space="preserve">
רק למי שענה 1-3 בשאלה הקודמת</t>
        </r>
      </text>
    </comment>
    <comment ref="A13" authorId="0" shapeId="0" xr:uid="{9E1EF8A3-6CDC-4BAB-9F14-828A351B212A}">
      <text>
        <r>
          <rPr>
            <b/>
            <sz val="9"/>
            <color indexed="81"/>
            <rFont val="Tahoma"/>
            <family val="2"/>
          </rPr>
          <t>יניב שפירא:</t>
        </r>
        <r>
          <rPr>
            <sz val="9"/>
            <color indexed="81"/>
            <rFont val="Tahoma"/>
            <family val="2"/>
          </rPr>
          <t xml:space="preserve">
רק למי שענה 1-3 בשאלה הקודמת</t>
        </r>
      </text>
    </comment>
    <comment ref="A15" authorId="0" shapeId="0" xr:uid="{09BC5836-0D48-438F-8989-AE70A26C3C80}">
      <text>
        <r>
          <rPr>
            <b/>
            <sz val="9"/>
            <color indexed="81"/>
            <rFont val="Tahoma"/>
            <family val="2"/>
          </rPr>
          <t>יניב שפירא:</t>
        </r>
        <r>
          <rPr>
            <sz val="9"/>
            <color indexed="81"/>
            <rFont val="Tahoma"/>
            <family val="2"/>
          </rPr>
          <t xml:space="preserve">
רק למי שענה 1-3 בשאלה הקודמת</t>
        </r>
      </text>
    </comment>
    <comment ref="O21" authorId="0" shapeId="0" xr:uid="{5B9D8B48-4E0E-4BCE-8394-2597B33CF0D3}">
      <text>
        <r>
          <rPr>
            <b/>
            <sz val="9"/>
            <color indexed="81"/>
            <rFont val="Tahoma"/>
            <charset val="177"/>
          </rPr>
          <t>יניב שפירא:</t>
        </r>
        <r>
          <rPr>
            <sz val="9"/>
            <color indexed="81"/>
            <rFont val="Tahoma"/>
            <charset val="177"/>
          </rPr>
          <t xml:space="preserve">
1 = עבודה
2 = ליכוד
3 = מידה שווה
4 = אף אחת מהן</t>
        </r>
      </text>
    </comment>
    <comment ref="T21" authorId="0" shapeId="0" xr:uid="{4CB88D47-43A0-4E83-BD78-12D6668B797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3" authorId="0" shapeId="0" xr:uid="{DB9AEB84-C06D-424A-80B3-D68E149D18FF}">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27" authorId="0" shapeId="0" xr:uid="{7EFF85E4-5983-46D5-872B-3CBACAE29618}">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T35" authorId="0" shapeId="0" xr:uid="{6E92232D-A539-4CBE-B2E3-AD29B29E9AEA}">
      <text>
        <r>
          <rPr>
            <b/>
            <sz val="9"/>
            <color indexed="81"/>
            <rFont val="Tahoma"/>
            <charset val="177"/>
          </rPr>
          <t>יניב שפירא:</t>
        </r>
        <r>
          <rPr>
            <sz val="9"/>
            <color indexed="81"/>
            <rFont val="Tahoma"/>
            <charset val="177"/>
          </rPr>
          <t xml:space="preserve">
1 = מתאים הרבה יותר למערך
2 = מתאים יותר למערך
3 = במידה שווה לשתיהן
4 = מתאים יותר לליכוד
5 = מתאים הרבה יותר לליכוד
6 = לא מתאים לאף אחת מהן</t>
        </r>
      </text>
    </comment>
    <comment ref="F43" authorId="0" shapeId="0" xr:uid="{7699524E-FF87-454D-968E-16193A89401C}">
      <text>
        <r>
          <rPr>
            <b/>
            <sz val="9"/>
            <color indexed="81"/>
            <rFont val="Tahoma"/>
            <family val="2"/>
          </rPr>
          <t>יניב שפירא:</t>
        </r>
        <r>
          <rPr>
            <sz val="9"/>
            <color indexed="81"/>
            <rFont val="Tahoma"/>
            <family val="2"/>
          </rPr>
          <t xml:space="preserve">
1 = בני גנץ
2 = בנימין נתניהו
3 = שניהם
4 = אף אחד מהם</t>
        </r>
      </text>
    </comment>
    <comment ref="G43" authorId="0" shapeId="0" xr:uid="{6A24012A-A915-4AB2-8194-DB5FD8DDC6AC}">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3" authorId="0" shapeId="0" xr:uid="{224B8D91-920B-43E9-BAB3-E6CD598A6373}">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I43" authorId="0" shapeId="0" xr:uid="{F4209B81-3301-4E5E-8E88-2DAB2BC8276C}">
      <text>
        <r>
          <rPr>
            <b/>
            <sz val="9"/>
            <color indexed="81"/>
            <rFont val="Tahoma"/>
            <family val="2"/>
          </rPr>
          <t>יניב שפירא:</t>
        </r>
        <r>
          <rPr>
            <sz val="9"/>
            <color indexed="81"/>
            <rFont val="Tahoma"/>
            <family val="2"/>
          </rPr>
          <t xml:space="preserve">
1 = ציפי לבני
2 = בנימין נתניהו
3 = אהוד ברק
4 = כולם
5 = אף אחד</t>
        </r>
      </text>
    </comment>
    <comment ref="J43" authorId="0" shapeId="0" xr:uid="{C6D3DC0B-4CBB-4402-8337-386132D6D260}">
      <text>
        <r>
          <rPr>
            <b/>
            <sz val="9"/>
            <color indexed="81"/>
            <rFont val="Tahoma"/>
            <family val="2"/>
          </rPr>
          <t>יניב שפירא:</t>
        </r>
        <r>
          <rPr>
            <sz val="9"/>
            <color indexed="81"/>
            <rFont val="Tahoma"/>
            <family val="2"/>
          </rPr>
          <t xml:space="preserve">
1 = אהוד אולמרט
2 = בנימין נתניהו
3 = עמיר פרץ
4 = לכולם
5 = אף אחד מהם</t>
        </r>
      </text>
    </comment>
    <comment ref="K43" authorId="0" shapeId="0" xr:uid="{252903FE-F14F-4052-BC07-4D8A9F85D9FA}">
      <text>
        <r>
          <rPr>
            <b/>
            <sz val="9"/>
            <color indexed="81"/>
            <rFont val="Tahoma"/>
            <family val="2"/>
          </rPr>
          <t>יניב שפירא:</t>
        </r>
        <r>
          <rPr>
            <sz val="9"/>
            <color indexed="81"/>
            <rFont val="Tahoma"/>
            <family val="2"/>
          </rPr>
          <t xml:space="preserve">
1 = שרון
2 = מצנע
3 = שניהם
4 = אף אחד מהם</t>
        </r>
      </text>
    </comment>
    <comment ref="M43" authorId="0" shapeId="0" xr:uid="{89F1130B-E932-4257-AEB6-E81E425C61F9}">
      <text>
        <r>
          <rPr>
            <b/>
            <sz val="9"/>
            <color indexed="81"/>
            <rFont val="Tahoma"/>
            <family val="2"/>
          </rPr>
          <t>יניב שפירא:</t>
        </r>
        <r>
          <rPr>
            <sz val="9"/>
            <color indexed="81"/>
            <rFont val="Tahoma"/>
            <family val="2"/>
          </rPr>
          <t xml:space="preserve">
1 = נתניהו
2 = ברק
3 = מדרכי
4 = שלושתם
5 = אף אחד מהם</t>
        </r>
      </text>
    </comment>
    <comment ref="N43" authorId="0" shapeId="0" xr:uid="{67F8D5C6-5811-4802-92DA-0437542F8955}">
      <text>
        <r>
          <rPr>
            <b/>
            <sz val="9"/>
            <color indexed="81"/>
            <rFont val="Tahoma"/>
            <family val="2"/>
          </rPr>
          <t>יניב שפירא:</t>
        </r>
        <r>
          <rPr>
            <sz val="9"/>
            <color indexed="81"/>
            <rFont val="Tahoma"/>
            <family val="2"/>
          </rPr>
          <t xml:space="preserve">
1 = פרס
2 = נתניהו
3 = במידה שווה
4 = אף אחד</t>
        </r>
      </text>
    </comment>
    <comment ref="O43" authorId="0" shapeId="0" xr:uid="{EEF22594-7210-4A16-8B71-27B48F46B96E}">
      <text>
        <r>
          <rPr>
            <b/>
            <sz val="9"/>
            <color indexed="81"/>
            <rFont val="Tahoma"/>
            <family val="2"/>
          </rPr>
          <t>יניב שפירא:</t>
        </r>
        <r>
          <rPr>
            <sz val="9"/>
            <color indexed="81"/>
            <rFont val="Tahoma"/>
            <family val="2"/>
          </rPr>
          <t xml:space="preserve">
1 = שמיר
2 = רבין
3 = שניהם באותה מידה
4 = אף אחד מהם</t>
        </r>
      </text>
    </comment>
    <comment ref="F45" authorId="0" shapeId="0" xr:uid="{C0755F85-2358-47A9-9E49-0D7E69A9A9B5}">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5" authorId="0" shapeId="0" xr:uid="{4A750A7B-17E1-470F-ABD5-1F98D31D36C7}">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5" authorId="0" shapeId="0" xr:uid="{A0204A6F-6838-49CF-92F2-C4C04E96D7A9}">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F46" authorId="0" shapeId="0" xr:uid="{0ED456AD-41B0-4998-B2BC-95B968F5507B}">
      <text>
        <r>
          <rPr>
            <b/>
            <sz val="9"/>
            <color indexed="81"/>
            <rFont val="Tahoma"/>
            <charset val="177"/>
          </rPr>
          <t>יניב שפירא:</t>
        </r>
        <r>
          <rPr>
            <sz val="9"/>
            <color indexed="81"/>
            <rFont val="Tahoma"/>
            <charset val="177"/>
          </rPr>
          <t xml:space="preserve">
1 = בני גנץ
2 = בנימין נתניהו
3 = שניהם
4 = אף אחד מהם</t>
        </r>
      </text>
    </comment>
    <comment ref="G46" authorId="0" shapeId="0" xr:uid="{EC4C11D8-CB3C-49C4-93A2-7A8B1BA7DE02}">
      <text>
        <r>
          <rPr>
            <b/>
            <sz val="9"/>
            <color indexed="81"/>
            <rFont val="Tahoma"/>
            <family val="2"/>
          </rPr>
          <t>יניב שפירא:</t>
        </r>
        <r>
          <rPr>
            <sz val="9"/>
            <color indexed="81"/>
            <rFont val="Tahoma"/>
            <family val="2"/>
          </rPr>
          <t xml:space="preserve">
1 = יצחק הרצוג
2 = בנימין נתניהו
3 = שניהם
4 = אף אחד מהם</t>
        </r>
      </text>
    </comment>
    <comment ref="H46" authorId="0" shapeId="0" xr:uid="{B57B1661-B0CC-44C9-A82E-3243BA1B4CA2}">
      <text>
        <r>
          <rPr>
            <b/>
            <sz val="9"/>
            <color indexed="81"/>
            <rFont val="Tahoma"/>
            <family val="2"/>
          </rPr>
          <t>יניב שפירא:</t>
        </r>
        <r>
          <rPr>
            <sz val="9"/>
            <color indexed="81"/>
            <rFont val="Tahoma"/>
            <family val="2"/>
          </rPr>
          <t xml:space="preserve">
1 = בנימין נתניהו
2 = ציפי לבני
3 = שלי יחימוביץ
4 = כולם
5 = אף אחד מהם</t>
        </r>
      </text>
    </comment>
    <comment ref="L47" authorId="0" shapeId="0" xr:uid="{8B9DBD48-FBD5-484A-887A-EC4659B6CE43}">
      <text>
        <r>
          <rPr>
            <b/>
            <sz val="9"/>
            <color indexed="81"/>
            <rFont val="Tahoma"/>
            <family val="2"/>
          </rPr>
          <t>יניב שפירא:</t>
        </r>
        <r>
          <rPr>
            <sz val="9"/>
            <color indexed="81"/>
            <rFont val="Tahoma"/>
            <family val="2"/>
          </rPr>
          <t xml:space="preserve">
1 = ברק
2 = שרון
3 = לשניהם
4 = לאף אחד מהם</t>
        </r>
      </text>
    </comment>
    <comment ref="S68" authorId="0" shapeId="0" xr:uid="{4637831F-9DDF-40C3-A35C-B8AA169ACC2C}">
      <text>
        <r>
          <rPr>
            <b/>
            <sz val="9"/>
            <color indexed="81"/>
            <rFont val="Tahoma"/>
            <family val="2"/>
          </rPr>
          <t>יניב שפירא:</t>
        </r>
        <r>
          <rPr>
            <sz val="9"/>
            <color indexed="81"/>
            <rFont val="Tahoma"/>
            <family val="2"/>
          </rPr>
          <t xml:space="preserve">
1 = צעירה
7 = זקנה</t>
        </r>
      </text>
    </comment>
    <comment ref="S69" authorId="0" shapeId="0" xr:uid="{08E7BC9A-7314-48E0-B6C8-D4965A7DF9DA}">
      <text>
        <r>
          <rPr>
            <b/>
            <sz val="9"/>
            <color indexed="81"/>
            <rFont val="Tahoma"/>
            <family val="2"/>
          </rPr>
          <t>יניב שפירא:</t>
        </r>
        <r>
          <rPr>
            <sz val="9"/>
            <color indexed="81"/>
            <rFont val="Tahoma"/>
            <family val="2"/>
          </rPr>
          <t xml:space="preserve">
1 = חזקה
7 = חלשה</t>
        </r>
      </text>
    </comment>
    <comment ref="AE69" authorId="0" shapeId="0" xr:uid="{3E8C5637-E938-43A9-AEDA-0A4DD567D71B}">
      <text>
        <r>
          <rPr>
            <b/>
            <sz val="9"/>
            <color indexed="81"/>
            <rFont val="Tahoma"/>
            <charset val="177"/>
          </rPr>
          <t>יניב שפירא:</t>
        </r>
        <r>
          <rPr>
            <sz val="9"/>
            <color indexed="81"/>
            <rFont val="Tahoma"/>
            <charset val="177"/>
          </rPr>
          <t xml:space="preserve">
1 = חזקה
7 = חלשה</t>
        </r>
      </text>
    </comment>
    <comment ref="S70" authorId="0" shapeId="0" xr:uid="{CEEA0919-60E4-4F8E-BAA9-161AD910A6AD}">
      <text>
        <r>
          <rPr>
            <b/>
            <sz val="9"/>
            <color indexed="81"/>
            <rFont val="Tahoma"/>
            <family val="2"/>
          </rPr>
          <t>יניב שפירא:</t>
        </r>
        <r>
          <rPr>
            <sz val="9"/>
            <color indexed="81"/>
            <rFont val="Tahoma"/>
            <family val="2"/>
          </rPr>
          <t xml:space="preserve">
1 = ימנית
7 = שמאלית</t>
        </r>
      </text>
    </comment>
    <comment ref="AE70" authorId="0" shapeId="0" xr:uid="{0F1D7337-19AF-47AA-BB80-C2D3728B4D0F}">
      <text>
        <r>
          <rPr>
            <b/>
            <sz val="9"/>
            <color indexed="81"/>
            <rFont val="Tahoma"/>
            <charset val="177"/>
          </rPr>
          <t>יניב שפירא:</t>
        </r>
        <r>
          <rPr>
            <sz val="9"/>
            <color indexed="81"/>
            <rFont val="Tahoma"/>
            <charset val="177"/>
          </rPr>
          <t xml:space="preserve">
1 = ימנית
7 = שמאלית</t>
        </r>
      </text>
    </comment>
    <comment ref="S71" authorId="0" shapeId="0" xr:uid="{3C1AB299-95C5-424A-88B0-B1531D2248CC}">
      <text>
        <r>
          <rPr>
            <b/>
            <sz val="9"/>
            <color indexed="81"/>
            <rFont val="Tahoma"/>
            <family val="2"/>
          </rPr>
          <t>יניב שפירא:</t>
        </r>
        <r>
          <rPr>
            <sz val="9"/>
            <color indexed="81"/>
            <rFont val="Tahoma"/>
            <family val="2"/>
          </rPr>
          <t xml:space="preserve">
1 = מיושנת
7 = חדשנית</t>
        </r>
      </text>
    </comment>
    <comment ref="AE71" authorId="0" shapeId="0" xr:uid="{FFF3A306-86B7-45A7-B9E8-2104CA4D6835}">
      <text>
        <r>
          <rPr>
            <b/>
            <sz val="9"/>
            <color indexed="81"/>
            <rFont val="Tahoma"/>
            <charset val="177"/>
          </rPr>
          <t>יניב שפירא:</t>
        </r>
        <r>
          <rPr>
            <sz val="9"/>
            <color indexed="81"/>
            <rFont val="Tahoma"/>
            <charset val="177"/>
          </rPr>
          <t xml:space="preserve">
1 = מיושנת
7 = חדשנית</t>
        </r>
      </text>
    </comment>
    <comment ref="S72" authorId="0" shapeId="0" xr:uid="{22AF6809-3763-407A-A894-894650F9424D}">
      <text>
        <r>
          <rPr>
            <b/>
            <sz val="9"/>
            <color indexed="81"/>
            <rFont val="Tahoma"/>
            <family val="2"/>
          </rPr>
          <t>יניב שפירא:</t>
        </r>
        <r>
          <rPr>
            <sz val="9"/>
            <color indexed="81"/>
            <rFont val="Tahoma"/>
            <family val="2"/>
          </rPr>
          <t xml:space="preserve">
1 = מעמד בינוני
2 = מעמד פועלים</t>
        </r>
      </text>
    </comment>
    <comment ref="AE72" authorId="0" shapeId="0" xr:uid="{45600E92-4AF2-49A5-8645-0382C20C2362}">
      <text>
        <r>
          <rPr>
            <b/>
            <sz val="9"/>
            <color indexed="81"/>
            <rFont val="Tahoma"/>
            <charset val="177"/>
          </rPr>
          <t>יניב שפירא:</t>
        </r>
        <r>
          <rPr>
            <sz val="9"/>
            <color indexed="81"/>
            <rFont val="Tahoma"/>
            <charset val="177"/>
          </rPr>
          <t xml:space="preserve">
1 = מעמד בינוני
7 = מעמד פועלים</t>
        </r>
      </text>
    </comment>
    <comment ref="S73" authorId="0" shapeId="0" xr:uid="{9A4C01E2-FA07-43A6-9FA1-FF00DD242396}">
      <text>
        <r>
          <rPr>
            <b/>
            <sz val="9"/>
            <color indexed="81"/>
            <rFont val="Tahoma"/>
            <family val="2"/>
          </rPr>
          <t>יניב שפירא:</t>
        </r>
        <r>
          <rPr>
            <sz val="9"/>
            <color indexed="81"/>
            <rFont val="Tahoma"/>
            <family val="2"/>
          </rPr>
          <t xml:space="preserve">
1 = ספרדית
7 = אשכנזית</t>
        </r>
      </text>
    </comment>
    <comment ref="S74" authorId="0" shapeId="0" xr:uid="{9192C18E-B9FF-4400-9813-003E3851C3F2}">
      <text>
        <r>
          <rPr>
            <b/>
            <sz val="9"/>
            <color indexed="81"/>
            <rFont val="Tahoma"/>
            <family val="2"/>
          </rPr>
          <t>יניב שפירא:</t>
        </r>
        <r>
          <rPr>
            <sz val="9"/>
            <color indexed="81"/>
            <rFont val="Tahoma"/>
            <family val="2"/>
          </rPr>
          <t xml:space="preserve">
1 = דואגת בעיקר לעצמה
7 = דואגת בעיקר לאזרחים</t>
        </r>
      </text>
    </comment>
    <comment ref="S75" authorId="0" shapeId="0" xr:uid="{806C0710-CD76-4174-9374-B8472FB65C36}">
      <text>
        <r>
          <rPr>
            <b/>
            <sz val="9"/>
            <color indexed="81"/>
            <rFont val="Tahoma"/>
            <family val="2"/>
          </rPr>
          <t>יניב שפירא:</t>
        </r>
        <r>
          <rPr>
            <sz val="9"/>
            <color indexed="81"/>
            <rFont val="Tahoma"/>
            <family val="2"/>
          </rPr>
          <t xml:space="preserve">
1 = חסרת ניסיון
7 = בעלת ניסיון</t>
        </r>
      </text>
    </comment>
    <comment ref="AE75" authorId="0" shapeId="0" xr:uid="{039009E7-C706-47CE-9CBD-3D1C4A02A733}">
      <text>
        <r>
          <rPr>
            <b/>
            <sz val="9"/>
            <color indexed="81"/>
            <rFont val="Tahoma"/>
            <charset val="177"/>
          </rPr>
          <t>יניב שפירא:</t>
        </r>
        <r>
          <rPr>
            <sz val="9"/>
            <color indexed="81"/>
            <rFont val="Tahoma"/>
            <charset val="177"/>
          </rPr>
          <t xml:space="preserve">
1 = חסרת ניסיון
7 = בעלת ניסיון</t>
        </r>
      </text>
    </comment>
    <comment ref="S76" authorId="0" shapeId="0" xr:uid="{AA6C75B9-85AD-4E25-9883-335AECDD5A12}">
      <text>
        <r>
          <rPr>
            <b/>
            <sz val="9"/>
            <color indexed="81"/>
            <rFont val="Tahoma"/>
            <family val="2"/>
          </rPr>
          <t>יניב שפירא:</t>
        </r>
        <r>
          <rPr>
            <sz val="9"/>
            <color indexed="81"/>
            <rFont val="Tahoma"/>
            <family val="2"/>
          </rPr>
          <t xml:space="preserve">
1 = יונית
7 = ניצית</t>
        </r>
      </text>
    </comment>
    <comment ref="S77" authorId="0" shapeId="0" xr:uid="{30179F6E-83F9-4BC0-9F86-551E36C66D05}">
      <text>
        <r>
          <rPr>
            <b/>
            <sz val="9"/>
            <color indexed="81"/>
            <rFont val="Tahoma"/>
            <family val="2"/>
          </rPr>
          <t>יניב שפירא:</t>
        </r>
        <r>
          <rPr>
            <sz val="9"/>
            <color indexed="81"/>
            <rFont val="Tahoma"/>
            <family val="2"/>
          </rPr>
          <t xml:space="preserve">
1 = צעירה
7 = זקנה</t>
        </r>
      </text>
    </comment>
    <comment ref="S78" authorId="0" shapeId="0" xr:uid="{24F86689-E340-4B62-98D7-C83884D877CC}">
      <text>
        <r>
          <rPr>
            <b/>
            <sz val="9"/>
            <color indexed="81"/>
            <rFont val="Tahoma"/>
            <family val="2"/>
          </rPr>
          <t>יניב שפירא:</t>
        </r>
        <r>
          <rPr>
            <sz val="9"/>
            <color indexed="81"/>
            <rFont val="Tahoma"/>
            <family val="2"/>
          </rPr>
          <t xml:space="preserve">
1 = חזקה
7 = חלשה</t>
        </r>
      </text>
    </comment>
    <comment ref="S79" authorId="0" shapeId="0" xr:uid="{A58C7902-6A96-43C7-92D5-39BD07EA109B}">
      <text>
        <r>
          <rPr>
            <b/>
            <sz val="9"/>
            <color indexed="81"/>
            <rFont val="Tahoma"/>
            <family val="2"/>
          </rPr>
          <t>יניב שפירא:</t>
        </r>
        <r>
          <rPr>
            <sz val="9"/>
            <color indexed="81"/>
            <rFont val="Tahoma"/>
            <family val="2"/>
          </rPr>
          <t xml:space="preserve">
1 = ימנית
7 = שמאלית</t>
        </r>
      </text>
    </comment>
    <comment ref="S80" authorId="0" shapeId="0" xr:uid="{65890BA4-7602-4D8B-A756-0BBD81E00CFE}">
      <text>
        <r>
          <rPr>
            <b/>
            <sz val="9"/>
            <color indexed="81"/>
            <rFont val="Tahoma"/>
            <family val="2"/>
          </rPr>
          <t>יניב שפירא:</t>
        </r>
        <r>
          <rPr>
            <sz val="9"/>
            <color indexed="81"/>
            <rFont val="Tahoma"/>
            <family val="2"/>
          </rPr>
          <t xml:space="preserve">
1 = מיושנת
7 = חדשנית</t>
        </r>
      </text>
    </comment>
    <comment ref="S81" authorId="0" shapeId="0" xr:uid="{CF4D000A-4EF2-475F-99C9-F674ACFB3714}">
      <text>
        <r>
          <rPr>
            <b/>
            <sz val="9"/>
            <color indexed="81"/>
            <rFont val="Tahoma"/>
            <family val="2"/>
          </rPr>
          <t>יניב שפירא:</t>
        </r>
        <r>
          <rPr>
            <sz val="9"/>
            <color indexed="81"/>
            <rFont val="Tahoma"/>
            <family val="2"/>
          </rPr>
          <t xml:space="preserve">
1 = מעמד ביניים
7 = מעמד פועלים</t>
        </r>
      </text>
    </comment>
    <comment ref="S82" authorId="0" shapeId="0" xr:uid="{921D7C6D-A169-41B1-A5CE-EC3B06532E05}">
      <text>
        <r>
          <rPr>
            <b/>
            <sz val="9"/>
            <color indexed="81"/>
            <rFont val="Tahoma"/>
            <family val="2"/>
          </rPr>
          <t>יניב שפירא:</t>
        </r>
        <r>
          <rPr>
            <sz val="9"/>
            <color indexed="81"/>
            <rFont val="Tahoma"/>
            <family val="2"/>
          </rPr>
          <t xml:space="preserve">
1 = ספרדית
7 = אשכנזית</t>
        </r>
      </text>
    </comment>
    <comment ref="S83" authorId="0" shapeId="0" xr:uid="{CDEE028F-026F-4AA0-A48D-6883661B7E77}">
      <text>
        <r>
          <rPr>
            <b/>
            <sz val="9"/>
            <color indexed="81"/>
            <rFont val="Tahoma"/>
            <family val="2"/>
          </rPr>
          <t>יניב שפירא:</t>
        </r>
        <r>
          <rPr>
            <sz val="9"/>
            <color indexed="81"/>
            <rFont val="Tahoma"/>
            <family val="2"/>
          </rPr>
          <t xml:space="preserve">
1 = דואגת בעיקר לעצמה
7 = דואגת בעיקר לאזרח</t>
        </r>
      </text>
    </comment>
    <comment ref="S84" authorId="0" shapeId="0" xr:uid="{FACB785C-0716-44FA-AAE8-09E2E81FE6ED}">
      <text>
        <r>
          <rPr>
            <b/>
            <sz val="9"/>
            <color indexed="81"/>
            <rFont val="Tahoma"/>
            <family val="2"/>
          </rPr>
          <t>יניב שפירא:</t>
        </r>
        <r>
          <rPr>
            <sz val="9"/>
            <color indexed="81"/>
            <rFont val="Tahoma"/>
            <family val="2"/>
          </rPr>
          <t xml:space="preserve">
1 = ישרה
7 = מושחתת</t>
        </r>
      </text>
    </comment>
    <comment ref="S85" authorId="0" shapeId="0" xr:uid="{D9EAC101-0395-4313-ADB9-11B58E4E7F14}">
      <text>
        <r>
          <rPr>
            <b/>
            <sz val="9"/>
            <color indexed="81"/>
            <rFont val="Tahoma"/>
            <family val="2"/>
          </rPr>
          <t>יניב שפירא:</t>
        </r>
        <r>
          <rPr>
            <sz val="9"/>
            <color indexed="81"/>
            <rFont val="Tahoma"/>
            <family val="2"/>
          </rPr>
          <t xml:space="preserve">
1 = חסרת ניסיון
7 = בעלת ניסיון</t>
        </r>
      </text>
    </comment>
    <comment ref="S86" authorId="0" shapeId="0" xr:uid="{7DAE47D1-38AB-4980-A2F9-B527431D539D}">
      <text>
        <r>
          <rPr>
            <b/>
            <sz val="9"/>
            <color indexed="81"/>
            <rFont val="Tahoma"/>
            <family val="2"/>
          </rPr>
          <t>יניב שפירא:</t>
        </r>
        <r>
          <rPr>
            <sz val="9"/>
            <color indexed="81"/>
            <rFont val="Tahoma"/>
            <family val="2"/>
          </rPr>
          <t xml:space="preserve">
1 = בלתי אמינה
7 = אמינה</t>
        </r>
      </text>
    </comment>
    <comment ref="S87" authorId="0" shapeId="0" xr:uid="{530DA277-27DD-4995-94DD-A62B480A399C}">
      <text>
        <r>
          <rPr>
            <b/>
            <sz val="9"/>
            <color indexed="81"/>
            <rFont val="Tahoma"/>
            <family val="2"/>
          </rPr>
          <t>יניב שפירא:</t>
        </r>
        <r>
          <rPr>
            <sz val="9"/>
            <color indexed="81"/>
            <rFont val="Tahoma"/>
            <family val="2"/>
          </rPr>
          <t xml:space="preserve">
1 = יונית
7 = ניצית</t>
        </r>
      </text>
    </comment>
    <comment ref="T99" authorId="0" shapeId="0" xr:uid="{E0199E1E-046A-480A-BB43-2B04396D8488}">
      <text>
        <r>
          <rPr>
            <b/>
            <sz val="9"/>
            <color indexed="81"/>
            <rFont val="Tahoma"/>
            <family val="2"/>
          </rPr>
          <t>יניב שפירא:</t>
        </r>
        <r>
          <rPr>
            <sz val="9"/>
            <color indexed="81"/>
            <rFont val="Tahoma"/>
            <family val="2"/>
          </rPr>
          <t xml:space="preserve">
סולם 1-7
1 = חיובית
7 = שלילית</t>
        </r>
      </text>
    </comment>
    <comment ref="T100" authorId="0" shapeId="0" xr:uid="{0CCD6D0A-0FE6-439E-B09E-AB0DA311355C}">
      <text>
        <r>
          <rPr>
            <b/>
            <sz val="9"/>
            <color indexed="81"/>
            <rFont val="Tahoma"/>
            <family val="2"/>
          </rPr>
          <t>יניב שפירא:</t>
        </r>
        <r>
          <rPr>
            <sz val="9"/>
            <color indexed="81"/>
            <rFont val="Tahoma"/>
            <family val="2"/>
          </rPr>
          <t xml:space="preserve">
סולם 1-7
1 = קצרה
7 = ארוכה</t>
        </r>
      </text>
    </comment>
    <comment ref="T101" authorId="0" shapeId="0" xr:uid="{4638BEA0-2418-450B-B7A2-649E8BE23C5F}">
      <text>
        <r>
          <rPr>
            <b/>
            <sz val="9"/>
            <color indexed="81"/>
            <rFont val="Tahoma"/>
            <family val="2"/>
          </rPr>
          <t>יניב שפירא:</t>
        </r>
        <r>
          <rPr>
            <sz val="9"/>
            <color indexed="81"/>
            <rFont val="Tahoma"/>
            <family val="2"/>
          </rPr>
          <t xml:space="preserve">
סולם 1-7
1 = חינוכית
7 = בלתי חינוגית</t>
        </r>
      </text>
    </comment>
    <comment ref="T102" authorId="0" shapeId="0" xr:uid="{5C88FD7A-C1A2-46F8-B1EE-51D0F002D676}">
      <text>
        <r>
          <rPr>
            <b/>
            <sz val="9"/>
            <color indexed="81"/>
            <rFont val="Tahoma"/>
            <family val="2"/>
          </rPr>
          <t>יניב שפירא:</t>
        </r>
        <r>
          <rPr>
            <sz val="9"/>
            <color indexed="81"/>
            <rFont val="Tahoma"/>
            <family val="2"/>
          </rPr>
          <t xml:space="preserve">
סולם 1-7
1 = עוזרת להחליט
7 = לא עוזרת להחליט</t>
        </r>
      </text>
    </comment>
    <comment ref="T103" authorId="0" shapeId="0" xr:uid="{3ED7DC07-E89E-4E8A-BF00-67A335328B7F}">
      <text>
        <r>
          <rPr>
            <b/>
            <sz val="9"/>
            <color indexed="81"/>
            <rFont val="Tahoma"/>
            <family val="2"/>
          </rPr>
          <t>יניב שפירא:</t>
        </r>
        <r>
          <rPr>
            <sz val="9"/>
            <color indexed="81"/>
            <rFont val="Tahoma"/>
            <family val="2"/>
          </rPr>
          <t xml:space="preserve">
סולם 1-7
1 = עוזרת להבין
7 = לא עוזר להבין</t>
        </r>
      </text>
    </comment>
    <comment ref="T104" authorId="0" shapeId="0" xr:uid="{CD80DBCF-17AF-4232-A7B4-397440FC64FF}">
      <text>
        <r>
          <rPr>
            <b/>
            <sz val="9"/>
            <color indexed="81"/>
            <rFont val="Tahoma"/>
            <family val="2"/>
          </rPr>
          <t>יניב שפירא:</t>
        </r>
        <r>
          <rPr>
            <sz val="9"/>
            <color indexed="81"/>
            <rFont val="Tahoma"/>
            <family val="2"/>
          </rPr>
          <t xml:space="preserve">
סולם 1-7
1 = עוזרת להכיר
7 = לא עוזרת להכיר</t>
        </r>
      </text>
    </comment>
    <comment ref="T105" authorId="0" shapeId="0" xr:uid="{8A377525-1122-490A-AF33-B1A18D8D36EF}">
      <text>
        <r>
          <rPr>
            <b/>
            <sz val="9"/>
            <color indexed="81"/>
            <rFont val="Tahoma"/>
            <family val="2"/>
          </rPr>
          <t>יניב שפירא:</t>
        </r>
        <r>
          <rPr>
            <sz val="9"/>
            <color indexed="81"/>
            <rFont val="Tahoma"/>
            <family val="2"/>
          </rPr>
          <t xml:space="preserve">
סולם 1-7
1 = מאחדת
7 = מפוררת</t>
        </r>
      </text>
    </comment>
    <comment ref="T106" authorId="0" shapeId="0" xr:uid="{012609C8-6128-4EC8-8A46-58E24347087A}">
      <text>
        <r>
          <rPr>
            <b/>
            <sz val="9"/>
            <color indexed="81"/>
            <rFont val="Tahoma"/>
            <family val="2"/>
          </rPr>
          <t>יניב שפירא:</t>
        </r>
        <r>
          <rPr>
            <sz val="9"/>
            <color indexed="81"/>
            <rFont val="Tahoma"/>
            <family val="2"/>
          </rPr>
          <t xml:space="preserve">
סולם 1-7
1 = עוזרת להכיר
7 = לא עוזרת להכיר</t>
        </r>
      </text>
    </comment>
    <comment ref="T107" authorId="0" shapeId="0" xr:uid="{58B0AB86-35B1-4B30-B88E-9EF5688B9291}">
      <text>
        <r>
          <rPr>
            <b/>
            <sz val="9"/>
            <color indexed="81"/>
            <rFont val="Tahoma"/>
            <family val="2"/>
          </rPr>
          <t>יניב שפירא:</t>
        </r>
        <r>
          <rPr>
            <sz val="9"/>
            <color indexed="81"/>
            <rFont val="Tahoma"/>
            <family val="2"/>
          </rPr>
          <t xml:space="preserve">
סולם 1-7
1 = נותנת תחושת שייכות
7 = לא נותנת</t>
        </r>
      </text>
    </comment>
    <comment ref="T108" authorId="0" shapeId="0" xr:uid="{189C70DF-9BB1-4D16-8976-B893E59CB225}">
      <text>
        <r>
          <rPr>
            <b/>
            <sz val="9"/>
            <color indexed="81"/>
            <rFont val="Tahoma"/>
            <family val="2"/>
          </rPr>
          <t>יניב שפירא:</t>
        </r>
        <r>
          <rPr>
            <sz val="9"/>
            <color indexed="81"/>
            <rFont val="Tahoma"/>
            <family val="2"/>
          </rPr>
          <t xml:space="preserve">
סולם 1-7
1 = בזבזנית
7 = שווה את ההשקעה</t>
        </r>
      </text>
    </comment>
    <comment ref="T109" authorId="0" shapeId="0" xr:uid="{8F90AF09-E9A6-40F1-A0DF-17CA212D3175}">
      <text>
        <r>
          <rPr>
            <b/>
            <sz val="9"/>
            <color indexed="81"/>
            <rFont val="Tahoma"/>
            <family val="2"/>
          </rPr>
          <t>יניב שפירא:</t>
        </r>
        <r>
          <rPr>
            <sz val="9"/>
            <color indexed="81"/>
            <rFont val="Tahoma"/>
            <family val="2"/>
          </rPr>
          <t xml:space="preserve">
סולם 1-7
1 = גורלית
7 = לא משנה הרבה</t>
        </r>
      </text>
    </comment>
    <comment ref="T110" authorId="0" shapeId="0" xr:uid="{AC205E1F-8EBE-473B-BBE9-49DF5BAB08D7}">
      <text>
        <r>
          <rPr>
            <b/>
            <sz val="9"/>
            <color indexed="81"/>
            <rFont val="Tahoma"/>
            <family val="2"/>
          </rPr>
          <t>יניב שפירא:</t>
        </r>
        <r>
          <rPr>
            <sz val="9"/>
            <color indexed="81"/>
            <rFont val="Tahoma"/>
            <family val="2"/>
          </rPr>
          <t xml:space="preserve">
סולם 1-7
1 = חשובה
7 = לא חשובה</t>
        </r>
      </text>
    </comment>
    <comment ref="T111" authorId="0" shapeId="0" xr:uid="{DC97D42A-41E0-42F0-9F01-D2A376C4464F}">
      <text>
        <r>
          <rPr>
            <b/>
            <sz val="9"/>
            <color indexed="81"/>
            <rFont val="Tahoma"/>
            <charset val="177"/>
          </rPr>
          <t>יניב שפירא:</t>
        </r>
        <r>
          <rPr>
            <sz val="9"/>
            <color indexed="81"/>
            <rFont val="Tahoma"/>
            <charset val="177"/>
          </rPr>
          <t xml:space="preserve">
סולם 1-7
1 = חזקה
7 = חלשה</t>
        </r>
      </text>
    </comment>
    <comment ref="T112" authorId="0" shapeId="0" xr:uid="{345DE675-F56E-4D62-8E69-166C2DD506D6}">
      <text>
        <r>
          <rPr>
            <b/>
            <sz val="9"/>
            <color indexed="81"/>
            <rFont val="Tahoma"/>
            <charset val="177"/>
          </rPr>
          <t>יניב שפירא:</t>
        </r>
        <r>
          <rPr>
            <sz val="9"/>
            <color indexed="81"/>
            <rFont val="Tahoma"/>
            <charset val="177"/>
          </rPr>
          <t xml:space="preserve">
סולם 1-7
1 = נותנת תקווה
7 = נותנת ייאוש</t>
        </r>
      </text>
    </comment>
    <comment ref="T113" authorId="0" shapeId="0" xr:uid="{66A94BC7-8695-4ABE-B330-3B5AB50FCD90}">
      <text>
        <r>
          <rPr>
            <b/>
            <sz val="9"/>
            <color indexed="81"/>
            <rFont val="Tahoma"/>
            <charset val="177"/>
          </rPr>
          <t>יניב שפירא:</t>
        </r>
        <r>
          <rPr>
            <sz val="9"/>
            <color indexed="81"/>
            <rFont val="Tahoma"/>
            <charset val="177"/>
          </rPr>
          <t xml:space="preserve">
סולם 1-7
1 = צודקת
7 = לא צודקת</t>
        </r>
      </text>
    </comment>
    <comment ref="T114" authorId="0" shapeId="0" xr:uid="{1513BD05-40E7-4AB3-BBFA-B21BBADC650E}">
      <text>
        <r>
          <rPr>
            <b/>
            <sz val="9"/>
            <color indexed="81"/>
            <rFont val="Tahoma"/>
            <charset val="177"/>
          </rPr>
          <t>יניב שפירא:</t>
        </r>
        <r>
          <rPr>
            <sz val="9"/>
            <color indexed="81"/>
            <rFont val="Tahoma"/>
            <charset val="177"/>
          </rPr>
          <t xml:space="preserve">
סולם 1-7
1 = רוצה לחיות
7 = לא רוצה לחיות בו</t>
        </r>
      </text>
    </comment>
    <comment ref="T115" authorId="0" shapeId="0" xr:uid="{5B57F0AE-A5C7-4FF7-BC9A-CFD1F0977304}">
      <text>
        <r>
          <rPr>
            <b/>
            <sz val="9"/>
            <color indexed="81"/>
            <rFont val="Tahoma"/>
            <charset val="177"/>
          </rPr>
          <t>יניב שפירא:</t>
        </r>
        <r>
          <rPr>
            <sz val="9"/>
            <color indexed="81"/>
            <rFont val="Tahoma"/>
            <charset val="177"/>
          </rPr>
          <t xml:space="preserve">
סולם 1-7
1 = חייבים לעלות
7 = לא חייבים לעלות</t>
        </r>
      </text>
    </comment>
    <comment ref="T116" authorId="0" shapeId="0" xr:uid="{1EF09D3B-ECF5-4E30-BBD9-C37C3E09D5FA}">
      <text>
        <r>
          <rPr>
            <b/>
            <sz val="9"/>
            <color indexed="81"/>
            <rFont val="Tahoma"/>
            <charset val="177"/>
          </rPr>
          <t>יניב שפירא:</t>
        </r>
        <r>
          <rPr>
            <sz val="9"/>
            <color indexed="81"/>
            <rFont val="Tahoma"/>
            <charset val="177"/>
          </rPr>
          <t xml:space="preserve">
סולם 1-7
1 = דמוקרטית
7 = לא דמוקרטית</t>
        </r>
      </text>
    </comment>
    <comment ref="T117" authorId="0" shapeId="0" xr:uid="{EBDA8B2B-BE94-45A2-BA43-65D518CDB119}">
      <text>
        <r>
          <rPr>
            <b/>
            <sz val="9"/>
            <color indexed="81"/>
            <rFont val="Tahoma"/>
            <charset val="177"/>
          </rPr>
          <t>יניב שפירא:</t>
        </r>
        <r>
          <rPr>
            <sz val="9"/>
            <color indexed="81"/>
            <rFont val="Tahoma"/>
            <charset val="177"/>
          </rPr>
          <t xml:space="preserve">
סולם 1-7
1 = יש בה צדק חברתי
7 = אין בה צדק חברתי</t>
        </r>
      </text>
    </comment>
    <comment ref="T118" authorId="0" shapeId="0" xr:uid="{C287978C-A45D-45EC-BFC7-BA0C58D5BA61}">
      <text>
        <r>
          <rPr>
            <b/>
            <sz val="9"/>
            <color indexed="81"/>
            <rFont val="Tahoma"/>
            <charset val="177"/>
          </rPr>
          <t>יניב שפירא:</t>
        </r>
        <r>
          <rPr>
            <sz val="9"/>
            <color indexed="81"/>
            <rFont val="Tahoma"/>
            <charset val="177"/>
          </rPr>
          <t xml:space="preserve">
סולם 1-7
1 = מוכנה לחיות בשכנות
7 = לא מוכנה לחיות בשכנות</t>
        </r>
      </text>
    </comment>
    <comment ref="T119" authorId="0" shapeId="0" xr:uid="{35275601-705E-4389-A371-8B85B8388C95}">
      <text>
        <r>
          <rPr>
            <b/>
            <sz val="9"/>
            <color indexed="81"/>
            <rFont val="Tahoma"/>
            <charset val="177"/>
          </rPr>
          <t>יניב שפירא:</t>
        </r>
        <r>
          <rPr>
            <sz val="9"/>
            <color indexed="81"/>
            <rFont val="Tahoma"/>
            <charset val="177"/>
          </rPr>
          <t xml:space="preserve">
סולם 1-7
1 = שלום
7 = מלחמה</t>
        </r>
      </text>
    </comment>
    <comment ref="T120" authorId="0" shapeId="0" xr:uid="{23DB451A-4EF1-4B94-8343-BC61492F29A6}">
      <text>
        <r>
          <rPr>
            <b/>
            <sz val="9"/>
            <color indexed="81"/>
            <rFont val="Tahoma"/>
            <charset val="177"/>
          </rPr>
          <t>יניב שפירא:</t>
        </r>
        <r>
          <rPr>
            <sz val="9"/>
            <color indexed="81"/>
            <rFont val="Tahoma"/>
            <charset val="177"/>
          </rPr>
          <t xml:space="preserve">
סולם 1-7
1 = התגשמות החלום
7 = לא התגשמות החלום</t>
        </r>
      </text>
    </comment>
    <comment ref="U121" authorId="0" shapeId="0" xr:uid="{54EC5495-147B-48F6-9766-94842D0A8BCF}">
      <text>
        <r>
          <rPr>
            <b/>
            <sz val="9"/>
            <color indexed="81"/>
            <rFont val="Tahoma"/>
            <family val="2"/>
          </rPr>
          <t>יניב שפירא:</t>
        </r>
        <r>
          <rPr>
            <sz val="9"/>
            <color indexed="81"/>
            <rFont val="Tahoma"/>
            <family val="2"/>
          </rPr>
          <t xml:space="preserve">
1 = משכנע במידה רבה
2 = במידה מסויימת
3 = במידה מועטה
4 = כלל לא משכנע</t>
        </r>
      </text>
    </comment>
    <comment ref="V128" authorId="0" shapeId="0" xr:uid="{DF48D2F1-0CD5-4AC6-B1CD-1477DD64F2ED}">
      <text>
        <r>
          <rPr>
            <b/>
            <sz val="9"/>
            <color indexed="81"/>
            <rFont val="Tahoma"/>
            <charset val="177"/>
          </rPr>
          <t>יניב שפירא:</t>
        </r>
        <r>
          <rPr>
            <sz val="9"/>
            <color indexed="81"/>
            <rFont val="Tahoma"/>
            <charset val="177"/>
          </rPr>
          <t xml:space="preserve">
1 = משכנע במידה רבה
2 = במידה מסויימת
3 = במידה מועטה
4 = כלל לא משכנע</t>
        </r>
      </text>
    </comment>
    <comment ref="Z134" authorId="0" shapeId="0" xr:uid="{59ABC0B4-EC4B-4772-A998-DEC046459817}">
      <text>
        <r>
          <rPr>
            <b/>
            <sz val="9"/>
            <color indexed="81"/>
            <rFont val="Tahoma"/>
            <family val="2"/>
          </rPr>
          <t>יניב שפירא:</t>
        </r>
        <r>
          <rPr>
            <sz val="9"/>
            <color indexed="81"/>
            <rFont val="Tahoma"/>
            <family val="2"/>
          </rPr>
          <t xml:space="preserve">
במקום דיין, מפלגת ד"ש (יגאל ידין)</t>
        </r>
      </text>
    </comment>
    <comment ref="AA143" authorId="0" shapeId="0" xr:uid="{A9660AFB-7EA1-4479-815A-4D93715A7063}">
      <text>
        <r>
          <rPr>
            <b/>
            <sz val="9"/>
            <color indexed="81"/>
            <rFont val="Tahoma"/>
            <charset val="177"/>
          </rPr>
          <t>יניב שפירא:</t>
        </r>
        <r>
          <rPr>
            <sz val="9"/>
            <color indexed="81"/>
            <rFont val="Tahoma"/>
            <charset val="177"/>
          </rPr>
          <t xml:space="preserve">
1 = מקום ראשון
2 = מקום שני
3 = מקום שלישי
5 = לא הוזכר
7 = מקום לפני אחרון
8 = מקום אחרון</t>
        </r>
      </text>
    </comment>
    <comment ref="Z189" authorId="0" shapeId="0" xr:uid="{F3DF116A-B16F-4C8F-91E6-5D537E706CF6}">
      <text>
        <r>
          <rPr>
            <b/>
            <sz val="9"/>
            <color indexed="81"/>
            <rFont val="Tahoma"/>
            <family val="2"/>
          </rPr>
          <t>יניב שפירא:</t>
        </r>
        <r>
          <rPr>
            <sz val="9"/>
            <color indexed="81"/>
            <rFont val="Tahoma"/>
            <family val="2"/>
          </rPr>
          <t xml:space="preserve">
1 = משכנע במידה רבה
2 = במידה מסויימת
3 = במידה מועטה
4 = לא משכנע כלל</t>
        </r>
      </text>
    </comment>
    <comment ref="T205" authorId="0" shapeId="0" xr:uid="{4B386EB9-3729-4745-9EBB-D984BB88F3EB}">
      <text>
        <r>
          <rPr>
            <b/>
            <sz val="9"/>
            <color indexed="81"/>
            <rFont val="Tahoma"/>
            <family val="2"/>
          </rPr>
          <t>יניב שפירא:</t>
        </r>
        <r>
          <rPr>
            <sz val="9"/>
            <color indexed="81"/>
            <rFont val="Tahoma"/>
            <family val="2"/>
          </rPr>
          <t xml:space="preserve">
סולם 1-7
1 = תועלת
7 = נזק</t>
        </r>
      </text>
    </comment>
    <comment ref="T206" authorId="0" shapeId="0" xr:uid="{CA5348D7-52D5-41F1-9532-2C69A2426245}">
      <text>
        <r>
          <rPr>
            <b/>
            <sz val="9"/>
            <color indexed="81"/>
            <rFont val="Tahoma"/>
            <family val="2"/>
          </rPr>
          <t>יניב שפירא:</t>
        </r>
        <r>
          <rPr>
            <sz val="9"/>
            <color indexed="81"/>
            <rFont val="Tahoma"/>
            <family val="2"/>
          </rPr>
          <t xml:space="preserve">
סולם 1-7
1 = שקול
7 = לא שקול</t>
        </r>
      </text>
    </comment>
    <comment ref="T207" authorId="0" shapeId="0" xr:uid="{069314C2-F972-4707-90E7-AD25C857DDB5}">
      <text>
        <r>
          <rPr>
            <b/>
            <sz val="9"/>
            <color indexed="81"/>
            <rFont val="Tahoma"/>
            <family val="2"/>
          </rPr>
          <t>יניב שפירא:</t>
        </r>
        <r>
          <rPr>
            <sz val="9"/>
            <color indexed="81"/>
            <rFont val="Tahoma"/>
            <family val="2"/>
          </rPr>
          <t xml:space="preserve">
סולם 1-7
1 = יציב
7 = לא יציב</t>
        </r>
      </text>
    </comment>
    <comment ref="T208" authorId="0" shapeId="0" xr:uid="{84DF0C0A-44F9-4F96-B820-F884BDC9DD21}">
      <text>
        <r>
          <rPr>
            <b/>
            <sz val="9"/>
            <color indexed="81"/>
            <rFont val="Tahoma"/>
            <family val="2"/>
          </rPr>
          <t>יניב שפירא:</t>
        </r>
        <r>
          <rPr>
            <sz val="9"/>
            <color indexed="81"/>
            <rFont val="Tahoma"/>
            <family val="2"/>
          </rPr>
          <t xml:space="preserve">
סולם 1-7
1 = עבר זמנו
7 = לא עבר זמנו</t>
        </r>
      </text>
    </comment>
    <comment ref="T209" authorId="0" shapeId="0" xr:uid="{771B9F34-80B1-4E06-916E-42B2D56A52D6}">
      <text>
        <r>
          <rPr>
            <b/>
            <sz val="9"/>
            <color indexed="81"/>
            <rFont val="Tahoma"/>
            <family val="2"/>
          </rPr>
          <t>יניב שפירא:</t>
        </r>
        <r>
          <rPr>
            <sz val="9"/>
            <color indexed="81"/>
            <rFont val="Tahoma"/>
            <family val="2"/>
          </rPr>
          <t xml:space="preserve">
סולם 1-7
1 = גרוע
7 = מצוין</t>
        </r>
      </text>
    </comment>
    <comment ref="T210" authorId="0" shapeId="0" xr:uid="{1D4E7C28-385E-4297-9EF8-4E31095F77C7}">
      <text>
        <r>
          <rPr>
            <b/>
            <sz val="9"/>
            <color indexed="81"/>
            <rFont val="Tahoma"/>
            <family val="2"/>
          </rPr>
          <t>יניב שפירא:</t>
        </r>
        <r>
          <rPr>
            <sz val="9"/>
            <color indexed="81"/>
            <rFont val="Tahoma"/>
            <family val="2"/>
          </rPr>
          <t xml:space="preserve">
סולם 1-7
1 = גרוע
7 = מצוין</t>
        </r>
      </text>
    </comment>
    <comment ref="T211" authorId="0" shapeId="0" xr:uid="{567CD0BE-85ED-44BC-82A6-F57BFCFAF962}">
      <text>
        <r>
          <rPr>
            <b/>
            <sz val="9"/>
            <color indexed="81"/>
            <rFont val="Tahoma"/>
            <family val="2"/>
          </rPr>
          <t>יניב שפירא:</t>
        </r>
        <r>
          <rPr>
            <sz val="9"/>
            <color indexed="81"/>
            <rFont val="Tahoma"/>
            <family val="2"/>
          </rPr>
          <t xml:space="preserve">
סולם 1-7
1 = נתון
7 = לא נתון</t>
        </r>
      </text>
    </comment>
    <comment ref="T212" authorId="0" shapeId="0" xr:uid="{9370D468-9549-4417-9528-245D6D261D69}">
      <text>
        <r>
          <rPr>
            <b/>
            <sz val="9"/>
            <color indexed="81"/>
            <rFont val="Tahoma"/>
            <family val="2"/>
          </rPr>
          <t>יניב שפירא:</t>
        </r>
        <r>
          <rPr>
            <sz val="9"/>
            <color indexed="81"/>
            <rFont val="Tahoma"/>
            <family val="2"/>
          </rPr>
          <t xml:space="preserve">
סולם 1-7
1 = אינה מאפשרת
7 = מאפשרת</t>
        </r>
      </text>
    </comment>
    <comment ref="T213" authorId="0" shapeId="0" xr:uid="{C6FBB481-DDFE-4FD8-89C8-6756CF5BEB3B}">
      <text>
        <r>
          <rPr>
            <b/>
            <sz val="9"/>
            <color indexed="81"/>
            <rFont val="Tahoma"/>
            <family val="2"/>
          </rPr>
          <t>יניב שפירא:</t>
        </r>
        <r>
          <rPr>
            <sz val="9"/>
            <color indexed="81"/>
            <rFont val="Tahoma"/>
            <family val="2"/>
          </rPr>
          <t xml:space="preserve">
סולם 1-7
1 = הרפתקן
7 = שקול ונבון</t>
        </r>
      </text>
    </comment>
    <comment ref="T214" authorId="0" shapeId="0" xr:uid="{71A2B81D-BC92-43CE-80D7-F54E2CC1FE27}">
      <text>
        <r>
          <rPr>
            <b/>
            <sz val="9"/>
            <color indexed="81"/>
            <rFont val="Tahoma"/>
            <family val="2"/>
          </rPr>
          <t>יניב שפירא:</t>
        </r>
        <r>
          <rPr>
            <sz val="9"/>
            <color indexed="81"/>
            <rFont val="Tahoma"/>
            <family val="2"/>
          </rPr>
          <t xml:space="preserve">
סולם 1-7
1 = אופוזיציה
7 = שלטון</t>
        </r>
      </text>
    </comment>
    <comment ref="U215" authorId="0" shapeId="0" xr:uid="{A324064A-DE70-47D6-B7EA-4D7C7A56EE55}">
      <text>
        <r>
          <rPr>
            <b/>
            <sz val="9"/>
            <color indexed="81"/>
            <rFont val="Tahoma"/>
            <family val="2"/>
          </rPr>
          <t>יניב שפירא:</t>
        </r>
        <r>
          <rPr>
            <sz val="9"/>
            <color indexed="81"/>
            <rFont val="Tahoma"/>
            <family val="2"/>
          </rPr>
          <t xml:space="preserve">
סולם 1-7
1 = חזק
7 = חלש</t>
        </r>
      </text>
    </comment>
    <comment ref="V215" authorId="0" shapeId="0" xr:uid="{AAA708F6-9999-44B9-A51E-9C0AA63C1FB7}">
      <text>
        <r>
          <rPr>
            <b/>
            <sz val="9"/>
            <color indexed="81"/>
            <rFont val="Tahoma"/>
            <family val="2"/>
          </rPr>
          <t>יניב שפירא:</t>
        </r>
        <r>
          <rPr>
            <sz val="9"/>
            <color indexed="81"/>
            <rFont val="Tahoma"/>
            <family val="2"/>
          </rPr>
          <t xml:space="preserve">
סולם 1-6</t>
        </r>
      </text>
    </comment>
    <comment ref="U216" authorId="0" shapeId="0" xr:uid="{C1453170-1DCE-476E-817F-993A6ED562A2}">
      <text>
        <r>
          <rPr>
            <b/>
            <sz val="9"/>
            <color indexed="81"/>
            <rFont val="Tahoma"/>
            <family val="2"/>
          </rPr>
          <t>יניב שפירא:</t>
        </r>
        <r>
          <rPr>
            <sz val="9"/>
            <color indexed="81"/>
            <rFont val="Tahoma"/>
            <family val="2"/>
          </rPr>
          <t xml:space="preserve">
סולם 1-7
1 = יכול לעבוד בצוות
7 = לא יכול</t>
        </r>
      </text>
    </comment>
    <comment ref="U217" authorId="0" shapeId="0" xr:uid="{2FF40994-BF08-4A10-83A9-E1481CA719E9}">
      <text>
        <r>
          <rPr>
            <b/>
            <sz val="9"/>
            <color indexed="81"/>
            <rFont val="Tahoma"/>
            <family val="2"/>
          </rPr>
          <t>יניב שפירא:</t>
        </r>
        <r>
          <rPr>
            <sz val="9"/>
            <color indexed="81"/>
            <rFont val="Tahoma"/>
            <family val="2"/>
          </rPr>
          <t xml:space="preserve">
סולם 1-7
1 = ישר
7 = לא ישר</t>
        </r>
      </text>
    </comment>
    <comment ref="U218" authorId="0" shapeId="0" xr:uid="{13D2357C-F89C-4AA2-8BD2-89B32E8DE676}">
      <text>
        <r>
          <rPr>
            <b/>
            <sz val="9"/>
            <color indexed="81"/>
            <rFont val="Tahoma"/>
            <family val="2"/>
          </rPr>
          <t>יניב שפירא:</t>
        </r>
        <r>
          <rPr>
            <sz val="9"/>
            <color indexed="81"/>
            <rFont val="Tahoma"/>
            <family val="2"/>
          </rPr>
          <t xml:space="preserve">
סולם 1-7
1 = בעל כושר החלטה
7 = חסר כושר החלטה</t>
        </r>
      </text>
    </comment>
    <comment ref="U219" authorId="0" shapeId="0" xr:uid="{D9EA2640-FBC2-4F61-B36F-5EAFB6BECD70}">
      <text>
        <r>
          <rPr>
            <b/>
            <sz val="9"/>
            <color indexed="81"/>
            <rFont val="Tahoma"/>
            <family val="2"/>
          </rPr>
          <t>יניב שפירא:</t>
        </r>
        <r>
          <rPr>
            <sz val="9"/>
            <color indexed="81"/>
            <rFont val="Tahoma"/>
            <family val="2"/>
          </rPr>
          <t xml:space="preserve">
סולם 1-7
1 = יכול לעמוד
7 = לא יכול לעמוד</t>
        </r>
      </text>
    </comment>
    <comment ref="V220" authorId="0" shapeId="0" xr:uid="{CA6B6A5E-F96B-4373-8598-E798FBC78B63}">
      <text>
        <r>
          <rPr>
            <b/>
            <sz val="9"/>
            <color indexed="81"/>
            <rFont val="Tahoma"/>
            <family val="2"/>
          </rPr>
          <t>יניב שפירא:</t>
        </r>
        <r>
          <rPr>
            <sz val="9"/>
            <color indexed="81"/>
            <rFont val="Tahoma"/>
            <family val="2"/>
          </rPr>
          <t xml:space="preserve">
סולם 1-6</t>
        </r>
      </text>
    </comment>
    <comment ref="U225" authorId="0" shapeId="0" xr:uid="{8C2D4DD4-033B-4ED8-A729-E391512379C7}">
      <text>
        <r>
          <rPr>
            <b/>
            <sz val="9"/>
            <color indexed="81"/>
            <rFont val="Tahoma"/>
            <family val="2"/>
          </rPr>
          <t>יניב שפירא:</t>
        </r>
        <r>
          <rPr>
            <sz val="9"/>
            <color indexed="81"/>
            <rFont val="Tahoma"/>
            <family val="2"/>
          </rPr>
          <t xml:space="preserve">
סולם 1-7
1 = אמין בהופעתו
7 = בלתי אמין</t>
        </r>
      </text>
    </comment>
    <comment ref="U226" authorId="0" shapeId="0" xr:uid="{7786C1CD-BDF3-4745-B7B2-7F31D64393F3}">
      <text>
        <r>
          <rPr>
            <b/>
            <sz val="9"/>
            <color indexed="81"/>
            <rFont val="Tahoma"/>
            <family val="2"/>
          </rPr>
          <t>יניב שפירא:</t>
        </r>
        <r>
          <rPr>
            <sz val="9"/>
            <color indexed="81"/>
            <rFont val="Tahoma"/>
            <family val="2"/>
          </rPr>
          <t xml:space="preserve">
סולם 1-7
1 = חלקלק
7 = דוגרי</t>
        </r>
      </text>
    </comment>
    <comment ref="U227" authorId="0" shapeId="0" xr:uid="{F2011A2C-2B94-4120-8990-F93C096F36E3}">
      <text>
        <r>
          <rPr>
            <b/>
            <sz val="9"/>
            <color indexed="81"/>
            <rFont val="Tahoma"/>
            <family val="2"/>
          </rPr>
          <t>יניב שפירא:</t>
        </r>
        <r>
          <rPr>
            <sz val="9"/>
            <color indexed="81"/>
            <rFont val="Tahoma"/>
            <family val="2"/>
          </rPr>
          <t xml:space="preserve">
סולם 1-7
1 = עייף
7 = רענן</t>
        </r>
      </text>
    </comment>
    <comment ref="V228" authorId="0" shapeId="0" xr:uid="{04981453-0FEF-4D73-8D48-25033FEBD2ED}">
      <text>
        <r>
          <rPr>
            <b/>
            <sz val="9"/>
            <color indexed="81"/>
            <rFont val="Tahoma"/>
            <family val="2"/>
          </rPr>
          <t>יניב שפירא:</t>
        </r>
        <r>
          <rPr>
            <sz val="9"/>
            <color indexed="81"/>
            <rFont val="Tahoma"/>
            <family val="2"/>
          </rPr>
          <t xml:space="preserve">
סולם 1-6</t>
        </r>
      </text>
    </comment>
    <comment ref="AC233" authorId="0" shapeId="0" xr:uid="{3FA15BC1-C0DE-44D9-A478-9ED3F744FD12}">
      <text>
        <r>
          <rPr>
            <b/>
            <sz val="9"/>
            <color indexed="81"/>
            <rFont val="Tahoma"/>
            <family val="2"/>
          </rPr>
          <t>יניב שפירא:</t>
        </r>
        <r>
          <rPr>
            <sz val="9"/>
            <color indexed="81"/>
            <rFont val="Tahoma"/>
            <family val="2"/>
          </rPr>
          <t xml:space="preserve">
1 = גולדה
2 = דיין
3 = בגין
4 = פנחס ספיר
5 = אבא אבן
6 = חיים בר-לב
7 = יגאל אלון
8 = אחר מהקואליציה
9 = אחר מהאופוזיציה</t>
        </r>
      </text>
    </comment>
    <comment ref="AC234" authorId="0" shapeId="0" xr:uid="{785C3D3D-4BA1-4E2D-ACD8-5A698326E03D}">
      <text>
        <r>
          <rPr>
            <b/>
            <sz val="9"/>
            <color indexed="81"/>
            <rFont val="Tahoma"/>
            <family val="2"/>
          </rPr>
          <t>יניב שפירא:</t>
        </r>
        <r>
          <rPr>
            <sz val="9"/>
            <color indexed="81"/>
            <rFont val="Tahoma"/>
            <family val="2"/>
          </rPr>
          <t xml:space="preserve">
1 = דיין
2 = בר-לב
3 = שרון
4 = רבין
5 = אהרון יריב
6 = עזר וייצמן
7 = יגאל אלון
8 = אחר מהקואליציה
9 = אחר מהאופוזיציה</t>
        </r>
      </text>
    </comment>
    <comment ref="AC235" authorId="0" shapeId="0" xr:uid="{51B32E0E-7EA0-4E69-B5D1-58BE713CAB00}">
      <text>
        <r>
          <rPr>
            <b/>
            <sz val="9"/>
            <color indexed="81"/>
            <rFont val="Tahoma"/>
            <family val="2"/>
          </rPr>
          <t>יניב שפירא:</t>
        </r>
        <r>
          <rPr>
            <sz val="9"/>
            <color indexed="81"/>
            <rFont val="Tahoma"/>
            <family val="2"/>
          </rPr>
          <t xml:space="preserve">
1 = אבא אבן
2 = פרס
3 = אהרון יריב
4 = יגאל אלון
5 = בגין
6 = רבין
7 = אחר מהקואליציה
8 = אחר מהאופוזיציה</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6CE5C44D-B8AA-46A7-8800-DD4F295699BC}">
      <text>
        <r>
          <rPr>
            <b/>
            <sz val="9"/>
            <color indexed="81"/>
            <rFont val="Tahoma"/>
            <charset val="177"/>
          </rPr>
          <t>יניב שפירא:</t>
        </r>
        <r>
          <rPr>
            <sz val="9"/>
            <color indexed="81"/>
            <rFont val="Tahoma"/>
            <charset val="177"/>
          </rPr>
          <t xml:space="preserve">
post election</t>
        </r>
      </text>
    </comment>
    <comment ref="AA1" authorId="0" shapeId="0" xr:uid="{E36B6A7A-3403-4952-AFD5-CF66F5889095}">
      <text>
        <r>
          <rPr>
            <b/>
            <sz val="9"/>
            <color indexed="81"/>
            <rFont val="Tahoma"/>
            <charset val="177"/>
          </rPr>
          <t>יניב שפירא:</t>
        </r>
        <r>
          <rPr>
            <sz val="9"/>
            <color indexed="81"/>
            <rFont val="Tahoma"/>
            <charset val="177"/>
          </rPr>
          <t xml:space="preserve">
post Kippur + post election</t>
        </r>
      </text>
    </comment>
    <comment ref="AB1" authorId="0" shapeId="0" xr:uid="{044E5995-F377-4551-90CC-7F0DB44D673E}">
      <text>
        <r>
          <rPr>
            <b/>
            <sz val="9"/>
            <color indexed="81"/>
            <rFont val="Tahoma"/>
            <charset val="177"/>
          </rPr>
          <t>יניב שפירא:</t>
        </r>
        <r>
          <rPr>
            <sz val="9"/>
            <color indexed="81"/>
            <rFont val="Tahoma"/>
            <charset val="177"/>
          </rPr>
          <t xml:space="preserve">
post Kippur</t>
        </r>
      </text>
    </comment>
    <comment ref="AC1" authorId="0" shapeId="0" xr:uid="{5C96943C-6FAE-4DC5-A564-394A77224AD0}">
      <text>
        <r>
          <rPr>
            <b/>
            <sz val="9"/>
            <color indexed="81"/>
            <rFont val="Tahoma"/>
            <charset val="177"/>
          </rPr>
          <t>יניב שפירא:</t>
        </r>
        <r>
          <rPr>
            <sz val="9"/>
            <color indexed="81"/>
            <rFont val="Tahoma"/>
            <charset val="177"/>
          </rPr>
          <t xml:space="preserve">
post Kippur</t>
        </r>
      </text>
    </comment>
    <comment ref="AF1" authorId="0" shapeId="0" xr:uid="{56E8D804-E35D-47C0-A475-F55D5DBC2B4D}">
      <text>
        <r>
          <rPr>
            <b/>
            <sz val="9"/>
            <color indexed="81"/>
            <rFont val="Tahoma"/>
            <charset val="177"/>
          </rPr>
          <t>יניב שפירא:</t>
        </r>
        <r>
          <rPr>
            <sz val="9"/>
            <color indexed="81"/>
            <rFont val="Tahoma"/>
            <charset val="177"/>
          </rPr>
          <t xml:space="preserve">
pre + post election</t>
        </r>
      </text>
    </comment>
    <comment ref="D2" authorId="0" shapeId="0" xr:uid="{8BBA3E40-83D0-423D-9222-A2D205F6B1B8}">
      <text>
        <r>
          <rPr>
            <b/>
            <sz val="9"/>
            <color indexed="81"/>
            <rFont val="Tahoma"/>
            <family val="2"/>
          </rPr>
          <t>יניב שפירא:</t>
        </r>
        <r>
          <rPr>
            <sz val="9"/>
            <color indexed="81"/>
            <rFont val="Tahoma"/>
            <family val="2"/>
          </rPr>
          <t xml:space="preserve">
1 = הזדהות עם המפלגה
2 = ראש המפלגה
3 = מועמדי המפלגה לכנסת
4 = עמדות המפלגה בנושאים מסוימים
5 = מקומה של המפלגה בשלטון או באופוזיציה</t>
        </r>
      </text>
    </comment>
    <comment ref="I2" authorId="0" shapeId="0" xr:uid="{B73F5E6B-892E-4338-9D8F-D0B06EC7018D}">
      <text>
        <r>
          <rPr>
            <b/>
            <sz val="9"/>
            <color indexed="81"/>
            <rFont val="Tahoma"/>
            <family val="2"/>
          </rPr>
          <t>יניב שפירא:</t>
        </r>
        <r>
          <rPr>
            <sz val="9"/>
            <color indexed="81"/>
            <rFont val="Tahoma"/>
            <family val="2"/>
          </rPr>
          <t xml:space="preserve">
1 = הזדהות עם המפלגה
2 = מועמדי המפלגה לכנסת
3 = עמדת המפלגה בנושאים מסוימים
4 = מקומה של המפלגה בשלטון או באופוזיציה</t>
        </r>
      </text>
    </comment>
    <comment ref="V2" authorId="0" shapeId="0" xr:uid="{C0BE57FC-2D07-444D-B7D2-168151AD29E4}">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סיכויי המפלגה להגיע לשלטון</t>
        </r>
      </text>
    </comment>
    <comment ref="W2" authorId="0" shapeId="0" xr:uid="{E6910054-103F-4FB3-9A14-84590A14B94B}">
      <text>
        <r>
          <rPr>
            <b/>
            <sz val="9"/>
            <color indexed="81"/>
            <rFont val="Tahoma"/>
            <charset val="177"/>
          </rPr>
          <t>יניב שפירא:</t>
        </r>
        <r>
          <rPr>
            <sz val="9"/>
            <color indexed="81"/>
            <rFont val="Tahoma"/>
            <charset val="177"/>
          </rPr>
          <t xml:space="preserve">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r>
      </text>
    </comment>
    <comment ref="Z2" authorId="0" shapeId="0" xr:uid="{9AACF70D-F2BB-4888-AC85-04CC390FF365}">
      <text>
        <r>
          <rPr>
            <b/>
            <sz val="9"/>
            <color indexed="81"/>
            <rFont val="Tahoma"/>
            <charset val="177"/>
          </rPr>
          <t>יניב שפירא:</t>
        </r>
        <r>
          <rPr>
            <sz val="9"/>
            <color indexed="81"/>
            <rFont val="Tahoma"/>
            <charset val="177"/>
          </rPr>
          <t xml:space="preserve">
1 = הזדהות עם המפלגה
2 = מועמד המפלגה
3 = עמדות המפלגה בנושאים מסויימים
4 = מקומה של במפלגה בקואליציה/אופוזיציה</t>
        </r>
      </text>
    </comment>
    <comment ref="AC2" authorId="0" shapeId="0" xr:uid="{A5CDBB71-403D-4D45-90A7-6527B9204C86}">
      <text>
        <r>
          <rPr>
            <b/>
            <sz val="9"/>
            <color indexed="81"/>
            <rFont val="Tahoma"/>
            <family val="2"/>
          </rPr>
          <t>יניב שפירא:</t>
        </r>
        <r>
          <rPr>
            <sz val="9"/>
            <color indexed="81"/>
            <rFont val="Tahoma"/>
            <family val="2"/>
          </rPr>
          <t xml:space="preserve">
שאלה פתוחה</t>
        </r>
      </text>
    </comment>
    <comment ref="L3" authorId="0" shapeId="0" xr:uid="{8A0CF870-577F-4BD8-A059-D7DE2464257E}">
      <text>
        <r>
          <rPr>
            <b/>
            <sz val="9"/>
            <color indexed="81"/>
            <rFont val="Tahoma"/>
            <family val="2"/>
          </rPr>
          <t>יניב שפירא:</t>
        </r>
        <r>
          <rPr>
            <sz val="9"/>
            <color indexed="81"/>
            <rFont val="Tahoma"/>
            <family val="2"/>
          </rPr>
          <t xml:space="preserve">
1 = התכונות של המועמד
2 = הזדהות עם המפלגה שלו
3 = הזדהות עם המחנה שלו
4 = העמדות של המועמד בנושאים שונים
5 = היותו בשלטון או באופוזיציה</t>
        </r>
      </text>
    </comment>
    <comment ref="N3" authorId="0" shapeId="0" xr:uid="{9F4D2640-C787-4F01-A134-823D1113CD70}">
      <text>
        <r>
          <rPr>
            <b/>
            <sz val="9"/>
            <color indexed="81"/>
            <rFont val="Tahoma"/>
            <family val="2"/>
          </rPr>
          <t>יניב שפירא:</t>
        </r>
        <r>
          <rPr>
            <sz val="9"/>
            <color indexed="81"/>
            <rFont val="Tahoma"/>
            <family val="2"/>
          </rPr>
          <t xml:space="preserve">
1 = התכונות של המועמד
2 = הזדהות עם המפלגה שלו
3 = העמדות של המועמד בנושאים שונים
4 = היותו בשלטון או באופוזיציה</t>
        </r>
      </text>
    </comment>
    <comment ref="AF4" authorId="0" shapeId="0" xr:uid="{CF915485-189C-4EC1-A8ED-3C58755CFD6F}">
      <text>
        <r>
          <rPr>
            <b/>
            <sz val="9"/>
            <color indexed="81"/>
            <rFont val="Tahoma"/>
            <family val="2"/>
          </rPr>
          <t>יניב שפירא:</t>
        </r>
        <r>
          <rPr>
            <sz val="9"/>
            <color indexed="81"/>
            <rFont val="Tahoma"/>
            <family val="2"/>
          </rPr>
          <t xml:space="preserve">
1 = יש גורם אחד הרבה יותר חשוב מהשאר
2 = יש גורם אחד קצת יותר חשוב מהשאר
3 = כל הגורמים חשובים באותה מידה
4 = אף אחד מהגורמים לא חשוב</t>
        </r>
      </text>
    </comment>
    <comment ref="D5" authorId="0" shapeId="0" xr:uid="{4956733A-561D-4830-A4B5-26DF1E95E8E8}">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D5" authorId="0" shapeId="0" xr:uid="{560F86DF-F701-4CD2-AB47-19B029A8FBDD}">
      <text>
        <r>
          <rPr>
            <b/>
            <sz val="9"/>
            <color indexed="81"/>
            <rFont val="Tahoma"/>
            <family val="2"/>
          </rPr>
          <t>יניב שפירא:</t>
        </r>
        <r>
          <rPr>
            <sz val="9"/>
            <color indexed="81"/>
            <rFont val="Tahoma"/>
            <family val="2"/>
          </rPr>
          <t xml:space="preserve">
1 = במידה רבה
2 = במידה מסוימת
3 = במידה מועטה
4 = לא ישפיע כלל</t>
        </r>
      </text>
    </comment>
    <comment ref="H6" authorId="0" shapeId="0" xr:uid="{BC4CD26E-CB2B-49A6-83B9-9DCF39A127E7}">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M6" authorId="0" shapeId="0" xr:uid="{041DDC1E-B645-4B92-BD23-5F6A936210A0}">
      <text>
        <r>
          <rPr>
            <b/>
            <sz val="9"/>
            <color indexed="81"/>
            <rFont val="Tahoma"/>
            <charset val="177"/>
          </rPr>
          <t>יניב שפירא:</t>
        </r>
        <r>
          <rPr>
            <sz val="9"/>
            <color indexed="81"/>
            <rFont val="Tahoma"/>
            <charset val="177"/>
          </rPr>
          <t xml:space="preserve">
1 = כלל לא ישפיע
2 = במידה מועטה
3 = במידה מסוימת
4 = במידה רבה</t>
        </r>
      </text>
    </comment>
    <comment ref="N6" authorId="0" shapeId="0" xr:uid="{93DFAB60-4ACE-4E43-B512-81A9A58697C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O6" authorId="0" shapeId="0" xr:uid="{54A73956-CFA5-4E83-AE11-BC2FF2810982}">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Z6" authorId="0" shapeId="0" xr:uid="{BE1F5A85-266D-4AD2-B5D8-EBD4A71EBF73}">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H7" authorId="0" shapeId="0" xr:uid="{BE02F9F7-2173-4268-B91A-788DD35AAC9A}">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H8" authorId="0" shapeId="0" xr:uid="{8ECF38A3-0D93-43AC-A376-69B97FA2A955}">
      <text>
        <r>
          <rPr>
            <b/>
            <sz val="9"/>
            <color indexed="81"/>
            <rFont val="Tahoma"/>
            <family val="2"/>
          </rPr>
          <t>יניב שפירא:</t>
        </r>
        <r>
          <rPr>
            <sz val="9"/>
            <color indexed="81"/>
            <rFont val="Tahoma"/>
            <family val="2"/>
          </rPr>
          <t xml:space="preserve">
1 = ישפיע במידה רבה
2 = ישפיע במידה מסויימת
3 = ישפיע במידה מועטה בלבד
4 = כלל לא ישפיע</t>
        </r>
      </text>
    </comment>
    <comment ref="C9" authorId="1" shapeId="0" xr:uid="{47247BB8-2CAD-4D75-B698-3E7F1C18CA60}">
      <text>
        <r>
          <rPr>
            <b/>
            <sz val="9"/>
            <color indexed="81"/>
            <rFont val="Tahoma"/>
            <family val="2"/>
          </rPr>
          <t>adi:</t>
        </r>
        <r>
          <rPr>
            <sz val="9"/>
            <color indexed="81"/>
            <rFont val="Tahoma"/>
            <family val="2"/>
          </rPr>
          <t xml:space="preserve">
שלום וביטחון</t>
        </r>
      </text>
    </comment>
    <comment ref="Q9" authorId="0" shapeId="0" xr:uid="{1A963F81-940F-490F-B17E-2A573F58AF7D}">
      <text>
        <r>
          <rPr>
            <b/>
            <sz val="9"/>
            <color indexed="81"/>
            <rFont val="Tahoma"/>
            <family val="2"/>
          </rPr>
          <t>יניב שפירא:</t>
        </r>
        <r>
          <rPr>
            <sz val="9"/>
            <color indexed="81"/>
            <rFont val="Tahoma"/>
            <family val="2"/>
          </rPr>
          <t xml:space="preserve">
1 = ישפיע במידה רבה
2 = במידה מסוימת
3 = במידה מועטה
4 = לא ישפיע כלל</t>
        </r>
      </text>
    </comment>
    <comment ref="Z9" authorId="0" shapeId="0" xr:uid="{928522B0-598C-492A-AC6B-BE253C486DF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D9" authorId="0" shapeId="0" xr:uid="{E06C6635-244E-4B72-A341-1E70CCAB4E2E}">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M10" authorId="0" shapeId="0" xr:uid="{ECBFAD70-0085-4C81-B6D5-8336C0653AFC}">
      <text>
        <r>
          <rPr>
            <b/>
            <sz val="9"/>
            <color indexed="81"/>
            <rFont val="Tahoma"/>
            <family val="2"/>
          </rPr>
          <t>יניב שפירא:</t>
        </r>
        <r>
          <rPr>
            <sz val="9"/>
            <color indexed="81"/>
            <rFont val="Tahoma"/>
            <family val="2"/>
          </rPr>
          <t xml:space="preserve">
מפוצל לשאלה על "בטחון" ושאלה על "טרור"
* טרור מקבל כאן </t>
        </r>
        <r>
          <rPr>
            <b/>
            <sz val="9"/>
            <color indexed="81"/>
            <rFont val="Tahoma"/>
            <family val="2"/>
          </rPr>
          <t>i30</t>
        </r>
      </text>
    </comment>
    <comment ref="P10" authorId="0" shapeId="0" xr:uid="{64A6CE32-D9C2-49D3-9E52-02D35DE9225A}">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T10" authorId="0" shapeId="0" xr:uid="{8177EBA7-DA61-4912-9B82-6B73C8FB6A49}">
      <text>
        <r>
          <rPr>
            <b/>
            <sz val="9"/>
            <color indexed="81"/>
            <rFont val="Tahoma"/>
            <charset val="177"/>
          </rPr>
          <t>יניב שפירא:</t>
        </r>
        <r>
          <rPr>
            <sz val="9"/>
            <color indexed="81"/>
            <rFont val="Tahoma"/>
            <charset val="177"/>
          </rPr>
          <t xml:space="preserve">
1 = ישפיע במידה רבה
2 = במידה מסויימת
3 = במידה מועטה
4 = לא ישפיע כלל</t>
        </r>
      </text>
    </comment>
    <comment ref="Z11" authorId="0" shapeId="0" xr:uid="{4ABB363D-9787-45EA-83A8-D2EF0CAAB678}">
      <text>
        <r>
          <rPr>
            <b/>
            <sz val="9"/>
            <color indexed="81"/>
            <rFont val="Tahoma"/>
            <charset val="177"/>
          </rPr>
          <t>יניב שפירא:</t>
        </r>
        <r>
          <rPr>
            <sz val="9"/>
            <color indexed="81"/>
            <rFont val="Tahoma"/>
            <charset val="177"/>
          </rPr>
          <t xml:space="preserve">
1 = במידה רבה
2 = במידה מסוימת
3 = במידה מועטה
4 = כלל לא ישפיע</t>
        </r>
      </text>
    </comment>
    <comment ref="I15" authorId="0" shapeId="0" xr:uid="{630A6DA5-CBCD-4F28-8A23-F206BE4943E8}">
      <text>
        <r>
          <rPr>
            <b/>
            <sz val="9"/>
            <color indexed="81"/>
            <rFont val="Tahoma"/>
            <family val="2"/>
          </rPr>
          <t>יניב שפירא:</t>
        </r>
        <r>
          <rPr>
            <sz val="9"/>
            <color indexed="81"/>
            <rFont val="Tahoma"/>
            <family val="2"/>
          </rPr>
          <t xml:space="preserve">
1 = ישפיע במידה רבה
2 = ישפיע במידה מסוימת
3 = ישפיע במידה מועטה בלבד
4 = כלל לא ישפיע</t>
        </r>
      </text>
    </comment>
    <comment ref="N16" authorId="0" shapeId="0" xr:uid="{92B71EC5-735E-4B66-96C6-DE0DBE35D4DE}">
      <text>
        <r>
          <rPr>
            <b/>
            <sz val="9"/>
            <color indexed="81"/>
            <rFont val="Tahoma"/>
            <family val="2"/>
          </rPr>
          <t>יניב שפירא:</t>
        </r>
        <r>
          <rPr>
            <sz val="9"/>
            <color indexed="81"/>
            <rFont val="Tahoma"/>
            <family val="2"/>
          </rPr>
          <t xml:space="preserve">
מבצע "ענבי זעם"</t>
        </r>
      </text>
    </comment>
    <comment ref="I20" authorId="0" shapeId="0" xr:uid="{7D34FC15-8797-459F-A603-8C5A0833150A}">
      <text>
        <r>
          <rPr>
            <b/>
            <sz val="9"/>
            <color indexed="81"/>
            <rFont val="Tahoma"/>
            <family val="2"/>
          </rPr>
          <t>יניב שפירא:</t>
        </r>
        <r>
          <rPr>
            <sz val="9"/>
            <color indexed="81"/>
            <rFont val="Tahoma"/>
            <family val="2"/>
          </rPr>
          <t xml:space="preserve">
1 = התהליך המדיני עם הפלסטינים ועם סוריה
2 = המצב הביטחוני
3 = המצב הכלכלי חברתי
4 = יחסי דתיים חילונים
5 = שחיתות ושלטון החוק
6 = האחדות בעם
7 = אחר</t>
        </r>
      </text>
    </comment>
    <comment ref="D21" authorId="0" shapeId="0" xr:uid="{D774F03F-17E2-4240-AC96-B25F785BA158}">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r>
      </text>
    </comment>
    <comment ref="E21" authorId="0" shapeId="0" xr:uid="{5ADD3119-7E0F-43E7-B767-4B11DDBE772C}">
      <text>
        <r>
          <rPr>
            <b/>
            <sz val="9"/>
            <color indexed="81"/>
            <rFont val="Tahoma"/>
            <family val="2"/>
          </rPr>
          <t>יניב שפירא:</t>
        </r>
        <r>
          <rPr>
            <sz val="9"/>
            <color indexed="81"/>
            <rFont val="Tahoma"/>
            <family val="2"/>
          </rPr>
          <t xml:space="preserve">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r>
      </text>
    </comment>
    <comment ref="F21" authorId="0" shapeId="0" xr:uid="{96185C81-D117-4A9F-86D9-9287F60C1D9D}">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B22" authorId="1" shapeId="0" xr:uid="{9171F370-DBDC-4F79-B37F-917DA5FB7888}">
      <text>
        <r>
          <rPr>
            <b/>
            <sz val="9"/>
            <color indexed="81"/>
            <rFont val="Tahoma"/>
            <family val="2"/>
          </rPr>
          <t>adi:</t>
        </r>
        <r>
          <rPr>
            <sz val="9"/>
            <color indexed="81"/>
            <rFont val="Tahoma"/>
            <family val="2"/>
          </rPr>
          <t xml:space="preserve">
1 = שמאל
2 = מרכז
3 = ימין
4 = חרדית
5 = ערבית</t>
        </r>
      </text>
    </comment>
    <comment ref="D23" authorId="0" shapeId="0" xr:uid="{1E8E598E-6816-4E28-BB31-E319622282F1}">
      <text>
        <r>
          <rPr>
            <b/>
            <sz val="9"/>
            <color indexed="81"/>
            <rFont val="Tahoma"/>
            <family val="2"/>
          </rPr>
          <t>יניב שפירא:</t>
        </r>
        <r>
          <rPr>
            <sz val="9"/>
            <color indexed="81"/>
            <rFont val="Tahoma"/>
            <family val="2"/>
          </rPr>
          <t xml:space="preserve">
בחירות ספטמבר 2019
</t>
        </r>
      </text>
    </comment>
    <comment ref="F23" authorId="0" shapeId="0" xr:uid="{0B8542FD-15B7-4395-9C91-911089CF588B}">
      <text>
        <r>
          <rPr>
            <b/>
            <sz val="9"/>
            <color indexed="81"/>
            <rFont val="Tahoma"/>
            <family val="2"/>
          </rPr>
          <t>יניב שפירא:</t>
        </r>
        <r>
          <rPr>
            <sz val="9"/>
            <color indexed="81"/>
            <rFont val="Tahoma"/>
            <family val="2"/>
          </rPr>
          <t xml:space="preserve">
בחירות 2015</t>
        </r>
      </text>
    </comment>
    <comment ref="G23" authorId="0" shapeId="0" xr:uid="{BA7EFA8D-DB0C-41A4-AC8B-5BFA96656304}">
      <text>
        <r>
          <rPr>
            <b/>
            <sz val="9"/>
            <color indexed="81"/>
            <rFont val="Tahoma"/>
            <family val="2"/>
          </rPr>
          <t>יניב שפירא:</t>
        </r>
        <r>
          <rPr>
            <sz val="9"/>
            <color indexed="81"/>
            <rFont val="Tahoma"/>
            <family val="2"/>
          </rPr>
          <t xml:space="preserve">
בחירות 2013</t>
        </r>
      </text>
    </comment>
    <comment ref="H23" authorId="0" shapeId="0" xr:uid="{93FA9819-914F-4BA2-A846-6064D40F5A82}">
      <text>
        <r>
          <rPr>
            <b/>
            <sz val="9"/>
            <color indexed="81"/>
            <rFont val="Tahoma"/>
            <family val="2"/>
          </rPr>
          <t>יניב שפירא:</t>
        </r>
        <r>
          <rPr>
            <sz val="9"/>
            <color indexed="81"/>
            <rFont val="Tahoma"/>
            <family val="2"/>
          </rPr>
          <t xml:space="preserve">
בחירות 2009</t>
        </r>
      </text>
    </comment>
    <comment ref="I23" authorId="0" shapeId="0" xr:uid="{10B9DA47-41E6-475F-98E5-098B327DC726}">
      <text>
        <r>
          <rPr>
            <b/>
            <sz val="9"/>
            <color indexed="81"/>
            <rFont val="Tahoma"/>
            <family val="2"/>
          </rPr>
          <t>יניב שפירא:</t>
        </r>
        <r>
          <rPr>
            <sz val="9"/>
            <color indexed="81"/>
            <rFont val="Tahoma"/>
            <family val="2"/>
          </rPr>
          <t xml:space="preserve">
בחירות 2006</t>
        </r>
      </text>
    </comment>
    <comment ref="J23" authorId="0" shapeId="0" xr:uid="{6A0DD1B4-CD58-4A1D-9A45-2E3F999B73FE}">
      <text>
        <r>
          <rPr>
            <b/>
            <sz val="9"/>
            <color indexed="81"/>
            <rFont val="Tahoma"/>
            <family val="2"/>
          </rPr>
          <t>יניב שפירא:</t>
        </r>
        <r>
          <rPr>
            <sz val="9"/>
            <color indexed="81"/>
            <rFont val="Tahoma"/>
            <family val="2"/>
          </rPr>
          <t xml:space="preserve">
בחירות 2003</t>
        </r>
      </text>
    </comment>
    <comment ref="K23" authorId="0" shapeId="0" xr:uid="{D4A79AB7-6693-4269-879F-4232A9DE63C8}">
      <text>
        <r>
          <rPr>
            <b/>
            <sz val="9"/>
            <color indexed="81"/>
            <rFont val="Tahoma"/>
            <family val="2"/>
          </rPr>
          <t>יניב שפירא:</t>
        </r>
        <r>
          <rPr>
            <sz val="9"/>
            <color indexed="81"/>
            <rFont val="Tahoma"/>
            <family val="2"/>
          </rPr>
          <t xml:space="preserve">
בחירות 1999</t>
        </r>
      </text>
    </comment>
    <comment ref="L23" authorId="0" shapeId="0" xr:uid="{B68BF169-77CE-4628-B9A9-04D5FA34C424}">
      <text>
        <r>
          <rPr>
            <b/>
            <sz val="9"/>
            <color indexed="81"/>
            <rFont val="Tahoma"/>
            <family val="2"/>
          </rPr>
          <t>יניב שפירא:</t>
        </r>
        <r>
          <rPr>
            <sz val="9"/>
            <color indexed="81"/>
            <rFont val="Tahoma"/>
            <family val="2"/>
          </rPr>
          <t xml:space="preserve">
בחירות 1999</t>
        </r>
      </text>
    </comment>
    <comment ref="M23" authorId="0" shapeId="0" xr:uid="{F1608CDA-34A8-429F-84C1-B8CDC6A8DA64}">
      <text>
        <r>
          <rPr>
            <b/>
            <sz val="9"/>
            <color indexed="81"/>
            <rFont val="Tahoma"/>
            <family val="2"/>
          </rPr>
          <t>יניב שפירא:</t>
        </r>
        <r>
          <rPr>
            <sz val="9"/>
            <color indexed="81"/>
            <rFont val="Tahoma"/>
            <family val="2"/>
          </rPr>
          <t xml:space="preserve">
בחירות 1996</t>
        </r>
      </text>
    </comment>
    <comment ref="N23" authorId="0" shapeId="0" xr:uid="{9609887E-49BE-4916-9E23-7CB05409E92E}">
      <text>
        <r>
          <rPr>
            <b/>
            <sz val="9"/>
            <color indexed="81"/>
            <rFont val="Tahoma"/>
            <family val="2"/>
          </rPr>
          <t>יניב שפירא:</t>
        </r>
        <r>
          <rPr>
            <sz val="9"/>
            <color indexed="81"/>
            <rFont val="Tahoma"/>
            <family val="2"/>
          </rPr>
          <t xml:space="preserve">
בחירות 1992</t>
        </r>
      </text>
    </comment>
    <comment ref="O23" authorId="0" shapeId="0" xr:uid="{E884097A-B308-4C72-A4AA-C7E924509E49}">
      <text>
        <r>
          <rPr>
            <b/>
            <sz val="9"/>
            <color indexed="81"/>
            <rFont val="Tahoma"/>
            <charset val="177"/>
          </rPr>
          <t>יניב שפירא:</t>
        </r>
        <r>
          <rPr>
            <sz val="9"/>
            <color indexed="81"/>
            <rFont val="Tahoma"/>
            <charset val="177"/>
          </rPr>
          <t xml:space="preserve">
בחירות 1988</t>
        </r>
      </text>
    </comment>
    <comment ref="P23" authorId="0" shapeId="0" xr:uid="{45B57FBB-716B-4AEC-9EE2-1AA5AF022F3B}">
      <text>
        <r>
          <rPr>
            <b/>
            <sz val="9"/>
            <color indexed="81"/>
            <rFont val="Tahoma"/>
            <charset val="177"/>
          </rPr>
          <t>יניב שפירא:</t>
        </r>
        <r>
          <rPr>
            <sz val="9"/>
            <color indexed="81"/>
            <rFont val="Tahoma"/>
            <charset val="177"/>
          </rPr>
          <t xml:space="preserve">
בחירות 1984</t>
        </r>
      </text>
    </comment>
    <comment ref="Q23" authorId="0" shapeId="0" xr:uid="{DDB5B7AC-9069-45D6-A0DA-F3CF0F06761A}">
      <text>
        <r>
          <rPr>
            <b/>
            <sz val="9"/>
            <color indexed="81"/>
            <rFont val="Tahoma"/>
            <family val="2"/>
          </rPr>
          <t>יניב שפירא:</t>
        </r>
        <r>
          <rPr>
            <sz val="9"/>
            <color indexed="81"/>
            <rFont val="Tahoma"/>
            <family val="2"/>
          </rPr>
          <t xml:space="preserve">
בחירות 1984</t>
        </r>
      </text>
    </comment>
    <comment ref="R23" authorId="0" shapeId="0" xr:uid="{FE1E1003-DB0B-4D9A-B8C8-54B8E00BF680}">
      <text>
        <r>
          <rPr>
            <b/>
            <sz val="9"/>
            <color indexed="81"/>
            <rFont val="Tahoma"/>
            <family val="2"/>
          </rPr>
          <t>יניב שפירא:</t>
        </r>
        <r>
          <rPr>
            <sz val="9"/>
            <color indexed="81"/>
            <rFont val="Tahoma"/>
            <family val="2"/>
          </rPr>
          <t xml:space="preserve">
בחירות 1984</t>
        </r>
      </text>
    </comment>
    <comment ref="S23" authorId="0" shapeId="0" xr:uid="{6E3B1540-C697-4F81-852E-762B1AD98CD9}">
      <text>
        <r>
          <rPr>
            <b/>
            <sz val="9"/>
            <color indexed="81"/>
            <rFont val="Tahoma"/>
            <family val="2"/>
          </rPr>
          <t>יניב שפירא:</t>
        </r>
        <r>
          <rPr>
            <sz val="9"/>
            <color indexed="81"/>
            <rFont val="Tahoma"/>
            <family val="2"/>
          </rPr>
          <t xml:space="preserve">
בחירות 1981</t>
        </r>
      </text>
    </comment>
    <comment ref="T23" authorId="0" shapeId="0" xr:uid="{1B18ED4F-9137-4732-B051-EB8A66B5379E}">
      <text>
        <r>
          <rPr>
            <b/>
            <sz val="9"/>
            <color indexed="81"/>
            <rFont val="Tahoma"/>
            <charset val="177"/>
          </rPr>
          <t>יניב שפירא:</t>
        </r>
        <r>
          <rPr>
            <sz val="9"/>
            <color indexed="81"/>
            <rFont val="Tahoma"/>
            <charset val="177"/>
          </rPr>
          <t xml:space="preserve">
בחירות 1977</t>
        </r>
      </text>
    </comment>
    <comment ref="U23" authorId="0" shapeId="0" xr:uid="{529A5660-5841-477D-A13F-C9A8D613D180}">
      <text>
        <r>
          <rPr>
            <b/>
            <sz val="9"/>
            <color indexed="81"/>
            <rFont val="Tahoma"/>
            <charset val="177"/>
          </rPr>
          <t>יניב שפירא:</t>
        </r>
        <r>
          <rPr>
            <sz val="9"/>
            <color indexed="81"/>
            <rFont val="Tahoma"/>
            <charset val="177"/>
          </rPr>
          <t xml:space="preserve">
בחירות 1977</t>
        </r>
      </text>
    </comment>
    <comment ref="V23" authorId="0" shapeId="0" xr:uid="{9F0B257D-0D4F-4C15-A0A3-2375A1C84E31}">
      <text>
        <r>
          <rPr>
            <b/>
            <sz val="9"/>
            <color indexed="81"/>
            <rFont val="Tahoma"/>
            <charset val="177"/>
          </rPr>
          <t>יניב שפירא:</t>
        </r>
        <r>
          <rPr>
            <sz val="9"/>
            <color indexed="81"/>
            <rFont val="Tahoma"/>
            <charset val="177"/>
          </rPr>
          <t xml:space="preserve">
בחירות 1977</t>
        </r>
      </text>
    </comment>
    <comment ref="W23" authorId="0" shapeId="0" xr:uid="{433C55DF-3FEB-40CE-999F-3A92610425EE}">
      <text>
        <r>
          <rPr>
            <b/>
            <sz val="9"/>
            <color indexed="81"/>
            <rFont val="Tahoma"/>
            <charset val="177"/>
          </rPr>
          <t>יניב שפירא:</t>
        </r>
        <r>
          <rPr>
            <sz val="9"/>
            <color indexed="81"/>
            <rFont val="Tahoma"/>
            <charset val="177"/>
          </rPr>
          <t xml:space="preserve">
בחירות 1973</t>
        </r>
      </text>
    </comment>
    <comment ref="X23" authorId="0" shapeId="0" xr:uid="{17DB65F2-E2AA-4A7D-AEC2-8952DFE2DA54}">
      <text>
        <r>
          <rPr>
            <b/>
            <sz val="9"/>
            <color indexed="81"/>
            <rFont val="Tahoma"/>
            <charset val="177"/>
          </rPr>
          <t>יניב שפירא:</t>
        </r>
        <r>
          <rPr>
            <sz val="9"/>
            <color indexed="81"/>
            <rFont val="Tahoma"/>
            <charset val="177"/>
          </rPr>
          <t xml:space="preserve">
בחירות 1973</t>
        </r>
      </text>
    </comment>
    <comment ref="Y23" authorId="0" shapeId="0" xr:uid="{D7BFA2F4-E20B-446F-83BA-3CCC350F71E0}">
      <text>
        <r>
          <rPr>
            <b/>
            <sz val="9"/>
            <color indexed="81"/>
            <rFont val="Tahoma"/>
            <charset val="177"/>
          </rPr>
          <t>יניב שפירא:</t>
        </r>
        <r>
          <rPr>
            <sz val="9"/>
            <color indexed="81"/>
            <rFont val="Tahoma"/>
            <charset val="177"/>
          </rPr>
          <t xml:space="preserve">
בחירות 1973</t>
        </r>
      </text>
    </comment>
    <comment ref="Z23" authorId="0" shapeId="0" xr:uid="{A953DD1E-354A-496B-869E-E07FAEA34BFA}">
      <text>
        <r>
          <rPr>
            <b/>
            <sz val="9"/>
            <color indexed="81"/>
            <rFont val="Tahoma"/>
            <charset val="177"/>
          </rPr>
          <t>יניב שפירא:</t>
        </r>
        <r>
          <rPr>
            <sz val="9"/>
            <color indexed="81"/>
            <rFont val="Tahoma"/>
            <charset val="177"/>
          </rPr>
          <t xml:space="preserve">
בחירות 1973</t>
        </r>
      </text>
    </comment>
    <comment ref="AA23" authorId="0" shapeId="0" xr:uid="{4C7EA95C-6708-422E-AA95-08C1435F98C2}">
      <text>
        <r>
          <rPr>
            <b/>
            <sz val="9"/>
            <color indexed="81"/>
            <rFont val="Tahoma"/>
            <charset val="177"/>
          </rPr>
          <t>יניב שפירא:</t>
        </r>
        <r>
          <rPr>
            <sz val="9"/>
            <color indexed="81"/>
            <rFont val="Tahoma"/>
            <charset val="177"/>
          </rPr>
          <t xml:space="preserve">
בחירות 1969</t>
        </r>
      </text>
    </comment>
    <comment ref="AB23" authorId="0" shapeId="0" xr:uid="{E2E85971-076D-44FA-B7E6-CA7CADE4D1E0}">
      <text>
        <r>
          <rPr>
            <b/>
            <sz val="9"/>
            <color indexed="81"/>
            <rFont val="Tahoma"/>
            <charset val="177"/>
          </rPr>
          <t>יניב שפירא:</t>
        </r>
        <r>
          <rPr>
            <sz val="9"/>
            <color indexed="81"/>
            <rFont val="Tahoma"/>
            <charset val="177"/>
          </rPr>
          <t xml:space="preserve">
בחירות 1969</t>
        </r>
      </text>
    </comment>
    <comment ref="AC23" authorId="0" shapeId="0" xr:uid="{592CD089-D30D-47B8-8365-E4A136ACD9B6}">
      <text>
        <r>
          <rPr>
            <b/>
            <sz val="9"/>
            <color indexed="81"/>
            <rFont val="Tahoma"/>
            <charset val="177"/>
          </rPr>
          <t>יניב שפירא:</t>
        </r>
        <r>
          <rPr>
            <sz val="9"/>
            <color indexed="81"/>
            <rFont val="Tahoma"/>
            <charset val="177"/>
          </rPr>
          <t xml:space="preserve">
בחירות 1969</t>
        </r>
      </text>
    </comment>
    <comment ref="AF23" authorId="0" shapeId="0" xr:uid="{E704E05B-197A-4023-A34B-3A961BCD27B2}">
      <text>
        <r>
          <rPr>
            <b/>
            <sz val="9"/>
            <color indexed="81"/>
            <rFont val="Tahoma"/>
            <family val="2"/>
          </rPr>
          <t>יניב שפירא:</t>
        </r>
        <r>
          <rPr>
            <sz val="9"/>
            <color indexed="81"/>
            <rFont val="Tahoma"/>
            <family val="2"/>
          </rPr>
          <t xml:space="preserve">
בחירות 1965</t>
        </r>
      </text>
    </comment>
    <comment ref="AG23" authorId="0" shapeId="0" xr:uid="{D413062D-476B-427F-8CE1-923D32FCB740}">
      <text>
        <r>
          <rPr>
            <b/>
            <sz val="9"/>
            <color indexed="81"/>
            <rFont val="Tahoma"/>
            <charset val="177"/>
          </rPr>
          <t>יניב שפירא:</t>
        </r>
        <r>
          <rPr>
            <sz val="9"/>
            <color indexed="81"/>
            <rFont val="Tahoma"/>
            <charset val="177"/>
          </rPr>
          <t xml:space="preserve">
בחירות 1965</t>
        </r>
      </text>
    </comment>
    <comment ref="AH23" authorId="0" shapeId="0" xr:uid="{25AFD9A5-DD4E-43F2-B34C-62D45064B4C2}">
      <text>
        <r>
          <rPr>
            <b/>
            <sz val="9"/>
            <color indexed="81"/>
            <rFont val="Tahoma"/>
            <family val="2"/>
          </rPr>
          <t>יניב שפירא:</t>
        </r>
        <r>
          <rPr>
            <sz val="9"/>
            <color indexed="81"/>
            <rFont val="Tahoma"/>
            <family val="2"/>
          </rPr>
          <t xml:space="preserve">
בחירות 1965</t>
        </r>
      </text>
    </comment>
    <comment ref="L24" authorId="0" shapeId="0" xr:uid="{BBF1EC7F-EABD-48C1-B6BE-8CA8C1018183}">
      <text>
        <r>
          <rPr>
            <b/>
            <sz val="9"/>
            <color indexed="81"/>
            <rFont val="Tahoma"/>
            <family val="2"/>
          </rPr>
          <t>יניב שפירא:</t>
        </r>
        <r>
          <rPr>
            <sz val="9"/>
            <color indexed="81"/>
            <rFont val="Tahoma"/>
            <family val="2"/>
          </rPr>
          <t xml:space="preserve">
1 = שרון
2 = ברק
3 = פתק לבן
4 = לא אצביע
5 = לא החלטתי</t>
        </r>
      </text>
    </comment>
    <comment ref="M24" authorId="0" shapeId="0" xr:uid="{7C80C42B-0B4D-423F-ACB8-2B8CED514543}">
      <text>
        <r>
          <rPr>
            <b/>
            <sz val="9"/>
            <color indexed="81"/>
            <rFont val="Tahoma"/>
            <family val="2"/>
          </rPr>
          <t>יניב שפירא:</t>
        </r>
        <r>
          <rPr>
            <sz val="9"/>
            <color indexed="81"/>
            <rFont val="Tahoma"/>
            <family val="2"/>
          </rPr>
          <t xml:space="preserve">
1 = נתניהו
2 = ברק
3 = מרדכי
4 = בגין
5 = בשארה
6 = רפול
7 = אחר
8 = פתק לבן
9 = לא אצביע</t>
        </r>
      </text>
    </comment>
    <comment ref="N24" authorId="0" shapeId="0" xr:uid="{1BEC822D-6619-4792-9404-676783F6C492}">
      <text>
        <r>
          <rPr>
            <b/>
            <sz val="9"/>
            <color indexed="81"/>
            <rFont val="Tahoma"/>
            <family val="2"/>
          </rPr>
          <t>יניב שפירא:</t>
        </r>
        <r>
          <rPr>
            <sz val="9"/>
            <color indexed="81"/>
            <rFont val="Tahoma"/>
            <family val="2"/>
          </rPr>
          <t xml:space="preserve">
1 = בנימין נתניהו
2 = שמעון פרס</t>
        </r>
      </text>
    </comment>
    <comment ref="K25" authorId="0" shapeId="0" xr:uid="{11C91CC4-6107-4EAA-8ACB-8082D737719D}">
      <text>
        <r>
          <rPr>
            <b/>
            <sz val="9"/>
            <color indexed="81"/>
            <rFont val="Tahoma"/>
            <family val="2"/>
          </rPr>
          <t>יניב שפירא:</t>
        </r>
        <r>
          <rPr>
            <sz val="9"/>
            <color indexed="81"/>
            <rFont val="Tahoma"/>
            <family val="2"/>
          </rPr>
          <t xml:space="preserve">
1 = ברק
2 = שרון
3 = לא הצבעתי למרות שהייתה לי זכות
4 = לא הצבעתי כי לא הייתה לי זכות</t>
        </r>
      </text>
    </comment>
    <comment ref="L25" authorId="0" shapeId="0" xr:uid="{59ADC832-6E3A-4D0A-8A1A-197741B39767}">
      <text>
        <r>
          <rPr>
            <b/>
            <sz val="9"/>
            <color indexed="81"/>
            <rFont val="Tahoma"/>
            <family val="2"/>
          </rPr>
          <t>יניב שפירא:</t>
        </r>
        <r>
          <rPr>
            <sz val="9"/>
            <color indexed="81"/>
            <rFont val="Tahoma"/>
            <family val="2"/>
          </rPr>
          <t xml:space="preserve">
בחירות 1999
1 = נתניהו
2 = ברק
3 = פתק לבן
4 = לא הצבעתי</t>
        </r>
      </text>
    </comment>
    <comment ref="M25" authorId="0" shapeId="0" xr:uid="{75B306EC-5053-409C-A629-5B3F60FC1C4F}">
      <text>
        <r>
          <rPr>
            <b/>
            <sz val="9"/>
            <color indexed="81"/>
            <rFont val="Tahoma"/>
            <family val="2"/>
          </rPr>
          <t>יניב שפירא:</t>
        </r>
        <r>
          <rPr>
            <sz val="9"/>
            <color indexed="81"/>
            <rFont val="Tahoma"/>
            <family val="2"/>
          </rPr>
          <t xml:space="preserve">
1 = נתניהו
2 = פרס
3 = פתק לבן
4 = לא הצבעתי למרות שיכלתי
5 = לא הצבעתי כי לא יכלתי</t>
        </r>
      </text>
    </comment>
    <comment ref="M26" authorId="0" shapeId="0" xr:uid="{3AB77306-6175-470E-B83F-3162847E9E4D}">
      <text>
        <r>
          <rPr>
            <b/>
            <sz val="9"/>
            <color indexed="81"/>
            <rFont val="Tahoma"/>
            <family val="2"/>
          </rPr>
          <t>יניב שפירא:</t>
        </r>
        <r>
          <rPr>
            <sz val="9"/>
            <color indexed="81"/>
            <rFont val="Tahoma"/>
            <family val="2"/>
          </rPr>
          <t xml:space="preserve">
1 = נתניהו
2 = ברק
3 = פתק לבן
4 = לא אצביע
5 = לא החלטתי</t>
        </r>
      </text>
    </comment>
    <comment ref="D27" authorId="0" shapeId="0" xr:uid="{BF5DDC30-279C-4CED-97DC-A71EE5528765}">
      <text>
        <r>
          <rPr>
            <b/>
            <sz val="9"/>
            <color indexed="81"/>
            <rFont val="Tahoma"/>
            <charset val="177"/>
          </rPr>
          <t>יניב שפירא:</t>
        </r>
        <r>
          <rPr>
            <sz val="9"/>
            <color indexed="81"/>
            <rFont val="Tahoma"/>
            <charset val="177"/>
          </rPr>
          <t xml:space="preserve">
בחירות 2019 א'</t>
        </r>
      </text>
    </comment>
    <comment ref="N27" authorId="0" shapeId="0" xr:uid="{EF827837-217F-4E1F-A0A3-F3A8E917C291}">
      <text>
        <r>
          <rPr>
            <b/>
            <sz val="9"/>
            <color indexed="81"/>
            <rFont val="Tahoma"/>
            <family val="2"/>
          </rPr>
          <t>יניב שפירא:</t>
        </r>
        <r>
          <rPr>
            <sz val="9"/>
            <color indexed="81"/>
            <rFont val="Tahoma"/>
            <family val="2"/>
          </rPr>
          <t xml:space="preserve">
בחירות 1988</t>
        </r>
      </text>
    </comment>
    <comment ref="T27" authorId="0" shapeId="0" xr:uid="{FD62D5D3-FAC2-459B-9DF6-D1761D737651}">
      <text>
        <r>
          <rPr>
            <b/>
            <sz val="9"/>
            <color indexed="81"/>
            <rFont val="Tahoma"/>
            <charset val="177"/>
          </rPr>
          <t>יניב שפירא:</t>
        </r>
        <r>
          <rPr>
            <sz val="9"/>
            <color indexed="81"/>
            <rFont val="Tahoma"/>
            <charset val="177"/>
          </rPr>
          <t xml:space="preserve">
בחירות 1973</t>
        </r>
      </text>
    </comment>
    <comment ref="U27" authorId="0" shapeId="0" xr:uid="{15B1514B-0AB3-47CE-9C4F-413F56AD6F29}">
      <text>
        <r>
          <rPr>
            <b/>
            <sz val="9"/>
            <color indexed="81"/>
            <rFont val="Tahoma"/>
            <charset val="177"/>
          </rPr>
          <t>יניב שפירא:</t>
        </r>
        <r>
          <rPr>
            <sz val="9"/>
            <color indexed="81"/>
            <rFont val="Tahoma"/>
            <charset val="177"/>
          </rPr>
          <t xml:space="preserve">
בחירות 1973</t>
        </r>
      </text>
    </comment>
    <comment ref="V27" authorId="0" shapeId="0" xr:uid="{60D0C144-E833-4E10-92E0-C4C5FD9CF673}">
      <text>
        <r>
          <rPr>
            <b/>
            <sz val="9"/>
            <color indexed="81"/>
            <rFont val="Tahoma"/>
            <charset val="177"/>
          </rPr>
          <t>יניב שפירא:</t>
        </r>
        <r>
          <rPr>
            <sz val="9"/>
            <color indexed="81"/>
            <rFont val="Tahoma"/>
            <charset val="177"/>
          </rPr>
          <t xml:space="preserve">
בחירות 1973</t>
        </r>
      </text>
    </comment>
    <comment ref="Z27" authorId="0" shapeId="0" xr:uid="{222B061C-1CAD-41FF-9A1B-CB9EB0C29553}">
      <text>
        <r>
          <rPr>
            <b/>
            <sz val="9"/>
            <color indexed="81"/>
            <rFont val="Tahoma"/>
            <charset val="177"/>
          </rPr>
          <t>יניב שפירא:</t>
        </r>
        <r>
          <rPr>
            <sz val="9"/>
            <color indexed="81"/>
            <rFont val="Tahoma"/>
            <charset val="177"/>
          </rPr>
          <t xml:space="preserve">
בחירות 1969</t>
        </r>
      </text>
    </comment>
    <comment ref="D28" authorId="0" shapeId="0" xr:uid="{F158DB09-CAC1-4A3A-8686-E0F6456D1324}">
      <text>
        <r>
          <rPr>
            <b/>
            <sz val="9"/>
            <color indexed="81"/>
            <rFont val="Tahoma"/>
            <charset val="177"/>
          </rPr>
          <t>יניב שפירא:</t>
        </r>
        <r>
          <rPr>
            <sz val="9"/>
            <color indexed="81"/>
            <rFont val="Tahoma"/>
            <charset val="177"/>
          </rPr>
          <t xml:space="preserve">
בחירות 2015</t>
        </r>
      </text>
    </comment>
    <comment ref="T28" authorId="0" shapeId="0" xr:uid="{A9804619-4D7E-4C71-B770-670B639FFAF8}">
      <text>
        <r>
          <rPr>
            <b/>
            <sz val="9"/>
            <color indexed="81"/>
            <rFont val="Tahoma"/>
            <charset val="177"/>
          </rPr>
          <t>יניב שפירא:</t>
        </r>
        <r>
          <rPr>
            <sz val="9"/>
            <color indexed="81"/>
            <rFont val="Tahoma"/>
            <charset val="177"/>
          </rPr>
          <t xml:space="preserve">
בחירות 1969</t>
        </r>
      </text>
    </comment>
    <comment ref="J29" authorId="0" shapeId="0" xr:uid="{E51567E2-2920-4733-82B1-4BF5B55FF426}">
      <text>
        <r>
          <rPr>
            <b/>
            <sz val="9"/>
            <color indexed="81"/>
            <rFont val="Tahoma"/>
            <family val="2"/>
          </rPr>
          <t>יניב שפירא:</t>
        </r>
        <r>
          <rPr>
            <sz val="9"/>
            <color indexed="81"/>
            <rFont val="Tahoma"/>
            <family val="2"/>
          </rPr>
          <t xml:space="preserve">
שתי מערכות בחירות אחורה
הבחירות לרה"מ 2001
1 = ברק
2 = שרון
3 = פתק לבן
4 = לא הצבעתי למרות שהייתה לי זכות הצבעה
5 = לא הצבעתי כי לא הייתה לי זכות הצבעה</t>
        </r>
      </text>
    </comment>
    <comment ref="K29" authorId="0" shapeId="0" xr:uid="{DB7C98ED-A3C5-4139-89F8-7F3E7CD4883F}">
      <text>
        <r>
          <rPr>
            <b/>
            <sz val="9"/>
            <color indexed="81"/>
            <rFont val="Tahoma"/>
            <family val="2"/>
          </rPr>
          <t>יניב שפירא:</t>
        </r>
        <r>
          <rPr>
            <sz val="9"/>
            <color indexed="81"/>
            <rFont val="Tahoma"/>
            <family val="2"/>
          </rPr>
          <t xml:space="preserve">
1 = ברק
2 = נתניהו
3 = לא הצבעתי למרות שהייתה לי זכות
4 = לא הצבעתי כי לא הייתה לי זכות</t>
        </r>
      </text>
    </comment>
    <comment ref="D30" authorId="0" shapeId="0" xr:uid="{D17F6266-03EE-4706-AB56-F06DD584728F}">
      <text>
        <r>
          <rPr>
            <b/>
            <sz val="9"/>
            <color indexed="81"/>
            <rFont val="Tahoma"/>
            <family val="2"/>
          </rPr>
          <t>יניב שפירא:</t>
        </r>
        <r>
          <rPr>
            <sz val="9"/>
            <color indexed="81"/>
            <rFont val="Tahoma"/>
            <family val="2"/>
          </rPr>
          <t xml:space="preserve">
1 = כן
2 = לא
3 = פתק לבן</t>
        </r>
      </text>
    </comment>
    <comment ref="D31" authorId="0" shapeId="0" xr:uid="{FFDB7DC4-7729-4E48-842B-D5A9A84E205C}">
      <text>
        <r>
          <rPr>
            <b/>
            <sz val="9"/>
            <color indexed="81"/>
            <rFont val="Tahoma"/>
            <family val="2"/>
          </rPr>
          <t>יניב שפירא:</t>
        </r>
        <r>
          <rPr>
            <sz val="9"/>
            <color indexed="81"/>
            <rFont val="Tahoma"/>
            <family val="2"/>
          </rPr>
          <t xml:space="preserve">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r>
      </text>
    </comment>
    <comment ref="F31" authorId="0" shapeId="0" xr:uid="{E067DA53-99EB-4B16-9DF5-E6EAA8639335}">
      <text>
        <r>
          <rPr>
            <b/>
            <sz val="9"/>
            <color indexed="81"/>
            <rFont val="Tahoma"/>
            <charset val="177"/>
          </rPr>
          <t>יניב שפירא:</t>
        </r>
        <r>
          <rPr>
            <sz val="9"/>
            <color indexed="81"/>
            <rFont val="Tahoma"/>
            <charset val="177"/>
          </rPr>
          <t xml:space="preserve">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r>
      </text>
    </comment>
    <comment ref="M32" authorId="0" shapeId="0" xr:uid="{FB10E4F0-30C5-4910-AC39-3E094442FEDA}">
      <text>
        <r>
          <rPr>
            <b/>
            <sz val="9"/>
            <color indexed="81"/>
            <rFont val="Tahoma"/>
            <family val="2"/>
          </rPr>
          <t>יניב שפירא:</t>
        </r>
        <r>
          <rPr>
            <sz val="9"/>
            <color indexed="81"/>
            <rFont val="Tahoma"/>
            <family val="2"/>
          </rPr>
          <t xml:space="preserve">
1 = כן
2 = לא</t>
        </r>
      </text>
    </comment>
    <comment ref="M33" authorId="0" shapeId="0" xr:uid="{3F6AC51A-5F5C-49F2-92D9-E14167E369BC}">
      <text>
        <r>
          <rPr>
            <b/>
            <sz val="9"/>
            <color indexed="81"/>
            <rFont val="Tahoma"/>
            <family val="2"/>
          </rPr>
          <t>יניב שפירא:</t>
        </r>
        <r>
          <rPr>
            <sz val="9"/>
            <color indexed="81"/>
            <rFont val="Tahoma"/>
            <family val="2"/>
          </rPr>
          <t xml:space="preserve">
d11
d12
d13</t>
        </r>
      </text>
    </comment>
    <comment ref="Y35" authorId="0" shapeId="0" xr:uid="{5C455B33-0F8B-4950-80D0-FE7FF4391D46}">
      <text>
        <r>
          <rPr>
            <b/>
            <sz val="9"/>
            <color indexed="81"/>
            <rFont val="Tahoma"/>
            <charset val="177"/>
          </rPr>
          <t>יניב שפירא:</t>
        </r>
        <r>
          <rPr>
            <sz val="9"/>
            <color indexed="81"/>
            <rFont val="Tahoma"/>
            <charset val="177"/>
          </rPr>
          <t xml:space="preserve">
1 = מתלבט הרבה יותר
2 = מתלבט יותר
3 = מתלבט פחות
4 = מתלבט הרבה פחות
5 = קודם לא התלבטתי וגם עכשיו לא
6 = ממשיך להתלבט כמו קודם</t>
        </r>
      </text>
    </comment>
    <comment ref="M36" authorId="0" shapeId="0" xr:uid="{586D01A2-6BA6-4765-AE1A-22CB0C800C5E}">
      <text>
        <r>
          <rPr>
            <b/>
            <sz val="9"/>
            <color indexed="81"/>
            <rFont val="Tahoma"/>
            <family val="2"/>
          </rPr>
          <t>יניב שפירא:</t>
        </r>
        <r>
          <rPr>
            <sz val="9"/>
            <color indexed="81"/>
            <rFont val="Tahoma"/>
            <family val="2"/>
          </rPr>
          <t xml:space="preserve">
1 = נתניהו
2 = ברק
3 = פתק לבן
4 = לא הצבעתי</t>
        </r>
      </text>
    </comment>
    <comment ref="M37" authorId="0" shapeId="0" xr:uid="{41D386EB-2516-4579-A862-11E5EE2F0DCB}">
      <text>
        <r>
          <rPr>
            <b/>
            <sz val="9"/>
            <color indexed="81"/>
            <rFont val="Tahoma"/>
            <family val="2"/>
          </rPr>
          <t>יניב שפירא:</t>
        </r>
        <r>
          <rPr>
            <sz val="9"/>
            <color indexed="81"/>
            <rFont val="Tahoma"/>
            <family val="2"/>
          </rPr>
          <t xml:space="preserve">
1 = נתניהו
2 = ברק
3 = מרדכי
4 = בגין
5 = בשארה</t>
        </r>
      </text>
    </comment>
    <comment ref="M38" authorId="0" shapeId="0" xr:uid="{C088C42F-FA9D-4B83-85F0-9185BD9E44F6}">
      <text>
        <r>
          <rPr>
            <b/>
            <sz val="9"/>
            <color indexed="81"/>
            <rFont val="Tahoma"/>
            <family val="2"/>
          </rPr>
          <t>יניב שפירא:</t>
        </r>
        <r>
          <rPr>
            <sz val="9"/>
            <color indexed="81"/>
            <rFont val="Tahoma"/>
            <family val="2"/>
          </rPr>
          <t xml:space="preserve">
1 = כן
2 = לא</t>
        </r>
      </text>
    </comment>
    <comment ref="M39" authorId="0" shapeId="0" xr:uid="{13B8836C-7EA0-4699-B77F-6065A09C382C}">
      <text>
        <r>
          <rPr>
            <b/>
            <sz val="9"/>
            <color indexed="81"/>
            <rFont val="Tahoma"/>
            <family val="2"/>
          </rPr>
          <t>יניב שפירא:</t>
        </r>
        <r>
          <rPr>
            <sz val="9"/>
            <color indexed="81"/>
            <rFont val="Tahoma"/>
            <family val="2"/>
          </rPr>
          <t xml:space="preserve">
1 = נתניהו-ברק
2 = מרדכי-נתניהו
3 = בגין-נתניהו
4 = מרדכי-ברק
5 = בגין-בשארה
6 = בשארה-ברק
7 = מרדכי=בשארה
8 = אחר</t>
        </r>
      </text>
    </comment>
    <comment ref="A41" authorId="0" shapeId="0" xr:uid="{086D7F1F-E462-459A-8027-AB60761CC66C}">
      <text>
        <r>
          <rPr>
            <b/>
            <sz val="9"/>
            <color indexed="81"/>
            <rFont val="Tahoma"/>
            <charset val="177"/>
          </rPr>
          <t>יניב שפירא:</t>
        </r>
        <r>
          <rPr>
            <sz val="9"/>
            <color indexed="81"/>
            <rFont val="Tahoma"/>
            <charset val="177"/>
          </rPr>
          <t xml:space="preserve">
לא למצביעי הליכוד וכחול-לבן</t>
        </r>
      </text>
    </comment>
    <comment ref="F41" authorId="0" shapeId="0" xr:uid="{ACDC61C1-19FC-433F-AB4B-46942824B530}">
      <text>
        <r>
          <rPr>
            <b/>
            <sz val="9"/>
            <color indexed="81"/>
            <rFont val="Tahoma"/>
            <charset val="177"/>
          </rPr>
          <t>יניב שפירא:</t>
        </r>
        <r>
          <rPr>
            <sz val="9"/>
            <color indexed="81"/>
            <rFont val="Tahoma"/>
            <charset val="177"/>
          </rPr>
          <t xml:space="preserve">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r>
      </text>
    </comment>
    <comment ref="A42" authorId="0" shapeId="0" xr:uid="{ACC6B127-BB84-4DC9-801F-6BA38AB7F3AC}">
      <text>
        <r>
          <rPr>
            <b/>
            <sz val="9"/>
            <color indexed="81"/>
            <rFont val="Tahoma"/>
            <charset val="177"/>
          </rPr>
          <t>יניב שפירא:</t>
        </r>
        <r>
          <rPr>
            <sz val="9"/>
            <color indexed="81"/>
            <rFont val="Tahoma"/>
            <charset val="177"/>
          </rPr>
          <t xml:space="preserve">
רק מי שענה 2 בשאלה הקודמת</t>
        </r>
      </text>
    </comment>
    <comment ref="A43" authorId="0" shapeId="0" xr:uid="{91935FB2-9577-417D-B43D-7FAD66BCCAFB}">
      <text>
        <r>
          <rPr>
            <b/>
            <sz val="9"/>
            <color indexed="81"/>
            <rFont val="Tahoma"/>
            <family val="2"/>
          </rPr>
          <t>יניב שפירא:</t>
        </r>
        <r>
          <rPr>
            <sz val="9"/>
            <color indexed="81"/>
            <rFont val="Tahoma"/>
            <family val="2"/>
          </rPr>
          <t xml:space="preserve">
מי שענה 1 בשאלה על אחוז החסימה (2015)</t>
        </r>
      </text>
    </comment>
    <comment ref="G43" authorId="0" shapeId="0" xr:uid="{0DE54653-0CC3-419C-AA85-F17419216F08}">
      <text>
        <r>
          <rPr>
            <b/>
            <sz val="9"/>
            <color indexed="81"/>
            <rFont val="Tahoma"/>
            <family val="2"/>
          </rPr>
          <t>יניב שפירא:</t>
        </r>
        <r>
          <rPr>
            <sz val="9"/>
            <color indexed="81"/>
            <rFont val="Tahoma"/>
            <family val="2"/>
          </rPr>
          <t xml:space="preserve">
1 = כי אי אפשר לסמוך על סקרים
2 = כי חשוב לך לבטא את דעתך ואחוז החסימה לא מהווה שיקול בהחלטתך
3 = כי המפלגה שאתה תומך בה עוברת בוודאות את אחוז החסימה</t>
        </r>
      </text>
    </comment>
    <comment ref="F44" authorId="0" shapeId="0" xr:uid="{49EE3726-F686-4EAD-AA11-9F3E3DDB84B9}">
      <text>
        <r>
          <rPr>
            <b/>
            <sz val="9"/>
            <color indexed="81"/>
            <rFont val="Tahoma"/>
            <charset val="177"/>
          </rPr>
          <t>יניב שפירא:</t>
        </r>
        <r>
          <rPr>
            <sz val="9"/>
            <color indexed="81"/>
            <rFont val="Tahoma"/>
            <charset val="177"/>
          </rPr>
          <t xml:space="preserve">
1 = ביום הבחירות עצמו
2 = יומיים-שלושה לפני הבחירות
3 = כשבוע לפני הבחירות
4 = כחודש לפני הבחירות
5 = כמה חודשים לפני הבחירות
6 = ידעת מלכתחילה למי להצביע</t>
        </r>
      </text>
    </comment>
    <comment ref="M44" authorId="0" shapeId="0" xr:uid="{C9426701-570C-474D-A687-BDB34DC4E19D}">
      <text>
        <r>
          <rPr>
            <b/>
            <sz val="9"/>
            <color indexed="81"/>
            <rFont val="Tahoma"/>
            <family val="2"/>
          </rPr>
          <t>יניב שפירא:</t>
        </r>
        <r>
          <rPr>
            <sz val="9"/>
            <color indexed="81"/>
            <rFont val="Tahoma"/>
            <family val="2"/>
          </rPr>
          <t xml:space="preserve">
1 = לפני מס' חודשים
2 = בשבועות האחרונים
3 = אחרי פרישת בשארה, בגין ומרדכי
4 = ביום הבחירות</t>
        </r>
      </text>
    </comment>
    <comment ref="AA44" authorId="0" shapeId="0" xr:uid="{9D8B263F-843A-49E6-957A-816A9566FF5A}">
      <text>
        <r>
          <rPr>
            <b/>
            <sz val="9"/>
            <color indexed="81"/>
            <rFont val="Tahoma"/>
            <family val="2"/>
          </rPr>
          <t>יניב שפירא:</t>
        </r>
        <r>
          <rPr>
            <sz val="9"/>
            <color indexed="81"/>
            <rFont val="Tahoma"/>
            <family val="2"/>
          </rPr>
          <t xml:space="preserve">
1 = מזמן
2 = מאז המלחמה או סמוך לה
3 = בימים הסמוכים לבחירות
4 = ביום הבחירות
5 = לא הלכתי להצביע</t>
        </r>
      </text>
    </comment>
    <comment ref="AB44" authorId="0" shapeId="0" xr:uid="{6CC4EA2C-B892-497C-8B91-9462517F682F}">
      <text>
        <r>
          <rPr>
            <b/>
            <sz val="9"/>
            <color indexed="81"/>
            <rFont val="Tahoma"/>
            <charset val="177"/>
          </rPr>
          <t>יניב שפירא:</t>
        </r>
        <r>
          <rPr>
            <sz val="9"/>
            <color indexed="81"/>
            <rFont val="Tahoma"/>
            <charset val="177"/>
          </rPr>
          <t xml:space="preserve">
1 = מזמן
2 = מאז המלחמה או סמוך לה
3 = עם תחילת מערכת הבחירות
4 = היום
5 = בימים הקרובים אחליט
6 = אחליט ביום הבחירות
7 = לא מצביע</t>
        </r>
      </text>
    </comment>
    <comment ref="A45" authorId="0" shapeId="0" xr:uid="{22BF4A31-5121-4160-94FA-73CD2B7B6FBC}">
      <text>
        <r>
          <rPr>
            <b/>
            <sz val="9"/>
            <color indexed="81"/>
            <rFont val="Tahoma"/>
            <charset val="177"/>
          </rPr>
          <t>יניב שפירא:</t>
        </r>
        <r>
          <rPr>
            <sz val="9"/>
            <color indexed="81"/>
            <rFont val="Tahoma"/>
            <charset val="177"/>
          </rPr>
          <t xml:space="preserve">
למי שענה 1,2,3 בשאלה הקודמת (שאלה 3)</t>
        </r>
      </text>
    </comment>
    <comment ref="G45" authorId="0" shapeId="0" xr:uid="{A4DF60BE-C8E9-4EFF-AFF6-2FDB9338E362}">
      <text>
        <r>
          <rPr>
            <b/>
            <sz val="9"/>
            <color indexed="81"/>
            <rFont val="Tahoma"/>
            <charset val="177"/>
          </rPr>
          <t>יניב שפירא:</t>
        </r>
        <r>
          <rPr>
            <sz val="9"/>
            <color indexed="81"/>
            <rFont val="Tahoma"/>
            <charset val="177"/>
          </rPr>
          <t xml:space="preserve">
יש אופציה ל-3 תשובות מקודדות:
after_v4a_1
after_v4a_2
after_v4a_3</t>
        </r>
      </text>
    </comment>
    <comment ref="A46" authorId="0" shapeId="0" xr:uid="{8171B9BD-4344-4449-97E5-8CD67A5E1E5B}">
      <text>
        <r>
          <rPr>
            <b/>
            <sz val="9"/>
            <color indexed="81"/>
            <rFont val="Tahoma"/>
            <charset val="177"/>
          </rPr>
          <t>יניב שפירא:</t>
        </r>
        <r>
          <rPr>
            <sz val="9"/>
            <color indexed="81"/>
            <rFont val="Tahoma"/>
            <charset val="177"/>
          </rPr>
          <t xml:space="preserve">
רק מי שענה שלא הצביע/שם פתק לבן</t>
        </r>
      </text>
    </comment>
    <comment ref="L46" authorId="0" shapeId="0" xr:uid="{BECC0750-D7AE-4C0A-AFAE-94BE92212116}">
      <text>
        <r>
          <rPr>
            <b/>
            <sz val="9"/>
            <color indexed="81"/>
            <rFont val="Tahoma"/>
            <family val="2"/>
          </rPr>
          <t>יניב שפירא:</t>
        </r>
        <r>
          <rPr>
            <sz val="9"/>
            <color indexed="81"/>
            <rFont val="Tahoma"/>
            <family val="2"/>
          </rPr>
          <t xml:space="preserve">
שאלה טרום בחירות
למי שענה שלא מתכוון ללכת להצביע/פתק לבן</t>
        </r>
      </text>
    </comment>
    <comment ref="N46" authorId="0" shapeId="0" xr:uid="{AF8EDA4E-B9FC-4BDA-AC1E-DFA23CB4283B}">
      <text>
        <r>
          <rPr>
            <b/>
            <sz val="9"/>
            <color indexed="81"/>
            <rFont val="Tahoma"/>
            <family val="2"/>
          </rPr>
          <t>יניב שפירא:</t>
        </r>
        <r>
          <rPr>
            <sz val="9"/>
            <color indexed="81"/>
            <rFont val="Tahoma"/>
            <family val="2"/>
          </rPr>
          <t xml:space="preserve">
1 = אף אחד לא נראה מתאים
2 = הבעת מחאה
3 = הרב אמר
4 = בעיות טכניות
5 = אחר</t>
        </r>
      </text>
    </comment>
    <comment ref="F47" authorId="0" shapeId="0" xr:uid="{F07372E7-DB47-4FE7-9694-A6B845A66AE1}">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AA47" authorId="0" shapeId="0" xr:uid="{F334B1B9-43C3-478A-8DCA-7F12D41C802D}">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M48" authorId="0" shapeId="0" xr:uid="{C5C14759-8703-4E80-9AC6-1B6A042DC336}">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8" authorId="0" shapeId="0" xr:uid="{7690F91A-DB39-4EF1-94F9-F59B330BE4C4}">
      <text>
        <r>
          <rPr>
            <b/>
            <sz val="9"/>
            <color indexed="81"/>
            <rFont val="Tahoma"/>
            <family val="2"/>
          </rPr>
          <t>יניב שפירא:</t>
        </r>
        <r>
          <rPr>
            <sz val="9"/>
            <color indexed="81"/>
            <rFont val="Tahoma"/>
            <family val="2"/>
          </rPr>
          <t xml:space="preserve">
1 = השפעה גדולה
2 = השפעה מסויימת
3 = השפעה מועטה
4 = אין כלל השפעה
5 = לא יודע על קיום סקרים</t>
        </r>
      </text>
    </comment>
    <comment ref="L49" authorId="0" shapeId="0" xr:uid="{26E86187-73C8-4977-9E2A-4F03913308F5}">
      <text>
        <r>
          <rPr>
            <b/>
            <sz val="9"/>
            <color indexed="81"/>
            <rFont val="Tahoma"/>
            <family val="2"/>
          </rPr>
          <t>יניב שפירא:</t>
        </r>
        <r>
          <rPr>
            <sz val="9"/>
            <color indexed="81"/>
            <rFont val="Tahoma"/>
            <family val="2"/>
          </rPr>
          <t xml:space="preserve">
0 = לא צופה
1 = בכלל לא
2 = במידה מועטה
3 = במידה מסוימת
4 = במידה רבה</t>
        </r>
      </text>
    </comment>
    <comment ref="M49" authorId="0" shapeId="0" xr:uid="{B1FCF073-F649-41D9-AD4E-F9F00564BC5C}">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V49" authorId="0" shapeId="0" xr:uid="{E4B531BB-EEE9-4C54-A9A2-45D36B57766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A49" authorId="0" shapeId="0" xr:uid="{5EF3D12F-E2A0-4DB0-96EF-F25596F0F3B2}">
      <text>
        <r>
          <rPr>
            <b/>
            <sz val="9"/>
            <color indexed="81"/>
            <rFont val="Tahoma"/>
            <charset val="177"/>
          </rPr>
          <t>יניב שפירא:</t>
        </r>
        <r>
          <rPr>
            <sz val="9"/>
            <color indexed="81"/>
            <rFont val="Tahoma"/>
            <charset val="177"/>
          </rPr>
          <t xml:space="preserve">
לאחר הבחירות</t>
        </r>
      </text>
    </comment>
    <comment ref="AB49" authorId="0" shapeId="0" xr:uid="{689CF024-BD63-4798-8CD7-6E284DC7223F}">
      <text>
        <r>
          <rPr>
            <b/>
            <sz val="9"/>
            <color indexed="81"/>
            <rFont val="Tahoma"/>
            <charset val="177"/>
          </rPr>
          <t>יניב שפירא:</t>
        </r>
        <r>
          <rPr>
            <sz val="9"/>
            <color indexed="81"/>
            <rFont val="Tahoma"/>
            <charset val="177"/>
          </rPr>
          <t xml:space="preserve">
לאחר הבחירות</t>
        </r>
      </text>
    </comment>
    <comment ref="AD49" authorId="0" shapeId="0" xr:uid="{09821E03-F8DF-4A9D-ADE2-1649E10292C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T50" authorId="0" shapeId="0" xr:uid="{A3A2A494-DC27-486E-A716-912502399D67}">
      <text>
        <r>
          <rPr>
            <b/>
            <sz val="9"/>
            <color indexed="81"/>
            <rFont val="Tahoma"/>
            <charset val="177"/>
          </rPr>
          <t>יניב שפירא:</t>
        </r>
        <r>
          <rPr>
            <sz val="9"/>
            <color indexed="81"/>
            <rFont val="Tahoma"/>
            <charset val="177"/>
          </rPr>
          <t xml:space="preserve">
1 = מידה רבה
2 = במידה מסויימת
3 = במידה מועטה
4 = כמעט ולא משפיעות
5 = כלל לא</t>
        </r>
      </text>
    </comment>
    <comment ref="AA50" authorId="0" shapeId="0" xr:uid="{C2DA1CC6-D878-4ABC-B780-1F2608A572C9}">
      <text>
        <r>
          <rPr>
            <b/>
            <sz val="9"/>
            <color indexed="81"/>
            <rFont val="Tahoma"/>
            <charset val="177"/>
          </rPr>
          <t>יניב שפירא:</t>
        </r>
        <r>
          <rPr>
            <sz val="9"/>
            <color indexed="81"/>
            <rFont val="Tahoma"/>
            <charset val="177"/>
          </rPr>
          <t xml:space="preserve">
לאחר הבחירות</t>
        </r>
      </text>
    </comment>
    <comment ref="AB50" authorId="0" shapeId="0" xr:uid="{C8134F70-98A0-4E46-AA6A-0DD1C523BF72}">
      <text>
        <r>
          <rPr>
            <b/>
            <sz val="9"/>
            <color indexed="81"/>
            <rFont val="Tahoma"/>
            <charset val="177"/>
          </rPr>
          <t>יניב שפירא:</t>
        </r>
        <r>
          <rPr>
            <sz val="9"/>
            <color indexed="81"/>
            <rFont val="Tahoma"/>
            <charset val="177"/>
          </rPr>
          <t xml:space="preserve">
לאחר בחירות</t>
        </r>
      </text>
    </comment>
    <comment ref="AD50" authorId="0" shapeId="0" xr:uid="{4A9B899C-8891-4757-B060-8C456B547810}">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V51" authorId="0" shapeId="0" xr:uid="{3950556D-577D-4008-AC4B-27361FF2D495}">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V52" authorId="0" shapeId="0" xr:uid="{6B8F581B-6FD7-4949-B030-F2B7656B02D1}">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AA52" authorId="0" shapeId="0" xr:uid="{187C61A3-32AF-4C01-9CA0-A862F4DB5BF8}">
      <text>
        <r>
          <rPr>
            <b/>
            <sz val="9"/>
            <color indexed="81"/>
            <rFont val="Tahoma"/>
            <charset val="177"/>
          </rPr>
          <t>יניב שפירא:</t>
        </r>
        <r>
          <rPr>
            <sz val="9"/>
            <color indexed="81"/>
            <rFont val="Tahoma"/>
            <charset val="177"/>
          </rPr>
          <t xml:space="preserve">
לאחר הבחירות</t>
        </r>
      </text>
    </comment>
    <comment ref="AB52" authorId="0" shapeId="0" xr:uid="{848EAA34-93AB-4CD7-91BE-BD295608EAD6}">
      <text>
        <r>
          <rPr>
            <b/>
            <sz val="9"/>
            <color indexed="81"/>
            <rFont val="Tahoma"/>
            <charset val="177"/>
          </rPr>
          <t>יניב שפירא:</t>
        </r>
        <r>
          <rPr>
            <sz val="9"/>
            <color indexed="81"/>
            <rFont val="Tahoma"/>
            <charset val="177"/>
          </rPr>
          <t xml:space="preserve">
לאחר בחירות</t>
        </r>
      </text>
    </comment>
    <comment ref="AD52" authorId="0" shapeId="0" xr:uid="{CFA6B7C7-A90B-42CA-8BBF-870A85B28A67}">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A53" authorId="0" shapeId="0" xr:uid="{C7CFD708-AD1B-4184-98AD-86FDDDBAB893}">
      <text>
        <r>
          <rPr>
            <b/>
            <sz val="9"/>
            <color indexed="81"/>
            <rFont val="Tahoma"/>
            <charset val="177"/>
          </rPr>
          <t>יניב שפירא:</t>
        </r>
        <r>
          <rPr>
            <sz val="9"/>
            <color indexed="81"/>
            <rFont val="Tahoma"/>
            <charset val="177"/>
          </rPr>
          <t xml:space="preserve">
לאחר הבחירות</t>
        </r>
      </text>
    </comment>
    <comment ref="AC54" authorId="0" shapeId="0" xr:uid="{A04EF398-7C30-4377-AF05-6F55E8EB33FE}">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55" authorId="0" shapeId="0" xr:uid="{C5553CCA-514B-4526-A1C1-DE000385908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G56" authorId="0" shapeId="0" xr:uid="{2A3C95D1-8CD8-4190-88FA-F82122FA50D1}">
      <text>
        <r>
          <rPr>
            <b/>
            <sz val="9"/>
            <color indexed="81"/>
            <rFont val="Tahoma"/>
            <family val="2"/>
          </rPr>
          <t>יניב שפירא:</t>
        </r>
        <r>
          <rPr>
            <sz val="9"/>
            <color indexed="81"/>
            <rFont val="Tahoma"/>
            <family val="2"/>
          </rPr>
          <t xml:space="preserve">
1 = בטוח שאצביע
2 = חושב שאצביע
3 = לא חושב שאצביע
4 = בטוח לא אצביע</t>
        </r>
      </text>
    </comment>
    <comment ref="AB56" authorId="0" shapeId="0" xr:uid="{26E4E13A-7D97-4425-9668-F359C359F81A}">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C57" authorId="0" shapeId="0" xr:uid="{7299B6CE-DFB4-4B9D-A92C-D7B990820959}">
      <text>
        <r>
          <rPr>
            <b/>
            <sz val="9"/>
            <color indexed="81"/>
            <rFont val="Tahoma"/>
            <family val="2"/>
          </rPr>
          <t>יניב שפירא:</t>
        </r>
        <r>
          <rPr>
            <sz val="9"/>
            <color indexed="81"/>
            <rFont val="Tahoma"/>
            <family val="2"/>
          </rPr>
          <t xml:space="preserve">
1 = סיבות טכניות
2 = אדישות
3 = לא יודע בעד מי להצביע/כולם אותו דבר
4 = מחאה
5 = המועד אינו מתאים לקיום בחירות
9 = מתכוון להצביע</t>
        </r>
      </text>
    </comment>
    <comment ref="A58" authorId="0" shapeId="0" xr:uid="{6078DDBC-D975-4901-BEEA-957D83F1A4F6}">
      <text>
        <r>
          <rPr>
            <b/>
            <sz val="9"/>
            <color indexed="81"/>
            <rFont val="Tahoma"/>
            <family val="2"/>
          </rPr>
          <t>יניב שפירא:</t>
        </r>
        <r>
          <rPr>
            <sz val="9"/>
            <color indexed="81"/>
            <rFont val="Tahoma"/>
            <family val="2"/>
          </rPr>
          <t xml:space="preserve">
לא למצביעי הליכוד והמחנה הציוני</t>
        </r>
      </text>
    </comment>
    <comment ref="G58" authorId="0" shapeId="0" xr:uid="{A95CB2C2-2DF2-4BDA-9E92-F59EE68BA336}">
      <text>
        <r>
          <rPr>
            <b/>
            <sz val="9"/>
            <color indexed="81"/>
            <rFont val="Tahoma"/>
            <family val="2"/>
          </rPr>
          <t>יניב שפירא:</t>
        </r>
        <r>
          <rPr>
            <sz val="9"/>
            <color indexed="81"/>
            <rFont val="Tahoma"/>
            <family val="2"/>
          </rPr>
          <t xml:space="preserve">
1 = כן
2 = לא
3 = אולי</t>
        </r>
      </text>
    </comment>
    <comment ref="A59" authorId="0" shapeId="0" xr:uid="{BB8C272A-1D26-4525-BB92-79DD56C61C0D}">
      <text>
        <r>
          <rPr>
            <b/>
            <sz val="9"/>
            <color indexed="81"/>
            <rFont val="Tahoma"/>
            <family val="2"/>
          </rPr>
          <t>יניב שפירא:</t>
        </r>
        <r>
          <rPr>
            <sz val="9"/>
            <color indexed="81"/>
            <rFont val="Tahoma"/>
            <family val="2"/>
          </rPr>
          <t xml:space="preserve">
למי שענה 1 או 3 בשאלה 93 (2015)</t>
        </r>
      </text>
    </comment>
    <comment ref="G60" authorId="0" shapeId="0" xr:uid="{688328E9-1702-453E-B697-A173F981DA3E}">
      <text>
        <r>
          <rPr>
            <b/>
            <sz val="9"/>
            <color indexed="81"/>
            <rFont val="Tahoma"/>
            <family val="2"/>
          </rPr>
          <t>יניב שפירא:</t>
        </r>
        <r>
          <rPr>
            <sz val="9"/>
            <color indexed="81"/>
            <rFont val="Tahoma"/>
            <family val="2"/>
          </rPr>
          <t xml:space="preserve">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r>
      </text>
    </comment>
    <comment ref="N61" authorId="0" shapeId="0" xr:uid="{F042D186-F689-4F43-8E04-6703A11D0B46}">
      <text>
        <r>
          <rPr>
            <b/>
            <sz val="9"/>
            <color indexed="81"/>
            <rFont val="Tahoma"/>
            <family val="2"/>
          </rPr>
          <t>יניב שפירא:</t>
        </r>
        <r>
          <rPr>
            <sz val="9"/>
            <color indexed="81"/>
            <rFont val="Tahoma"/>
            <family val="2"/>
          </rPr>
          <t xml:space="preserve">
1 = ליכוד
2 = צומת
3 = גשר
4 = מפלגה אחרת
5 = לא החלטתי</t>
        </r>
      </text>
    </comment>
    <comment ref="A62" authorId="0" shapeId="0" xr:uid="{9FA25A26-965B-4D58-8FB2-2D7B23F4FEDF}">
      <text>
        <r>
          <rPr>
            <b/>
            <sz val="9"/>
            <color indexed="81"/>
            <rFont val="Tahoma"/>
            <family val="2"/>
          </rPr>
          <t>יניב שפירא:</t>
        </r>
        <r>
          <rPr>
            <sz val="9"/>
            <color indexed="81"/>
            <rFont val="Tahoma"/>
            <family val="2"/>
          </rPr>
          <t xml:space="preserve">
שאלה ב2015, רק עבור אלו שענו שהצביעו בבחירות האחרונות ב2013 לליכוד-ישראל ביתנו</t>
        </r>
      </text>
    </comment>
    <comment ref="G62" authorId="0" shapeId="0" xr:uid="{DCFF0673-4881-4C5A-AA7B-C510838175B6}">
      <text>
        <r>
          <rPr>
            <b/>
            <sz val="9"/>
            <color indexed="81"/>
            <rFont val="Tahoma"/>
            <family val="2"/>
          </rPr>
          <t>יניב שפירא:</t>
        </r>
        <r>
          <rPr>
            <sz val="9"/>
            <color indexed="81"/>
            <rFont val="Tahoma"/>
            <family val="2"/>
          </rPr>
          <t xml:space="preserve">
1 = הליכוד
2 = ישראל ביתנו</t>
        </r>
      </text>
    </comment>
    <comment ref="G63" authorId="0" shapeId="0" xr:uid="{3EE5BADC-BC82-4C31-9002-4ADAC774A4AB}">
      <text>
        <r>
          <rPr>
            <b/>
            <sz val="9"/>
            <color indexed="81"/>
            <rFont val="Tahoma"/>
            <family val="2"/>
          </rPr>
          <t>יניב שפירא:</t>
        </r>
        <r>
          <rPr>
            <sz val="9"/>
            <color indexed="81"/>
            <rFont val="Tahoma"/>
            <family val="2"/>
          </rPr>
          <t xml:space="preserve">
1 = גבר
2 = אישה
3 = אין הבדל</t>
        </r>
      </text>
    </comment>
    <comment ref="G64" authorId="0" shapeId="0" xr:uid="{BD432DE1-5B8E-4FCE-8511-B83AE29E3F99}">
      <text>
        <r>
          <rPr>
            <b/>
            <sz val="9"/>
            <color indexed="81"/>
            <rFont val="Tahoma"/>
            <family val="2"/>
          </rPr>
          <t>יניב שפירא:</t>
        </r>
        <r>
          <rPr>
            <sz val="9"/>
            <color indexed="81"/>
            <rFont val="Tahoma"/>
            <family val="2"/>
          </rPr>
          <t xml:space="preserve">
1 = אשכנזי
2 = מזרחי
3 = אין הבדל</t>
        </r>
      </text>
    </comment>
    <comment ref="G65" authorId="0" shapeId="0" xr:uid="{F6D3F21A-D5E1-4A41-80A0-886294688AF0}">
      <text>
        <r>
          <rPr>
            <b/>
            <sz val="9"/>
            <color indexed="81"/>
            <rFont val="Tahoma"/>
            <family val="2"/>
          </rPr>
          <t>יניב שפירא:</t>
        </r>
        <r>
          <rPr>
            <sz val="9"/>
            <color indexed="81"/>
            <rFont val="Tahoma"/>
            <family val="2"/>
          </rPr>
          <t xml:space="preserve">
1 = כלל לא ישפיע
2 = ישפיע במידה מועטה בלבד
3 = ישפיע במידה מסוימת
4 = ישפיע במידה רבה</t>
        </r>
      </text>
    </comment>
    <comment ref="A66" authorId="0" shapeId="0" xr:uid="{6AC75530-5E80-435E-8295-0FC1C964E44A}">
      <text>
        <r>
          <rPr>
            <b/>
            <sz val="9"/>
            <color indexed="81"/>
            <rFont val="Tahoma"/>
            <family val="2"/>
          </rPr>
          <t>יניב שפירא:</t>
        </r>
        <r>
          <rPr>
            <sz val="9"/>
            <color indexed="81"/>
            <rFont val="Tahoma"/>
            <family val="2"/>
          </rPr>
          <t xml:space="preserve">
ליהודים בלבד</t>
        </r>
      </text>
    </comment>
    <comment ref="A68" authorId="0" shapeId="0" xr:uid="{E0DB2632-BB30-4B41-A2D6-C682A9436DFB}">
      <text>
        <r>
          <rPr>
            <b/>
            <sz val="9"/>
            <color indexed="81"/>
            <rFont val="Tahoma"/>
            <family val="2"/>
          </rPr>
          <t>יניב שפירא:</t>
        </r>
        <r>
          <rPr>
            <sz val="9"/>
            <color indexed="81"/>
            <rFont val="Tahoma"/>
            <family val="2"/>
          </rPr>
          <t xml:space="preserve">
ליהודים בלבד</t>
        </r>
      </text>
    </comment>
    <comment ref="I71" authorId="0" shapeId="0" xr:uid="{2D5317D2-C8B2-4AD2-AE36-2AB0BFBF0200}">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V71" authorId="0" shapeId="0" xr:uid="{F4B73A9A-4BC5-4034-92B1-E7F2C10D1CB6}">
      <text>
        <r>
          <rPr>
            <b/>
            <sz val="9"/>
            <color indexed="81"/>
            <rFont val="Tahoma"/>
            <charset val="177"/>
          </rPr>
          <t>יניב שפירא:</t>
        </r>
        <r>
          <rPr>
            <sz val="9"/>
            <color indexed="81"/>
            <rFont val="Tahoma"/>
            <charset val="177"/>
          </rPr>
          <t xml:space="preserve">
1 = במידה רבה
2 = במידה מסויימת
3 = במידה מועטה
4 = בכלל לא</t>
        </r>
      </text>
    </comment>
    <comment ref="AA71" authorId="0" shapeId="0" xr:uid="{2F6AA98D-8658-4816-B56A-50780C017B6C}">
      <text>
        <r>
          <rPr>
            <b/>
            <sz val="9"/>
            <color indexed="81"/>
            <rFont val="Tahoma"/>
            <charset val="177"/>
          </rPr>
          <t>יניב שפירא:</t>
        </r>
        <r>
          <rPr>
            <sz val="9"/>
            <color indexed="81"/>
            <rFont val="Tahoma"/>
            <charset val="177"/>
          </rPr>
          <t xml:space="preserve">
לאחר הבחירות</t>
        </r>
      </text>
    </comment>
    <comment ref="AB71" authorId="0" shapeId="0" xr:uid="{6F98BA37-F539-4CD5-9A80-B1177F3D2467}">
      <text>
        <r>
          <rPr>
            <b/>
            <sz val="9"/>
            <color indexed="81"/>
            <rFont val="Tahoma"/>
            <charset val="177"/>
          </rPr>
          <t>יניב שפירא:</t>
        </r>
        <r>
          <rPr>
            <sz val="9"/>
            <color indexed="81"/>
            <rFont val="Tahoma"/>
            <charset val="177"/>
          </rPr>
          <t xml:space="preserve">
לאחר בחירות</t>
        </r>
      </text>
    </comment>
    <comment ref="AE71" authorId="0" shapeId="0" xr:uid="{4A254C62-8DE3-4A5A-A707-2B13CEFFB218}">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I73" authorId="0" shapeId="0" xr:uid="{F1D0A9E8-C046-4A17-85E9-302924C9B764}">
      <text>
        <r>
          <rPr>
            <b/>
            <sz val="9"/>
            <color indexed="81"/>
            <rFont val="Tahoma"/>
            <family val="2"/>
          </rPr>
          <t>יניב שפירא:</t>
        </r>
        <r>
          <rPr>
            <sz val="9"/>
            <color indexed="81"/>
            <rFont val="Tahoma"/>
            <family val="2"/>
          </rPr>
          <t xml:space="preserve">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r>
      </text>
    </comment>
    <comment ref="U73" authorId="0" shapeId="0" xr:uid="{CCAB16ED-7867-4530-89BE-6CD7D9AA0E28}">
      <text>
        <r>
          <rPr>
            <b/>
            <sz val="9"/>
            <color indexed="81"/>
            <rFont val="Tahoma"/>
            <family val="2"/>
          </rPr>
          <t>יניב שפירא:</t>
        </r>
        <r>
          <rPr>
            <sz val="9"/>
            <color indexed="81"/>
            <rFont val="Tahoma"/>
            <family val="2"/>
          </rPr>
          <t xml:space="preserve">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r>
      </text>
    </comment>
    <comment ref="J74" authorId="0" shapeId="0" xr:uid="{27E38EB0-463F-4C7A-903B-01B6D69007C7}">
      <text>
        <r>
          <rPr>
            <b/>
            <sz val="9"/>
            <color indexed="81"/>
            <rFont val="Tahoma"/>
            <family val="2"/>
          </rPr>
          <t>יניב שפירא:</t>
        </r>
        <r>
          <rPr>
            <sz val="9"/>
            <color indexed="81"/>
            <rFont val="Tahoma"/>
            <family val="2"/>
          </rPr>
          <t xml:space="preserve">
1 = סיבה חשובה מאד
2 = סיבה חשובה
3 = לא בטוח
4 = לא סיבה חשובה
5 = בהחלט לא סיבה חשובה</t>
        </r>
      </text>
    </comment>
    <comment ref="O80" authorId="0" shapeId="0" xr:uid="{9F91318F-88B8-42B4-8DA7-74AFC75FDC9E}">
      <text>
        <r>
          <rPr>
            <b/>
            <sz val="9"/>
            <color indexed="81"/>
            <rFont val="Tahoma"/>
            <family val="2"/>
          </rPr>
          <t>יניב שפירא:</t>
        </r>
        <r>
          <rPr>
            <sz val="9"/>
            <color indexed="81"/>
            <rFont val="Tahoma"/>
            <family val="2"/>
          </rPr>
          <t xml:space="preserve">
1 = שמיר
2 = רבין</t>
        </r>
      </text>
    </comment>
    <comment ref="I83" authorId="0" shapeId="0" xr:uid="{629F6E81-A55D-4957-B9BC-E90459F68E58}">
      <text>
        <r>
          <rPr>
            <b/>
            <sz val="9"/>
            <color indexed="81"/>
            <rFont val="Tahoma"/>
            <family val="2"/>
          </rPr>
          <t>יניב שפירא:</t>
        </r>
        <r>
          <rPr>
            <sz val="9"/>
            <color indexed="81"/>
            <rFont val="Tahoma"/>
            <family val="2"/>
          </rPr>
          <t xml:space="preserve">
בחירות 2008
1 = כן
2 = לא</t>
        </r>
      </text>
    </comment>
    <comment ref="I84" authorId="0" shapeId="0" xr:uid="{63833C13-9B56-4FA9-A053-6EBEEAF76FBB}">
      <text>
        <r>
          <rPr>
            <b/>
            <sz val="9"/>
            <color indexed="81"/>
            <rFont val="Tahoma"/>
            <charset val="177"/>
          </rPr>
          <t>יניב שפירא:</t>
        </r>
        <r>
          <rPr>
            <sz val="9"/>
            <color indexed="81"/>
            <rFont val="Tahoma"/>
            <charset val="177"/>
          </rPr>
          <t xml:space="preserve">
1 = כן
2 = לא</t>
        </r>
      </text>
    </comment>
    <comment ref="L85" authorId="0" shapeId="0" xr:uid="{DD3BCF34-54CB-4D74-8C52-5CB9022D6066}">
      <text>
        <r>
          <rPr>
            <b/>
            <sz val="9"/>
            <color indexed="81"/>
            <rFont val="Tahoma"/>
            <family val="2"/>
          </rPr>
          <t>יניב שפירא:</t>
        </r>
        <r>
          <rPr>
            <sz val="9"/>
            <color indexed="81"/>
            <rFont val="Tahoma"/>
            <family val="2"/>
          </rPr>
          <t xml:space="preserve">
1 = פרס
2 = שרון</t>
        </r>
      </text>
    </comment>
    <comment ref="L86" authorId="0" shapeId="0" xr:uid="{E4303AE5-4BA4-4656-AC98-9C4F175D1503}">
      <text>
        <r>
          <rPr>
            <b/>
            <sz val="9"/>
            <color indexed="81"/>
            <rFont val="Tahoma"/>
            <family val="2"/>
          </rPr>
          <t>יניב שפירא:</t>
        </r>
        <r>
          <rPr>
            <sz val="9"/>
            <color indexed="81"/>
            <rFont val="Tahoma"/>
            <family val="2"/>
          </rPr>
          <t xml:space="preserve">
1 = לא ישפיע כלל
2 = במידה מועטה
3 = במידה מסוימת
4 = במידה רבה</t>
        </r>
      </text>
    </comment>
    <comment ref="N86" authorId="0" shapeId="0" xr:uid="{84BD3DE8-9694-4851-B7CF-3D75A64F596B}">
      <text>
        <r>
          <rPr>
            <b/>
            <sz val="9"/>
            <color indexed="81"/>
            <rFont val="Tahoma"/>
            <family val="2"/>
          </rPr>
          <t>יניב שפירא:</t>
        </r>
        <r>
          <rPr>
            <sz val="9"/>
            <color indexed="81"/>
            <rFont val="Tahoma"/>
            <family val="2"/>
          </rPr>
          <t xml:space="preserve">
1 = במידה רבה
2 = במידה בינונית
3 = במידה מועטה בלבד
4 = לא ישפיע כלל</t>
        </r>
      </text>
    </comment>
    <comment ref="L89" authorId="0" shapeId="0" xr:uid="{C8F54F6C-784C-41F0-B4A3-BA164870BC81}">
      <text>
        <r>
          <rPr>
            <b/>
            <sz val="9"/>
            <color indexed="81"/>
            <rFont val="Tahoma"/>
            <family val="2"/>
          </rPr>
          <t xml:space="preserve">יניב שפירא:
</t>
        </r>
        <r>
          <rPr>
            <sz val="9"/>
            <color indexed="81"/>
            <rFont val="Tahoma"/>
            <family val="2"/>
          </rPr>
          <t>הניסוח:
"ההסכם עם הפלסטינים"</t>
        </r>
      </text>
    </comment>
    <comment ref="L91" authorId="0" shapeId="0" xr:uid="{D0D6D78D-1B58-424C-AAE4-6190C429F503}">
      <text>
        <r>
          <rPr>
            <b/>
            <sz val="9"/>
            <color indexed="81"/>
            <rFont val="Tahoma"/>
            <family val="2"/>
          </rPr>
          <t>יניב שפירא:</t>
        </r>
        <r>
          <rPr>
            <sz val="9"/>
            <color indexed="81"/>
            <rFont val="Tahoma"/>
            <family val="2"/>
          </rPr>
          <t xml:space="preserve">
1 = כלל לא ישפיע
2 = במידה מועטה
3 = במידה מסוימת
4 = במידה רבה</t>
        </r>
      </text>
    </comment>
    <comment ref="N92" authorId="0" shapeId="0" xr:uid="{A014F8ED-7063-4D5A-88AE-207EFE899274}">
      <text>
        <r>
          <rPr>
            <b/>
            <sz val="9"/>
            <color indexed="81"/>
            <rFont val="Tahoma"/>
            <family val="2"/>
          </rPr>
          <t>יניב שפירא:</t>
        </r>
        <r>
          <rPr>
            <sz val="9"/>
            <color indexed="81"/>
            <rFont val="Tahoma"/>
            <family val="2"/>
          </rPr>
          <t xml:space="preserve">
מבצע "ענבי זעם" בלבנון</t>
        </r>
      </text>
    </comment>
    <comment ref="N94" authorId="0" shapeId="0" xr:uid="{B2BE1BA1-72EF-4047-B11F-D37B93608A12}">
      <text>
        <r>
          <rPr>
            <b/>
            <sz val="9"/>
            <color indexed="81"/>
            <rFont val="Tahoma"/>
            <family val="2"/>
          </rPr>
          <t>יניב שפירא:</t>
        </r>
        <r>
          <rPr>
            <sz val="9"/>
            <color indexed="81"/>
            <rFont val="Tahoma"/>
            <family val="2"/>
          </rPr>
          <t xml:space="preserve">
ארבע אפשרויות:
cccc6
cccc8
cccc10
cccc12</t>
        </r>
      </text>
    </comment>
    <comment ref="Q94" authorId="0" shapeId="0" xr:uid="{D211B6BE-ED6B-4FB8-9E82-8999AFCAB1AD}">
      <text>
        <r>
          <rPr>
            <b/>
            <sz val="9"/>
            <color indexed="81"/>
            <rFont val="Tahoma"/>
            <family val="2"/>
          </rPr>
          <t>יניב שפירא:</t>
        </r>
        <r>
          <rPr>
            <sz val="9"/>
            <color indexed="81"/>
            <rFont val="Tahoma"/>
            <family val="2"/>
          </rPr>
          <t xml:space="preserve">
גם c21</t>
        </r>
      </text>
    </comment>
    <comment ref="R94" authorId="0" shapeId="0" xr:uid="{A16DD56F-230E-47C7-BC1C-494EA18F0BDE}">
      <text>
        <r>
          <rPr>
            <b/>
            <sz val="9"/>
            <color indexed="81"/>
            <rFont val="Tahoma"/>
            <family val="2"/>
          </rPr>
          <t>יניב שפירא:</t>
        </r>
        <r>
          <rPr>
            <sz val="9"/>
            <color indexed="81"/>
            <rFont val="Tahoma"/>
            <family val="2"/>
          </rPr>
          <t xml:space="preserve">
גם g28</t>
        </r>
      </text>
    </comment>
    <comment ref="T94" authorId="0" shapeId="0" xr:uid="{685E3AF7-A262-442F-8DCE-3708D48037F0}">
      <text>
        <r>
          <rPr>
            <b/>
            <sz val="9"/>
            <color indexed="81"/>
            <rFont val="Tahoma"/>
            <family val="2"/>
          </rPr>
          <t>יניב שפירא:</t>
        </r>
        <r>
          <rPr>
            <sz val="9"/>
            <color indexed="81"/>
            <rFont val="Tahoma"/>
            <family val="2"/>
          </rPr>
          <t xml:space="preserve">
אילו היה לך פתק שני</t>
        </r>
      </text>
    </comment>
    <comment ref="O97" authorId="0" shapeId="0" xr:uid="{B41135F1-D455-4855-B5BC-D2E2E2D52585}">
      <text>
        <r>
          <rPr>
            <b/>
            <sz val="9"/>
            <color indexed="81"/>
            <rFont val="Tahoma"/>
            <family val="2"/>
          </rPr>
          <t>יניב שפירא:</t>
        </r>
        <r>
          <rPr>
            <sz val="9"/>
            <color indexed="81"/>
            <rFont val="Tahoma"/>
            <family val="2"/>
          </rPr>
          <t xml:space="preserve">
1 = משפיע
2 = לא משפיע</t>
        </r>
      </text>
    </comment>
    <comment ref="P114" authorId="0" shapeId="0" xr:uid="{3CED0D05-8FF6-4CB0-8C61-BEF70F221C1B}">
      <text>
        <r>
          <rPr>
            <b/>
            <sz val="9"/>
            <color indexed="81"/>
            <rFont val="Tahoma"/>
            <charset val="177"/>
          </rPr>
          <t>יניב שפירא:</t>
        </r>
        <r>
          <rPr>
            <sz val="9"/>
            <color indexed="81"/>
            <rFont val="Tahoma"/>
            <charset val="177"/>
          </rPr>
          <t xml:space="preserve">
1 = 1949
2 = 1951
3 = 1955
4 = 1959
5 = 1961
6 = 1965
7 = 1969
8 = 1973
9 = 1977
10 = 1981
11 = 1984
12 = טרם השתתפתי בבחירות</t>
        </r>
      </text>
    </comment>
    <comment ref="N118" authorId="0" shapeId="0" xr:uid="{A03EEF09-64D8-4753-A4F5-2CAE128D1343}">
      <text>
        <r>
          <rPr>
            <b/>
            <sz val="9"/>
            <color indexed="81"/>
            <rFont val="Tahoma"/>
            <family val="2"/>
          </rPr>
          <t>יניב שפירא:</t>
        </r>
        <r>
          <rPr>
            <sz val="9"/>
            <color indexed="81"/>
            <rFont val="Tahoma"/>
            <family val="2"/>
          </rPr>
          <t xml:space="preserve">
1 = כולם מצביעים כמוך
2 = חלק גדול
3 = חלק קטן
4 = אף אחד לא מצביע כמוך</t>
        </r>
      </text>
    </comment>
    <comment ref="S118" authorId="0" shapeId="0" xr:uid="{17374DC7-F9CD-4C90-8BA8-D17124BC7F7A}">
      <text>
        <r>
          <rPr>
            <b/>
            <sz val="9"/>
            <color indexed="81"/>
            <rFont val="Tahoma"/>
            <charset val="177"/>
          </rPr>
          <t>יניב שפירא:</t>
        </r>
        <r>
          <rPr>
            <sz val="9"/>
            <color indexed="81"/>
            <rFont val="Tahoma"/>
            <charset val="177"/>
          </rPr>
          <t xml:space="preserve">
1 = כולם מצביעים כמוך
2 = חלק גדול
3 = חלק קטן
4 = אף אחד לא מצביע כמוך
5 = לא יודע איך הם מצביעים</t>
        </r>
      </text>
    </comment>
    <comment ref="AG118" authorId="0" shapeId="0" xr:uid="{DE4F2E05-5742-4863-A003-B3D14C94F37E}">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B119" authorId="0" shapeId="0" xr:uid="{8DDF4FEE-5632-4C21-9D14-6F3A2B2F588A}">
      <text>
        <r>
          <rPr>
            <b/>
            <sz val="9"/>
            <color indexed="81"/>
            <rFont val="Tahoma"/>
            <charset val="177"/>
          </rPr>
          <t>יניב שפירא:</t>
        </r>
        <r>
          <rPr>
            <sz val="9"/>
            <color indexed="81"/>
            <rFont val="Tahoma"/>
            <charset val="177"/>
          </rPr>
          <t xml:space="preserve">
1 = רוב חברי יצביעו כמוני
2 = רוב חברי לא יצביעו כמוני
3 = לא יודע בעד מי הם מצביעים</t>
        </r>
      </text>
    </comment>
    <comment ref="AG119" authorId="0" shapeId="0" xr:uid="{14723036-E183-4CE1-92E8-3DD98B49E767}">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G121" authorId="0" shapeId="0" xr:uid="{2BC6302E-A333-4B8B-B3AD-4EE2AF12BC3C}">
      <text>
        <r>
          <rPr>
            <b/>
            <sz val="9"/>
            <color indexed="81"/>
            <rFont val="Tahoma"/>
            <family val="2"/>
          </rPr>
          <t>יניב שפירא:</t>
        </r>
        <r>
          <rPr>
            <sz val="9"/>
            <color indexed="81"/>
            <rFont val="Tahoma"/>
            <family val="2"/>
          </rPr>
          <t xml:space="preserve">
1 = כן
2 = לא
3 = לא יודע איך מצביעים
4 = מצביע כמו חלק מהם</t>
        </r>
      </text>
    </comment>
    <comment ref="AB122" authorId="0" shapeId="0" xr:uid="{AF50E5B7-B94A-42F7-B9B6-3933FEC5363D}">
      <text>
        <r>
          <rPr>
            <b/>
            <sz val="9"/>
            <color indexed="81"/>
            <rFont val="Tahoma"/>
            <charset val="177"/>
          </rPr>
          <t>יניב שפירא:</t>
        </r>
        <r>
          <rPr>
            <sz val="9"/>
            <color indexed="81"/>
            <rFont val="Tahoma"/>
            <charset val="177"/>
          </rPr>
          <t xml:space="preserve">
1 = כן
2 = לא
3 = לא נשוי</t>
        </r>
      </text>
    </comment>
    <comment ref="P124" authorId="0" shapeId="0" xr:uid="{49772D6B-FDC4-4232-AB14-7F0F5CF24A6E}">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ביותר
5 = כלל לא</t>
        </r>
      </text>
    </comment>
    <comment ref="P125" authorId="0" shapeId="0" xr:uid="{42975A1D-D29B-499E-AC2A-A0839161406C}">
      <text>
        <r>
          <rPr>
            <b/>
            <sz val="9"/>
            <color indexed="81"/>
            <rFont val="Tahoma"/>
            <charset val="177"/>
          </rPr>
          <t>יניב שפירא:</t>
        </r>
        <r>
          <rPr>
            <sz val="9"/>
            <color indexed="81"/>
            <rFont val="Tahoma"/>
            <charset val="177"/>
          </rPr>
          <t xml:space="preserve">
1 = אבא
2 = אמא
3 = אח/אחות
4 = בן/בת זוג
5 = בן/בת
6 = אחר
7 = שני ההורים במידה שווה
8 = כל בני משפחתי במידה שווה
9 = אף אחד לא השפיע</t>
        </r>
      </text>
    </comment>
    <comment ref="P126" authorId="0" shapeId="0" xr:uid="{B08E4AB0-5DC1-4D2C-8BA6-59DFFF40CB13}">
      <text>
        <r>
          <rPr>
            <b/>
            <sz val="9"/>
            <color indexed="81"/>
            <rFont val="Tahoma"/>
            <charset val="177"/>
          </rPr>
          <t>יניב שפירא:</t>
        </r>
        <r>
          <rPr>
            <sz val="9"/>
            <color indexed="81"/>
            <rFont val="Tahoma"/>
            <charset val="177"/>
          </rPr>
          <t xml:space="preserve">
1 = המשפחה שלי
2 = ידידי הקרובים
3 = החברים בעבודה
4 = אנשי התנועה/ארגון שאני משתייך אליו
5 = כל הקבוצות במידה שווה
6 = לאף קבוצה אין השפעה</t>
        </r>
      </text>
    </comment>
    <comment ref="P127" authorId="0" shapeId="0" xr:uid="{3A0D8A3F-793D-4F8B-B234-622316333CAB}">
      <text>
        <r>
          <rPr>
            <b/>
            <sz val="9"/>
            <color indexed="81"/>
            <rFont val="Tahoma"/>
            <charset val="177"/>
          </rPr>
          <t>יניב שפירא:</t>
        </r>
        <r>
          <rPr>
            <sz val="9"/>
            <color indexed="81"/>
            <rFont val="Tahoma"/>
            <charset val="177"/>
          </rPr>
          <t xml:space="preserve">
1 = במידה רבה מאד
2 = במידה רבה
3 = במידה מסוימת
4 = במידה קטנה
5 = כלל לא</t>
        </r>
      </text>
    </comment>
    <comment ref="Q128" authorId="0" shapeId="0" xr:uid="{8511D86E-662C-4816-8E19-B98801C1CFB3}">
      <text>
        <r>
          <rPr>
            <b/>
            <sz val="9"/>
            <color indexed="81"/>
            <rFont val="Tahoma"/>
            <family val="2"/>
          </rPr>
          <t>יניב שפירא:</t>
        </r>
        <r>
          <rPr>
            <sz val="9"/>
            <color indexed="81"/>
            <rFont val="Tahoma"/>
            <family val="2"/>
          </rPr>
          <t xml:space="preserve">
1 = לא השתנה
2 = התחזקה הנטייה להציע לליכוד או למחנה שלו
3 = התחזקה הנטייה להצביע למערך או למחנה שלו
4 = התחזקה הנטייה להצביע למפלגות הדתיות</t>
        </r>
      </text>
    </comment>
    <comment ref="S131" authorId="0" shapeId="0" xr:uid="{4FD342F5-E336-4B39-B15C-6FBD134C5A01}">
      <text>
        <r>
          <rPr>
            <b/>
            <sz val="9"/>
            <color indexed="81"/>
            <rFont val="Tahoma"/>
            <charset val="177"/>
          </rPr>
          <t>יניב שפירא:</t>
        </r>
        <r>
          <rPr>
            <sz val="9"/>
            <color indexed="81"/>
            <rFont val="Tahoma"/>
            <charset val="177"/>
          </rPr>
          <t xml:space="preserve">
1 = ישפיע במידה רבה
2 = במידה מסוימת
3 = במידה מועטה
4 = לא ישפיע כלל</t>
        </r>
      </text>
    </comment>
    <comment ref="S132" authorId="0" shapeId="0" xr:uid="{A19420A7-89BD-4D63-8F1C-D3C92846CF00}">
      <text>
        <r>
          <rPr>
            <b/>
            <sz val="9"/>
            <color indexed="81"/>
            <rFont val="Tahoma"/>
            <family val="2"/>
          </rPr>
          <t>יניב שפירא:</t>
        </r>
        <r>
          <rPr>
            <sz val="9"/>
            <color indexed="81"/>
            <rFont val="Tahoma"/>
            <family val="2"/>
          </rPr>
          <t xml:space="preserve">
1 = בטוח לגמרי
2 = חושב אך לא בטוח
3 = כלל לא בטוח</t>
        </r>
      </text>
    </comment>
    <comment ref="T134" authorId="0" shapeId="0" xr:uid="{BD4446AC-EBB8-47CA-A53B-D95F25E6476E}">
      <text>
        <r>
          <rPr>
            <b/>
            <sz val="9"/>
            <color indexed="81"/>
            <rFont val="Tahoma"/>
            <charset val="177"/>
          </rPr>
          <t>יניב שפירא:</t>
        </r>
        <r>
          <rPr>
            <sz val="9"/>
            <color indexed="81"/>
            <rFont val="Tahoma"/>
            <charset val="177"/>
          </rPr>
          <t xml:space="preserve">
1 = במידה רבה
2 = במידה מסויימת
3 = במידה מועטה
4 = כלל לא תשפיע</t>
        </r>
      </text>
    </comment>
    <comment ref="U135" authorId="0" shapeId="0" xr:uid="{4A64EDFF-57B4-449E-8916-AE22910CFDAC}">
      <text>
        <r>
          <rPr>
            <b/>
            <sz val="9"/>
            <color indexed="81"/>
            <rFont val="Tahoma"/>
            <charset val="177"/>
          </rPr>
          <t>יניב שפירא:</t>
        </r>
        <r>
          <rPr>
            <sz val="9"/>
            <color indexed="81"/>
            <rFont val="Tahoma"/>
            <charset val="177"/>
          </rPr>
          <t xml:space="preserve">
1 = התכנית הכלכלית של ארידור
2 = התכנית האלטרנטיבית של המערך
3 = המשפט של אבו-חצירה
4 = היריבות בין מנהיגי מפלגת העבודה
5 = התיפקוד של הממשלה
6 = הבחירות להסתדרות</t>
        </r>
      </text>
    </comment>
    <comment ref="T136" authorId="0" shapeId="0" xr:uid="{620F2C16-24FC-40ED-A4C6-BBD3DF95198E}">
      <text>
        <r>
          <rPr>
            <b/>
            <sz val="9"/>
            <color indexed="81"/>
            <rFont val="Tahoma"/>
            <family val="2"/>
          </rPr>
          <t>יניב שפירא:</t>
        </r>
        <r>
          <rPr>
            <sz val="9"/>
            <color indexed="81"/>
            <rFont val="Tahoma"/>
            <family val="2"/>
          </rPr>
          <t xml:space="preserve">
1 = לא מתכנן נסיעה
2 = מתכנן נסיעה אך אהיה בארץ בבחירות
3 = מתכנן נסיעה ולא אהיה בארץ בבחירות</t>
        </r>
      </text>
    </comment>
    <comment ref="T137" authorId="0" shapeId="0" xr:uid="{5336BEC4-F694-4166-882F-DEF64636338C}">
      <text>
        <r>
          <rPr>
            <b/>
            <sz val="9"/>
            <color indexed="81"/>
            <rFont val="Tahoma"/>
            <family val="2"/>
          </rPr>
          <t>יניב שפירא:</t>
        </r>
        <r>
          <rPr>
            <sz val="9"/>
            <color indexed="81"/>
            <rFont val="Tahoma"/>
            <family val="2"/>
          </rPr>
          <t xml:space="preserve">
1 = בטוח במידה רבה
2 = במידה מסויימת
3 = במידה מועטה
4 = לא בטוח כלל</t>
        </r>
      </text>
    </comment>
    <comment ref="AB137" authorId="0" shapeId="0" xr:uid="{17414A43-3FC1-4CC9-9190-A622F1DF6903}">
      <text>
        <r>
          <rPr>
            <b/>
            <sz val="9"/>
            <color indexed="81"/>
            <rFont val="Tahoma"/>
            <charset val="177"/>
          </rPr>
          <t>יניב שפירא:</t>
        </r>
        <r>
          <rPr>
            <sz val="9"/>
            <color indexed="81"/>
            <rFont val="Tahoma"/>
            <charset val="177"/>
          </rPr>
          <t xml:space="preserve">
1 = במידה רבה
2 = במידה מסוימת
3 = במידה מועטה
4 = כלל לא
5 = לא אצביע</t>
        </r>
      </text>
    </comment>
    <comment ref="AD138" authorId="0" shapeId="0" xr:uid="{3D878379-AAA9-4C44-8E37-E06B6A6EF67A}">
      <text>
        <r>
          <rPr>
            <b/>
            <sz val="9"/>
            <color indexed="81"/>
            <rFont val="Tahoma"/>
            <charset val="177"/>
          </rPr>
          <t>יניב שפירא:</t>
        </r>
        <r>
          <rPr>
            <sz val="9"/>
            <color indexed="81"/>
            <rFont val="Tahoma"/>
            <charset val="177"/>
          </rPr>
          <t xml:space="preserve">
9 = בטוח במי יצביע</t>
        </r>
      </text>
    </comment>
    <comment ref="T139" authorId="0" shapeId="0" xr:uid="{A0C269BF-9F27-4421-95C9-28BA04096BD3}">
      <text>
        <r>
          <rPr>
            <b/>
            <sz val="9"/>
            <color indexed="81"/>
            <rFont val="Tahoma"/>
            <family val="2"/>
          </rPr>
          <t>יניב שפירא:</t>
        </r>
        <r>
          <rPr>
            <sz val="9"/>
            <color indexed="81"/>
            <rFont val="Tahoma"/>
            <family val="2"/>
          </rPr>
          <t xml:space="preserve">
1 = יום לפני הבחירות
2 = כמה ימים לפני הבחירות
3 = שבועיים לפני הבחירות
4 = 3 שבועות לפני הבחירות
5 = בימים הקרובים
6 = איני יודע מתי</t>
        </r>
      </text>
    </comment>
    <comment ref="AD139" authorId="0" shapeId="0" xr:uid="{B6D1491D-A503-4D9D-A99F-E54C94ADCAA2}">
      <text>
        <r>
          <rPr>
            <b/>
            <sz val="9"/>
            <color indexed="81"/>
            <rFont val="Tahoma"/>
            <charset val="177"/>
          </rPr>
          <t>יניב שפירא:</t>
        </r>
        <r>
          <rPr>
            <sz val="9"/>
            <color indexed="81"/>
            <rFont val="Tahoma"/>
            <charset val="177"/>
          </rPr>
          <t xml:space="preserve">
1 = בימים אלו
2 = בחודש הקרוב
3 = סמוך למועד הבחירות
9 = בטוח במי יצביע</t>
        </r>
      </text>
    </comment>
    <comment ref="AD140" authorId="0" shapeId="0" xr:uid="{DDA871F4-94A3-4B53-A610-865BAC4B7E1A}">
      <text>
        <r>
          <rPr>
            <b/>
            <sz val="9"/>
            <color indexed="81"/>
            <rFont val="Tahoma"/>
            <charset val="177"/>
          </rPr>
          <t>יניב שפירא:</t>
        </r>
        <r>
          <rPr>
            <sz val="9"/>
            <color indexed="81"/>
            <rFont val="Tahoma"/>
            <charset val="177"/>
          </rPr>
          <t xml:space="preserve">
9 = בטוח במי להצביע</t>
        </r>
      </text>
    </comment>
    <comment ref="T143" authorId="0" shapeId="0" xr:uid="{F73D9005-B719-4291-AD40-8899C475BA37}">
      <text>
        <r>
          <rPr>
            <b/>
            <sz val="9"/>
            <color indexed="81"/>
            <rFont val="Tahoma"/>
            <charset val="177"/>
          </rPr>
          <t>יניב שפירא:</t>
        </r>
        <r>
          <rPr>
            <sz val="9"/>
            <color indexed="81"/>
            <rFont val="Tahoma"/>
            <charset val="177"/>
          </rPr>
          <t xml:space="preserve">
1 = יותר
2 = פחות
3 = אותו דבר
4 = לא יודע</t>
        </r>
      </text>
    </comment>
    <comment ref="AD144" authorId="0" shapeId="0" xr:uid="{574799E6-4B39-49E4-A51A-958BBEE744F8}">
      <text>
        <r>
          <rPr>
            <b/>
            <sz val="9"/>
            <color indexed="81"/>
            <rFont val="Tahoma"/>
            <charset val="177"/>
          </rPr>
          <t>יניב שפירא:</t>
        </r>
        <r>
          <rPr>
            <sz val="9"/>
            <color indexed="81"/>
            <rFont val="Tahoma"/>
            <charset val="177"/>
          </rPr>
          <t xml:space="preserve">
1 = הרבה יותר ברור
2 = יותר ברור
3 = פחות ברור
4 = הרבה פחות ברור
5 = ברור באותה מידה</t>
        </r>
      </text>
    </comment>
    <comment ref="A145" authorId="0" shapeId="0" xr:uid="{7881710B-EECD-436C-A03C-0252A8386A9F}">
      <text>
        <r>
          <rPr>
            <b/>
            <sz val="9"/>
            <color indexed="81"/>
            <rFont val="Tahoma"/>
            <charset val="177"/>
          </rPr>
          <t>יניב שפירא:</t>
        </r>
        <r>
          <rPr>
            <sz val="9"/>
            <color indexed="81"/>
            <rFont val="Tahoma"/>
            <charset val="177"/>
          </rPr>
          <t xml:space="preserve">
בהמשך לשאלה אחת למעלה</t>
        </r>
      </text>
    </comment>
    <comment ref="AG146" authorId="0" shapeId="0" xr:uid="{0F4AC6E1-3B24-4A30-92BB-80149F5DA2FB}">
      <text>
        <r>
          <rPr>
            <b/>
            <sz val="9"/>
            <color indexed="81"/>
            <rFont val="Tahoma"/>
            <family val="2"/>
          </rPr>
          <t>יניב שפירא:</t>
        </r>
        <r>
          <rPr>
            <sz val="9"/>
            <color indexed="81"/>
            <rFont val="Tahoma"/>
            <family val="2"/>
          </rPr>
          <t xml:space="preserve">
ובנוסף b63</t>
        </r>
      </text>
    </comment>
    <comment ref="AH146" authorId="0" shapeId="0" xr:uid="{7A23CE78-D338-4AE9-98BC-965F3506DCA0}">
      <text>
        <r>
          <rPr>
            <b/>
            <sz val="9"/>
            <color indexed="81"/>
            <rFont val="Tahoma"/>
            <family val="2"/>
          </rPr>
          <t>יניב שפירא:</t>
        </r>
        <r>
          <rPr>
            <sz val="9"/>
            <color indexed="81"/>
            <rFont val="Tahoma"/>
            <family val="2"/>
          </rPr>
          <t xml:space="preserve">
בנוסף B68</t>
        </r>
      </text>
    </comment>
    <comment ref="U147" authorId="0" shapeId="0" xr:uid="{699C7141-7026-4A43-823F-1BC35F93BE6C}">
      <text>
        <r>
          <rPr>
            <b/>
            <sz val="9"/>
            <color indexed="81"/>
            <rFont val="Tahoma"/>
            <family val="2"/>
          </rPr>
          <t>יניב שפירא:</t>
        </r>
        <r>
          <rPr>
            <sz val="9"/>
            <color indexed="81"/>
            <rFont val="Tahoma"/>
            <family val="2"/>
          </rPr>
          <t xml:space="preserve">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r>
      </text>
    </comment>
    <comment ref="AE148" authorId="0" shapeId="0" xr:uid="{E08C4202-38A4-4F30-BD17-5C5A2B895F9D}">
      <text>
        <r>
          <rPr>
            <b/>
            <sz val="9"/>
            <color indexed="81"/>
            <rFont val="Tahoma"/>
            <family val="2"/>
          </rPr>
          <t>יניב שפירא:</t>
        </r>
        <r>
          <rPr>
            <sz val="9"/>
            <color indexed="81"/>
            <rFont val="Tahoma"/>
            <family val="2"/>
          </rPr>
          <t xml:space="preserve">
1 = מחליט מוקדם
2 = מחכה</t>
        </r>
      </text>
    </comment>
    <comment ref="U149" authorId="0" shapeId="0" xr:uid="{74CBB690-D29D-41F3-A641-3170FD2CE4E1}">
      <text>
        <r>
          <rPr>
            <b/>
            <sz val="9"/>
            <color indexed="81"/>
            <rFont val="Tahoma"/>
            <family val="2"/>
          </rPr>
          <t>יניב שפירא:</t>
        </r>
        <r>
          <rPr>
            <sz val="9"/>
            <color indexed="81"/>
            <rFont val="Tahoma"/>
            <family val="2"/>
          </rPr>
          <t xml:space="preserve">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r>
      </text>
    </comment>
    <comment ref="A150" authorId="0" shapeId="0" xr:uid="{23852D45-D94B-409D-AD3D-680D12DDE094}">
      <text>
        <r>
          <rPr>
            <b/>
            <sz val="9"/>
            <color indexed="81"/>
            <rFont val="Tahoma"/>
            <family val="2"/>
          </rPr>
          <t>יניב שפירא:</t>
        </r>
        <r>
          <rPr>
            <sz val="9"/>
            <color indexed="81"/>
            <rFont val="Tahoma"/>
            <family val="2"/>
          </rPr>
          <t xml:space="preserve">
בהמשך לשאלה a27
דרך נוספת</t>
        </r>
      </text>
    </comment>
    <comment ref="U151" authorId="0" shapeId="0" xr:uid="{ED911D92-F82F-4A5D-A19F-319098F97499}">
      <text>
        <r>
          <rPr>
            <b/>
            <sz val="9"/>
            <color indexed="81"/>
            <rFont val="Tahoma"/>
            <family val="2"/>
          </rPr>
          <t>יניב שפירא:</t>
        </r>
        <r>
          <rPr>
            <sz val="9"/>
            <color indexed="81"/>
            <rFont val="Tahoma"/>
            <family val="2"/>
          </rPr>
          <t xml:space="preserve">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r>
      </text>
    </comment>
    <comment ref="AE151" authorId="0" shapeId="0" xr:uid="{5D859220-FD3E-4DEA-B454-A0DFF2D491C7}">
      <text>
        <r>
          <rPr>
            <b/>
            <sz val="9"/>
            <color indexed="81"/>
            <rFont val="Tahoma"/>
            <family val="2"/>
          </rPr>
          <t>יניב שפירא:</t>
        </r>
        <r>
          <rPr>
            <sz val="9"/>
            <color indexed="81"/>
            <rFont val="Tahoma"/>
            <family val="2"/>
          </rPr>
          <t xml:space="preserve">
פתוח</t>
        </r>
      </text>
    </comment>
    <comment ref="A152" authorId="0" shapeId="0" xr:uid="{AA79D10E-EE23-4C30-BBE4-08B8DD7B57FE}">
      <text>
        <r>
          <rPr>
            <b/>
            <sz val="9"/>
            <color indexed="81"/>
            <rFont val="Tahoma"/>
            <family val="2"/>
          </rPr>
          <t>יניב שפירא:</t>
        </r>
        <r>
          <rPr>
            <sz val="9"/>
            <color indexed="81"/>
            <rFont val="Tahoma"/>
            <family val="2"/>
          </rPr>
          <t xml:space="preserve">
בהמשך לשאלה a29</t>
        </r>
      </text>
    </comment>
    <comment ref="V153" authorId="0" shapeId="0" xr:uid="{FE3D0723-9215-4D42-B2E1-02D44CF41160}">
      <text>
        <r>
          <rPr>
            <b/>
            <sz val="9"/>
            <color indexed="81"/>
            <rFont val="Tahoma"/>
            <charset val="177"/>
          </rPr>
          <t>יניב שפירא:</t>
        </r>
        <r>
          <rPr>
            <sz val="9"/>
            <color indexed="81"/>
            <rFont val="Tahoma"/>
            <charset val="177"/>
          </rPr>
          <t xml:space="preserve">
1 = בעד המפלגה עבורה אצביע
2 = נגד מפלגה אחרת
3 = שתי הסיבות נכונות
4 = לא יודע לא חשבתי על זה
</t>
        </r>
      </text>
    </comment>
    <comment ref="V154" authorId="0" shapeId="0" xr:uid="{74141190-380F-4317-A013-2100B9F15AEA}">
      <text>
        <r>
          <rPr>
            <b/>
            <sz val="9"/>
            <color indexed="81"/>
            <rFont val="Tahoma"/>
            <charset val="177"/>
          </rPr>
          <t>יניב שפירא:</t>
        </r>
        <r>
          <rPr>
            <sz val="9"/>
            <color indexed="81"/>
            <rFont val="Tahoma"/>
            <charset val="177"/>
          </rPr>
          <t xml:space="preserve">
1 = כן
2 = לא
3 = לא הצבעתי בעבר</t>
        </r>
      </text>
    </comment>
    <comment ref="V157" authorId="0" shapeId="0" xr:uid="{FC02A639-7B48-4EF5-8F25-9E9B6F697F24}">
      <text>
        <r>
          <rPr>
            <b/>
            <sz val="9"/>
            <color indexed="81"/>
            <rFont val="Tahoma"/>
            <charset val="177"/>
          </rPr>
          <t>יניב שפירא:</t>
        </r>
        <r>
          <rPr>
            <sz val="9"/>
            <color indexed="81"/>
            <rFont val="Tahoma"/>
            <charset val="177"/>
          </rPr>
          <t xml:space="preserve">
1 = ישפיע במידה רבה
2 = ישפיע במידה מסויימת
3 = ישפיע במידה מועטה
4 = לא ישפיע כלל</t>
        </r>
      </text>
    </comment>
    <comment ref="V158" authorId="0" shapeId="0" xr:uid="{EA2FC2A3-BB63-44DD-BDDA-B4CD8E2B665C}">
      <text>
        <r>
          <rPr>
            <b/>
            <sz val="9"/>
            <color indexed="81"/>
            <rFont val="Tahoma"/>
            <charset val="177"/>
          </rPr>
          <t>יניב שפירא:</t>
        </r>
        <r>
          <rPr>
            <sz val="9"/>
            <color indexed="81"/>
            <rFont val="Tahoma"/>
            <charset val="177"/>
          </rPr>
          <t xml:space="preserve">
1 = כן
2 = לא
3 = לא החלטתי
4 = לא אצביע</t>
        </r>
      </text>
    </comment>
    <comment ref="W159" authorId="0" shapeId="0" xr:uid="{0783D078-EEED-4A93-AD98-390E55F9A68F}">
      <text>
        <r>
          <rPr>
            <b/>
            <sz val="9"/>
            <color indexed="81"/>
            <rFont val="Tahoma"/>
            <charset val="177"/>
          </rPr>
          <t>יניב שפירא:</t>
        </r>
        <r>
          <rPr>
            <sz val="9"/>
            <color indexed="81"/>
            <rFont val="Tahoma"/>
            <charset val="177"/>
          </rPr>
          <t xml:space="preserve">
1 = אמון בהנגת המפלגה שהצבעתי לה
2 = אי אמון של הממשלה בראשות המערך
3 = הרצון למחות נגד שלטון המערך
4 = הרצון לתמוך בשלטון המערך
5 = פחד מפני קיצוניות הליכוד</t>
        </r>
      </text>
    </comment>
    <comment ref="W160" authorId="0" shapeId="0" xr:uid="{982E588E-74B4-4FAE-8E20-347318061A2F}">
      <text>
        <r>
          <rPr>
            <b/>
            <sz val="9"/>
            <color indexed="81"/>
            <rFont val="Tahoma"/>
            <charset val="177"/>
          </rPr>
          <t>יניב שפירא:</t>
        </r>
        <r>
          <rPr>
            <sz val="9"/>
            <color indexed="81"/>
            <rFont val="Tahoma"/>
            <charset val="177"/>
          </rPr>
          <t xml:space="preserve">
1 = בטחון
2 = כלכלה
3 = פער חברתי
4 = שלום
5 = זוגות צעירים
6 = שינוי שיטת הבחירות
7 = קליטת עליה
8 = חינוך
9 = אחר</t>
        </r>
      </text>
    </comment>
    <comment ref="W161" authorId="0" shapeId="0" xr:uid="{C228E09D-4762-4B99-B316-73B37DA5EC0D}">
      <text>
        <r>
          <rPr>
            <b/>
            <sz val="9"/>
            <color indexed="81"/>
            <rFont val="Tahoma"/>
            <charset val="177"/>
          </rPr>
          <t>יניב שפירא:</t>
        </r>
        <r>
          <rPr>
            <sz val="9"/>
            <color indexed="81"/>
            <rFont val="Tahoma"/>
            <charset val="177"/>
          </rPr>
          <t xml:space="preserve">
1 = בטוח מאד
2 = בטוח
3 = לא כ"כ בטוח
4 = בכלל לא בטוח</t>
        </r>
      </text>
    </comment>
    <comment ref="Z162" authorId="0" shapeId="0" xr:uid="{84C0F11C-E8EC-4464-9B50-00F3FF770C71}">
      <text>
        <r>
          <rPr>
            <b/>
            <sz val="9"/>
            <color indexed="81"/>
            <rFont val="Tahoma"/>
            <charset val="177"/>
          </rPr>
          <t>יניב שפירא:</t>
        </r>
        <r>
          <rPr>
            <sz val="9"/>
            <color indexed="81"/>
            <rFont val="Tahoma"/>
            <charset val="177"/>
          </rPr>
          <t xml:space="preserve">
1 = בטוח שאשנה
2 = חושב שאשנה
3 = חושב שלא אשנה
4 = בטוח שאשנה</t>
        </r>
      </text>
    </comment>
    <comment ref="AE163" authorId="0" shapeId="0" xr:uid="{68D73041-775B-486A-8C58-803404904173}">
      <text>
        <r>
          <rPr>
            <b/>
            <sz val="9"/>
            <color indexed="81"/>
            <rFont val="Tahoma"/>
            <family val="2"/>
          </rPr>
          <t>יניב שפירא:</t>
        </r>
        <r>
          <rPr>
            <sz val="9"/>
            <color indexed="81"/>
            <rFont val="Tahoma"/>
            <family val="2"/>
          </rPr>
          <t xml:space="preserve">
1 = בטוח שכן
2 = חושב שכן
3 = חושב שלא
4 = בטוח שלא</t>
        </r>
      </text>
    </comment>
    <comment ref="Z164" authorId="0" shapeId="0" xr:uid="{4FA6A769-5CC7-4BD4-9139-D81F98C16A2B}">
      <text>
        <r>
          <rPr>
            <b/>
            <sz val="9"/>
            <color indexed="81"/>
            <rFont val="Tahoma"/>
            <charset val="177"/>
          </rPr>
          <t>יניב שפירא:</t>
        </r>
        <r>
          <rPr>
            <sz val="9"/>
            <color indexed="81"/>
            <rFont val="Tahoma"/>
            <charset val="177"/>
          </rPr>
          <t xml:space="preserve">
1 = בטוח שאשנה
2 = חושב שאשנה
3 = חושב שלא אשנה
4 = בטוח לא אשנה
5 = אם זה יקרה, לא אצביע כלל
6 = לא אצביע בלאו הכי
7 = לא תומך באף מפלגה</t>
        </r>
      </text>
    </comment>
    <comment ref="AG164" authorId="0" shapeId="0" xr:uid="{1B06ECA9-8702-467F-87DF-09E10D9F0C64}">
      <text>
        <r>
          <rPr>
            <b/>
            <sz val="9"/>
            <color indexed="81"/>
            <rFont val="Tahoma"/>
            <charset val="177"/>
          </rPr>
          <t>יניב שפירא:</t>
        </r>
        <r>
          <rPr>
            <sz val="9"/>
            <color indexed="81"/>
            <rFont val="Tahoma"/>
            <charset val="177"/>
          </rPr>
          <t xml:space="preserve">
1 = אשנה
2 = לא אשנה
3 = לא אצביע כלל אם ככה
4 = אין נושא חשוב במיוחד</t>
        </r>
      </text>
    </comment>
    <comment ref="Z165" authorId="0" shapeId="0" xr:uid="{CC41F268-3886-4B10-8F6E-8273536C347A}">
      <text>
        <r>
          <rPr>
            <b/>
            <sz val="9"/>
            <color indexed="81"/>
            <rFont val="Tahoma"/>
            <charset val="177"/>
          </rPr>
          <t>יניב שפירא:</t>
        </r>
        <r>
          <rPr>
            <sz val="9"/>
            <color indexed="81"/>
            <rFont val="Tahoma"/>
            <charset val="177"/>
          </rPr>
          <t xml:space="preserve">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r>
      </text>
    </comment>
    <comment ref="AG165" authorId="0" shapeId="0" xr:uid="{3C3F0EB7-95C4-4C5E-BD74-BAD2FAA404E8}">
      <text>
        <r>
          <rPr>
            <b/>
            <sz val="9"/>
            <color indexed="81"/>
            <rFont val="Tahoma"/>
            <charset val="177"/>
          </rPr>
          <t>יניב שפירא:</t>
        </r>
        <r>
          <rPr>
            <sz val="9"/>
            <color indexed="81"/>
            <rFont val="Tahoma"/>
            <charset val="177"/>
          </rPr>
          <t xml:space="preserve">
1 = אצביע בכל זאת
2 = לא אצביע לה
3 = לא אצביע בכלל
4 = אין מועמד מסוים</t>
        </r>
      </text>
    </comment>
    <comment ref="Z166" authorId="0" shapeId="0" xr:uid="{3D66B580-7D56-4B07-BAB9-E375619EC4DE}">
      <text>
        <r>
          <rPr>
            <b/>
            <sz val="9"/>
            <color indexed="81"/>
            <rFont val="Tahoma"/>
            <charset val="177"/>
          </rPr>
          <t>יניב שפירא:</t>
        </r>
        <r>
          <rPr>
            <sz val="9"/>
            <color indexed="81"/>
            <rFont val="Tahoma"/>
            <charset val="177"/>
          </rPr>
          <t xml:space="preserve">
1 = מפ"ם
2 = מפלגת העבודה
3 = אף אחד מהם</t>
        </r>
      </text>
    </comment>
    <comment ref="AA167" authorId="0" shapeId="0" xr:uid="{843CF6D2-C31A-46C7-BE3E-77324C8D32BB}">
      <text>
        <r>
          <rPr>
            <b/>
            <sz val="9"/>
            <color indexed="81"/>
            <rFont val="Tahoma"/>
            <family val="2"/>
          </rPr>
          <t>יניב שפירא:</t>
        </r>
        <r>
          <rPr>
            <sz val="9"/>
            <color indexed="81"/>
            <rFont val="Tahoma"/>
            <family val="2"/>
          </rPr>
          <t xml:space="preserve">
1 = כן
2 = לא
3 = לא בחרתי ב1969
4 = לא הצבעתי הפעם</t>
        </r>
      </text>
    </comment>
    <comment ref="AA168" authorId="0" shapeId="0" xr:uid="{ED93F7DE-9B5A-4CE2-A3F2-CDBC981BA20A}">
      <text>
        <r>
          <rPr>
            <b/>
            <sz val="9"/>
            <color indexed="81"/>
            <rFont val="Tahoma"/>
            <family val="2"/>
          </rPr>
          <t>יניב שפירא:</t>
        </r>
        <r>
          <rPr>
            <sz val="9"/>
            <color indexed="81"/>
            <rFont val="Tahoma"/>
            <family val="2"/>
          </rPr>
          <t xml:space="preserve">
1 = כן
2 = לא
3 = לא הצבעתי</t>
        </r>
      </text>
    </comment>
    <comment ref="AC168" authorId="0" shapeId="0" xr:uid="{2F0B5743-4FC0-451D-8C76-05BD772DBCF1}">
      <text>
        <r>
          <rPr>
            <b/>
            <sz val="9"/>
            <color indexed="81"/>
            <rFont val="Tahoma"/>
            <charset val="177"/>
          </rPr>
          <t>יניב שפירא:</t>
        </r>
        <r>
          <rPr>
            <sz val="9"/>
            <color indexed="81"/>
            <rFont val="Tahoma"/>
            <charset val="177"/>
          </rPr>
          <t xml:space="preserve">
1 = כן
2 = לא
3 = מתלבט</t>
        </r>
      </text>
    </comment>
    <comment ref="AA169" authorId="0" shapeId="0" xr:uid="{92270FB5-23F7-4B3E-A640-296D76D00145}">
      <text>
        <r>
          <rPr>
            <b/>
            <sz val="9"/>
            <color indexed="81"/>
            <rFont val="Tahoma"/>
            <family val="2"/>
          </rPr>
          <t>יניב שפירא:</t>
        </r>
        <r>
          <rPr>
            <sz val="9"/>
            <color indexed="81"/>
            <rFont val="Tahoma"/>
            <family val="2"/>
          </rPr>
          <t xml:space="preserve">
1 = קשה מאד
2 = קשה
3 = לא כ"כ קשה
4 = בכלל לא קשה</t>
        </r>
      </text>
    </comment>
    <comment ref="AA170" authorId="0" shapeId="0" xr:uid="{832D743B-959B-432E-94A1-765842E695FA}">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AA171" authorId="0" shapeId="0" xr:uid="{759A5EC3-1756-4F76-94E8-E0E88A48594A}">
      <text>
        <r>
          <rPr>
            <b/>
            <sz val="9"/>
            <color indexed="81"/>
            <rFont val="Tahoma"/>
            <family val="2"/>
          </rPr>
          <t>יניב שפירא:</t>
        </r>
        <r>
          <rPr>
            <sz val="9"/>
            <color indexed="81"/>
            <rFont val="Tahoma"/>
            <family val="2"/>
          </rPr>
          <t xml:space="preserve">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r>
      </text>
    </comment>
    <comment ref="AE171" authorId="0" shapeId="0" xr:uid="{630B3904-693F-47AC-9250-C38DAE1105BF}">
      <text>
        <r>
          <rPr>
            <b/>
            <sz val="9"/>
            <color indexed="81"/>
            <rFont val="Tahoma"/>
            <charset val="177"/>
          </rPr>
          <t>יניב שפירא:</t>
        </r>
        <r>
          <rPr>
            <sz val="9"/>
            <color indexed="81"/>
            <rFont val="Tahoma"/>
            <charset val="177"/>
          </rPr>
          <t xml:space="preserve">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r>
      </text>
    </comment>
    <comment ref="AG172" authorId="0" shapeId="0" xr:uid="{C8CFFD8D-00D0-4272-993F-5E0182ABA750}">
      <text>
        <r>
          <rPr>
            <b/>
            <sz val="9"/>
            <color indexed="81"/>
            <rFont val="Tahoma"/>
            <charset val="177"/>
          </rPr>
          <t>יניב שפירא:</t>
        </r>
        <r>
          <rPr>
            <sz val="9"/>
            <color indexed="81"/>
            <rFont val="Tahoma"/>
            <charset val="177"/>
          </rPr>
          <t xml:space="preserve">
1 = כן
2 = לא
3 = טרם החלטתי</t>
        </r>
      </text>
    </comment>
    <comment ref="AF174" authorId="0" shapeId="0" xr:uid="{5A9B859F-0663-4217-9CA3-D2F065BBE723}">
      <text>
        <r>
          <rPr>
            <b/>
            <sz val="9"/>
            <color indexed="81"/>
            <rFont val="Tahoma"/>
            <family val="2"/>
          </rPr>
          <t>יניב שפירא:</t>
        </r>
        <r>
          <rPr>
            <sz val="9"/>
            <color indexed="81"/>
            <rFont val="Tahoma"/>
            <family val="2"/>
          </rPr>
          <t xml:space="preserve">
1965</t>
        </r>
      </text>
    </comment>
    <comment ref="AF175" authorId="0" shapeId="0" xr:uid="{9F2A0880-5E9C-46B6-B694-93CD3124DAA3}">
      <text>
        <r>
          <rPr>
            <b/>
            <sz val="9"/>
            <color indexed="81"/>
            <rFont val="Tahoma"/>
            <family val="2"/>
          </rPr>
          <t>יניב שפירא:</t>
        </r>
        <r>
          <rPr>
            <sz val="9"/>
            <color indexed="81"/>
            <rFont val="Tahoma"/>
            <family val="2"/>
          </rPr>
          <t xml:space="preserve">
1 = יש גורם אחד חשוב בהרבה מהיתר
2 = יש גורם אחד שהוא קצת יותר חשוב מהיתר
3 = כל הגורמים חשובים באותה מידה
4 = אף אחד מהגורמים לא חשוב</t>
        </r>
      </text>
    </comment>
    <comment ref="AF176" authorId="0" shapeId="0" xr:uid="{7D790291-1AD2-4DFA-BECE-45BEEF7197D6}">
      <text>
        <r>
          <rPr>
            <b/>
            <sz val="9"/>
            <color indexed="81"/>
            <rFont val="Tahoma"/>
            <family val="2"/>
          </rPr>
          <t>יניב שפירא:</t>
        </r>
        <r>
          <rPr>
            <sz val="9"/>
            <color indexed="81"/>
            <rFont val="Tahoma"/>
            <family val="2"/>
          </rPr>
          <t xml:space="preserve">
1 = הזדהות עם המפלגה
2 = מועמד המפלגה
3 = עמדות המפלגה
4 = מקומה של המפלגה
5 = אף אחד מאלו
6 = אחר</t>
        </r>
      </text>
    </comment>
    <comment ref="AA177" authorId="0" shapeId="0" xr:uid="{71D8FFDC-75B2-4982-AA84-B1D9826F1369}">
      <text>
        <r>
          <rPr>
            <b/>
            <sz val="9"/>
            <color indexed="81"/>
            <rFont val="Tahoma"/>
            <charset val="177"/>
          </rPr>
          <t>יניב שפירא:</t>
        </r>
        <r>
          <rPr>
            <sz val="9"/>
            <color indexed="81"/>
            <rFont val="Tahoma"/>
            <charset val="177"/>
          </rPr>
          <t xml:space="preserve">
1 = כן
2 = לא
3 = הרשימה שהצבעתי לעירייה לא רצה לכנסת
4 = לא הצבעתי לכנסת
5 = לא הצבעתי לעירייה
6 = לא הצבעתי כלל</t>
        </r>
      </text>
    </comment>
    <comment ref="AF177" authorId="0" shapeId="0" xr:uid="{5B3964F0-856A-4F89-8C7B-3906D93E47F0}">
      <text>
        <r>
          <rPr>
            <b/>
            <sz val="9"/>
            <color indexed="81"/>
            <rFont val="Tahoma"/>
            <family val="2"/>
          </rPr>
          <t>יניב שפירא:</t>
        </r>
        <r>
          <rPr>
            <sz val="9"/>
            <color indexed="81"/>
            <rFont val="Tahoma"/>
            <family val="2"/>
          </rPr>
          <t xml:space="preserve">
1 = כן
2 = לא
3 = לא אצביע לעירייה
4 = טרם החלטתי למי להצביע לעירייה
5 = לא אצביע לכנסת
6 = טרם החלטתי למי להצביע לכנסת</t>
        </r>
      </text>
    </comment>
    <comment ref="AB179" authorId="0" shapeId="0" xr:uid="{E16EA818-3C28-4A6D-A842-E1535F56B264}">
      <text>
        <r>
          <rPr>
            <b/>
            <sz val="9"/>
            <color indexed="81"/>
            <rFont val="Tahoma"/>
            <charset val="177"/>
          </rPr>
          <t>יניב שפירא:</t>
        </r>
        <r>
          <rPr>
            <sz val="9"/>
            <color indexed="81"/>
            <rFont val="Tahoma"/>
            <charset val="177"/>
          </rPr>
          <t xml:space="preserve">
1 = במידה רבה
2 = במידה מסוימת
3 = במידה מועטה
4 = בכלל לא
5 = אין לי בן/בת זוג</t>
        </r>
      </text>
    </comment>
    <comment ref="AB180" authorId="0" shapeId="0" xr:uid="{16F239D7-006C-4114-BC65-F2D76DA447E6}">
      <text>
        <r>
          <rPr>
            <b/>
            <sz val="9"/>
            <color indexed="81"/>
            <rFont val="Tahoma"/>
            <charset val="177"/>
          </rPr>
          <t>יניב שפירא:</t>
        </r>
        <r>
          <rPr>
            <sz val="9"/>
            <color indexed="81"/>
            <rFont val="Tahoma"/>
            <charset val="177"/>
          </rPr>
          <t xml:space="preserve">
1 = הרבה יותר קשה
2 = קצת יותר קשה
3 = באותה מידה
4 = קצת פחות קשה
5 = הרבה פחות קשה</t>
        </r>
      </text>
    </comment>
    <comment ref="A181" authorId="0" shapeId="0" xr:uid="{61A0EF03-8C6E-4E15-BD29-EDC719C9EFCE}">
      <text>
        <r>
          <rPr>
            <b/>
            <sz val="9"/>
            <color indexed="81"/>
            <rFont val="Tahoma"/>
            <charset val="177"/>
          </rPr>
          <t>יניב שפירא:</t>
        </r>
        <r>
          <rPr>
            <sz val="9"/>
            <color indexed="81"/>
            <rFont val="Tahoma"/>
            <charset val="177"/>
          </rPr>
          <t xml:space="preserve">
לנשים בלבד</t>
        </r>
      </text>
    </comment>
    <comment ref="AB181" authorId="0" shapeId="0" xr:uid="{6D081166-C5CB-4120-90B5-1CA987703BF2}">
      <text>
        <r>
          <rPr>
            <b/>
            <sz val="9"/>
            <color indexed="81"/>
            <rFont val="Tahoma"/>
            <charset val="177"/>
          </rPr>
          <t>יניב שפירא:</t>
        </r>
        <r>
          <rPr>
            <sz val="9"/>
            <color indexed="81"/>
            <rFont val="Tahoma"/>
            <charset val="177"/>
          </rPr>
          <t xml:space="preserve">
1 = כן בהחלט
2 = חושבת שכן
3 = חושבת שלא
4 = בכלל לא
5 = לא יודעת בעד מי בעלי רוצה שאצביע
6 = לא חשוב לו עבור מי אצביע
7 = אני גבר</t>
        </r>
      </text>
    </comment>
    <comment ref="AB182" authorId="0" shapeId="0" xr:uid="{7DE26275-8478-4A14-BCC9-ECC4613D7A2B}">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183" authorId="0" shapeId="0" xr:uid="{4BD19C9A-8D27-4BDE-B34E-6A777243AD24}">
      <text>
        <r>
          <rPr>
            <b/>
            <sz val="9"/>
            <color indexed="81"/>
            <rFont val="Tahoma"/>
            <charset val="177"/>
          </rPr>
          <t>יניב שפירא:</t>
        </r>
        <r>
          <rPr>
            <sz val="9"/>
            <color indexed="81"/>
            <rFont val="Tahoma"/>
            <charset val="177"/>
          </rPr>
          <t xml:space="preserve">
1 = הוא לא צריך להצביע
2 = הוא צריך לשים פתק לבן
3 = הוא צריך להצביע למפלגה כלשהי</t>
        </r>
      </text>
    </comment>
    <comment ref="AF184" authorId="0" shapeId="0" xr:uid="{4765A65A-F26F-4BC0-A5B3-E86948988956}">
      <text>
        <r>
          <rPr>
            <b/>
            <sz val="9"/>
            <color indexed="81"/>
            <rFont val="Tahoma"/>
            <family val="2"/>
          </rPr>
          <t>יניב שפירא:</t>
        </r>
        <r>
          <rPr>
            <sz val="9"/>
            <color indexed="81"/>
            <rFont val="Tahoma"/>
            <family val="2"/>
          </rPr>
          <t xml:space="preserve">
1 = מסכים בהחלט
2 = במידה מסויימת
3 = מסתייג
4 = מתנגד בהחלט</t>
        </r>
      </text>
    </comment>
    <comment ref="AB185" authorId="0" shapeId="0" xr:uid="{8108787F-C090-41D7-85E1-67DDEE369B41}">
      <text>
        <r>
          <rPr>
            <b/>
            <sz val="9"/>
            <color indexed="81"/>
            <rFont val="Tahoma"/>
            <charset val="177"/>
          </rPr>
          <t>יניב שפירא:</t>
        </r>
        <r>
          <rPr>
            <sz val="9"/>
            <color indexed="81"/>
            <rFont val="Tahoma"/>
            <charset val="177"/>
          </rPr>
          <t xml:space="preserve">
1 = חשוב מאד
2 = חשוב
3 = לא כ"כ חשוב
4 = לא חשוב כלל</t>
        </r>
      </text>
    </comment>
    <comment ref="AB186" authorId="0" shapeId="0" xr:uid="{94408EE5-82B4-4EE8-9CC2-BD15FFA69752}">
      <text>
        <r>
          <rPr>
            <b/>
            <sz val="9"/>
            <color indexed="81"/>
            <rFont val="Tahoma"/>
            <charset val="177"/>
          </rPr>
          <t>יניב שפירא:</t>
        </r>
        <r>
          <rPr>
            <sz val="9"/>
            <color indexed="81"/>
            <rFont val="Tahoma"/>
            <charset val="177"/>
          </rPr>
          <t xml:space="preserve">
1 = העיקר זה להצביע
2 = העיקר המפלגה</t>
        </r>
      </text>
    </comment>
    <comment ref="AC187" authorId="0" shapeId="0" xr:uid="{B3FDD1B2-FD7F-4744-9AF5-6686FB212925}">
      <text>
        <r>
          <rPr>
            <b/>
            <sz val="9"/>
            <color indexed="81"/>
            <rFont val="Tahoma"/>
            <charset val="177"/>
          </rPr>
          <t>יניב שפירא:</t>
        </r>
        <r>
          <rPr>
            <sz val="9"/>
            <color indexed="81"/>
            <rFont val="Tahoma"/>
            <charset val="177"/>
          </rPr>
          <t xml:space="preserve">
1 = כן
2 = לא
3 = לא בחרתי פעם קודמת</t>
        </r>
      </text>
    </comment>
    <comment ref="AD188" authorId="0" shapeId="0" xr:uid="{E79204F5-93C3-4E02-A6EE-7D7F17E32DF9}">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190" authorId="0" shapeId="0" xr:uid="{0EF57AFD-3AE1-4C2B-92F0-133B2B6C4D01}">
      <text>
        <r>
          <rPr>
            <b/>
            <sz val="9"/>
            <color indexed="81"/>
            <rFont val="Tahoma"/>
            <charset val="177"/>
          </rPr>
          <t>יניב שפירא:</t>
        </r>
        <r>
          <rPr>
            <sz val="9"/>
            <color indexed="81"/>
            <rFont val="Tahoma"/>
            <charset val="177"/>
          </rPr>
          <t xml:space="preserve">
1 = כן
2 = לא</t>
        </r>
      </text>
    </comment>
    <comment ref="AD191" authorId="0" shapeId="0" xr:uid="{4A6972BB-6F7F-4B8E-A10D-E329A7F141F3}">
      <text>
        <r>
          <rPr>
            <b/>
            <sz val="9"/>
            <color indexed="81"/>
            <rFont val="Tahoma"/>
            <charset val="177"/>
          </rPr>
          <t>יניב שפירא:</t>
        </r>
        <r>
          <rPr>
            <sz val="9"/>
            <color indexed="81"/>
            <rFont val="Tahoma"/>
            <charset val="177"/>
          </rPr>
          <t xml:space="preserve">
9 = לא הצביע בחו"ל</t>
        </r>
      </text>
    </comment>
    <comment ref="A192" authorId="0" shapeId="0" xr:uid="{AB19C3BF-941A-4300-A1FE-D49B890907AF}">
      <text>
        <r>
          <rPr>
            <b/>
            <sz val="9"/>
            <color indexed="81"/>
            <rFont val="Tahoma"/>
            <family val="2"/>
          </rPr>
          <t>יניב שפירא:</t>
        </r>
        <r>
          <rPr>
            <sz val="9"/>
            <color indexed="81"/>
            <rFont val="Tahoma"/>
            <family val="2"/>
          </rPr>
          <t xml:space="preserve">
הבעיה שציין ב"ישראל כללי" שורה 4</t>
        </r>
      </text>
    </comment>
    <comment ref="AD192" authorId="0" shapeId="0" xr:uid="{2118A057-DDA0-487B-B1BB-5C3DA064BA5B}">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193" authorId="0" shapeId="0" xr:uid="{071E444B-87EC-4841-A8EA-EB13E47EA8E6}">
      <text>
        <r>
          <rPr>
            <b/>
            <sz val="9"/>
            <color indexed="81"/>
            <rFont val="Tahoma"/>
            <family val="2"/>
          </rPr>
          <t>יניב שפירא:</t>
        </r>
        <r>
          <rPr>
            <sz val="9"/>
            <color indexed="81"/>
            <rFont val="Tahoma"/>
            <family val="2"/>
          </rPr>
          <t xml:space="preserve">
הבעייה שציין ב"ישראל כללי"
שורה 5</t>
        </r>
      </text>
    </comment>
    <comment ref="AD193" authorId="0" shapeId="0" xr:uid="{0662B917-F289-47E7-B6EE-66D20CF3B4BD}">
      <text>
        <r>
          <rPr>
            <b/>
            <sz val="9"/>
            <color indexed="81"/>
            <rFont val="Tahoma"/>
            <family val="2"/>
          </rPr>
          <t>יניב שפירא:</t>
        </r>
        <r>
          <rPr>
            <sz val="9"/>
            <color indexed="81"/>
            <rFont val="Tahoma"/>
            <family val="2"/>
          </rPr>
          <t xml:space="preserve">
1 = מאוד משפיעה
2 = משפיעה
3 = לא כ"כ משפיעה
4 = לא משפיעה כלל
5 = לא מזדהה עם אף מפלגה</t>
        </r>
      </text>
    </comment>
    <comment ref="AD194" authorId="0" shapeId="0" xr:uid="{BE9AED55-F8EB-442B-AE39-5C395B796D55}">
      <text>
        <r>
          <rPr>
            <b/>
            <sz val="9"/>
            <color indexed="81"/>
            <rFont val="Tahoma"/>
            <charset val="177"/>
          </rPr>
          <t>יניב שפירא:</t>
        </r>
        <r>
          <rPr>
            <sz val="9"/>
            <color indexed="81"/>
            <rFont val="Tahoma"/>
            <charset val="177"/>
          </rPr>
          <t xml:space="preserve">
1 = מאוד תשפיע
2 = תשפיע
3 = לא כ"כ תשפיע
4 = לא תשפיע כלל</t>
        </r>
      </text>
    </comment>
    <comment ref="AF195" authorId="0" shapeId="0" xr:uid="{F465AF9C-C82F-4A40-B30B-580FA40FF5BE}">
      <text>
        <r>
          <rPr>
            <b/>
            <sz val="9"/>
            <color indexed="81"/>
            <rFont val="Tahoma"/>
            <family val="2"/>
          </rPr>
          <t>יניב שפירא:</t>
        </r>
        <r>
          <rPr>
            <sz val="9"/>
            <color indexed="81"/>
            <rFont val="Tahoma"/>
            <family val="2"/>
          </rPr>
          <t xml:space="preserve">
1 = מחזק את עמדתי להצביע עבור הרשימה שבחרתי בה
2 = לא השפיע כלל
3 = השפיע עליי לשנות את החלטתי</t>
        </r>
      </text>
    </comment>
    <comment ref="C196" authorId="0" shapeId="0" xr:uid="{7292B565-38C0-497E-9F0C-9F705957B522}">
      <text>
        <r>
          <rPr>
            <b/>
            <sz val="9"/>
            <color indexed="81"/>
            <rFont val="Tahoma"/>
            <family val="2"/>
          </rPr>
          <t>יניב שפירא:</t>
        </r>
        <r>
          <rPr>
            <sz val="9"/>
            <color indexed="81"/>
            <rFont val="Tahoma"/>
            <family val="2"/>
          </rPr>
          <t xml:space="preserve">
1 = כלל לא ישפיע
2 = ישפיע במידה מועטה
3 = ישפיע במידה מסוימת
4 = ישפיע במידה רבה</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F771B141-83E2-4117-9134-E192A8619B2A}">
      <text>
        <r>
          <rPr>
            <b/>
            <sz val="9"/>
            <color indexed="81"/>
            <rFont val="Tahoma"/>
            <charset val="177"/>
          </rPr>
          <t>יניב שפירא:</t>
        </r>
        <r>
          <rPr>
            <sz val="9"/>
            <color indexed="81"/>
            <rFont val="Tahoma"/>
            <charset val="177"/>
          </rPr>
          <t xml:space="preserve">
post election</t>
        </r>
      </text>
    </comment>
    <comment ref="AA1" authorId="0" shapeId="0" xr:uid="{63C6A467-E976-4782-AA08-EE386D34771C}">
      <text>
        <r>
          <rPr>
            <b/>
            <sz val="9"/>
            <color indexed="81"/>
            <rFont val="Tahoma"/>
            <charset val="177"/>
          </rPr>
          <t>יניב שפירא:</t>
        </r>
        <r>
          <rPr>
            <sz val="9"/>
            <color indexed="81"/>
            <rFont val="Tahoma"/>
            <charset val="177"/>
          </rPr>
          <t xml:space="preserve">
post Kippur + post election</t>
        </r>
      </text>
    </comment>
    <comment ref="AB1" authorId="0" shapeId="0" xr:uid="{E8A427C0-211B-4152-AD1C-26AF7B1DDE42}">
      <text>
        <r>
          <rPr>
            <b/>
            <sz val="9"/>
            <color indexed="81"/>
            <rFont val="Tahoma"/>
            <charset val="177"/>
          </rPr>
          <t>יניב שפירא:</t>
        </r>
        <r>
          <rPr>
            <sz val="9"/>
            <color indexed="81"/>
            <rFont val="Tahoma"/>
            <charset val="177"/>
          </rPr>
          <t xml:space="preserve">
post Kippur</t>
        </r>
      </text>
    </comment>
    <comment ref="AC1" authorId="0" shapeId="0" xr:uid="{B7BB7088-BEC3-46C7-8BD4-34D9B954935E}">
      <text>
        <r>
          <rPr>
            <b/>
            <sz val="9"/>
            <color indexed="81"/>
            <rFont val="Tahoma"/>
            <charset val="177"/>
          </rPr>
          <t>יניב שפירא:</t>
        </r>
        <r>
          <rPr>
            <sz val="9"/>
            <color indexed="81"/>
            <rFont val="Tahoma"/>
            <charset val="177"/>
          </rPr>
          <t xml:space="preserve">
post Kippur</t>
        </r>
      </text>
    </comment>
    <comment ref="AF1" authorId="0" shapeId="0" xr:uid="{6E540E86-5974-4DAE-8997-AA08E7A81EBB}">
      <text>
        <r>
          <rPr>
            <b/>
            <sz val="9"/>
            <color indexed="81"/>
            <rFont val="Tahoma"/>
            <charset val="177"/>
          </rPr>
          <t>יניב שפירא:</t>
        </r>
        <r>
          <rPr>
            <sz val="9"/>
            <color indexed="81"/>
            <rFont val="Tahoma"/>
            <charset val="177"/>
          </rPr>
          <t xml:space="preserve">
pre + post election</t>
        </r>
      </text>
    </comment>
    <comment ref="L2" authorId="0" shapeId="0" xr:uid="{583970F4-B58D-4067-9B72-F87F9AB9EF7A}">
      <text>
        <r>
          <rPr>
            <b/>
            <sz val="9"/>
            <color indexed="81"/>
            <rFont val="Tahoma"/>
            <family val="2"/>
          </rPr>
          <t>יניב שפירא:</t>
        </r>
        <r>
          <rPr>
            <sz val="9"/>
            <color indexed="81"/>
            <rFont val="Tahoma"/>
            <family val="2"/>
          </rPr>
          <t xml:space="preserve">
1 = שרון
2 = ברק</t>
        </r>
      </text>
    </comment>
    <comment ref="M2" authorId="0" shapeId="0" xr:uid="{1B517FA6-1090-4308-99A2-B5963328DA14}">
      <text>
        <r>
          <rPr>
            <b/>
            <sz val="9"/>
            <color indexed="81"/>
            <rFont val="Tahoma"/>
            <family val="2"/>
          </rPr>
          <t>יניב שפירא:</t>
        </r>
        <r>
          <rPr>
            <sz val="9"/>
            <color indexed="81"/>
            <rFont val="Tahoma"/>
            <family val="2"/>
          </rPr>
          <t xml:space="preserve">
1 = נתניהו
2 = ברק
3 = מרדכי</t>
        </r>
      </text>
    </comment>
    <comment ref="N2" authorId="0" shapeId="0" xr:uid="{804EB2DC-F17A-4F77-81D5-692AAA095C43}">
      <text>
        <r>
          <rPr>
            <b/>
            <sz val="9"/>
            <color indexed="81"/>
            <rFont val="Tahoma"/>
            <family val="2"/>
          </rPr>
          <t>יניב שפירא:</t>
        </r>
        <r>
          <rPr>
            <sz val="9"/>
            <color indexed="81"/>
            <rFont val="Tahoma"/>
            <family val="2"/>
          </rPr>
          <t xml:space="preserve">
1 = נתניהו
2 = פרס
3 = לא יודע</t>
        </r>
      </text>
    </comment>
    <comment ref="M3" authorId="0" shapeId="0" xr:uid="{0E835075-F1FC-4B86-8396-B0D63D55DA82}">
      <text>
        <r>
          <rPr>
            <b/>
            <sz val="9"/>
            <color indexed="81"/>
            <rFont val="Tahoma"/>
            <family val="2"/>
          </rPr>
          <t>יניב שפירא:</t>
        </r>
        <r>
          <rPr>
            <sz val="9"/>
            <color indexed="81"/>
            <rFont val="Tahoma"/>
            <family val="2"/>
          </rPr>
          <t xml:space="preserve">
v60 + v61
שתי תשובות
1 = נתניהו
2 = ברק
3 = מרדכי
4 = בגין
5 = בשארה
6 = רפול</t>
        </r>
      </text>
    </comment>
    <comment ref="I4" authorId="0" shapeId="0" xr:uid="{248528E9-89D5-49BA-B24F-40133EC95C57}">
      <text>
        <r>
          <rPr>
            <b/>
            <sz val="9"/>
            <color indexed="81"/>
            <rFont val="Tahoma"/>
            <family val="2"/>
          </rPr>
          <t>יניב שפירא:</t>
        </r>
        <r>
          <rPr>
            <sz val="9"/>
            <color indexed="81"/>
            <rFont val="Tahoma"/>
            <family val="2"/>
          </rPr>
          <t xml:space="preserve">
ציון 0-100
0 = אין סיכוי
100 = בטוח שכן</t>
        </r>
      </text>
    </comment>
    <comment ref="I5" authorId="0" shapeId="0" xr:uid="{AB6F2524-361A-4868-9FE0-A65BAA1E22AB}">
      <text>
        <r>
          <rPr>
            <b/>
            <sz val="9"/>
            <color indexed="81"/>
            <rFont val="Tahoma"/>
            <family val="2"/>
          </rPr>
          <t>יניב שפירא:</t>
        </r>
        <r>
          <rPr>
            <sz val="9"/>
            <color indexed="81"/>
            <rFont val="Tahoma"/>
            <family val="2"/>
          </rPr>
          <t xml:space="preserve">
ציון 0-100
0 = אין סיכוי
100 = בטוח שכן</t>
        </r>
      </text>
    </comment>
    <comment ref="I6" authorId="0" shapeId="0" xr:uid="{5D9EB361-3831-4449-AFD0-42031522CD2A}">
      <text>
        <r>
          <rPr>
            <b/>
            <sz val="9"/>
            <color indexed="81"/>
            <rFont val="Tahoma"/>
            <family val="2"/>
          </rPr>
          <t>יניב שפירא:</t>
        </r>
        <r>
          <rPr>
            <sz val="9"/>
            <color indexed="81"/>
            <rFont val="Tahoma"/>
            <family val="2"/>
          </rPr>
          <t xml:space="preserve">
ציון 0-100
0 = אין סיכוי
100 = בטוח שכן</t>
        </r>
      </text>
    </comment>
    <comment ref="N7" authorId="0" shapeId="0" xr:uid="{24BA6DCF-47AA-4CB7-9E3E-96784D1FE83C}">
      <text>
        <r>
          <rPr>
            <b/>
            <sz val="9"/>
            <color indexed="81"/>
            <rFont val="Tahoma"/>
            <family val="2"/>
          </rPr>
          <t>יניב שפירא:</t>
        </r>
        <r>
          <rPr>
            <sz val="9"/>
            <color indexed="81"/>
            <rFont val="Tahoma"/>
            <family val="2"/>
          </rPr>
          <t xml:space="preserve">
1 = העבודה
2 = הליכוד
3 = לא יודע</t>
        </r>
      </text>
    </comment>
    <comment ref="O7" authorId="0" shapeId="0" xr:uid="{4FD93627-1D10-438E-88C6-A90DF5205FF3}">
      <text>
        <r>
          <rPr>
            <b/>
            <sz val="9"/>
            <color indexed="81"/>
            <rFont val="Tahoma"/>
            <family val="2"/>
          </rPr>
          <t>יניב שפירא:</t>
        </r>
        <r>
          <rPr>
            <sz val="9"/>
            <color indexed="81"/>
            <rFont val="Tahoma"/>
            <family val="2"/>
          </rPr>
          <t xml:space="preserve">
הניסוח הוא:
"מפלגה שתקים את הממשלה"
1 = העבודה
2 = הליכוד
3 = ממלשת אחדות לאומית בראשות העבודה
4 = ממשלת אחדות לאומית בראשות הליכוד
5 = אחר</t>
        </r>
      </text>
    </comment>
    <comment ref="O8" authorId="0" shapeId="0" xr:uid="{9ADA61FE-E629-4D5D-8C41-54B3A587B910}">
      <text>
        <r>
          <rPr>
            <b/>
            <sz val="9"/>
            <color indexed="81"/>
            <rFont val="Tahoma"/>
            <family val="2"/>
          </rPr>
          <t>יניב שפירא:</t>
        </r>
        <r>
          <rPr>
            <sz val="9"/>
            <color indexed="81"/>
            <rFont val="Tahoma"/>
            <family val="2"/>
          </rPr>
          <t xml:space="preserve">
1 = העבודה
2 = הליכוד
3 = ממלשת אחדות לאומית בראשות העבודה
4 = ממשלת אחדות לאומית בראשות הליכוד
5 = אחר</t>
        </r>
      </text>
    </comment>
    <comment ref="T9" authorId="0" shapeId="0" xr:uid="{490C2422-0A7E-4879-904F-F951DC213D87}">
      <text>
        <r>
          <rPr>
            <b/>
            <sz val="9"/>
            <color indexed="81"/>
            <rFont val="Tahoma"/>
            <charset val="177"/>
          </rPr>
          <t>יניב שפירא:</t>
        </r>
        <r>
          <rPr>
            <sz val="9"/>
            <color indexed="81"/>
            <rFont val="Tahoma"/>
            <charset val="177"/>
          </rPr>
          <t xml:space="preserve">
1 = רוצה במידה רבה את הליכוד
2 = רוצה במידה מסויימת את הליכוד
3 = לא משנה לי
4 = רוצה במידה מסויימת את המערך
5 = רוצה במידה רבה את המערך</t>
        </r>
      </text>
    </comment>
    <comment ref="J11" authorId="0" shapeId="0" xr:uid="{36A779BF-253B-4272-81E1-51CA281FC9CF}">
      <text>
        <r>
          <rPr>
            <b/>
            <sz val="9"/>
            <color indexed="81"/>
            <rFont val="Tahoma"/>
            <family val="2"/>
          </rPr>
          <t>יניב שפירא:</t>
        </r>
        <r>
          <rPr>
            <sz val="9"/>
            <color indexed="81"/>
            <rFont val="Tahoma"/>
            <family val="2"/>
          </rPr>
          <t xml:space="preserve">
ציון בין 0-100
0 = אין סיכוי שתהיה
100 = בטוח שתהיה</t>
        </r>
      </text>
    </comment>
    <comment ref="J31" authorId="0" shapeId="0" xr:uid="{3C8398BF-26B4-499A-BAC8-E2370D17CDF5}">
      <text>
        <r>
          <rPr>
            <b/>
            <sz val="9"/>
            <color indexed="81"/>
            <rFont val="Tahoma"/>
            <family val="2"/>
          </rPr>
          <t>יניב שפירא:</t>
        </r>
        <r>
          <rPr>
            <sz val="9"/>
            <color indexed="81"/>
            <rFont val="Tahoma"/>
            <family val="2"/>
          </rPr>
          <t xml:space="preserve">
ציון בין 0-100
0 = אין סיכוי
100 = בטוח שכן</t>
        </r>
      </text>
    </comment>
    <comment ref="J41" authorId="0" shapeId="0" xr:uid="{3BF60471-30C1-4112-BFC7-7154B7A2FDC5}">
      <text>
        <r>
          <rPr>
            <b/>
            <sz val="9"/>
            <color indexed="81"/>
            <rFont val="Tahoma"/>
            <family val="2"/>
          </rPr>
          <t>יניב שפירא:</t>
        </r>
        <r>
          <rPr>
            <sz val="9"/>
            <color indexed="81"/>
            <rFont val="Tahoma"/>
            <family val="2"/>
          </rPr>
          <t xml:space="preserve">
סולם בין 1-10
1 = מתנגד
10 = תומך</t>
        </r>
      </text>
    </comment>
    <comment ref="X51" authorId="0" shapeId="0" xr:uid="{BB3A848B-EA5D-495D-BB43-8FC249D63842}">
      <text>
        <r>
          <rPr>
            <b/>
            <sz val="9"/>
            <color indexed="81"/>
            <rFont val="Tahoma"/>
            <charset val="177"/>
          </rPr>
          <t>יניב שפירא:</t>
        </r>
        <r>
          <rPr>
            <sz val="9"/>
            <color indexed="81"/>
            <rFont val="Tahoma"/>
            <charset val="177"/>
          </rPr>
          <t xml:space="preserve">
1 = מערך+ליכוד+ד"ש
2 = מערך+ליכוד
3 = מערך+ד"ש
4 = מערך+מפד"ל
5 = ליכוד+ד"ש
6 = ליכוד+מפד"ל
7 = ליכוד+ד"ש+מפד"ל
8 = מערך+ד"ש+מפד"ל
9 = מערך+ליכוד+ד"ש+מפד"ל</t>
        </r>
      </text>
    </comment>
    <comment ref="M52" authorId="0" shapeId="0" xr:uid="{18BAF002-1F5C-455E-A5D5-B609444E6B90}">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העבודה
7 = כן, אבל רק בראשות מפלגת המרכז</t>
        </r>
      </text>
    </comment>
    <comment ref="Q52" authorId="0" shapeId="0" xr:uid="{A01A8AD4-D7F2-4B2A-960D-760D14C393E9}">
      <text>
        <r>
          <rPr>
            <b/>
            <sz val="9"/>
            <color indexed="81"/>
            <rFont val="Tahoma"/>
            <family val="2"/>
          </rPr>
          <t>יניב שפירא:</t>
        </r>
        <r>
          <rPr>
            <sz val="9"/>
            <color indexed="81"/>
            <rFont val="Tahoma"/>
            <family val="2"/>
          </rPr>
          <t xml:space="preserve">
1 = בהחלט כן
2 = חושב שכן
3 = חושב שלא
4 = בהחלט לא
5 = כן, אבל רק בראשות הליכוד
6 = כן, אבל רק בראשות המערך</t>
        </r>
      </text>
    </comment>
    <comment ref="AB52" authorId="0" shapeId="0" xr:uid="{F9ADFACA-F01B-4F4B-B512-BC5219BAE5F2}">
      <text>
        <r>
          <rPr>
            <b/>
            <sz val="9"/>
            <color indexed="81"/>
            <rFont val="Tahoma"/>
            <charset val="177"/>
          </rPr>
          <t>יניב שפירא:</t>
        </r>
        <r>
          <rPr>
            <sz val="9"/>
            <color indexed="81"/>
            <rFont val="Tahoma"/>
            <charset val="177"/>
          </rPr>
          <t xml:space="preserve">
1 = בהחלט יש להקים
2 = חושב שיש להקים
3 = חושב שאין להקים
4 = בהחלט אין להקים</t>
        </r>
      </text>
    </comment>
    <comment ref="AC53" authorId="0" shapeId="0" xr:uid="{B4CAB1FC-5F7B-4418-B0FB-FC7D53909FD6}">
      <text>
        <r>
          <rPr>
            <b/>
            <sz val="9"/>
            <color indexed="81"/>
            <rFont val="Tahoma"/>
            <family val="2"/>
          </rPr>
          <t>יניב שפירא:</t>
        </r>
        <r>
          <rPr>
            <sz val="9"/>
            <color indexed="81"/>
            <rFont val="Tahoma"/>
            <family val="2"/>
          </rPr>
          <t xml:space="preserve">
1 = בהחלט יש להקים
2 = חושב שיש להקים
3 = חושב שלא להקים
4 = בהחלט לא להקים</t>
        </r>
      </text>
    </comment>
    <comment ref="B54" authorId="1" shapeId="0" xr:uid="{96B7D6F7-AC6E-4724-AE1A-DFC0E1399E3D}">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לא תקום שום קואליציה והכנסת תפוזר
5 = אחר</t>
        </r>
      </text>
    </comment>
    <comment ref="C54" authorId="0" shapeId="0" xr:uid="{4A8C0E87-204B-4C86-9031-3530897C1B11}">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D54" authorId="0" shapeId="0" xr:uid="{AC4C8225-B136-4DBF-A715-1981DE0DFC6D}">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r>
      </text>
    </comment>
    <comment ref="F54" authorId="0" shapeId="0" xr:uid="{0071350C-2160-4870-BB15-945C08BCB2C1}">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G54" authorId="0" shapeId="0" xr:uid="{E02A3B8E-C65E-4EA0-A21D-31E728E7498B}">
      <text>
        <r>
          <rPr>
            <b/>
            <sz val="9"/>
            <color indexed="81"/>
            <rFont val="Tahoma"/>
            <family val="2"/>
          </rPr>
          <t>יניב שפירא:</t>
        </r>
        <r>
          <rPr>
            <sz val="9"/>
            <color indexed="81"/>
            <rFont val="Tahoma"/>
            <family val="2"/>
          </rPr>
          <t xml:space="preserve">
1 = קואליציה בראשות הליכוד
2 = קואליציה בראשות המחנה הציוני
3 = ממשלת אחדות</t>
        </r>
      </text>
    </comment>
    <comment ref="B55" authorId="1" shapeId="0" xr:uid="{89664832-45B2-4F15-BD17-CEBAF3C94AE2}">
      <text>
        <r>
          <rPr>
            <b/>
            <sz val="9"/>
            <color indexed="81"/>
            <rFont val="Tahoma"/>
            <family val="2"/>
          </rPr>
          <t>adi:</t>
        </r>
        <r>
          <rPr>
            <sz val="9"/>
            <color indexed="81"/>
            <rFont val="Tahoma"/>
            <family val="2"/>
          </rPr>
          <t xml:space="preserve">
1 = הליכוד+ימין+חרדים
2 = יש עתיד+מרכז-שמאל
3 = אחדות לאומית (ימין+מרכז+שמאל)
4 = אחר</t>
        </r>
      </text>
    </comment>
    <comment ref="C55" authorId="0" shapeId="0" xr:uid="{93022CB9-BB23-4D06-89F3-A307FC4B311C}">
      <text>
        <r>
          <rPr>
            <b/>
            <sz val="9"/>
            <color indexed="81"/>
            <rFont val="Tahoma"/>
            <family val="2"/>
          </rPr>
          <t>יניב שפירא:</t>
        </r>
        <r>
          <rPr>
            <sz val="9"/>
            <color indexed="81"/>
            <rFont val="Tahoma"/>
            <family val="2"/>
          </rPr>
          <t xml:space="preserve">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r>
      </text>
    </comment>
    <comment ref="D55" authorId="0" shapeId="0" xr:uid="{1FAF3AD2-8BFE-4825-8D7F-146A76F48D37}">
      <text>
        <r>
          <rPr>
            <b/>
            <sz val="9"/>
            <color indexed="81"/>
            <rFont val="Tahoma"/>
            <family val="2"/>
          </rPr>
          <t>יניב שפירא:</t>
        </r>
        <r>
          <rPr>
            <sz val="9"/>
            <color indexed="81"/>
            <rFont val="Tahoma"/>
            <family val="2"/>
          </rPr>
          <t xml:space="preserve">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r>
      </text>
    </comment>
    <comment ref="D56" authorId="0" shapeId="0" xr:uid="{844F46FB-BB01-4DA2-99FF-0656933C4C96}">
      <text>
        <r>
          <rPr>
            <b/>
            <sz val="9"/>
            <color indexed="81"/>
            <rFont val="Tahoma"/>
            <family val="2"/>
          </rPr>
          <t>יניב שפירא:</t>
        </r>
        <r>
          <rPr>
            <sz val="9"/>
            <color indexed="81"/>
            <rFont val="Tahoma"/>
            <family val="2"/>
          </rPr>
          <t xml:space="preserve">
1 = בכלל לא
2 = במידה מועטה
3 = במידה בינונית
4 = במידה רבה
5 = במידה רבה מאד
8 = לא יודע
9 = אין תשובה/מסרב</t>
        </r>
      </text>
    </comment>
    <comment ref="F56" authorId="0" shapeId="0" xr:uid="{69DC81D7-BB11-4D63-A901-76C684EC9A62}">
      <text>
        <r>
          <rPr>
            <b/>
            <sz val="9"/>
            <color indexed="81"/>
            <rFont val="Tahoma"/>
            <charset val="177"/>
          </rPr>
          <t>יניב שפירא:</t>
        </r>
        <r>
          <rPr>
            <sz val="9"/>
            <color indexed="81"/>
            <rFont val="Tahoma"/>
            <charset val="177"/>
          </rPr>
          <t xml:space="preserve">
1 = בכלל לא
2 = במידה מועטה
3 = במידה בינונית
4 = במידה רבה
5 = במידה רבה מאד</t>
        </r>
      </text>
    </comment>
    <comment ref="B57" authorId="1" shapeId="0" xr:uid="{BBD32B76-FD35-42AE-A93A-C2B99AE6AA8D}">
      <text>
        <r>
          <rPr>
            <b/>
            <sz val="9"/>
            <color indexed="81"/>
            <rFont val="Tahoma"/>
            <family val="2"/>
          </rPr>
          <t>adi:</t>
        </r>
        <r>
          <rPr>
            <sz val="9"/>
            <color indexed="81"/>
            <rFont val="Tahoma"/>
            <family val="2"/>
          </rPr>
          <t xml:space="preserve">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r>
      </text>
    </comment>
    <comment ref="C57" authorId="0" shapeId="0" xr:uid="{D67CCBC6-93B1-4B68-94E3-04B4D18253C0}">
      <text>
        <r>
          <rPr>
            <b/>
            <sz val="9"/>
            <color indexed="81"/>
            <rFont val="Tahoma"/>
            <family val="2"/>
          </rPr>
          <t>יניב שפירא:</t>
        </r>
        <r>
          <rPr>
            <sz val="9"/>
            <color indexed="81"/>
            <rFont val="Tahoma"/>
            <family val="2"/>
          </rPr>
          <t xml:space="preserve">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r>
      </text>
    </comment>
    <comment ref="D57" authorId="0" shapeId="0" xr:uid="{E7DE25E1-7386-4EE1-9381-9499B93B6F6E}">
      <text>
        <r>
          <rPr>
            <b/>
            <sz val="9"/>
            <color indexed="81"/>
            <rFont val="Tahoma"/>
            <family val="2"/>
          </rPr>
          <t>יניב שפירא:</t>
        </r>
        <r>
          <rPr>
            <sz val="9"/>
            <color indexed="81"/>
            <rFont val="Tahoma"/>
            <family val="2"/>
          </rPr>
          <t xml:space="preserve">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r>
      </text>
    </comment>
    <comment ref="E57" authorId="0" shapeId="0" xr:uid="{1787761E-3266-45F6-A9E4-F53AA936B181}">
      <text>
        <r>
          <rPr>
            <b/>
            <sz val="9"/>
            <color indexed="81"/>
            <rFont val="Tahoma"/>
            <family val="2"/>
          </rPr>
          <t>יניב שפירא:</t>
        </r>
        <r>
          <rPr>
            <sz val="9"/>
            <color indexed="81"/>
            <rFont val="Tahoma"/>
            <family val="2"/>
          </rPr>
          <t xml:space="preserve">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r>
      </text>
    </comment>
    <comment ref="F57" authorId="0" shapeId="0" xr:uid="{22AE06A1-04F5-4EFD-B33F-7F4BC6093E94}">
      <text>
        <r>
          <rPr>
            <b/>
            <sz val="9"/>
            <color indexed="81"/>
            <rFont val="Tahoma"/>
            <family val="2"/>
          </rPr>
          <t>יניב שפירא:</t>
        </r>
        <r>
          <rPr>
            <sz val="9"/>
            <color indexed="81"/>
            <rFont val="Tahoma"/>
            <family val="2"/>
          </rPr>
          <t xml:space="preserve">
1 = קואליציה של הליכוד עם מפלגות הימין הדתיות, החרדיות והחילוניות
2 = ממשלת אחדות לאומית של הליכוד וכחול-לבן
3 = קואליציה אחרת
4 = אף אחת מהן</t>
        </r>
      </text>
    </comment>
    <comment ref="G57" authorId="0" shapeId="0" xr:uid="{44728377-D5E4-40BA-8C5A-9778B12A1083}">
      <text>
        <r>
          <rPr>
            <b/>
            <sz val="9"/>
            <color indexed="81"/>
            <rFont val="Tahoma"/>
            <charset val="177"/>
          </rPr>
          <t>יניב שפירא:</t>
        </r>
        <r>
          <rPr>
            <sz val="9"/>
            <color indexed="81"/>
            <rFont val="Tahoma"/>
            <charset val="177"/>
          </rPr>
          <t xml:space="preserve">
1 = קואליצייה בראשות הליכוד עם מפלגות ימין וחרדים
2 = קואליציה בראשות ליכוד עם מפלגות ימין + יש עתיד בלי חרדים
3 = ממשלת אחדות לאומית
4 = אחר
5 = אף אחת מהן</t>
        </r>
      </text>
    </comment>
    <comment ref="H57" authorId="0" shapeId="0" xr:uid="{8EEB4021-5314-4583-A349-2B2F465D13DE}">
      <text>
        <r>
          <rPr>
            <b/>
            <sz val="9"/>
            <color indexed="81"/>
            <rFont val="Tahoma"/>
            <charset val="177"/>
          </rPr>
          <t>יניב שפירא:</t>
        </r>
        <r>
          <rPr>
            <sz val="9"/>
            <color indexed="81"/>
            <rFont val="Tahoma"/>
            <charset val="177"/>
          </rPr>
          <t xml:space="preserve">
1 = ליכוד/בנט/חרדים
2 = ליכוד/לפיד/בנט
3 = ליכוד/לפיד/חרדים
4 = ליכוד/לפיד/חרדים/לבני
5 = ליכוד/לפיד/בנט/חרדים
6 = ליכוד/לפיד/מפלגות מרכז/עבודה
7 = אחר</t>
        </r>
      </text>
    </comment>
    <comment ref="I57" authorId="0" shapeId="0" xr:uid="{BDD035BA-184F-4826-BCEE-3ACA368F1F59}">
      <text>
        <r>
          <rPr>
            <b/>
            <sz val="9"/>
            <color indexed="81"/>
            <rFont val="Tahoma"/>
            <charset val="177"/>
          </rPr>
          <t>יניב שפירא:</t>
        </r>
        <r>
          <rPr>
            <sz val="9"/>
            <color indexed="81"/>
            <rFont val="Tahoma"/>
            <charset val="177"/>
          </rPr>
          <t xml:space="preserve">
1 = ממשלת אחדות לאומית בראשות נתניהו
2 = ממשלת אחדות לאומית בראשות לבני
3 = ממשלת אחדות לאומית עם רוטציה
4 = ממשלת ימין בראשות נתניהו
5 = אחר</t>
        </r>
      </text>
    </comment>
    <comment ref="J57" authorId="0" shapeId="0" xr:uid="{80DE8DE4-65C9-4F97-BA99-92059B0FD307}">
      <text>
        <r>
          <rPr>
            <b/>
            <sz val="9"/>
            <color indexed="81"/>
            <rFont val="Tahoma"/>
            <family val="2"/>
          </rPr>
          <t>יניב שפירא:</t>
        </r>
        <r>
          <rPr>
            <sz val="9"/>
            <color indexed="81"/>
            <rFont val="Tahoma"/>
            <family val="2"/>
          </rPr>
          <t xml:space="preserve">
שאלה פתוחה</t>
        </r>
      </text>
    </comment>
    <comment ref="I58" authorId="0" shapeId="0" xr:uid="{E8F34818-B1CC-4B37-8CB6-71DA7B2C4984}">
      <text>
        <r>
          <rPr>
            <b/>
            <sz val="9"/>
            <color indexed="81"/>
            <rFont val="Tahoma"/>
            <charset val="177"/>
          </rPr>
          <t>יניב שפירא:</t>
        </r>
        <r>
          <rPr>
            <sz val="9"/>
            <color indexed="81"/>
            <rFont val="Tahoma"/>
            <charset val="177"/>
          </rPr>
          <t xml:space="preserve">
1 = מאד מרוצה
2 = די מרוצה
3 = לא כ"כ מרוצה
4 = לא מרוצה בכלל</t>
        </r>
      </text>
    </comment>
    <comment ref="W58" authorId="0" shapeId="0" xr:uid="{E35ECA39-637C-4058-B498-EE566F083EB8}">
      <text>
        <r>
          <rPr>
            <b/>
            <sz val="9"/>
            <color indexed="81"/>
            <rFont val="Tahoma"/>
            <charset val="177"/>
          </rPr>
          <t>יניב שפירא:</t>
        </r>
        <r>
          <rPr>
            <sz val="9"/>
            <color indexed="81"/>
            <rFont val="Tahoma"/>
            <charset val="177"/>
          </rPr>
          <t xml:space="preserve">
1 = מאד מרוצה
2 = מרוצה
3 = לא כ"כ מרוצה
4 = מאד לא מרוצה</t>
        </r>
      </text>
    </comment>
    <comment ref="C59" authorId="0" shapeId="0" xr:uid="{C2F54108-8DF8-43D6-8B90-B99BE9D8B772}">
      <text>
        <r>
          <rPr>
            <b/>
            <sz val="9"/>
            <color indexed="81"/>
            <rFont val="Tahoma"/>
            <family val="2"/>
          </rPr>
          <t>יניב שפירא:</t>
        </r>
        <r>
          <rPr>
            <sz val="9"/>
            <color indexed="81"/>
            <rFont val="Tahoma"/>
            <family val="2"/>
          </rPr>
          <t xml:space="preserve">
1 = שהמפלגה שהצבעת לה תפר את הבטחתה עם מי לא לשבת כדי שתוקם ממשלה
2 = שיהיו בחירות חמישיות</t>
        </r>
      </text>
    </comment>
    <comment ref="I60" authorId="0" shapeId="0" xr:uid="{9075BC8F-39EF-45EB-8F6F-B17204BA3768}">
      <text>
        <r>
          <rPr>
            <b/>
            <sz val="9"/>
            <color indexed="81"/>
            <rFont val="Tahoma"/>
            <family val="2"/>
          </rPr>
          <t>יניב שפירא:</t>
        </r>
        <r>
          <rPr>
            <sz val="9"/>
            <color indexed="81"/>
            <rFont val="Tahoma"/>
            <family val="2"/>
          </rPr>
          <t xml:space="preserve">
1 = מאד אכפת לי
2 = די אכפת לי
3 = קצת אכפת לי
4 = לא אכפת לי</t>
        </r>
      </text>
    </comment>
    <comment ref="Q61" authorId="0" shapeId="0" xr:uid="{451D00F3-4171-42CB-9957-2A44A9EF04D9}">
      <text>
        <r>
          <rPr>
            <b/>
            <sz val="9"/>
            <color indexed="81"/>
            <rFont val="Tahoma"/>
            <family val="2"/>
          </rPr>
          <t>יניב שפירא:</t>
        </r>
        <r>
          <rPr>
            <sz val="9"/>
            <color indexed="81"/>
            <rFont val="Tahoma"/>
            <family val="2"/>
          </rPr>
          <t xml:space="preserve">
1 = לא השתנתה
2 = גבר הסיכוי לנצחון של מחנה הליכוד
3 = גבר הסיכוי לנצחון של מחנה המערך
4 = גברו סיכויי ההצלחה של המפלגות הדתיות</t>
        </r>
      </text>
    </comment>
    <comment ref="T66" authorId="0" shapeId="0" xr:uid="{E3B7C9B2-57FD-4E8A-A296-BAF3B0DA9C7D}">
      <text>
        <r>
          <rPr>
            <b/>
            <sz val="9"/>
            <color indexed="81"/>
            <rFont val="Tahoma"/>
            <charset val="177"/>
          </rPr>
          <t>יניב שפירא:</t>
        </r>
        <r>
          <rPr>
            <sz val="9"/>
            <color indexed="81"/>
            <rFont val="Tahoma"/>
            <charset val="177"/>
          </rPr>
          <t xml:space="preserve">
1 = בהחלט לא רוצה
2 = לא כ"כ רוצה
3 = רוצה במידה מסויימת
4 = רוצה </t>
        </r>
      </text>
    </comment>
    <comment ref="U67" authorId="0" shapeId="0" xr:uid="{F46A7B07-14D8-4633-835E-75465FA98FDF}">
      <text>
        <r>
          <rPr>
            <b/>
            <sz val="9"/>
            <color indexed="81"/>
            <rFont val="Tahoma"/>
            <charset val="177"/>
          </rPr>
          <t>יניב שפירא:</t>
        </r>
        <r>
          <rPr>
            <sz val="9"/>
            <color indexed="81"/>
            <rFont val="Tahoma"/>
            <charset val="177"/>
          </rPr>
          <t xml:space="preserve">
1 = הליכוד
2 = תל"ם (משה דיין)</t>
        </r>
      </text>
    </comment>
    <comment ref="Z67" authorId="0" shapeId="0" xr:uid="{B9CB8DDD-C6EB-4F0A-AB18-B6ADCF4DCBD6}">
      <text>
        <r>
          <rPr>
            <b/>
            <sz val="9"/>
            <color indexed="81"/>
            <rFont val="Tahoma"/>
            <charset val="177"/>
          </rPr>
          <t>יניב שפירא:</t>
        </r>
        <r>
          <rPr>
            <sz val="9"/>
            <color indexed="81"/>
            <rFont val="Tahoma"/>
            <charset val="177"/>
          </rPr>
          <t xml:space="preserve">
1 = הליכוד
2 = ד"ש</t>
        </r>
      </text>
    </comment>
    <comment ref="AA68" authorId="0" shapeId="0" xr:uid="{A5C0A118-41AD-4F8E-ACF9-16FE7037B07F}">
      <text>
        <r>
          <rPr>
            <b/>
            <sz val="9"/>
            <color indexed="81"/>
            <rFont val="Tahoma"/>
            <charset val="177"/>
          </rPr>
          <t>יניב שפירא:</t>
        </r>
        <r>
          <rPr>
            <sz val="9"/>
            <color indexed="81"/>
            <rFont val="Tahoma"/>
            <charset val="177"/>
          </rPr>
          <t xml:space="preserve">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r>
      </text>
    </comment>
    <comment ref="AC69" authorId="0" shapeId="0" xr:uid="{132BFADE-9793-4D31-BF84-E366C30B5B77}">
      <text>
        <r>
          <rPr>
            <b/>
            <sz val="9"/>
            <color indexed="81"/>
            <rFont val="Tahoma"/>
            <family val="2"/>
          </rPr>
          <t>יניב שפירא:</t>
        </r>
        <r>
          <rPr>
            <sz val="9"/>
            <color indexed="81"/>
            <rFont val="Tahoma"/>
            <family val="2"/>
          </rPr>
          <t xml:space="preserve">
1 = עלו במידה רבה
2 = עלו במידה מסוימת
3 = ירדו במידה מסוימת
4 = ירדו במידה רבה
5 = לא השתנו</t>
        </r>
      </text>
    </comment>
    <comment ref="AF72" authorId="0" shapeId="0" xr:uid="{4B6EF1A7-8FF5-4BA0-8637-7B7166FF4135}">
      <text>
        <r>
          <rPr>
            <b/>
            <sz val="9"/>
            <color indexed="81"/>
            <rFont val="Tahoma"/>
            <family val="2"/>
          </rPr>
          <t>יניב שפירא:</t>
        </r>
        <r>
          <rPr>
            <sz val="9"/>
            <color indexed="81"/>
            <rFont val="Tahoma"/>
            <family val="2"/>
          </rPr>
          <t xml:space="preserve">
1 = סיכוי רב מאוד
2 = סיכוי רב
3 = סיכוי בינוני
4 = סיכוי מועט
5 = אין סיכוי כלל
6 = טרם החלטתי למי להצביע
7 = טרם החלטתי אם אצביע
8 = לא אצביע כלל</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1CCD201A-F686-460C-969D-9C5A13A50BBE}">
      <text>
        <r>
          <rPr>
            <b/>
            <sz val="9"/>
            <color indexed="81"/>
            <rFont val="Tahoma"/>
            <charset val="177"/>
          </rPr>
          <t>יניב שפירא:</t>
        </r>
        <r>
          <rPr>
            <sz val="9"/>
            <color indexed="81"/>
            <rFont val="Tahoma"/>
            <charset val="177"/>
          </rPr>
          <t xml:space="preserve">
post election</t>
        </r>
      </text>
    </comment>
    <comment ref="AA1" authorId="0" shapeId="0" xr:uid="{AABB9F7D-C99B-4713-8C6B-54B275A7C213}">
      <text>
        <r>
          <rPr>
            <b/>
            <sz val="9"/>
            <color indexed="81"/>
            <rFont val="Tahoma"/>
            <charset val="177"/>
          </rPr>
          <t>יניב שפירא:</t>
        </r>
        <r>
          <rPr>
            <sz val="9"/>
            <color indexed="81"/>
            <rFont val="Tahoma"/>
            <charset val="177"/>
          </rPr>
          <t xml:space="preserve">
post Kippur + post election</t>
        </r>
      </text>
    </comment>
    <comment ref="AB1" authorId="0" shapeId="0" xr:uid="{488B8B07-7A05-48B8-99BE-6BD40C4F1D85}">
      <text>
        <r>
          <rPr>
            <b/>
            <sz val="9"/>
            <color indexed="81"/>
            <rFont val="Tahoma"/>
            <charset val="177"/>
          </rPr>
          <t>יניב שפירא:</t>
        </r>
        <r>
          <rPr>
            <sz val="9"/>
            <color indexed="81"/>
            <rFont val="Tahoma"/>
            <charset val="177"/>
          </rPr>
          <t xml:space="preserve">
post Kippur</t>
        </r>
      </text>
    </comment>
    <comment ref="AC1" authorId="0" shapeId="0" xr:uid="{5B61FB15-1AB5-48F5-9D9D-8A8516DFC817}">
      <text>
        <r>
          <rPr>
            <b/>
            <sz val="9"/>
            <color indexed="81"/>
            <rFont val="Tahoma"/>
            <charset val="177"/>
          </rPr>
          <t>יניב שפירא:</t>
        </r>
        <r>
          <rPr>
            <sz val="9"/>
            <color indexed="81"/>
            <rFont val="Tahoma"/>
            <charset val="177"/>
          </rPr>
          <t xml:space="preserve">
post Kippur</t>
        </r>
      </text>
    </comment>
    <comment ref="AF1" authorId="0" shapeId="0" xr:uid="{24758D9C-B55D-4658-801D-AB944B2C6151}">
      <text>
        <r>
          <rPr>
            <b/>
            <sz val="9"/>
            <color indexed="81"/>
            <rFont val="Tahoma"/>
            <charset val="177"/>
          </rPr>
          <t>יניב שפירא:</t>
        </r>
        <r>
          <rPr>
            <sz val="9"/>
            <color indexed="81"/>
            <rFont val="Tahoma"/>
            <charset val="177"/>
          </rPr>
          <t xml:space="preserve">
pre + post election</t>
        </r>
      </text>
    </comment>
    <comment ref="B2" authorId="1" shapeId="0" xr:uid="{E19138B4-7020-4840-AF5C-E59883BE74D0}">
      <text>
        <r>
          <rPr>
            <b/>
            <sz val="9"/>
            <color indexed="81"/>
            <rFont val="Tahoma"/>
            <family val="2"/>
          </rPr>
          <t>adi:</t>
        </r>
        <r>
          <rPr>
            <sz val="9"/>
            <color indexed="81"/>
            <rFont val="Tahoma"/>
            <family val="2"/>
          </rPr>
          <t xml:space="preserve">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r>
      </text>
    </comment>
    <comment ref="D2" authorId="0" shapeId="0" xr:uid="{1EA4D1FD-DA53-4F5C-902C-D788206B2267}">
      <text>
        <r>
          <rPr>
            <b/>
            <sz val="9"/>
            <color indexed="81"/>
            <rFont val="Tahoma"/>
            <family val="2"/>
          </rPr>
          <t>יניב שפירא:</t>
        </r>
        <r>
          <rPr>
            <sz val="9"/>
            <color indexed="81"/>
            <rFont val="Tahoma"/>
            <family val="2"/>
          </rPr>
          <t xml:space="preserve">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r>
      </text>
    </comment>
    <comment ref="F2" authorId="0" shapeId="0" xr:uid="{5164CA8D-AF56-4EF4-AD38-76E49ADC8C13}">
      <text>
        <r>
          <rPr>
            <b/>
            <sz val="9"/>
            <color indexed="81"/>
            <rFont val="Tahoma"/>
            <family val="2"/>
          </rPr>
          <t>יניב שפירא:</t>
        </r>
        <r>
          <rPr>
            <sz val="9"/>
            <color indexed="81"/>
            <rFont val="Tahoma"/>
            <family val="2"/>
          </rPr>
          <t xml:space="preserve">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r>
      </text>
    </comment>
    <comment ref="G2" authorId="0" shapeId="0" xr:uid="{4B1DDB95-D35C-4E81-8F0A-CDE084DFD8DD}">
      <text>
        <r>
          <rPr>
            <b/>
            <sz val="9"/>
            <color indexed="81"/>
            <rFont val="Tahoma"/>
            <charset val="177"/>
          </rPr>
          <t>יניב שפירא:</t>
        </r>
        <r>
          <rPr>
            <sz val="9"/>
            <color indexed="81"/>
            <rFont val="Tahoma"/>
            <charset val="177"/>
          </rPr>
          <t xml:space="preserve">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r>
      </text>
    </comment>
    <comment ref="H2" authorId="0" shapeId="0" xr:uid="{93B545F1-EC7C-4D63-A5D8-8A00772E0EE4}">
      <text>
        <r>
          <rPr>
            <b/>
            <sz val="9"/>
            <color indexed="81"/>
            <rFont val="Tahoma"/>
            <charset val="177"/>
          </rPr>
          <t>יניב שפירא:</t>
        </r>
        <r>
          <rPr>
            <sz val="9"/>
            <color indexed="81"/>
            <rFont val="Tahoma"/>
            <charset val="177"/>
          </rPr>
          <t xml:space="preserve">
1 = על הנושא המדיני
2 = על התקיפה באיראן
3 = על האיומים הביטחוניים
4 = על נושאי המחאה החברתית: דיור ויוקר המחיה
5 = על השוויון בנטל
6 = על מנהיגותו ותפקודו של נתניהו</t>
        </r>
      </text>
    </comment>
    <comment ref="I2" authorId="0" shapeId="0" xr:uid="{A8BD7A21-4BB4-4E6A-BF04-D3D87865753C}">
      <text>
        <r>
          <rPr>
            <b/>
            <sz val="9"/>
            <color indexed="81"/>
            <rFont val="Tahoma"/>
            <charset val="177"/>
          </rPr>
          <t>יניב שפירא:</t>
        </r>
        <r>
          <rPr>
            <sz val="9"/>
            <color indexed="81"/>
            <rFont val="Tahoma"/>
            <charset val="177"/>
          </rPr>
          <t xml:space="preserve">
1 = על הנושא המדיני
2 = על המצב הביטחוני
3 = על המצב החברתי-כלכלי
4 = על שחיתות
5 = על מי מתאים להיות רה"מ
6 = לא יודע</t>
        </r>
      </text>
    </comment>
    <comment ref="M2" authorId="0" shapeId="0" xr:uid="{BAD9D7BF-52B7-427D-ABDA-C293BC1267A4}">
      <text>
        <r>
          <rPr>
            <b/>
            <sz val="9"/>
            <color indexed="81"/>
            <rFont val="Tahoma"/>
            <family val="2"/>
          </rPr>
          <t>יניב שפירא:</t>
        </r>
        <r>
          <rPr>
            <sz val="9"/>
            <color indexed="81"/>
            <rFont val="Tahoma"/>
            <family val="2"/>
          </rPr>
          <t xml:space="preserve">
1 = הנושא המדיני
2 = יחסי דתיים-חילונים
3 = אופיו ותפקודו של נתניהו
4 = המצב החברתי-כלכלי
5 = שלטון החוק</t>
        </r>
      </text>
    </comment>
    <comment ref="F3" authorId="0" shapeId="0" xr:uid="{A6995660-05F0-4CD7-B143-BD91DC9917E7}">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M3" authorId="0" shapeId="0" xr:uid="{48B66D39-FA06-42DC-AAE4-02E99BC2A42E}">
      <text>
        <r>
          <rPr>
            <b/>
            <sz val="9"/>
            <color indexed="81"/>
            <rFont val="Tahoma"/>
            <family val="2"/>
          </rPr>
          <t>יניב שפירא:</t>
        </r>
        <r>
          <rPr>
            <sz val="9"/>
            <color indexed="81"/>
            <rFont val="Tahoma"/>
            <family val="2"/>
          </rPr>
          <t xml:space="preserve">
הניסוח:
"על אופיו ותפקודו של נתניהו</t>
        </r>
      </text>
    </comment>
    <comment ref="J7" authorId="0" shapeId="0" xr:uid="{9A8F364A-70C2-4F48-B582-86BBA4743ACB}">
      <text>
        <r>
          <rPr>
            <b/>
            <sz val="9"/>
            <color indexed="81"/>
            <rFont val="Tahoma"/>
            <family val="2"/>
          </rPr>
          <t>יניב שפירא:</t>
        </r>
        <r>
          <rPr>
            <sz val="9"/>
            <color indexed="81"/>
            <rFont val="Tahoma"/>
            <family val="2"/>
          </rPr>
          <t xml:space="preserve">
פה שאלו על </t>
        </r>
        <r>
          <rPr>
            <b/>
            <u/>
            <sz val="9"/>
            <color indexed="81"/>
            <rFont val="Tahoma"/>
            <family val="2"/>
          </rPr>
          <t xml:space="preserve">מי </t>
        </r>
        <r>
          <rPr>
            <sz val="9"/>
            <color indexed="81"/>
            <rFont val="Tahoma"/>
            <family val="2"/>
          </rPr>
          <t>יתמודד
טוב יותר מול האיומים</t>
        </r>
      </text>
    </comment>
    <comment ref="H11" authorId="0" shapeId="0" xr:uid="{AC69081B-451C-4633-9B59-F7807CA76CF4}">
      <text>
        <r>
          <rPr>
            <b/>
            <sz val="9"/>
            <color indexed="81"/>
            <rFont val="Tahoma"/>
            <charset val="177"/>
          </rPr>
          <t>יניב שפירא:</t>
        </r>
        <r>
          <rPr>
            <sz val="9"/>
            <color indexed="81"/>
            <rFont val="Tahoma"/>
            <charset val="177"/>
          </rPr>
          <t xml:space="preserve">
הניסוח הוא:
"שהעם רוצה ימין, אבל ימין מתון"</t>
        </r>
      </text>
    </comment>
    <comment ref="F13" authorId="0" shapeId="0" xr:uid="{39CA1957-F057-4F1C-B45A-09AACA393EB3}">
      <text>
        <r>
          <rPr>
            <b/>
            <sz val="9"/>
            <color indexed="81"/>
            <rFont val="Tahoma"/>
            <family val="2"/>
          </rPr>
          <t>יניב שפירא:</t>
        </r>
        <r>
          <rPr>
            <sz val="9"/>
            <color indexed="81"/>
            <rFont val="Tahoma"/>
            <family val="2"/>
          </rPr>
          <t xml:space="preserve">
שחיתות של נתניהו</t>
        </r>
      </text>
    </comment>
    <comment ref="J13" authorId="0" shapeId="0" xr:uid="{60BAAF84-D394-4C79-84F1-A737717E7749}">
      <text>
        <r>
          <rPr>
            <b/>
            <sz val="9"/>
            <color indexed="81"/>
            <rFont val="Tahoma"/>
            <family val="2"/>
          </rPr>
          <t>יניב שפירא:</t>
        </r>
        <r>
          <rPr>
            <sz val="9"/>
            <color indexed="81"/>
            <rFont val="Tahoma"/>
            <family val="2"/>
          </rPr>
          <t xml:space="preserve">
שחיתות של פוליטיקאים</t>
        </r>
      </text>
    </comment>
    <comment ref="I16" authorId="0" shapeId="0" xr:uid="{9B227818-9496-42CB-AB3F-5843A1B92A09}">
      <text>
        <r>
          <rPr>
            <b/>
            <sz val="9"/>
            <color indexed="81"/>
            <rFont val="Tahoma"/>
            <charset val="177"/>
          </rPr>
          <t>יניב שפירא:</t>
        </r>
        <r>
          <rPr>
            <sz val="9"/>
            <color indexed="81"/>
            <rFont val="Tahoma"/>
            <charset val="177"/>
          </rPr>
          <t xml:space="preserve">
הניסוח הוא:
"על המדינה על הפלסטינית ורמת הגולן:</t>
        </r>
      </text>
    </comment>
    <comment ref="H17" authorId="0" shapeId="0" xr:uid="{15215A36-8E7C-4A32-B827-515C7488570D}">
      <text>
        <r>
          <rPr>
            <b/>
            <sz val="9"/>
            <color indexed="81"/>
            <rFont val="Tahoma"/>
            <charset val="177"/>
          </rPr>
          <t>יניב שפירא:</t>
        </r>
        <r>
          <rPr>
            <sz val="9"/>
            <color indexed="81"/>
            <rFont val="Tahoma"/>
            <charset val="177"/>
          </rPr>
          <t xml:space="preserve">
הניסוח הוא:
"על נושא התקיפה של מתקני הגרעין האיראני"</t>
        </r>
      </text>
    </comment>
    <comment ref="H18" authorId="0" shapeId="0" xr:uid="{4A392B43-C4CA-4A26-8FF2-B9A50E5A045A}">
      <text>
        <r>
          <rPr>
            <b/>
            <sz val="9"/>
            <color indexed="81"/>
            <rFont val="Tahoma"/>
            <charset val="177"/>
          </rPr>
          <t>יניב שפירא:</t>
        </r>
        <r>
          <rPr>
            <sz val="9"/>
            <color indexed="81"/>
            <rFont val="Tahoma"/>
            <charset val="177"/>
          </rPr>
          <t xml:space="preserve">
הניסוח הוא: " הנושאים שהעלתה המחאה החברתית ב2011 ובעיקר על דיור בר השגה ויוקר המחיה"</t>
        </r>
      </text>
    </comment>
    <comment ref="M34" authorId="0" shapeId="0" xr:uid="{30BA4DE3-76AB-4028-A738-785160BD64D9}">
      <text>
        <r>
          <rPr>
            <b/>
            <sz val="9"/>
            <color indexed="81"/>
            <rFont val="Tahoma"/>
            <family val="2"/>
          </rPr>
          <t>יניב שפירא:</t>
        </r>
        <r>
          <rPr>
            <sz val="9"/>
            <color indexed="81"/>
            <rFont val="Tahoma"/>
            <family val="2"/>
          </rPr>
          <t xml:space="preserve">
1 = בהחלט לא מסכים
2 = לא מסכים
3 = לא בטוח
4 = מסכים
5 = מסכים בהחלט</t>
        </r>
      </text>
    </comment>
    <comment ref="J39" authorId="0" shapeId="0" xr:uid="{CD8CA0F1-A05C-46B3-A924-39C974B00F13}">
      <text>
        <r>
          <rPr>
            <b/>
            <sz val="9"/>
            <color indexed="81"/>
            <rFont val="Tahoma"/>
            <family val="2"/>
          </rPr>
          <t>יניב שפירא:</t>
        </r>
        <r>
          <rPr>
            <sz val="9"/>
            <color indexed="81"/>
            <rFont val="Tahoma"/>
            <family val="2"/>
          </rPr>
          <t xml:space="preserve">
1 = בהחלט שכן
2 = חושב שכן
3 = חושב שלא
4 = בהחלט לא</t>
        </r>
      </text>
    </comment>
    <comment ref="L40" authorId="0" shapeId="0" xr:uid="{19F59F67-0836-4F95-97FA-BDC47C10049C}">
      <text>
        <r>
          <rPr>
            <b/>
            <sz val="9"/>
            <color indexed="81"/>
            <rFont val="Tahoma"/>
            <family val="2"/>
          </rPr>
          <t>יניב שפירא:</t>
        </r>
        <r>
          <rPr>
            <sz val="9"/>
            <color indexed="81"/>
            <rFont val="Tahoma"/>
            <family val="2"/>
          </rPr>
          <t xml:space="preserve">
1 = ללא שינוי
2 = גרועה יותר
3 = טובה יותר</t>
        </r>
      </text>
    </comment>
    <comment ref="M40" authorId="0" shapeId="0" xr:uid="{AC6DD089-C691-4EAF-9FFF-7F625BD3AD0B}">
      <text>
        <r>
          <rPr>
            <b/>
            <sz val="9"/>
            <color indexed="81"/>
            <rFont val="Tahoma"/>
            <family val="2"/>
          </rPr>
          <t>יניב שפירא:</t>
        </r>
        <r>
          <rPr>
            <sz val="9"/>
            <color indexed="81"/>
            <rFont val="Tahoma"/>
            <family val="2"/>
          </rPr>
          <t xml:space="preserve">
1 = טובה יותר
2 = גרועה יותר
3 = ללא שינוי</t>
        </r>
      </text>
    </comment>
    <comment ref="N41" authorId="0" shapeId="0" xr:uid="{BC529E5E-93A6-45E3-A1B3-709766669301}">
      <text>
        <r>
          <rPr>
            <b/>
            <sz val="9"/>
            <color indexed="81"/>
            <rFont val="Tahoma"/>
            <family val="2"/>
          </rPr>
          <t>יניב שפירא:</t>
        </r>
        <r>
          <rPr>
            <sz val="9"/>
            <color indexed="81"/>
            <rFont val="Tahoma"/>
            <family val="2"/>
          </rPr>
          <t xml:space="preserve">
1 = טובה יותר
2 = גרועה יותר
3 = ללא שינוי</t>
        </r>
      </text>
    </comment>
    <comment ref="N42" authorId="0" shapeId="0" xr:uid="{D346BCE9-25A8-46B9-BD93-C89CDB8D5097}">
      <text>
        <r>
          <rPr>
            <b/>
            <sz val="9"/>
            <color indexed="81"/>
            <rFont val="Tahoma"/>
            <family val="2"/>
          </rPr>
          <t>יניב שפירא:</t>
        </r>
        <r>
          <rPr>
            <sz val="9"/>
            <color indexed="81"/>
            <rFont val="Tahoma"/>
            <family val="2"/>
          </rPr>
          <t xml:space="preserve">
1 = לא
2 = כן, לליכוד
3 = כן, לעבודה
4 = כן, למרצ</t>
        </r>
      </text>
    </comment>
    <comment ref="I43" authorId="0" shapeId="0" xr:uid="{71D6E335-FB97-4CF8-BFC1-D62A011640C4}">
      <text>
        <r>
          <rPr>
            <b/>
            <sz val="9"/>
            <color indexed="81"/>
            <rFont val="Tahoma"/>
            <family val="2"/>
          </rPr>
          <t>יניב שפירא:</t>
        </r>
        <r>
          <rPr>
            <sz val="9"/>
            <color indexed="81"/>
            <rFont val="Tahoma"/>
            <family val="2"/>
          </rPr>
          <t xml:space="preserve">
1 = התהליך המדיני עם הפלסינים וסוריה
2 = המצב הביטחוני
3 = המצב החברתי כלכלי
4 = יחסי דתיים חילונים
5 = שחיתות ושלטון החוק
6 = האחדות בעם
7 = אחר</t>
        </r>
      </text>
    </comment>
    <comment ref="Q44" authorId="0" shapeId="0" xr:uid="{F4FA1519-F1E5-49C3-B741-9F2B891B6B99}">
      <text>
        <r>
          <rPr>
            <b/>
            <sz val="9"/>
            <color indexed="81"/>
            <rFont val="Tahoma"/>
            <family val="2"/>
          </rPr>
          <t>יניב שפירא:</t>
        </r>
        <r>
          <rPr>
            <sz val="9"/>
            <color indexed="81"/>
            <rFont val="Tahoma"/>
            <family val="2"/>
          </rPr>
          <t xml:space="preserve">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r>
      </text>
    </comment>
    <comment ref="S45" authorId="0" shapeId="0" xr:uid="{19C29E34-1957-4C77-A32F-B3FBE1178ADC}">
      <text>
        <r>
          <rPr>
            <b/>
            <sz val="9"/>
            <color indexed="81"/>
            <rFont val="Tahoma"/>
            <charset val="177"/>
          </rPr>
          <t>יניב שפירא:</t>
        </r>
        <r>
          <rPr>
            <sz val="9"/>
            <color indexed="81"/>
            <rFont val="Tahoma"/>
            <charset val="177"/>
          </rPr>
          <t xml:space="preserve">
1 = ישפיע במידה רבה
2 = ישפיע במידה מסוימת
3 = ישפיע במידה קטנה
4 = כלל לא ישפיע</t>
        </r>
      </text>
    </comment>
    <comment ref="Q47" authorId="0" shapeId="0" xr:uid="{CECC3EF0-EADD-433F-BDFD-24499CE03861}">
      <text>
        <r>
          <rPr>
            <b/>
            <sz val="9"/>
            <color indexed="81"/>
            <rFont val="Tahoma"/>
            <family val="2"/>
          </rPr>
          <t>יניב שפירא:</t>
        </r>
        <r>
          <rPr>
            <sz val="9"/>
            <color indexed="81"/>
            <rFont val="Tahoma"/>
            <family val="2"/>
          </rPr>
          <t xml:space="preserve">
1 = במידה רבה
2 = במידה מסויימת
3 = במידה מועטה בלבד
4 = לא ישפיע כלל</t>
        </r>
      </text>
    </comment>
    <comment ref="AE47" authorId="0" shapeId="0" xr:uid="{6604FA2C-0BA3-4C59-AF69-9B8E1CF223CA}">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Z48" authorId="0" shapeId="0" xr:uid="{E56B1F7E-670D-49F0-83AC-020A3F8B6F5A}">
      <text>
        <r>
          <rPr>
            <b/>
            <sz val="9"/>
            <color indexed="81"/>
            <rFont val="Tahoma"/>
            <family val="2"/>
          </rPr>
          <t>יניב שפירא:</t>
        </r>
        <r>
          <rPr>
            <sz val="9"/>
            <color indexed="81"/>
            <rFont val="Tahoma"/>
            <family val="2"/>
          </rPr>
          <t xml:space="preserve">
1 = במידה רבה
2 = במידה מסוימת
3 = במידה מועטה
4 = כלל לא ישפיע</t>
        </r>
      </text>
    </comment>
    <comment ref="T49" authorId="0" shapeId="0" xr:uid="{77677621-D0FC-442C-ADDB-0DD80CDEFA49}">
      <text>
        <r>
          <rPr>
            <b/>
            <sz val="9"/>
            <color indexed="81"/>
            <rFont val="Tahoma"/>
            <charset val="177"/>
          </rPr>
          <t>יניב שפירא:</t>
        </r>
        <r>
          <rPr>
            <sz val="9"/>
            <color indexed="81"/>
            <rFont val="Tahoma"/>
            <charset val="177"/>
          </rPr>
          <t xml:space="preserve">
1 = ישפיע במידה רבה
2 = במידה מסויימת
3 = במידה מועטה
4 = בכלל לא ישפיע</t>
        </r>
      </text>
    </comment>
    <comment ref="T50" authorId="0" shapeId="0" xr:uid="{F1155578-93A4-487C-8197-FC2E95403024}">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U51" authorId="0" shapeId="0" xr:uid="{659F32DB-631B-4BA7-94DD-8BD0BFB11858}">
      <text>
        <r>
          <rPr>
            <b/>
            <sz val="9"/>
            <color indexed="81"/>
            <rFont val="Tahoma"/>
            <charset val="177"/>
          </rPr>
          <t>יניב שפירא:</t>
        </r>
        <r>
          <rPr>
            <sz val="9"/>
            <color indexed="81"/>
            <rFont val="Tahoma"/>
            <charset val="177"/>
          </rPr>
          <t xml:space="preserve">
1 = בהחלט צריכים להיות
2 = צריכים להיות
3 = אולי כן צריכים להיות
4 = אולי לא צריכים להיות
5 = לא צריכים להיות
6 = בהחלט לא צריכים להיות</t>
        </r>
      </text>
    </comment>
    <comment ref="V52" authorId="0" shapeId="0" xr:uid="{0DE689BE-EC35-4FB5-A0B7-243E69CE90DB}">
      <text>
        <r>
          <rPr>
            <b/>
            <sz val="9"/>
            <color indexed="81"/>
            <rFont val="Tahoma"/>
            <charset val="177"/>
          </rPr>
          <t>יניב שפירא:</t>
        </r>
        <r>
          <rPr>
            <sz val="9"/>
            <color indexed="81"/>
            <rFont val="Tahoma"/>
            <charset val="177"/>
          </rPr>
          <t xml:space="preserve">
1 = אני בטוח שהוא מנהיג זקן שטעה יותר מד
2 = אני חושב שהוא מנהיג זקן שטעה יותר מדי
3 = אני חושב שהוא סוג המנהיג שחסר לנו
4 = אני בטוח שהוא סוג המנהיג שחסר לנו</t>
        </r>
      </text>
    </comment>
    <comment ref="U53" authorId="0" shapeId="0" xr:uid="{C23FDF2F-4574-4219-96DD-506F63E63FB2}">
      <text>
        <r>
          <rPr>
            <b/>
            <sz val="9"/>
            <color indexed="81"/>
            <rFont val="Tahoma"/>
            <charset val="177"/>
          </rPr>
          <t>יניב שפירא:</t>
        </r>
        <r>
          <rPr>
            <sz val="9"/>
            <color indexed="81"/>
            <rFont val="Tahoma"/>
            <charset val="177"/>
          </rPr>
          <t xml:space="preserve">
1 = מסוגל במידה רבה
2 = במידה מסויימת
3 = במידה מועטה
4 = כלל לא מסוגל</t>
        </r>
      </text>
    </comment>
    <comment ref="Z54" authorId="0" shapeId="0" xr:uid="{165CDF05-D670-432D-99D1-8E12846D9F65}">
      <text>
        <r>
          <rPr>
            <b/>
            <sz val="9"/>
            <color indexed="81"/>
            <rFont val="Tahoma"/>
            <charset val="177"/>
          </rPr>
          <t>יניב שפירא:</t>
        </r>
        <r>
          <rPr>
            <sz val="9"/>
            <color indexed="81"/>
            <rFont val="Tahoma"/>
            <charset val="177"/>
          </rPr>
          <t xml:space="preserve">
1 = במידה רבה
2 = במידה מסוימת
3 = במידה מועטה
4 = לא ישפיע כלל</t>
        </r>
      </text>
    </comment>
    <comment ref="Z55" authorId="0" shapeId="0" xr:uid="{599FB37F-7EE6-4277-8BD5-4056CDE580F9}">
      <text>
        <r>
          <rPr>
            <b/>
            <sz val="9"/>
            <color indexed="81"/>
            <rFont val="Tahoma"/>
            <charset val="177"/>
          </rPr>
          <t>יניב שפירא:</t>
        </r>
        <r>
          <rPr>
            <sz val="9"/>
            <color indexed="81"/>
            <rFont val="Tahoma"/>
            <charset val="177"/>
          </rPr>
          <t xml:space="preserve">
1 = תשפיע במידה רבה
2 = במידה מסויימת
3 = במידה מועטה
4 = לא תשפיע כלל</t>
        </r>
      </text>
    </comment>
    <comment ref="Z56" authorId="0" shapeId="0" xr:uid="{81AA5477-AC7B-44E5-803E-C951F52FB02E}">
      <text>
        <r>
          <rPr>
            <b/>
            <sz val="9"/>
            <color indexed="81"/>
            <rFont val="Tahoma"/>
            <charset val="177"/>
          </rPr>
          <t>יניב שפירא:</t>
        </r>
        <r>
          <rPr>
            <sz val="9"/>
            <color indexed="81"/>
            <rFont val="Tahoma"/>
            <charset val="177"/>
          </rPr>
          <t xml:space="preserve">
1 = חיזקה מאוד
2 = חיזקה
3 = חיזקה קצת
4 = החלישה קצת
5 = החלישה
6 = החלישה מאוד
7 = לא זה ולא זה
8 = לא יודע</t>
        </r>
      </text>
    </comment>
    <comment ref="AC58" authorId="0" shapeId="0" xr:uid="{AAC77D80-63B4-4226-95D9-11AC770C485E}">
      <text>
        <r>
          <rPr>
            <b/>
            <sz val="9"/>
            <color indexed="81"/>
            <rFont val="Tahoma"/>
            <family val="2"/>
          </rPr>
          <t>יניב שפירא:</t>
        </r>
        <r>
          <rPr>
            <sz val="9"/>
            <color indexed="81"/>
            <rFont val="Tahoma"/>
            <family val="2"/>
          </rPr>
          <t xml:space="preserve">
1 = חיובי מאוד
2 = חיובי
3 = שלילי
4 = שלילי מאוד</t>
        </r>
      </text>
    </comment>
    <comment ref="AC59" authorId="0" shapeId="0" xr:uid="{F985A2C2-EAF5-43D8-9E48-040B88586C9F}">
      <text>
        <r>
          <rPr>
            <b/>
            <sz val="9"/>
            <color indexed="81"/>
            <rFont val="Tahoma"/>
            <family val="2"/>
          </rPr>
          <t>יניב שפירא:</t>
        </r>
        <r>
          <rPr>
            <sz val="9"/>
            <color indexed="81"/>
            <rFont val="Tahoma"/>
            <family val="2"/>
          </rPr>
          <t xml:space="preserve">
1 = בטוח צריך לקיימן במועד
2 = חושב שצריך לקיימן במועד
3  = חושב שצריך לדחות
4 = בטוח שצריך לדחות</t>
        </r>
      </text>
    </comment>
    <comment ref="A60" authorId="0" shapeId="0" xr:uid="{E56E6651-1335-4E7A-B25D-C8AD3A1F350D}">
      <text>
        <r>
          <rPr>
            <b/>
            <sz val="9"/>
            <color indexed="81"/>
            <rFont val="Tahoma"/>
            <family val="2"/>
          </rPr>
          <t>יניב שפירא:</t>
        </r>
        <r>
          <rPr>
            <sz val="9"/>
            <color indexed="81"/>
            <rFont val="Tahoma"/>
            <family val="2"/>
          </rPr>
          <t xml:space="preserve">
למי שענה 3 או 4 בשאלה הקודמת</t>
        </r>
      </text>
    </comment>
    <comment ref="AC60" authorId="0" shapeId="0" xr:uid="{FD017783-09FC-46D8-951E-58EF35B7251D}">
      <text>
        <r>
          <rPr>
            <b/>
            <sz val="9"/>
            <color indexed="81"/>
            <rFont val="Tahoma"/>
            <family val="2"/>
          </rPr>
          <t>יניב שפירא:</t>
        </r>
        <r>
          <rPr>
            <sz val="9"/>
            <color indexed="81"/>
            <rFont val="Tahoma"/>
            <family val="2"/>
          </rPr>
          <t xml:space="preserve">
1 = למספר שבועות
2 = למספר חודשים
3 = לשנה
4 = ליותר משנה
5 = חושב שלא צריך לדחות</t>
        </r>
      </text>
    </comment>
    <comment ref="AD61" authorId="0" shapeId="0" xr:uid="{723E3BAB-2352-47E1-8115-1A9013D9C913}">
      <text>
        <r>
          <rPr>
            <b/>
            <sz val="9"/>
            <color indexed="81"/>
            <rFont val="Tahoma"/>
            <charset val="177"/>
          </rPr>
          <t>יניב שפירא:</t>
        </r>
        <r>
          <rPr>
            <sz val="9"/>
            <color indexed="81"/>
            <rFont val="Tahoma"/>
            <charset val="177"/>
          </rPr>
          <t xml:space="preserve">
1 = כן
2 = לא</t>
        </r>
      </text>
    </comment>
    <comment ref="AD62" authorId="0" shapeId="0" xr:uid="{F8AC2BBD-A29C-4DFE-9214-2C9D36E72C02}">
      <text>
        <r>
          <rPr>
            <b/>
            <sz val="9"/>
            <color indexed="81"/>
            <rFont val="Tahoma"/>
            <charset val="177"/>
          </rPr>
          <t>יניב שפירא:</t>
        </r>
        <r>
          <rPr>
            <sz val="9"/>
            <color indexed="81"/>
            <rFont val="Tahoma"/>
            <charset val="177"/>
          </rPr>
          <t xml:space="preserve">
1 = ציין 3 מפלגות
2 = ציין 2 מפלגות
3 = ציין מפלגה אחת
4 = תשובה לא נכונה
5 = לא יודע</t>
        </r>
      </text>
    </comment>
    <comment ref="AD63" authorId="0" shapeId="0" xr:uid="{85F35969-DAB4-49FA-9387-6C5110D69705}">
      <text>
        <r>
          <rPr>
            <b/>
            <sz val="9"/>
            <color indexed="81"/>
            <rFont val="Tahoma"/>
            <charset val="177"/>
          </rPr>
          <t>יניב שפירא:</t>
        </r>
        <r>
          <rPr>
            <sz val="9"/>
            <color indexed="81"/>
            <rFont val="Tahoma"/>
            <charset val="177"/>
          </rPr>
          <t xml:space="preserve">
1 = מאוד רצוי
2 = רצוי
3 = לא כ"כ רצוי
4 = כלל לא רצוי</t>
        </r>
      </text>
    </comment>
    <comment ref="Z64" authorId="0" shapeId="0" xr:uid="{974D0601-B154-48C9-9EC8-EFC15174B7DB}">
      <text>
        <r>
          <rPr>
            <b/>
            <sz val="9"/>
            <color indexed="81"/>
            <rFont val="Tahoma"/>
            <family val="2"/>
          </rPr>
          <t>יניב שפירא:</t>
        </r>
        <r>
          <rPr>
            <sz val="9"/>
            <color indexed="81"/>
            <rFont val="Tahoma"/>
            <family val="2"/>
          </rPr>
          <t xml:space="preserve">
1 = ידוע במידה רבה
2 = ידוע באופן כללי
3 = ידוע באופן מועט
4 = לא ידוע כלל
</t>
        </r>
      </text>
    </comment>
    <comment ref="D65" authorId="0" shapeId="0" xr:uid="{E67025B6-1616-4D78-93DE-FB37FC2BA962}">
      <text>
        <r>
          <rPr>
            <b/>
            <sz val="9"/>
            <color indexed="81"/>
            <rFont val="Tahoma"/>
            <charset val="177"/>
          </rPr>
          <t>יניב שפירא:</t>
        </r>
        <r>
          <rPr>
            <sz val="9"/>
            <color indexed="81"/>
            <rFont val="Tahoma"/>
            <charset val="177"/>
          </rPr>
          <t xml:space="preserve">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r>
      </text>
    </comment>
    <comment ref="B66" authorId="1" shapeId="0" xr:uid="{0ABB5CFB-2204-4C8F-80DA-BCC11BD4DA76}">
      <text>
        <r>
          <rPr>
            <b/>
            <sz val="9"/>
            <color indexed="81"/>
            <rFont val="Tahoma"/>
          </rPr>
          <t>adi:</t>
        </r>
        <r>
          <rPr>
            <sz val="9"/>
            <color indexed="81"/>
            <rFont val="Tahoma"/>
          </rPr>
          <t xml:space="preserve">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r>
      </text>
    </comment>
    <comment ref="C66" authorId="0" shapeId="0" xr:uid="{40BC0976-925B-43BD-8C0F-0637945C0B62}">
      <text>
        <r>
          <rPr>
            <b/>
            <sz val="9"/>
            <color indexed="81"/>
            <rFont val="Tahoma"/>
            <charset val="177"/>
          </rPr>
          <t>יניב שפירא:</t>
        </r>
        <r>
          <rPr>
            <sz val="9"/>
            <color indexed="81"/>
            <rFont val="Tahoma"/>
            <charset val="177"/>
          </rPr>
          <t xml:space="preserve">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r>
      </text>
    </comment>
    <comment ref="C67" authorId="0" shapeId="0" xr:uid="{89215132-EF12-41B1-BA8E-12B4B18E22DF}">
      <text>
        <r>
          <rPr>
            <b/>
            <sz val="9"/>
            <color indexed="81"/>
            <rFont val="Tahoma"/>
            <charset val="177"/>
          </rPr>
          <t>יניב שפירא:</t>
        </r>
        <r>
          <rPr>
            <sz val="9"/>
            <color indexed="81"/>
            <rFont val="Tahoma"/>
            <charset val="177"/>
          </rPr>
          <t xml:space="preserve">
1 = בדרך טובה מאוד
2 = בדרך טובה
3 = בדרך לא כ"כ טובה
4 = בדרך לא טובה כלל</t>
        </r>
      </text>
    </comment>
    <comment ref="C68" authorId="0" shapeId="0" xr:uid="{C3D22809-2DF4-4DB8-B673-59CDDAA2AD7D}">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L69" authorId="0" shapeId="0" xr:uid="{CC2C444F-17A6-46CC-8CED-FD12B9E64730}">
      <text>
        <r>
          <rPr>
            <b/>
            <sz val="9"/>
            <color indexed="81"/>
            <rFont val="Tahoma"/>
            <family val="2"/>
          </rPr>
          <t>יניב שפירא:</t>
        </r>
        <r>
          <rPr>
            <sz val="9"/>
            <color indexed="81"/>
            <rFont val="Tahoma"/>
            <family val="2"/>
          </rPr>
          <t xml:space="preserve">
1 = מתנגד מאד
2 = מתנגד במידה מסוימת
3 = תומך במידה מסוימת
4 = תומך מאד</t>
        </r>
      </text>
    </comment>
    <comment ref="M69" authorId="0" shapeId="0" xr:uid="{D97D77D4-FDE1-441C-8F36-4DDEC3885F86}">
      <text>
        <r>
          <rPr>
            <b/>
            <sz val="9"/>
            <color indexed="81"/>
            <rFont val="Tahoma"/>
            <family val="2"/>
          </rPr>
          <t>יניב שפירא:</t>
        </r>
        <r>
          <rPr>
            <sz val="9"/>
            <color indexed="81"/>
            <rFont val="Tahoma"/>
            <family val="2"/>
          </rPr>
          <t xml:space="preserve">
1 = תומך מאד
2 = תומך במידה מסוימת
3 = מתנגד במידה מסוימת
4 = מתנגד מאד</t>
        </r>
      </text>
    </comment>
    <comment ref="B70" authorId="1" shapeId="0" xr:uid="{B75D956E-3739-4C6E-AF4F-1A202E114BAA}">
      <text>
        <r>
          <rPr>
            <b/>
            <sz val="9"/>
            <color indexed="81"/>
            <rFont val="Tahoma"/>
            <family val="2"/>
          </rPr>
          <t>adi:</t>
        </r>
        <r>
          <rPr>
            <sz val="9"/>
            <color indexed="81"/>
            <rFont val="Tahoma"/>
            <family val="2"/>
          </rPr>
          <t xml:space="preserve">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r>
      </text>
    </comment>
    <comment ref="C70" authorId="0" shapeId="0" xr:uid="{19C20864-3E80-4953-9EB2-5F2FDD06A363}">
      <text>
        <r>
          <rPr>
            <b/>
            <sz val="9"/>
            <color indexed="81"/>
            <rFont val="Tahoma"/>
            <family val="2"/>
          </rPr>
          <t>יניב שפירא:</t>
        </r>
        <r>
          <rPr>
            <sz val="9"/>
            <color indexed="81"/>
            <rFont val="Tahoma"/>
            <family val="2"/>
          </rPr>
          <t xml:space="preserve">
1 = בעד צירוף מפלגות ערביות לממשלה
2 = בעד תמיכה מבחוץ של מפלגות ערביות
3 = נגד צירוף ונגד תמיכה מבחוץ של מפלגות ערביות</t>
        </r>
      </text>
    </comment>
    <comment ref="B71" authorId="1" shapeId="0" xr:uid="{230B2BBF-A0AC-43FF-A889-82CA37D8A861}">
      <text>
        <r>
          <rPr>
            <b/>
            <sz val="9"/>
            <color indexed="81"/>
            <rFont val="Tahoma"/>
            <family val="2"/>
          </rPr>
          <t>adi:</t>
        </r>
        <r>
          <rPr>
            <sz val="9"/>
            <color indexed="81"/>
            <rFont val="Tahoma"/>
            <family val="2"/>
          </rPr>
          <t xml:space="preserve">
1 = חיובית מאוד
2 = חיובית
3 = לא חיובית ולא שלילת
4 = שלילית
5 = שלילית מאוד</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C842DEC5-F9F0-4EDE-8724-2F7D62ADB4F5}">
      <text>
        <r>
          <rPr>
            <b/>
            <sz val="9"/>
            <color indexed="81"/>
            <rFont val="Tahoma"/>
            <charset val="177"/>
          </rPr>
          <t>יניב שפירא:</t>
        </r>
        <r>
          <rPr>
            <sz val="9"/>
            <color indexed="81"/>
            <rFont val="Tahoma"/>
            <charset val="177"/>
          </rPr>
          <t xml:space="preserve">
post election</t>
        </r>
      </text>
    </comment>
    <comment ref="AA1" authorId="0" shapeId="0" xr:uid="{56DFCDDF-F593-436B-A1D2-1683B813B10E}">
      <text>
        <r>
          <rPr>
            <b/>
            <sz val="9"/>
            <color indexed="81"/>
            <rFont val="Tahoma"/>
            <charset val="177"/>
          </rPr>
          <t>יניב שפירא:</t>
        </r>
        <r>
          <rPr>
            <sz val="9"/>
            <color indexed="81"/>
            <rFont val="Tahoma"/>
            <charset val="177"/>
          </rPr>
          <t xml:space="preserve">
post Kippur + post election</t>
        </r>
      </text>
    </comment>
    <comment ref="AB1" authorId="0" shapeId="0" xr:uid="{5CF74A4D-4E63-48F9-8F9F-66DE62E0E624}">
      <text>
        <r>
          <rPr>
            <b/>
            <sz val="9"/>
            <color indexed="81"/>
            <rFont val="Tahoma"/>
            <charset val="177"/>
          </rPr>
          <t>יניב שפירא:</t>
        </r>
        <r>
          <rPr>
            <sz val="9"/>
            <color indexed="81"/>
            <rFont val="Tahoma"/>
            <charset val="177"/>
          </rPr>
          <t xml:space="preserve">
post Kippur</t>
        </r>
      </text>
    </comment>
    <comment ref="AC1" authorId="0" shapeId="0" xr:uid="{BFF91059-C8E7-4A25-8274-8075FE8F4F40}">
      <text>
        <r>
          <rPr>
            <b/>
            <sz val="9"/>
            <color indexed="81"/>
            <rFont val="Tahoma"/>
            <charset val="177"/>
          </rPr>
          <t>יניב שפירא:</t>
        </r>
        <r>
          <rPr>
            <sz val="9"/>
            <color indexed="81"/>
            <rFont val="Tahoma"/>
            <charset val="177"/>
          </rPr>
          <t xml:space="preserve">
post Kippur</t>
        </r>
      </text>
    </comment>
    <comment ref="AF1" authorId="0" shapeId="0" xr:uid="{CD1FEA63-CACC-42A7-999C-4897DF7A681B}">
      <text>
        <r>
          <rPr>
            <b/>
            <sz val="9"/>
            <color indexed="81"/>
            <rFont val="Tahoma"/>
            <charset val="177"/>
          </rPr>
          <t>יניב שפירא:</t>
        </r>
        <r>
          <rPr>
            <sz val="9"/>
            <color indexed="81"/>
            <rFont val="Tahoma"/>
            <charset val="177"/>
          </rPr>
          <t xml:space="preserve">
pre + post election</t>
        </r>
      </text>
    </comment>
    <comment ref="D2" authorId="0" shapeId="0" xr:uid="{9A33900F-88F9-4018-9EC8-1E8F9F0D2731}">
      <text>
        <r>
          <rPr>
            <b/>
            <sz val="9"/>
            <color indexed="81"/>
            <rFont val="Tahoma"/>
            <family val="2"/>
          </rPr>
          <t>יניב שפירא:</t>
        </r>
        <r>
          <rPr>
            <sz val="9"/>
            <color indexed="81"/>
            <rFont val="Tahoma"/>
            <family val="2"/>
          </rPr>
          <t xml:space="preserve">
1 = קפיטליסטית בהחלט
2 = יותר קפיטליסטית מאשר סוציאליסטית
3 = יותר סוציאליסטית מאשר קפיטליסטית
4 = סוציאליסטית בהחלט</t>
        </r>
      </text>
    </comment>
    <comment ref="B5" authorId="1" shapeId="0" xr:uid="{C0838996-7088-4622-A76F-D2B22B902578}">
      <text>
        <r>
          <rPr>
            <b/>
            <sz val="9"/>
            <color indexed="81"/>
            <rFont val="Tahoma"/>
            <family val="2"/>
          </rPr>
          <t>adi:</t>
        </r>
        <r>
          <rPr>
            <sz val="9"/>
            <color indexed="81"/>
            <rFont val="Tahoma"/>
            <family val="2"/>
          </rPr>
          <t xml:space="preserve">
1 = נתניהו
2 = לפיד
3 = גנץ
4 = כולם במידה שווה
5 = אף אחד מהם</t>
        </r>
      </text>
    </comment>
    <comment ref="D5" authorId="0" shapeId="0" xr:uid="{71D03D0D-EBC6-456F-8AEB-4E38FAA0E02F}">
      <text>
        <r>
          <rPr>
            <b/>
            <sz val="9"/>
            <color indexed="81"/>
            <rFont val="Tahoma"/>
            <charset val="177"/>
          </rPr>
          <t>יניב שפירא:</t>
        </r>
        <r>
          <rPr>
            <sz val="9"/>
            <color indexed="81"/>
            <rFont val="Tahoma"/>
            <charset val="177"/>
          </rPr>
          <t xml:space="preserve">
1 = כחול לבן
2 = ליכוד
3 =  שניהם במידה שווה
4 = אף אחד מהם</t>
        </r>
      </text>
    </comment>
    <comment ref="G5" authorId="0" shapeId="0" xr:uid="{770441D6-CEEB-4218-8A34-D0EFCADECA2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H6" authorId="0" shapeId="0" xr:uid="{1D1A1916-8943-4F9B-941C-22539078CF80}">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6" authorId="0" shapeId="0" xr:uid="{8EC97E70-6580-4BBD-8F33-946DB8934F14}">
      <text>
        <r>
          <rPr>
            <b/>
            <sz val="9"/>
            <color indexed="81"/>
            <rFont val="Tahoma"/>
            <family val="2"/>
          </rPr>
          <t>יניב שפירא:</t>
        </r>
        <r>
          <rPr>
            <sz val="9"/>
            <color indexed="81"/>
            <rFont val="Tahoma"/>
            <family val="2"/>
          </rPr>
          <t xml:space="preserve">
1 = ציפי לבני
2 = בנימין נתניהו
3 = אהוד ברק</t>
        </r>
      </text>
    </comment>
    <comment ref="J6" authorId="0" shapeId="0" xr:uid="{468CFB63-7234-4776-921E-13B9A232089A}">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K6" authorId="0" shapeId="0" xr:uid="{94D26B4E-D227-4165-84D9-413B3C34F906}">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L6" authorId="0" shapeId="0" xr:uid="{F947ED29-541B-4125-A656-D6288044D948}">
      <text>
        <r>
          <rPr>
            <b/>
            <sz val="9"/>
            <color indexed="81"/>
            <rFont val="Tahoma"/>
            <family val="2"/>
          </rPr>
          <t>יניב שפירא:</t>
        </r>
        <r>
          <rPr>
            <sz val="9"/>
            <color indexed="81"/>
            <rFont val="Tahoma"/>
            <family val="2"/>
          </rPr>
          <t xml:space="preserve">
1 = שרון
2 = ברק
3 = מידה שווה
4 = אף אחד מהם</t>
        </r>
      </text>
    </comment>
    <comment ref="M6" authorId="0" shapeId="0" xr:uid="{EFCA0609-E57C-4F2D-ACC7-55542D5F2F48}">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N6" authorId="0" shapeId="0" xr:uid="{60F36FD4-E1E2-49FB-9CC1-2492078CD965}">
      <text>
        <r>
          <rPr>
            <b/>
            <sz val="9"/>
            <color indexed="81"/>
            <rFont val="Tahoma"/>
            <family val="2"/>
          </rPr>
          <t>יניב שפירא:</t>
        </r>
        <r>
          <rPr>
            <sz val="9"/>
            <color indexed="81"/>
            <rFont val="Tahoma"/>
            <family val="2"/>
          </rPr>
          <t xml:space="preserve">
1 = העבודה
2 = הליכוד
3 = במידה שווה
4 = אף אחד מהם</t>
        </r>
      </text>
    </comment>
    <comment ref="T6" authorId="0" shapeId="0" xr:uid="{AAE596FB-EC80-423F-B8A6-957C8AE0DE6A}">
      <text>
        <r>
          <rPr>
            <b/>
            <sz val="9"/>
            <color indexed="81"/>
            <rFont val="Tahoma"/>
            <charset val="177"/>
          </rPr>
          <t>יניב שפירא:</t>
        </r>
        <r>
          <rPr>
            <sz val="9"/>
            <color indexed="81"/>
            <rFont val="Tahoma"/>
            <charset val="177"/>
          </rPr>
          <t xml:space="preserve">
1 = יורם ארידור (ליכוד)
2 = חיים בן שחר (מערך)</t>
        </r>
      </text>
    </comment>
    <comment ref="H8" authorId="0" shapeId="0" xr:uid="{9EFB7211-C188-4EEC-B84F-8C5789810818}">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8" authorId="0" shapeId="0" xr:uid="{A995A4D0-C885-47C3-918F-2570056B96AA}">
      <text>
        <r>
          <rPr>
            <b/>
            <sz val="9"/>
            <color indexed="81"/>
            <rFont val="Tahoma"/>
            <family val="2"/>
          </rPr>
          <t>יניב שפירא:</t>
        </r>
        <r>
          <rPr>
            <sz val="9"/>
            <color indexed="81"/>
            <rFont val="Tahoma"/>
            <family val="2"/>
          </rPr>
          <t xml:space="preserve">
1 = ציפי לבני
2 = בנימין נתניהו
3 = אהוד ברק</t>
        </r>
      </text>
    </comment>
    <comment ref="F11" authorId="0" shapeId="0" xr:uid="{50A1480D-9C07-4D10-B04D-BAE41436489D}">
      <text>
        <r>
          <rPr>
            <b/>
            <sz val="9"/>
            <color indexed="81"/>
            <rFont val="Tahoma"/>
            <charset val="177"/>
          </rPr>
          <t>יניב שפירא:</t>
        </r>
        <r>
          <rPr>
            <sz val="9"/>
            <color indexed="81"/>
            <rFont val="Tahoma"/>
            <charset val="177"/>
          </rPr>
          <t xml:space="preserve">
1 = השתפר בהרבה
2 = השתפר במקצת
3 = לא השתנה
4 = קצת גרוע יותר
5 = הרבה יותר גרוע</t>
        </r>
      </text>
    </comment>
    <comment ref="AE11" authorId="0" shapeId="0" xr:uid="{3729739F-C79A-416F-866F-A86AAB2D23CB}">
      <text>
        <r>
          <rPr>
            <b/>
            <sz val="9"/>
            <color indexed="81"/>
            <rFont val="Tahoma"/>
            <charset val="177"/>
          </rPr>
          <t>יניב שפירא:</t>
        </r>
        <r>
          <rPr>
            <sz val="9"/>
            <color indexed="81"/>
            <rFont val="Tahoma"/>
            <charset val="177"/>
          </rPr>
          <t xml:space="preserve">
1 = טוב יותר
2 = אותו מצב
3 = גרוע יותר</t>
        </r>
      </text>
    </comment>
    <comment ref="F12" authorId="0" shapeId="0" xr:uid="{C84F601F-07B4-429F-971A-EBDA47F3B0F3}">
      <text>
        <r>
          <rPr>
            <b/>
            <sz val="9"/>
            <color indexed="81"/>
            <rFont val="Tahoma"/>
            <family val="2"/>
          </rPr>
          <t>יניב שפירא:</t>
        </r>
        <r>
          <rPr>
            <sz val="9"/>
            <color indexed="81"/>
            <rFont val="Tahoma"/>
            <family val="2"/>
          </rPr>
          <t xml:space="preserve">
1 =השתפר בהרבה
2 = השתפר במקצת
3 = לא השתנה
4 = קצת גרוע יותר
5 = הרבה יותר גרוע</t>
        </r>
      </text>
    </comment>
    <comment ref="AE12" authorId="0" shapeId="0" xr:uid="{3B3CC343-E112-43E9-9E67-20B1C8726F30}">
      <text>
        <r>
          <rPr>
            <b/>
            <sz val="9"/>
            <color indexed="81"/>
            <rFont val="Tahoma"/>
            <charset val="177"/>
          </rPr>
          <t>יניב שפירא:</t>
        </r>
        <r>
          <rPr>
            <sz val="9"/>
            <color indexed="81"/>
            <rFont val="Tahoma"/>
            <charset val="177"/>
          </rPr>
          <t xml:space="preserve">
1 = טוב יותר
2 = אותו מצב
3 = יותר גרוע</t>
        </r>
      </text>
    </comment>
    <comment ref="F13" authorId="0" shapeId="0" xr:uid="{E74B0E95-2A5A-498A-A339-5674562A20B8}">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14" authorId="0" shapeId="0" xr:uid="{DF8A47A1-3E53-46EE-8DB2-E11B9A345B61}">
      <text>
        <r>
          <rPr>
            <b/>
            <sz val="9"/>
            <color indexed="81"/>
            <rFont val="Tahoma"/>
            <family val="2"/>
          </rPr>
          <t>יניב שפירא:</t>
        </r>
        <r>
          <rPr>
            <sz val="9"/>
            <color indexed="81"/>
            <rFont val="Tahoma"/>
            <family val="2"/>
          </rPr>
          <t xml:space="preserve">
1 = על הממשלה לדאוג שלכל אדם תהיה עבודה ורמת חיים סבירה
2 = זה תלוי
3 = על הממשלה לא להתערב ולתת לכל אדם להסתדר בעצמו
</t>
        </r>
      </text>
    </comment>
    <comment ref="G15" authorId="0" shapeId="0" xr:uid="{1BE41284-DD80-4182-9C44-17F9171642B8}">
      <text>
        <r>
          <rPr>
            <b/>
            <sz val="9"/>
            <color indexed="81"/>
            <rFont val="Tahoma"/>
            <family val="2"/>
          </rPr>
          <t>יניב שפירא:</t>
        </r>
        <r>
          <rPr>
            <sz val="9"/>
            <color indexed="81"/>
            <rFont val="Tahoma"/>
            <family val="2"/>
          </rPr>
          <t xml:space="preserve">
1 = כן
2 = לא
9 = מסרב</t>
        </r>
      </text>
    </comment>
    <comment ref="P15" authorId="0" shapeId="0" xr:uid="{4BB8F16B-17A4-4C7C-A1A5-9F2F6B2D681E}">
      <text>
        <r>
          <rPr>
            <b/>
            <sz val="9"/>
            <color indexed="81"/>
            <rFont val="Tahoma"/>
            <family val="2"/>
          </rPr>
          <t>יניב שפירא:</t>
        </r>
        <r>
          <rPr>
            <sz val="9"/>
            <color indexed="81"/>
            <rFont val="Tahoma"/>
            <family val="2"/>
          </rPr>
          <t xml:space="preserve">
במקום "הבעיות שהמדינה ניצבת בפניהן"
הנוסח הוא: "</t>
        </r>
        <r>
          <rPr>
            <b/>
            <sz val="9"/>
            <color indexed="81"/>
            <rFont val="Tahoma"/>
            <family val="2"/>
          </rPr>
          <t>הכסף יוקדש לנושאי בטחון</t>
        </r>
        <r>
          <rPr>
            <sz val="9"/>
            <color indexed="81"/>
            <rFont val="Tahoma"/>
            <family val="2"/>
          </rPr>
          <t>"</t>
        </r>
      </text>
    </comment>
    <comment ref="G16" authorId="0" shapeId="0" xr:uid="{5716858D-9AC1-45DF-9F5F-A93B22076254}">
      <text>
        <r>
          <rPr>
            <b/>
            <sz val="9"/>
            <color indexed="81"/>
            <rFont val="Tahoma"/>
            <family val="2"/>
          </rPr>
          <t>יניב שפירא:</t>
        </r>
        <r>
          <rPr>
            <sz val="9"/>
            <color indexed="81"/>
            <rFont val="Tahoma"/>
            <family val="2"/>
          </rPr>
          <t xml:space="preserve">
1 = פחות
2 = כמו עכשיו
3 = יותר</t>
        </r>
      </text>
    </comment>
    <comment ref="H16" authorId="0" shapeId="0" xr:uid="{8FF83EAC-783C-4311-9228-BB19A26AC6A8}">
      <text>
        <r>
          <rPr>
            <b/>
            <sz val="9"/>
            <color indexed="81"/>
            <rFont val="Tahoma"/>
            <family val="2"/>
          </rPr>
          <t>יניב שפירא:</t>
        </r>
        <r>
          <rPr>
            <sz val="9"/>
            <color indexed="81"/>
            <rFont val="Tahoma"/>
            <family val="2"/>
          </rPr>
          <t xml:space="preserve">
1 = יותר
2 = פחות
3 = כמו עכשיו</t>
        </r>
      </text>
    </comment>
    <comment ref="M22" authorId="0" shapeId="0" xr:uid="{4299C203-6DBF-4561-B652-D26DFEE42C22}">
      <text>
        <r>
          <rPr>
            <b/>
            <sz val="9"/>
            <color indexed="81"/>
            <rFont val="Tahoma"/>
            <family val="2"/>
          </rPr>
          <t>יניב שפירא:</t>
        </r>
        <r>
          <rPr>
            <sz val="9"/>
            <color indexed="81"/>
            <rFont val="Tahoma"/>
            <family val="2"/>
          </rPr>
          <t xml:space="preserve">
הניסוח הוא:
"סיוע למובטלים"</t>
        </r>
      </text>
    </comment>
    <comment ref="G32" authorId="0" shapeId="0" xr:uid="{F3A6CA74-32CD-46E5-A0AF-21B889055C7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P33" authorId="0" shapeId="0" xr:uid="{D22ECCEA-045F-4749-A3C0-EA70A8553B22}">
      <text>
        <r>
          <rPr>
            <b/>
            <sz val="9"/>
            <color indexed="81"/>
            <rFont val="Tahoma"/>
            <family val="2"/>
          </rPr>
          <t>יניב שפירא:</t>
        </r>
        <r>
          <rPr>
            <sz val="9"/>
            <color indexed="81"/>
            <rFont val="Tahoma"/>
            <family val="2"/>
          </rPr>
          <t xml:space="preserve">
1 = מוצדק בהחלט
2 = מוצדק
3 = לא מוצדק
4 = בהחלט לא מוצדק
</t>
        </r>
      </text>
    </comment>
    <comment ref="G34" authorId="0" shapeId="0" xr:uid="{D9D87AB5-4C1A-4435-B8B7-4945754C1B7D}">
      <text>
        <r>
          <rPr>
            <b/>
            <sz val="9"/>
            <color indexed="81"/>
            <rFont val="Tahoma"/>
            <family val="2"/>
          </rPr>
          <t>יניב שפירא:</t>
        </r>
        <r>
          <rPr>
            <sz val="9"/>
            <color indexed="81"/>
            <rFont val="Tahoma"/>
            <family val="2"/>
          </rPr>
          <t xml:space="preserve">
1 = לא תמכת
2 = תמכת, אך לא השתתפת
3 = תמכת והשתתפת באופן אישי</t>
        </r>
      </text>
    </comment>
    <comment ref="M36" authorId="0" shapeId="0" xr:uid="{143FB9FD-E9F1-44E6-9007-14D7D1EDA925}">
      <text>
        <r>
          <rPr>
            <b/>
            <sz val="9"/>
            <color indexed="81"/>
            <rFont val="Tahoma"/>
            <family val="2"/>
          </rPr>
          <t>יניב שפירא:</t>
        </r>
        <r>
          <rPr>
            <sz val="9"/>
            <color indexed="81"/>
            <rFont val="Tahoma"/>
            <family val="2"/>
          </rPr>
          <t xml:space="preserve">
1 = מסכים בהחלט
2 = מסכים
3 = לא מסכים
4 = בכלל לא מסכים</t>
        </r>
      </text>
    </comment>
    <comment ref="M37" authorId="0" shapeId="0" xr:uid="{14D8D5E8-1AE3-4F97-AD6F-13DA06EF1AD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M38" authorId="0" shapeId="0" xr:uid="{25E0587C-A888-427A-85E9-EEB9BD469F34}">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כלל לא</t>
        </r>
      </text>
    </comment>
    <comment ref="P39" authorId="0" shapeId="0" xr:uid="{B65DC71F-DCC0-4091-9A4D-C2DB02A269C1}">
      <text>
        <r>
          <rPr>
            <b/>
            <sz val="9"/>
            <color indexed="81"/>
            <rFont val="Tahoma"/>
            <family val="2"/>
          </rPr>
          <t>יניב שפירא:</t>
        </r>
        <r>
          <rPr>
            <sz val="9"/>
            <color indexed="81"/>
            <rFont val="Tahoma"/>
            <family val="2"/>
          </rPr>
          <t xml:space="preserve">
1 = להגדיל
2 = להשאיר
3 = לקצץ</t>
        </r>
      </text>
    </comment>
    <comment ref="P40" authorId="0" shapeId="0" xr:uid="{25CB381A-7E27-4645-BD80-9BD243244AC5}">
      <text>
        <r>
          <rPr>
            <b/>
            <sz val="9"/>
            <color indexed="81"/>
            <rFont val="Tahoma"/>
            <family val="2"/>
          </rPr>
          <t>יניב שפירא:</t>
        </r>
        <r>
          <rPr>
            <sz val="9"/>
            <color indexed="81"/>
            <rFont val="Tahoma"/>
            <family val="2"/>
          </rPr>
          <t xml:space="preserve">
1 = להגדיל
2 = להשאיר
3 = לקצץ</t>
        </r>
      </text>
    </comment>
    <comment ref="P41" authorId="0" shapeId="0" xr:uid="{D85ADD87-D2B3-4BC5-B9FD-D46AD72364B9}">
      <text>
        <r>
          <rPr>
            <b/>
            <sz val="9"/>
            <color indexed="81"/>
            <rFont val="Tahoma"/>
            <family val="2"/>
          </rPr>
          <t>יניב שפירא:</t>
        </r>
        <r>
          <rPr>
            <sz val="9"/>
            <color indexed="81"/>
            <rFont val="Tahoma"/>
            <family val="2"/>
          </rPr>
          <t xml:space="preserve">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r>
      </text>
    </comment>
    <comment ref="Q42" authorId="0" shapeId="0" xr:uid="{D3228053-C8FF-42FC-BCE6-4D1BBE256F4D}">
      <text>
        <r>
          <rPr>
            <b/>
            <sz val="9"/>
            <color indexed="81"/>
            <rFont val="Tahoma"/>
            <family val="2"/>
          </rPr>
          <t>יניב שפירא:</t>
        </r>
        <r>
          <rPr>
            <sz val="9"/>
            <color indexed="81"/>
            <rFont val="Tahoma"/>
            <family val="2"/>
          </rPr>
          <t xml:space="preserve">
1 = בעד שינוי הסטטוס
2 = נגד שינוי הסטטוס</t>
        </r>
      </text>
    </comment>
    <comment ref="Q45" authorId="0" shapeId="0" xr:uid="{1F16163D-0785-47E2-9D64-F5809D1DA590}">
      <text>
        <r>
          <rPr>
            <b/>
            <sz val="9"/>
            <color indexed="81"/>
            <rFont val="Tahoma"/>
            <family val="2"/>
          </rPr>
          <t>יניב שפירא:</t>
        </r>
        <r>
          <rPr>
            <sz val="9"/>
            <color indexed="81"/>
            <rFont val="Tahoma"/>
            <family val="2"/>
          </rPr>
          <t xml:space="preserve">
1 = הנטל מתחלק באופן צודק
2 = נטל מתחלק באופן לא צודק</t>
        </r>
      </text>
    </comment>
    <comment ref="S48" authorId="0" shapeId="0" xr:uid="{27B3F00A-AF2E-4168-8CA4-B07AF18FB406}">
      <text>
        <r>
          <rPr>
            <b/>
            <sz val="9"/>
            <color indexed="81"/>
            <rFont val="Tahoma"/>
            <charset val="177"/>
          </rPr>
          <t>יניב שפירא:</t>
        </r>
        <r>
          <rPr>
            <sz val="9"/>
            <color indexed="81"/>
            <rFont val="Tahoma"/>
            <charset val="177"/>
          </rPr>
          <t xml:space="preserve">
1 = מטפלת בדרך טובה מאד
2 = בדרך טובה
3 = בדרך ככה ככה
4 = בדרך לא כ"כ טובה
5 = בדרך כלל לא טובה</t>
        </r>
      </text>
    </comment>
    <comment ref="S49" authorId="0" shapeId="0" xr:uid="{CC74CBF1-7957-45AF-A4E2-B0EB7E3A920A}">
      <text>
        <r>
          <rPr>
            <b/>
            <sz val="9"/>
            <color indexed="81"/>
            <rFont val="Tahoma"/>
            <family val="2"/>
          </rPr>
          <t>יניב שפירא:</t>
        </r>
        <r>
          <rPr>
            <sz val="9"/>
            <color indexed="81"/>
            <rFont val="Tahoma"/>
            <family val="2"/>
          </rPr>
          <t xml:space="preserve">
1 = המערך
2 = הליכוד
3 = במידה שווה
4 = אף אחת מהן</t>
        </r>
      </text>
    </comment>
    <comment ref="S55" authorId="0" shapeId="0" xr:uid="{773BD5F8-10DB-4BEA-9814-975F9312A050}">
      <text>
        <r>
          <rPr>
            <b/>
            <sz val="9"/>
            <color indexed="81"/>
            <rFont val="Tahoma"/>
            <family val="2"/>
          </rPr>
          <t>יניב שפירא:</t>
        </r>
        <r>
          <rPr>
            <sz val="9"/>
            <color indexed="81"/>
            <rFont val="Tahoma"/>
            <family val="2"/>
          </rPr>
          <t xml:space="preserve">
1 = יותר טוב
2 = דומים
3 = פחות טוב</t>
        </r>
      </text>
    </comment>
    <comment ref="S56" authorId="0" shapeId="0" xr:uid="{2F8FC9B5-2429-4BA5-99A4-F5898BD4D198}">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S57" authorId="0" shapeId="0" xr:uid="{861EEF84-8DC7-40B5-9FA6-0DF85F9AFC03}">
      <text>
        <r>
          <rPr>
            <b/>
            <sz val="9"/>
            <color indexed="81"/>
            <rFont val="Tahoma"/>
            <family val="2"/>
          </rPr>
          <t>יניב שפירא:</t>
        </r>
        <r>
          <rPr>
            <sz val="9"/>
            <color indexed="81"/>
            <rFont val="Tahoma"/>
            <family val="2"/>
          </rPr>
          <t xml:space="preserve">
1 = מתחשבת במידה רבה מאד
2 = במידה רבה
3 = במידה מסוימת
4 = במידה מועטה
5 = לא מתחשבת כלל</t>
        </r>
      </text>
    </comment>
    <comment ref="S58" authorId="0" shapeId="0" xr:uid="{6768A02F-D75C-4797-A3F3-AD48AD288F24}">
      <text>
        <r>
          <rPr>
            <b/>
            <sz val="9"/>
            <color indexed="81"/>
            <rFont val="Tahoma"/>
            <family val="2"/>
          </rPr>
          <t>יניב שפירא:</t>
        </r>
        <r>
          <rPr>
            <sz val="9"/>
            <color indexed="81"/>
            <rFont val="Tahoma"/>
            <family val="2"/>
          </rPr>
          <t xml:space="preserve">
1 = יותר טובים
2 = שווים/דומים
3 = פחות טובים</t>
        </r>
      </text>
    </comment>
    <comment ref="T59" authorId="0" shapeId="0" xr:uid="{70A20325-7716-43F1-BBA9-CAD8D3AE1EBF}">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T60" authorId="0" shapeId="0" xr:uid="{7A1F0501-9745-4CC2-A91E-583D463DDB76}">
      <text>
        <r>
          <rPr>
            <b/>
            <sz val="9"/>
            <color indexed="81"/>
            <rFont val="Tahoma"/>
            <charset val="177"/>
          </rPr>
          <t>יניב שפירא:</t>
        </r>
        <r>
          <rPr>
            <sz val="9"/>
            <color indexed="81"/>
            <rFont val="Tahoma"/>
            <charset val="177"/>
          </rPr>
          <t xml:space="preserve">
1 = מאד ברורה
2 = ברורה
3 = די ברורה
4 = לא כ"כ ברורה
5 = לא ברורה
6 = כלל לא ברורה</t>
        </r>
      </text>
    </comment>
    <comment ref="T61" authorId="0" shapeId="0" xr:uid="{AC5AACBB-3DD1-43D5-A68A-7E6573D2DA30}">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בלבד
5 = כלל לא עוזרת</t>
        </r>
      </text>
    </comment>
    <comment ref="V61" authorId="0" shapeId="0" xr:uid="{999CC82A-0A63-4081-845F-31E1B9810CB1}">
      <text>
        <r>
          <rPr>
            <b/>
            <sz val="9"/>
            <color indexed="81"/>
            <rFont val="Tahoma"/>
            <charset val="177"/>
          </rPr>
          <t>יניב שפירא:</t>
        </r>
        <r>
          <rPr>
            <sz val="9"/>
            <color indexed="81"/>
            <rFont val="Tahoma"/>
            <charset val="177"/>
          </rPr>
          <t xml:space="preserve">
1 = במידה רבה מאד
2 = במידה מסויימת
3 = לא כ"כ
4 = בכלל לא</t>
        </r>
      </text>
    </comment>
    <comment ref="V65" authorId="0" shapeId="0" xr:uid="{B2035AC7-0EB0-4268-8B6A-BD0E148735F7}">
      <text>
        <r>
          <rPr>
            <b/>
            <sz val="9"/>
            <color indexed="81"/>
            <rFont val="Tahoma"/>
            <charset val="177"/>
          </rPr>
          <t>יניב שפירא:</t>
        </r>
        <r>
          <rPr>
            <sz val="9"/>
            <color indexed="81"/>
            <rFont val="Tahoma"/>
            <charset val="177"/>
          </rPr>
          <t xml:space="preserve">
1 = בכלל לא תצליח
2 = לא כ"כ תצליח
3 = תצליח במידה מה
4 = תצליח במידה רבה</t>
        </r>
      </text>
    </comment>
    <comment ref="V66" authorId="0" shapeId="0" xr:uid="{2589CF50-6D8A-4B36-B9B5-1E266CD9157E}">
      <text>
        <r>
          <rPr>
            <b/>
            <sz val="9"/>
            <color indexed="81"/>
            <rFont val="Tahoma"/>
            <charset val="177"/>
          </rPr>
          <t>יניב שפירא:</t>
        </r>
        <r>
          <rPr>
            <sz val="9"/>
            <color indexed="81"/>
            <rFont val="Tahoma"/>
            <charset val="177"/>
          </rPr>
          <t xml:space="preserve">
1 = סיכויים רבים מאד שתמשך
2 = סיכויים מועטים שתמשך
3 = אין סיכויים שתמשך
4 = אין בכלל סיכויים שתמשך</t>
        </r>
      </text>
    </comment>
    <comment ref="V67" authorId="0" shapeId="0" xr:uid="{16C06FB0-F094-4126-847B-2E2E6BFA1660}">
      <text>
        <r>
          <rPr>
            <b/>
            <sz val="9"/>
            <color indexed="81"/>
            <rFont val="Tahoma"/>
            <charset val="177"/>
          </rPr>
          <t>יניב שפירא:</t>
        </r>
        <r>
          <rPr>
            <sz val="9"/>
            <color indexed="81"/>
            <rFont val="Tahoma"/>
            <charset val="177"/>
          </rPr>
          <t xml:space="preserve">
1 = לשכבות החלשות
2 = לשכבות הבינוניות
3 = לשכבות הגבוהות
4 = לכל אזרחי המדינה</t>
        </r>
      </text>
    </comment>
    <comment ref="V68" authorId="0" shapeId="0" xr:uid="{AEDCE96B-4556-4584-B70F-12D7F24152A3}">
      <text>
        <r>
          <rPr>
            <b/>
            <sz val="9"/>
            <color indexed="81"/>
            <rFont val="Tahoma"/>
            <charset val="177"/>
          </rPr>
          <t>יניב שפירא:</t>
        </r>
        <r>
          <rPr>
            <sz val="9"/>
            <color indexed="81"/>
            <rFont val="Tahoma"/>
            <charset val="177"/>
          </rPr>
          <t xml:space="preserve">
1 = כן
2 = לא
3 = לא יודע/לא החלטתי</t>
        </r>
      </text>
    </comment>
    <comment ref="K69" authorId="0" shapeId="0" xr:uid="{B5900815-C25E-4D64-A790-07D784F261D9}">
      <text>
        <r>
          <rPr>
            <b/>
            <sz val="9"/>
            <color indexed="81"/>
            <rFont val="Tahoma"/>
            <family val="2"/>
          </rPr>
          <t>יניב שפירא:</t>
        </r>
        <r>
          <rPr>
            <sz val="9"/>
            <color indexed="81"/>
            <rFont val="Tahoma"/>
            <family val="2"/>
          </rPr>
          <t xml:space="preserve">
סולם 1-10
1 = רחוק ביותר
10 = קרוב ביותר</t>
        </r>
      </text>
    </comment>
    <comment ref="T77" authorId="0" shapeId="0" xr:uid="{A5FA2987-3F9A-4006-949B-1AD5AFE63222}">
      <text>
        <r>
          <rPr>
            <b/>
            <sz val="9"/>
            <color indexed="81"/>
            <rFont val="Tahoma"/>
            <family val="2"/>
          </rPr>
          <t>יניב שפירא:</t>
        </r>
        <r>
          <rPr>
            <sz val="9"/>
            <color indexed="81"/>
            <rFont val="Tahoma"/>
            <family val="2"/>
          </rPr>
          <t xml:space="preserve">
סולם 1-10
1 = הטוב ביותר
10 = הגרוע ביותר</t>
        </r>
      </text>
    </comment>
    <comment ref="AG77" authorId="0" shapeId="0" xr:uid="{F6FF57F6-B957-4F4B-AA61-3CAB6671FFFB}">
      <text>
        <r>
          <rPr>
            <b/>
            <sz val="9"/>
            <color indexed="81"/>
            <rFont val="Tahoma"/>
            <charset val="177"/>
          </rPr>
          <t>יניב שפירא:</t>
        </r>
        <r>
          <rPr>
            <sz val="9"/>
            <color indexed="81"/>
            <rFont val="Tahoma"/>
            <charset val="177"/>
          </rPr>
          <t xml:space="preserve">
סולם 0-10
0 = הכי גרוע
10 = הכי טוב</t>
        </r>
      </text>
    </comment>
    <comment ref="AH80" authorId="0" shapeId="0" xr:uid="{0BD7E948-4B5E-4B04-A1EB-E7F75CEB3E04}">
      <text>
        <r>
          <rPr>
            <b/>
            <sz val="9"/>
            <color indexed="81"/>
            <rFont val="Tahoma"/>
            <family val="2"/>
          </rPr>
          <t>יניב שפירא:</t>
        </r>
        <r>
          <rPr>
            <sz val="9"/>
            <color indexed="81"/>
            <rFont val="Tahoma"/>
            <family val="2"/>
          </rPr>
          <t xml:space="preserve">
סולם 0-10
0 = המצב הגרוע ביותר
10 = המצב הטוב ביותר</t>
        </r>
      </text>
    </comment>
    <comment ref="AD83" authorId="0" shapeId="0" xr:uid="{FC91112E-A155-4298-800B-DBBFF5192EED}">
      <text>
        <r>
          <rPr>
            <b/>
            <sz val="9"/>
            <color indexed="81"/>
            <rFont val="Tahoma"/>
            <charset val="177"/>
          </rPr>
          <t>יניב שפירא:</t>
        </r>
        <r>
          <rPr>
            <sz val="9"/>
            <color indexed="81"/>
            <rFont val="Tahoma"/>
            <charset val="177"/>
          </rPr>
          <t xml:space="preserve">
1 = בטוח שכן
2 = חושב שכן
3 = חושב שלא
4 = בטוח שלא
5 = אין זכות בחירה</t>
        </r>
      </text>
    </comment>
    <comment ref="N84" authorId="0" shapeId="0" xr:uid="{63C19BB3-42CD-4FD6-8BFC-31240F2D3954}">
      <text>
        <r>
          <rPr>
            <b/>
            <sz val="9"/>
            <color indexed="81"/>
            <rFont val="Tahoma"/>
            <family val="2"/>
          </rPr>
          <t>יניב שפירא:</t>
        </r>
        <r>
          <rPr>
            <sz val="9"/>
            <color indexed="81"/>
            <rFont val="Tahoma"/>
            <family val="2"/>
          </rPr>
          <t xml:space="preserve">
1 = עבודה (הברפלד)
2 = דם (רמון)
3 = ליכוד (שמאי)
4 = חד"ש (גונן)
5 = לא הצבעתי למרות שהייתה לי זכות בחירה
6 = לר הצבעתי כי לא הייתי חבר הסתדרות</t>
        </r>
      </text>
    </comment>
    <comment ref="S84" authorId="0" shapeId="0" xr:uid="{AEA7436C-ABEC-43E9-88AB-2BEED24CECE8}">
      <text>
        <r>
          <rPr>
            <b/>
            <sz val="9"/>
            <color indexed="81"/>
            <rFont val="Tahoma"/>
            <family val="2"/>
          </rPr>
          <t>יניב שפירא:</t>
        </r>
        <r>
          <rPr>
            <sz val="9"/>
            <color indexed="81"/>
            <rFont val="Tahoma"/>
            <family val="2"/>
          </rPr>
          <t xml:space="preserve">
בחירות 1981</t>
        </r>
      </text>
    </comment>
    <comment ref="V84" authorId="0" shapeId="0" xr:uid="{98239784-C7FA-4E6D-A30B-C320B903056D}">
      <text>
        <r>
          <rPr>
            <b/>
            <sz val="9"/>
            <color indexed="81"/>
            <rFont val="Tahoma"/>
            <charset val="177"/>
          </rPr>
          <t>יניב שפירא:</t>
        </r>
        <r>
          <rPr>
            <sz val="9"/>
            <color indexed="81"/>
            <rFont val="Tahoma"/>
            <charset val="177"/>
          </rPr>
          <t xml:space="preserve">
בחירות 1977</t>
        </r>
      </text>
    </comment>
    <comment ref="W84" authorId="0" shapeId="0" xr:uid="{FF54DD9C-76C6-449C-99F1-C7D244634B10}">
      <text>
        <r>
          <rPr>
            <b/>
            <sz val="9"/>
            <color indexed="81"/>
            <rFont val="Tahoma"/>
            <charset val="177"/>
          </rPr>
          <t>יניב שפירא:</t>
        </r>
        <r>
          <rPr>
            <sz val="9"/>
            <color indexed="81"/>
            <rFont val="Tahoma"/>
            <charset val="177"/>
          </rPr>
          <t xml:space="preserve">
בחירות 1977</t>
        </r>
      </text>
    </comment>
    <comment ref="W85" authorId="0" shapeId="0" xr:uid="{0D7369ED-6B9D-4428-A4F5-747E8AAFA72E}">
      <text>
        <r>
          <rPr>
            <b/>
            <sz val="9"/>
            <color indexed="81"/>
            <rFont val="Tahoma"/>
            <charset val="177"/>
          </rPr>
          <t>יניב שפירא:</t>
        </r>
        <r>
          <rPr>
            <sz val="9"/>
            <color indexed="81"/>
            <rFont val="Tahoma"/>
            <charset val="177"/>
          </rPr>
          <t xml:space="preserve">
1973</t>
        </r>
      </text>
    </comment>
    <comment ref="A86" authorId="0" shapeId="0" xr:uid="{9B1A0833-5EF5-4E76-98B8-0C97D399F2B9}">
      <text>
        <r>
          <rPr>
            <b/>
            <sz val="9"/>
            <color indexed="81"/>
            <rFont val="Tahoma"/>
            <charset val="177"/>
          </rPr>
          <t>יניב שפירא:</t>
        </r>
        <r>
          <rPr>
            <sz val="9"/>
            <color indexed="81"/>
            <rFont val="Tahoma"/>
            <charset val="177"/>
          </rPr>
          <t xml:space="preserve">
רק מי שהצביע בבחירות להסתדרות</t>
        </r>
      </text>
    </comment>
    <comment ref="U86" authorId="0" shapeId="0" xr:uid="{3B45010E-712E-479C-A35C-DC31B2E8125C}">
      <text>
        <r>
          <rPr>
            <b/>
            <sz val="9"/>
            <color indexed="81"/>
            <rFont val="Tahoma"/>
            <charset val="177"/>
          </rPr>
          <t>יניב שפירא:</t>
        </r>
        <r>
          <rPr>
            <sz val="9"/>
            <color indexed="81"/>
            <rFont val="Tahoma"/>
            <charset val="177"/>
          </rPr>
          <t xml:space="preserve">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r>
      </text>
    </comment>
    <comment ref="A88" authorId="0" shapeId="0" xr:uid="{1020A6E0-EC87-4630-B1C3-115820E98086}">
      <text>
        <r>
          <rPr>
            <b/>
            <sz val="9"/>
            <color indexed="81"/>
            <rFont val="Tahoma"/>
            <charset val="177"/>
          </rPr>
          <t>יניב שפירא:</t>
        </r>
        <r>
          <rPr>
            <sz val="9"/>
            <color indexed="81"/>
            <rFont val="Tahoma"/>
            <charset val="177"/>
          </rPr>
          <t xml:space="preserve">
רק מי שלא הצביע בבחירות להסתדרות</t>
        </r>
      </text>
    </comment>
    <comment ref="U88" authorId="0" shapeId="0" xr:uid="{573D8209-DCDA-41AE-A178-5E57A852FDE9}">
      <text>
        <r>
          <rPr>
            <b/>
            <sz val="9"/>
            <color indexed="81"/>
            <rFont val="Tahoma"/>
            <charset val="177"/>
          </rPr>
          <t>יניב שפירא:</t>
        </r>
        <r>
          <rPr>
            <sz val="9"/>
            <color indexed="81"/>
            <rFont val="Tahoma"/>
            <charset val="177"/>
          </rPr>
          <t xml:space="preserve">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r>
      </text>
    </comment>
    <comment ref="AD88" authorId="0" shapeId="0" xr:uid="{C955A09F-C2A6-4451-A9BD-E5D6A318006F}">
      <text>
        <r>
          <rPr>
            <b/>
            <sz val="9"/>
            <color indexed="81"/>
            <rFont val="Tahoma"/>
            <charset val="177"/>
          </rPr>
          <t>יניב שפירא:</t>
        </r>
        <r>
          <rPr>
            <sz val="9"/>
            <color indexed="81"/>
            <rFont val="Tahoma"/>
            <charset val="177"/>
          </rPr>
          <t xml:space="preserve">
0 = אין זכות בחירה</t>
        </r>
      </text>
    </comment>
    <comment ref="AG89" authorId="0" shapeId="0" xr:uid="{21641A8A-240D-4FE8-9B67-BA3313E97CE0}">
      <text>
        <r>
          <rPr>
            <b/>
            <sz val="9"/>
            <color indexed="81"/>
            <rFont val="Tahoma"/>
            <family val="2"/>
          </rPr>
          <t>יניב שפירא:</t>
        </r>
        <r>
          <rPr>
            <sz val="9"/>
            <color indexed="81"/>
            <rFont val="Tahoma"/>
            <family val="2"/>
          </rPr>
          <t xml:space="preserve">
1 = חיזק את עמדתי עבור מי להצביע
2 = לא השפיע עלי
3 = השפיע עלי לשנות את עמדתי</t>
        </r>
      </text>
    </comment>
    <comment ref="T90" authorId="0" shapeId="0" xr:uid="{2D9A8036-DAD8-4429-8C89-6416C9DBFC89}">
      <text>
        <r>
          <rPr>
            <b/>
            <sz val="9"/>
            <color indexed="81"/>
            <rFont val="Tahoma"/>
            <family val="2"/>
          </rPr>
          <t>יניב שפירא:</t>
        </r>
        <r>
          <rPr>
            <sz val="9"/>
            <color indexed="81"/>
            <rFont val="Tahoma"/>
            <family val="2"/>
          </rPr>
          <t xml:space="preserve">
1 = המערך
2 = הליכוד
3 = שתיהן
4 = אף אחת מהן</t>
        </r>
      </text>
    </comment>
    <comment ref="Q91" authorId="0" shapeId="0" xr:uid="{2739944A-D292-496B-9831-4498A380A486}">
      <text>
        <r>
          <rPr>
            <b/>
            <sz val="9"/>
            <color indexed="81"/>
            <rFont val="Tahoma"/>
            <family val="2"/>
          </rPr>
          <t>יניב שפירא:</t>
        </r>
        <r>
          <rPr>
            <sz val="9"/>
            <color indexed="81"/>
            <rFont val="Tahoma"/>
            <family val="2"/>
          </rPr>
          <t xml:space="preserve">
1 = בהחלט בסדר
2 = בסדר
3 = לא כ"כ בסדר
4 = כלל לא בסדר</t>
        </r>
      </text>
    </comment>
    <comment ref="AE91" authorId="0" shapeId="0" xr:uid="{7F8DAC7C-DA75-4E26-82C4-3F6FBDDB486F}">
      <text>
        <r>
          <rPr>
            <b/>
            <sz val="9"/>
            <color indexed="81"/>
            <rFont val="Tahoma"/>
            <family val="2"/>
          </rPr>
          <t>יניב שפירא:</t>
        </r>
        <r>
          <rPr>
            <sz val="9"/>
            <color indexed="81"/>
            <rFont val="Tahoma"/>
            <family val="2"/>
          </rPr>
          <t xml:space="preserve">
1 = בהחלט מסכים
2 = מסכים
3 = לא כ"כ מסכים
4 = לא מסכים כלל</t>
        </r>
      </text>
    </comment>
    <comment ref="V92" authorId="0" shapeId="0" xr:uid="{7215B8AB-1B0C-4316-8144-7F68B6138686}">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H93" authorId="0" shapeId="0" xr:uid="{E72D4A3B-A42A-4DC4-B392-33E89DA8DBB7}">
      <text>
        <r>
          <rPr>
            <b/>
            <sz val="9"/>
            <color indexed="81"/>
            <rFont val="Tahoma"/>
            <family val="2"/>
          </rPr>
          <t>יניב שפירא:</t>
        </r>
        <r>
          <rPr>
            <sz val="9"/>
            <color indexed="81"/>
            <rFont val="Tahoma"/>
            <family val="2"/>
          </rPr>
          <t xml:space="preserve">
1 = בהחלט מסכים
2 = מסכים במידה מסוימת
3 = מסתייג
4 = בהחלט מסתייג
5 = אין דעה</t>
        </r>
      </text>
    </comment>
    <comment ref="W95" authorId="0" shapeId="0" xr:uid="{548DF59F-4EF2-41F7-8733-F34855D89E90}">
      <text>
        <r>
          <rPr>
            <b/>
            <sz val="9"/>
            <color indexed="81"/>
            <rFont val="Tahoma"/>
            <charset val="177"/>
          </rPr>
          <t>יניב שפירא:</t>
        </r>
        <r>
          <rPr>
            <sz val="9"/>
            <color indexed="81"/>
            <rFont val="Tahoma"/>
            <charset val="177"/>
          </rPr>
          <t xml:space="preserve">
1 = תחזק במידה רבה
2 = תחזק במידה מסוימת
3 = תחליש במידה מסוימת
4 = תחליש במידה רבה
5 = לא תחזק ולא תחליש</t>
        </r>
      </text>
    </comment>
    <comment ref="AD96" authorId="0" shapeId="0" xr:uid="{193D6FFA-B866-4C1D-B3A2-61003712D8BC}">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Y97" authorId="0" shapeId="0" xr:uid="{70197339-CFB3-43B2-88C6-B151FA3C27EB}">
      <text>
        <r>
          <rPr>
            <b/>
            <sz val="9"/>
            <color indexed="81"/>
            <rFont val="Tahoma"/>
            <charset val="177"/>
          </rPr>
          <t>יניב שפירא:</t>
        </r>
        <r>
          <rPr>
            <sz val="9"/>
            <color indexed="81"/>
            <rFont val="Tahoma"/>
            <charset val="177"/>
          </rPr>
          <t xml:space="preserve">
1 = בטוח שיש למנוע אבטלה
2 = חושב שיש למנוע אבטלה
3 = חושב שיש להפסיק אינפלציה
4 = בטוח שיש להפסיק אינפלציה</t>
        </r>
      </text>
    </comment>
    <comment ref="Y98" authorId="0" shapeId="0" xr:uid="{ACE5EE54-A139-4413-9279-7CFAF4CABF1A}">
      <text>
        <r>
          <rPr>
            <b/>
            <sz val="9"/>
            <color indexed="81"/>
            <rFont val="Tahoma"/>
            <charset val="177"/>
          </rPr>
          <t>יניב שפירא:</t>
        </r>
        <r>
          <rPr>
            <sz val="9"/>
            <color indexed="81"/>
            <rFont val="Tahoma"/>
            <charset val="177"/>
          </rPr>
          <t xml:space="preserve">
1 = במידה רבה מאד
2 = במידה מסוימת
3 = במידה מועטה
4 = לא מתאימים כלל</t>
        </r>
      </text>
    </comment>
    <comment ref="AD99" authorId="0" shapeId="0" xr:uid="{9DA8FBC8-F108-4612-AAE1-67F9DC645093}">
      <text>
        <r>
          <rPr>
            <b/>
            <sz val="9"/>
            <color indexed="81"/>
            <rFont val="Tahoma"/>
            <family val="2"/>
          </rPr>
          <t>יניב שפירא:</t>
        </r>
        <r>
          <rPr>
            <sz val="9"/>
            <color indexed="81"/>
            <rFont val="Tahoma"/>
            <family val="2"/>
          </rPr>
          <t xml:space="preserve">
1 = מסכים בהחלט
2 = מסכים
3 = לא כ"כ מסכים
4 = בהחלט לא מסכים</t>
        </r>
      </text>
    </comment>
    <comment ref="AD100" authorId="0" shapeId="0" xr:uid="{3C665EEE-B7C0-4A14-A893-C9CBC3682C58}">
      <text>
        <r>
          <rPr>
            <b/>
            <sz val="9"/>
            <color indexed="81"/>
            <rFont val="Tahoma"/>
            <family val="2"/>
          </rPr>
          <t>יניב שפירא:</t>
        </r>
        <r>
          <rPr>
            <sz val="9"/>
            <color indexed="81"/>
            <rFont val="Tahoma"/>
            <family val="2"/>
          </rPr>
          <t xml:space="preserve">
1 = סעד
2 = חינוך לילדים
3 = איסוף אשפה
4 = ניקיון הרחובות
5 = תבאורה
6 = פעילות תרבות
7 = פעילות עבור הנוער
8 = אף אחד מהנ"ל</t>
        </r>
      </text>
    </comment>
    <comment ref="AG101" authorId="0" shapeId="0" xr:uid="{27C216F2-7D30-49C6-B254-284F252075DA}">
      <text>
        <r>
          <rPr>
            <b/>
            <sz val="9"/>
            <color indexed="81"/>
            <rFont val="Tahoma"/>
            <family val="2"/>
          </rPr>
          <t>יניב שפירא:</t>
        </r>
        <r>
          <rPr>
            <sz val="9"/>
            <color indexed="81"/>
            <rFont val="Tahoma"/>
            <family val="2"/>
          </rPr>
          <t xml:space="preserve">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r>
      </text>
    </comment>
    <comment ref="AH102" authorId="0" shapeId="0" xr:uid="{05CE2360-A206-41C4-9F43-A5BF10429AAB}">
      <text>
        <r>
          <rPr>
            <b/>
            <sz val="9"/>
            <color indexed="81"/>
            <rFont val="Tahoma"/>
            <family val="2"/>
          </rPr>
          <t>יניב שפירא:</t>
        </r>
        <r>
          <rPr>
            <sz val="9"/>
            <color indexed="81"/>
            <rFont val="Tahoma"/>
            <family val="2"/>
          </rPr>
          <t xml:space="preserve">
1 = תומך בבעלות ממשלתית
2 = מתנגד לבעלות ממשלתית</t>
        </r>
      </text>
    </comment>
    <comment ref="AH109" authorId="0" shapeId="0" xr:uid="{B1BD339F-C237-4B8C-89AE-7FEA75E132DB}">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H110" authorId="0" shapeId="0" xr:uid="{E03AC9C3-385A-4EF3-866F-6F1E3B6368AE}">
      <text>
        <r>
          <rPr>
            <b/>
            <sz val="9"/>
            <color indexed="81"/>
            <rFont val="Tahoma"/>
            <family val="2"/>
          </rPr>
          <t>יניב שפירא:</t>
        </r>
        <r>
          <rPr>
            <sz val="9"/>
            <color indexed="81"/>
            <rFont val="Tahoma"/>
            <family val="2"/>
          </rPr>
          <t xml:space="preserve">
1 = בהחלט זו של ארה"ב
2 = זו של ארה"ב
3 = זו של ברה"מ
4 = בהחלט זו של ברה"מ</t>
        </r>
      </text>
    </comment>
    <comment ref="AH111" authorId="0" shapeId="0" xr:uid="{7339E087-91AF-48C0-9455-19A0759B4E2E}">
      <text>
        <r>
          <rPr>
            <b/>
            <sz val="9"/>
            <color indexed="81"/>
            <rFont val="Tahoma"/>
            <family val="2"/>
          </rPr>
          <t>יניב שפירא:</t>
        </r>
        <r>
          <rPr>
            <sz val="9"/>
            <color indexed="81"/>
            <rFont val="Tahoma"/>
            <family val="2"/>
          </rPr>
          <t xml:space="preserve">
1 = בהחלט כדאי
2 = נראה לי שכדאי
3 = נראה לי שלא כדאי
4 = בהחלט לא כדאי</t>
        </r>
      </text>
    </comment>
    <comment ref="AH112" authorId="0" shapeId="0" xr:uid="{0536770E-D784-4A1F-B235-9BDF55352B0E}">
      <text>
        <r>
          <rPr>
            <b/>
            <sz val="9"/>
            <color indexed="81"/>
            <rFont val="Tahoma"/>
            <family val="2"/>
          </rPr>
          <t>יניב שפירא:</t>
        </r>
        <r>
          <rPr>
            <sz val="9"/>
            <color indexed="81"/>
            <rFont val="Tahoma"/>
            <family val="2"/>
          </rPr>
          <t xml:space="preserve">
1 = בהחלט מסכים
2 = מסכים
3 = מסתייג
4 = מסתייג בהחלט</t>
        </r>
      </text>
    </comment>
    <comment ref="AH113" authorId="0" shapeId="0" xr:uid="{6DFAB78A-3B10-4840-8BD5-79A41FB3A8D8}">
      <text>
        <r>
          <rPr>
            <b/>
            <sz val="9"/>
            <color indexed="81"/>
            <rFont val="Tahoma"/>
            <family val="2"/>
          </rPr>
          <t>יניב שפירא:</t>
        </r>
        <r>
          <rPr>
            <sz val="9"/>
            <color indexed="81"/>
            <rFont val="Tahoma"/>
            <family val="2"/>
          </rPr>
          <t xml:space="preserve">
1 = בהחלט מסכים
2 = מסכים
3 = מסתייג
4 = בהחלט מסתייג</t>
        </r>
      </text>
    </comment>
    <comment ref="AH114" authorId="0" shapeId="0" xr:uid="{FF12854A-380D-49F2-A537-0D0AFEB39736}">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15" authorId="0" shapeId="0" xr:uid="{33F8CDEB-DFD1-4BF3-8941-AC7940795EEB}">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16" authorId="0" shapeId="0" xr:uid="{6BB56294-FCF8-4DFC-832D-A9E5CE97992B}">
      <text>
        <r>
          <rPr>
            <b/>
            <sz val="9"/>
            <color indexed="81"/>
            <rFont val="Tahoma"/>
            <charset val="177"/>
          </rPr>
          <t>יניב שפירא:</t>
        </r>
        <r>
          <rPr>
            <sz val="9"/>
            <color indexed="81"/>
            <rFont val="Tahoma"/>
            <charset val="177"/>
          </rPr>
          <t xml:space="preserve">
1 = כן
2 = לא</t>
        </r>
      </text>
    </comment>
    <comment ref="AH117" authorId="0" shapeId="0" xr:uid="{8ADD9B5D-7069-421F-BD5F-62E604651384}">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C118" authorId="0" shapeId="0" xr:uid="{E42161D1-178D-40F4-A5A8-0933A44D3E41}">
      <text>
        <r>
          <rPr>
            <b/>
            <sz val="9"/>
            <color indexed="81"/>
            <rFont val="Tahoma"/>
            <charset val="177"/>
          </rPr>
          <t>יניב שפירא:</t>
        </r>
        <r>
          <rPr>
            <sz val="9"/>
            <color indexed="81"/>
            <rFont val="Tahoma"/>
            <charset val="177"/>
          </rPr>
          <t xml:space="preserve">
1 = השתפר בהרבה
2 = השתפר במקצת
3 = לא השתנה
4 = קצת יותר גרוע
5 = הרבה יותר גרוע</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DED455B0-409F-40A5-BDB1-C575FB8328C4}">
      <text>
        <r>
          <rPr>
            <b/>
            <sz val="9"/>
            <color indexed="81"/>
            <rFont val="Tahoma"/>
            <charset val="177"/>
          </rPr>
          <t>יניב שפירא:</t>
        </r>
        <r>
          <rPr>
            <sz val="9"/>
            <color indexed="81"/>
            <rFont val="Tahoma"/>
            <charset val="177"/>
          </rPr>
          <t xml:space="preserve">
post election</t>
        </r>
      </text>
    </comment>
    <comment ref="AA1" authorId="0" shapeId="0" xr:uid="{D9EB3DDE-2DC4-4B7E-9B93-70B95AB79B44}">
      <text>
        <r>
          <rPr>
            <b/>
            <sz val="9"/>
            <color indexed="81"/>
            <rFont val="Tahoma"/>
            <charset val="177"/>
          </rPr>
          <t>יניב שפירא:</t>
        </r>
        <r>
          <rPr>
            <sz val="9"/>
            <color indexed="81"/>
            <rFont val="Tahoma"/>
            <charset val="177"/>
          </rPr>
          <t xml:space="preserve">
post Kippur + post election</t>
        </r>
      </text>
    </comment>
    <comment ref="AB1" authorId="0" shapeId="0" xr:uid="{52BD4A06-7710-4162-9BBE-661602961136}">
      <text>
        <r>
          <rPr>
            <b/>
            <sz val="9"/>
            <color indexed="81"/>
            <rFont val="Tahoma"/>
            <charset val="177"/>
          </rPr>
          <t>יניב שפירא:</t>
        </r>
        <r>
          <rPr>
            <sz val="9"/>
            <color indexed="81"/>
            <rFont val="Tahoma"/>
            <charset val="177"/>
          </rPr>
          <t xml:space="preserve">
post Kippur</t>
        </r>
      </text>
    </comment>
    <comment ref="AC1" authorId="0" shapeId="0" xr:uid="{D9FE3A7C-F114-4CC7-A9FE-6400B77587EC}">
      <text>
        <r>
          <rPr>
            <b/>
            <sz val="9"/>
            <color indexed="81"/>
            <rFont val="Tahoma"/>
            <charset val="177"/>
          </rPr>
          <t>יניב שפירא:</t>
        </r>
        <r>
          <rPr>
            <sz val="9"/>
            <color indexed="81"/>
            <rFont val="Tahoma"/>
            <charset val="177"/>
          </rPr>
          <t xml:space="preserve">
post Kippur</t>
        </r>
      </text>
    </comment>
    <comment ref="AF1" authorId="0" shapeId="0" xr:uid="{92DA0530-295B-4016-8F41-C314D7199248}">
      <text>
        <r>
          <rPr>
            <b/>
            <sz val="9"/>
            <color indexed="81"/>
            <rFont val="Tahoma"/>
            <charset val="177"/>
          </rPr>
          <t>יניב שפירא:</t>
        </r>
        <r>
          <rPr>
            <sz val="9"/>
            <color indexed="81"/>
            <rFont val="Tahoma"/>
            <charset val="177"/>
          </rPr>
          <t xml:space="preserve">
pre + post election</t>
        </r>
      </text>
    </comment>
    <comment ref="A2" authorId="0" shapeId="0" xr:uid="{214BB497-4CD7-45C7-9BAD-4B0B957FD94A}">
      <text>
        <r>
          <rPr>
            <b/>
            <sz val="9"/>
            <color indexed="81"/>
            <rFont val="Tahoma"/>
            <family val="2"/>
          </rPr>
          <t>יניב שפירא:</t>
        </r>
        <r>
          <rPr>
            <sz val="9"/>
            <color indexed="81"/>
            <rFont val="Tahoma"/>
            <family val="2"/>
          </rPr>
          <t xml:space="preserve">
ליהודים בלבד</t>
        </r>
      </text>
    </comment>
    <comment ref="D2" authorId="0" shapeId="0" xr:uid="{C4AEFFAB-4141-467A-B97E-633ADBBB0101}">
      <text>
        <r>
          <rPr>
            <b/>
            <sz val="9"/>
            <color indexed="81"/>
            <rFont val="Tahoma"/>
            <family val="2"/>
          </rPr>
          <t>יניב שפירא:</t>
        </r>
        <r>
          <rPr>
            <sz val="9"/>
            <color indexed="81"/>
            <rFont val="Tahoma"/>
            <family val="2"/>
          </rPr>
          <t xml:space="preserve">
1 = מדינה עם רוב יהודי
2 = ארץ ישראל השלמה
3 = מדינה דמוקרטית (זכויות פוליטיות שוות לכל)
4 = מצב של שלום (הסתברות נמוכה למלחמה)</t>
        </r>
      </text>
    </comment>
    <comment ref="A3" authorId="0" shapeId="0" xr:uid="{F22EBF13-9F01-449A-884D-B3353755389A}">
      <text>
        <r>
          <rPr>
            <b/>
            <sz val="9"/>
            <color indexed="81"/>
            <rFont val="Tahoma"/>
            <family val="2"/>
          </rPr>
          <t>יניב שפירא:</t>
        </r>
        <r>
          <rPr>
            <sz val="9"/>
            <color indexed="81"/>
            <rFont val="Tahoma"/>
            <family val="2"/>
          </rPr>
          <t xml:space="preserve">
ליהודים בלבד</t>
        </r>
      </text>
    </comment>
    <comment ref="D6" authorId="0" shapeId="0" xr:uid="{CF85883A-6FA7-4EEC-B973-6D27ABBE31F0}">
      <text>
        <r>
          <rPr>
            <b/>
            <sz val="9"/>
            <color indexed="81"/>
            <rFont val="Tahoma"/>
            <family val="2"/>
          </rPr>
          <t>יניב שפירא:</t>
        </r>
        <r>
          <rPr>
            <sz val="9"/>
            <color indexed="81"/>
            <rFont val="Tahoma"/>
            <family val="2"/>
          </rPr>
          <t xml:space="preserve">
1 = בהחלט מתפקידה לדאוג לכך
2 = אולי הממשלה צריכה לדאוג לכך
3 = לא חושב שעל הממשלה לדאוג לכך
4 = בשום אופן הממשלה לא צריכה לדאוג לכך</t>
        </r>
      </text>
    </comment>
    <comment ref="J6" authorId="0" shapeId="0" xr:uid="{8591089E-47E0-4D8F-B3DF-F1924D0C5585}">
      <text>
        <r>
          <rPr>
            <b/>
            <sz val="9"/>
            <color indexed="81"/>
            <rFont val="Tahoma"/>
            <family val="2"/>
          </rPr>
          <t>יניב שפירא:</t>
        </r>
        <r>
          <rPr>
            <sz val="9"/>
            <color indexed="81"/>
            <rFont val="Tahoma"/>
            <family val="2"/>
          </rPr>
          <t xml:space="preserve">
לא לערבים</t>
        </r>
      </text>
    </comment>
    <comment ref="F7" authorId="0" shapeId="0" xr:uid="{D9BE1B4E-316C-4EC1-81B6-01F197EE044F}">
      <text>
        <r>
          <rPr>
            <b/>
            <sz val="9"/>
            <color indexed="81"/>
            <rFont val="Tahoma"/>
            <family val="2"/>
          </rPr>
          <t>יניב שפירא:</t>
        </r>
        <r>
          <rPr>
            <sz val="9"/>
            <color indexed="81"/>
            <rFont val="Tahoma"/>
            <family val="2"/>
          </rPr>
          <t xml:space="preserve">
1 = חשובה מאוד
2 = די חשובה
3 = לא כ"כ חשובה
4 = כלל לא חשובה</t>
        </r>
      </text>
    </comment>
    <comment ref="A9" authorId="0" shapeId="0" xr:uid="{9757E317-7A25-4F42-9DF1-AE61AB3724AA}">
      <text>
        <r>
          <rPr>
            <b/>
            <sz val="9"/>
            <color indexed="81"/>
            <rFont val="Tahoma"/>
            <family val="2"/>
          </rPr>
          <t>יניב שפירא:</t>
        </r>
        <r>
          <rPr>
            <sz val="9"/>
            <color indexed="81"/>
            <rFont val="Tahoma"/>
            <family val="2"/>
          </rPr>
          <t xml:space="preserve">
יהודים בלבד</t>
        </r>
      </text>
    </comment>
    <comment ref="G9" authorId="0" shapeId="0" xr:uid="{23091F4D-970C-461D-9364-9918F21968BC}">
      <text>
        <r>
          <rPr>
            <b/>
            <sz val="9"/>
            <color indexed="81"/>
            <rFont val="Tahoma"/>
            <family val="2"/>
          </rPr>
          <t>יניב שפירא:</t>
        </r>
        <r>
          <rPr>
            <sz val="9"/>
            <color indexed="81"/>
            <rFont val="Tahoma"/>
            <family val="2"/>
          </rPr>
          <t xml:space="preserve">
1 = יש להעדיף בכל מקרה את השמירה על הדמוקרטיה
2 = לפעמים כך ולפעמים כך 
3 = יש להעדיף בכל מקרה את שמירת ההלכה היהודית</t>
        </r>
      </text>
    </comment>
    <comment ref="M9" authorId="0" shapeId="0" xr:uid="{3569B521-807C-4DC5-87DB-1E666792F8C7}">
      <text>
        <r>
          <rPr>
            <b/>
            <sz val="9"/>
            <color indexed="81"/>
            <rFont val="Tahoma"/>
            <charset val="177"/>
          </rPr>
          <t>יניב שפירא:</t>
        </r>
        <r>
          <rPr>
            <sz val="9"/>
            <color indexed="81"/>
            <rFont val="Tahoma"/>
            <charset val="177"/>
          </rPr>
          <t xml:space="preserve">
סולם 1-7 באשר להעדפת ההלכה היהודית
1 = אי הסכמה
7 = הסכמה</t>
        </r>
      </text>
    </comment>
    <comment ref="N9" authorId="0" shapeId="0" xr:uid="{E1E0F93E-6E87-4069-9C63-7917564BBC03}">
      <text>
        <r>
          <rPr>
            <b/>
            <sz val="9"/>
            <color indexed="81"/>
            <rFont val="Tahoma"/>
            <family val="2"/>
          </rPr>
          <t>יניב שפירא:</t>
        </r>
        <r>
          <rPr>
            <sz val="9"/>
            <color indexed="81"/>
            <rFont val="Tahoma"/>
            <family val="2"/>
          </rPr>
          <t xml:space="preserve">
סולם 1-7
1 = מתנגד מאד
7 = מסכים מאד</t>
        </r>
      </text>
    </comment>
    <comment ref="B10" authorId="1" shapeId="0" xr:uid="{2FC686C3-0732-4474-830C-868EFFAE0734}">
      <text>
        <r>
          <rPr>
            <b/>
            <sz val="9"/>
            <color indexed="81"/>
            <rFont val="Tahoma"/>
          </rPr>
          <t>adi:</t>
        </r>
        <r>
          <rPr>
            <sz val="9"/>
            <color indexed="81"/>
            <rFont val="Tahoma"/>
          </rPr>
          <t xml:space="preserve">
1 = בהחלט לא מסכים/ה
2 = לא מסכים/ה
3 = מסכים/ה
4 = בהחלט מסכים/ה</t>
        </r>
      </text>
    </comment>
    <comment ref="G10" authorId="0" shapeId="0" xr:uid="{48874A2F-82E1-4524-A40E-08C10BF28539}">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H11" authorId="0" shapeId="0" xr:uid="{7DD89BA1-453B-4D1B-B23B-6A5E99C3FF07}">
      <text>
        <r>
          <rPr>
            <b/>
            <sz val="9"/>
            <color indexed="81"/>
            <rFont val="Tahoma"/>
            <family val="2"/>
          </rPr>
          <t>יניב שפירא:</t>
        </r>
        <r>
          <rPr>
            <sz val="9"/>
            <color indexed="81"/>
            <rFont val="Tahoma"/>
            <family val="2"/>
          </rPr>
          <t xml:space="preserve">
1 = כלל לא מסכים
2 = לא מסכים
3 = מסכים
4 = מסכים מאוד</t>
        </r>
      </text>
    </comment>
    <comment ref="M12" authorId="0" shapeId="0" xr:uid="{609A333F-894C-4952-A15D-C53A00F595CE}">
      <text>
        <r>
          <rPr>
            <b/>
            <sz val="9"/>
            <color indexed="81"/>
            <rFont val="Tahoma"/>
            <charset val="177"/>
          </rPr>
          <t>יניב שפירא:</t>
        </r>
        <r>
          <rPr>
            <sz val="9"/>
            <color indexed="81"/>
            <rFont val="Tahoma"/>
            <charset val="177"/>
          </rPr>
          <t xml:space="preserve">
1-7
1 = אי הסכמה
7 = הסכמה</t>
        </r>
      </text>
    </comment>
    <comment ref="H13" authorId="0" shapeId="0" xr:uid="{CE41DE10-BC25-40D7-B43B-EA8E6EBEF95B}">
      <text>
        <r>
          <rPr>
            <b/>
            <sz val="9"/>
            <color indexed="81"/>
            <rFont val="Tahoma"/>
            <family val="2"/>
          </rPr>
          <t>יניב שפירא:</t>
        </r>
        <r>
          <rPr>
            <sz val="9"/>
            <color indexed="81"/>
            <rFont val="Tahoma"/>
            <family val="2"/>
          </rPr>
          <t xml:space="preserve">
1 = יש להעדיף בכל מקרה את העקרון של המדינה היהודית
2 = לפעמים כך ולפעמים כך
3 = יש להעדיף בכל מקרה את העקרון של מדינת כל אזרחיה</t>
        </r>
      </text>
    </comment>
    <comment ref="K14" authorId="0" shapeId="0" xr:uid="{4AD5CF5B-BFB6-4031-90A8-A40053EDA7F3}">
      <text>
        <r>
          <rPr>
            <b/>
            <sz val="9"/>
            <color indexed="81"/>
            <rFont val="Tahoma"/>
            <family val="2"/>
          </rPr>
          <t>יניב שפירא:</t>
        </r>
        <r>
          <rPr>
            <sz val="9"/>
            <color indexed="81"/>
            <rFont val="Tahoma"/>
            <family val="2"/>
          </rPr>
          <t xml:space="preserve">
סולם 1-10
1 = רחוק ביותר
10 = קרוב ביותר</t>
        </r>
      </text>
    </comment>
    <comment ref="O21" authorId="0" shapeId="0" xr:uid="{3508328E-38C6-4E8D-9C13-D9ACA281FC53}">
      <text>
        <r>
          <rPr>
            <b/>
            <sz val="9"/>
            <color indexed="81"/>
            <rFont val="Tahoma"/>
            <family val="2"/>
          </rPr>
          <t>יניב שפירא:</t>
        </r>
        <r>
          <rPr>
            <sz val="9"/>
            <color indexed="81"/>
            <rFont val="Tahoma"/>
            <family val="2"/>
          </rPr>
          <t xml:space="preserve">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r>
      </text>
    </comment>
    <comment ref="O22" authorId="0" shapeId="0" xr:uid="{AE997E0E-C0CC-45BA-88F5-7157C5CF7184}">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3" authorId="0" shapeId="0" xr:uid="{399E39CD-22D6-4ED4-A51A-C4F664ECA10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4" authorId="0" shapeId="0" xr:uid="{89A84077-7E10-45C5-AAFE-F8D8D84FF71E}">
      <text>
        <r>
          <rPr>
            <b/>
            <sz val="9"/>
            <color indexed="81"/>
            <rFont val="Tahoma"/>
            <family val="2"/>
          </rPr>
          <t>יניב שפירא:</t>
        </r>
        <r>
          <rPr>
            <sz val="9"/>
            <color indexed="81"/>
            <rFont val="Tahoma"/>
            <family val="2"/>
          </rPr>
          <t xml:space="preserve">
1 = מסכים בהחלט
2 = מסכים
3 = לא כ"כ מסכים
4 = כלל לא מסכים</t>
        </r>
      </text>
    </comment>
    <comment ref="O25" authorId="0" shapeId="0" xr:uid="{51E000F2-43C6-4310-975B-9924F4B0BAD7}">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O27" authorId="0" shapeId="0" xr:uid="{37390618-8DF3-4481-9C95-34627016CB68}">
      <text>
        <r>
          <rPr>
            <b/>
            <sz val="9"/>
            <color indexed="81"/>
            <rFont val="Tahoma"/>
            <family val="2"/>
          </rPr>
          <t>יניב שפירא:</t>
        </r>
        <r>
          <rPr>
            <sz val="9"/>
            <color indexed="81"/>
            <rFont val="Tahoma"/>
            <family val="2"/>
          </rPr>
          <t xml:space="preserve">
1 = סיכוי גבוה
2 = סיכוי נמוך</t>
        </r>
      </text>
    </comment>
    <comment ref="Q29" authorId="0" shapeId="0" xr:uid="{ED6E233B-89B9-4EDB-8E9E-F322BDCDED91}">
      <text>
        <r>
          <rPr>
            <b/>
            <sz val="9"/>
            <color indexed="81"/>
            <rFont val="Tahoma"/>
            <family val="2"/>
          </rPr>
          <t>יניב שפירא:</t>
        </r>
        <r>
          <rPr>
            <sz val="9"/>
            <color indexed="81"/>
            <rFont val="Tahoma"/>
            <family val="2"/>
          </rPr>
          <t xml:space="preserve">
1 = בעד ביטול המשחקים
2 = נגד ביטול המשחקים</t>
        </r>
      </text>
    </comment>
    <comment ref="T32" authorId="0" shapeId="0" xr:uid="{CE2E204D-E7DB-4CD8-9EB7-9DFEC61B1D45}">
      <text>
        <r>
          <rPr>
            <b/>
            <sz val="9"/>
            <color indexed="81"/>
            <rFont val="Tahoma"/>
            <family val="2"/>
          </rPr>
          <t>יניב שפירא:</t>
        </r>
        <r>
          <rPr>
            <sz val="9"/>
            <color indexed="81"/>
            <rFont val="Tahoma"/>
            <family val="2"/>
          </rPr>
          <t xml:space="preserve">
1 = בהחלט
2 = חושב שכן
3 = אין חובה שכולם יעלו
4 = כלל לא רצוי שכולם יעלו</t>
        </r>
      </text>
    </comment>
    <comment ref="T33" authorId="0" shapeId="0" xr:uid="{94BEA083-2F59-4501-8A26-04043A703F1E}">
      <text>
        <r>
          <rPr>
            <b/>
            <sz val="9"/>
            <color indexed="81"/>
            <rFont val="Tahoma"/>
            <family val="2"/>
          </rPr>
          <t>יניב שפירא:</t>
        </r>
        <r>
          <rPr>
            <sz val="9"/>
            <color indexed="81"/>
            <rFont val="Tahoma"/>
            <family val="2"/>
          </rPr>
          <t xml:space="preserve">
1 = בהחלט אין להפריד
2 = חושב שלא צריך להפריד
3 = חושב שיש להפריד
4 = בהחלט יש להפריד</t>
        </r>
      </text>
    </comment>
    <comment ref="V34" authorId="0" shapeId="0" xr:uid="{AD8C24E0-178B-427B-A896-91048D509E24}">
      <text>
        <r>
          <rPr>
            <b/>
            <sz val="9"/>
            <color indexed="81"/>
            <rFont val="Tahoma"/>
            <charset val="177"/>
          </rPr>
          <t>יניב שפירא:</t>
        </r>
        <r>
          <rPr>
            <sz val="9"/>
            <color indexed="81"/>
            <rFont val="Tahoma"/>
            <charset val="177"/>
          </rPr>
          <t xml:space="preserve">
1 = בעד יישום יתר של ההלכה
2 = בעד סטטוס-קוו
3 = בעד יתר ליברליזציה
4 = אין לי דעה בנושא</t>
        </r>
      </text>
    </comment>
    <comment ref="AG35" authorId="0" shapeId="0" xr:uid="{FDCF49F1-B6F0-4070-A897-77899E9B16C7}">
      <text>
        <r>
          <rPr>
            <b/>
            <sz val="9"/>
            <color indexed="81"/>
            <rFont val="Tahoma"/>
            <family val="2"/>
          </rPr>
          <t>יניב שפירא:</t>
        </r>
        <r>
          <rPr>
            <sz val="9"/>
            <color indexed="81"/>
            <rFont val="Tahoma"/>
            <family val="2"/>
          </rPr>
          <t xml:space="preserve">
1 = בהחלט להפריד
2 = אולי להפריד
3 = אולי לא להפריד
4 = בהחלט לא להפריד</t>
        </r>
      </text>
    </comment>
    <comment ref="AH36" authorId="0" shapeId="0" xr:uid="{34D8273A-ACB3-4D14-AA9D-5B0178A24493}">
      <text>
        <r>
          <rPr>
            <b/>
            <sz val="9"/>
            <color indexed="81"/>
            <rFont val="Tahoma"/>
            <family val="2"/>
          </rPr>
          <t>יניב שפירא:</t>
        </r>
        <r>
          <rPr>
            <sz val="9"/>
            <color indexed="81"/>
            <rFont val="Tahoma"/>
            <family val="2"/>
          </rPr>
          <t xml:space="preserve">
1 = בהחלט יש להתיר
2 = אפשר להתיר
3 = רצוי לאסור
4 = חייב לאסור
5 = אין דעה</t>
        </r>
      </text>
    </comment>
    <comment ref="AH37" authorId="0" shapeId="0" xr:uid="{A7267C14-8374-4F70-BE16-C336A450E527}">
      <text>
        <r>
          <rPr>
            <b/>
            <sz val="9"/>
            <color indexed="81"/>
            <rFont val="Tahoma"/>
            <family val="2"/>
          </rPr>
          <t>יניב שפירא:</t>
        </r>
        <r>
          <rPr>
            <sz val="9"/>
            <color indexed="81"/>
            <rFont val="Tahoma"/>
            <family val="2"/>
          </rPr>
          <t xml:space="preserve">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r>
      </text>
    </comment>
    <comment ref="AH38" authorId="0" shapeId="0" xr:uid="{4AF42478-773F-4597-AD2C-C2D2B564BFA9}">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00DEE6A6-2CA8-41F5-A0EC-033683E215C4}">
      <text>
        <r>
          <rPr>
            <b/>
            <sz val="9"/>
            <color indexed="81"/>
            <rFont val="Tahoma"/>
            <charset val="177"/>
          </rPr>
          <t>יניב שפירא:</t>
        </r>
        <r>
          <rPr>
            <sz val="9"/>
            <color indexed="81"/>
            <rFont val="Tahoma"/>
            <charset val="177"/>
          </rPr>
          <t xml:space="preserve">
post election</t>
        </r>
      </text>
    </comment>
    <comment ref="AA1" authorId="0" shapeId="0" xr:uid="{83F93655-4123-461A-A778-6F148DE16744}">
      <text>
        <r>
          <rPr>
            <b/>
            <sz val="9"/>
            <color indexed="81"/>
            <rFont val="Tahoma"/>
            <charset val="177"/>
          </rPr>
          <t>יניב שפירא:</t>
        </r>
        <r>
          <rPr>
            <sz val="9"/>
            <color indexed="81"/>
            <rFont val="Tahoma"/>
            <charset val="177"/>
          </rPr>
          <t xml:space="preserve">
post Kippur + post election</t>
        </r>
      </text>
    </comment>
    <comment ref="AB1" authorId="0" shapeId="0" xr:uid="{B604F406-00C8-470B-A53F-82CA76AEFDC0}">
      <text>
        <r>
          <rPr>
            <b/>
            <sz val="9"/>
            <color indexed="81"/>
            <rFont val="Tahoma"/>
            <charset val="177"/>
          </rPr>
          <t>יניב שפירא:</t>
        </r>
        <r>
          <rPr>
            <sz val="9"/>
            <color indexed="81"/>
            <rFont val="Tahoma"/>
            <charset val="177"/>
          </rPr>
          <t xml:space="preserve">
post Kippur</t>
        </r>
      </text>
    </comment>
    <comment ref="AC1" authorId="0" shapeId="0" xr:uid="{BA58859E-1598-4BE0-B6D6-30F0BEA6DA07}">
      <text>
        <r>
          <rPr>
            <b/>
            <sz val="9"/>
            <color indexed="81"/>
            <rFont val="Tahoma"/>
            <charset val="177"/>
          </rPr>
          <t>יניב שפירא:</t>
        </r>
        <r>
          <rPr>
            <sz val="9"/>
            <color indexed="81"/>
            <rFont val="Tahoma"/>
            <charset val="177"/>
          </rPr>
          <t xml:space="preserve">
post Kippur</t>
        </r>
      </text>
    </comment>
    <comment ref="AF1" authorId="0" shapeId="0" xr:uid="{26C8F562-265D-4562-8C76-BE0496B0FD60}">
      <text>
        <r>
          <rPr>
            <b/>
            <sz val="9"/>
            <color indexed="81"/>
            <rFont val="Tahoma"/>
            <charset val="177"/>
          </rPr>
          <t>יניב שפירא:</t>
        </r>
        <r>
          <rPr>
            <sz val="9"/>
            <color indexed="81"/>
            <rFont val="Tahoma"/>
            <charset val="177"/>
          </rPr>
          <t xml:space="preserve">
pre + post election</t>
        </r>
      </text>
    </comment>
    <comment ref="B2" authorId="1" shapeId="0" xr:uid="{F7840DF3-621A-48B0-AB73-0FD896D2BEB0}">
      <text>
        <r>
          <rPr>
            <b/>
            <sz val="9"/>
            <color indexed="81"/>
            <rFont val="Tahoma"/>
            <family val="2"/>
          </rPr>
          <t>adi:</t>
        </r>
        <r>
          <rPr>
            <sz val="9"/>
            <color indexed="81"/>
            <rFont val="Tahoma"/>
            <family val="2"/>
          </rPr>
          <t xml:space="preserve">
1 = נתניהו
2 = לפיד
3 = גנץ
4 = כולם במידה שווה
5 = אף אחד מהם</t>
        </r>
      </text>
    </comment>
    <comment ref="C2" authorId="0" shapeId="0" xr:uid="{F5656C1B-6B72-46D3-888D-063BCA472FCC}">
      <text>
        <r>
          <rPr>
            <b/>
            <sz val="9"/>
            <color indexed="81"/>
            <rFont val="Tahoma"/>
            <charset val="177"/>
          </rPr>
          <t>יניב שפירא:</t>
        </r>
        <r>
          <rPr>
            <sz val="9"/>
            <color indexed="81"/>
            <rFont val="Tahoma"/>
            <charset val="177"/>
          </rPr>
          <t xml:space="preserve">
1 = נתניהו
2 = סער
3 = לפיד
4 = בנט
5 = כולם במידה שווה
6 = אף אחד מהם</t>
        </r>
      </text>
    </comment>
    <comment ref="D2" authorId="0" shapeId="0" xr:uid="{ACAB550A-BE23-4C39-B9DC-3BF37A6A2D09}">
      <text>
        <r>
          <rPr>
            <b/>
            <sz val="9"/>
            <color indexed="81"/>
            <rFont val="Tahoma"/>
            <charset val="177"/>
          </rPr>
          <t>יניב שפירא:</t>
        </r>
        <r>
          <rPr>
            <sz val="9"/>
            <color indexed="81"/>
            <rFont val="Tahoma"/>
            <charset val="177"/>
          </rPr>
          <t xml:space="preserve">
1 = כחול לבן
2 = הליכוד
3 = שניהם במידה שווה
4 = אף אחד מהם</t>
        </r>
      </text>
    </comment>
    <comment ref="G2" authorId="0" shapeId="0" xr:uid="{CC70BD33-9AA4-4E21-9B21-4057D0F00D49}">
      <text>
        <r>
          <rPr>
            <b/>
            <sz val="9"/>
            <color indexed="81"/>
            <rFont val="Tahoma"/>
            <family val="2"/>
          </rPr>
          <t>יניב שפירא:</t>
        </r>
        <r>
          <rPr>
            <sz val="9"/>
            <color indexed="81"/>
            <rFont val="Tahoma"/>
            <family val="2"/>
          </rPr>
          <t xml:space="preserve">
1 = המחנה הציוני
2 = הליכוד
3 = שניהם במידה שווה
4 = אף אחד מהם</t>
        </r>
      </text>
    </comment>
    <comment ref="H2" authorId="0" shapeId="0" xr:uid="{049D1538-13D4-4DE7-95A1-A692FA9996F5}">
      <text>
        <r>
          <rPr>
            <b/>
            <sz val="9"/>
            <color indexed="81"/>
            <rFont val="Tahoma"/>
            <family val="2"/>
          </rPr>
          <t>יניב שפירא:</t>
        </r>
        <r>
          <rPr>
            <sz val="9"/>
            <color indexed="81"/>
            <rFont val="Tahoma"/>
            <family val="2"/>
          </rPr>
          <t xml:space="preserve">
1 = ציפי לבני
2 = בנימין נתניהו
3 = שלי יחימוביץ</t>
        </r>
      </text>
    </comment>
    <comment ref="I2" authorId="0" shapeId="0" xr:uid="{5A19A090-9D67-4E5F-B3B7-184B7905A381}">
      <text>
        <r>
          <rPr>
            <b/>
            <sz val="9"/>
            <color indexed="81"/>
            <rFont val="Tahoma"/>
            <family val="2"/>
          </rPr>
          <t>יניב שפירא:</t>
        </r>
        <r>
          <rPr>
            <sz val="9"/>
            <color indexed="81"/>
            <rFont val="Tahoma"/>
            <family val="2"/>
          </rPr>
          <t xml:space="preserve">
1 = ציפי לבני
2 = בנימין נתניהו
3 = אהוד ברק</t>
        </r>
      </text>
    </comment>
    <comment ref="J2" authorId="0" shapeId="0" xr:uid="{B7890472-A3C6-4C5C-AEA0-B2237CE3FB24}">
      <text>
        <r>
          <rPr>
            <b/>
            <sz val="9"/>
            <color indexed="81"/>
            <rFont val="Tahoma"/>
            <charset val="177"/>
          </rPr>
          <t>יניב שפירא:</t>
        </r>
        <r>
          <rPr>
            <sz val="9"/>
            <color indexed="81"/>
            <rFont val="Tahoma"/>
            <charset val="177"/>
          </rPr>
          <t xml:space="preserve">
1 = קדימה
2 = הליכוד
3 = העבודה
4 = כולם במידה שווה
5 = אף אחד מהם</t>
        </r>
      </text>
    </comment>
    <comment ref="K2" authorId="0" shapeId="0" xr:uid="{41614503-B562-4FF8-B355-596889AB36EC}">
      <text>
        <r>
          <rPr>
            <b/>
            <sz val="9"/>
            <color indexed="81"/>
            <rFont val="Tahoma"/>
            <family val="2"/>
          </rPr>
          <t>יניב שפירא:</t>
        </r>
        <r>
          <rPr>
            <sz val="9"/>
            <color indexed="81"/>
            <rFont val="Tahoma"/>
            <family val="2"/>
          </rPr>
          <t xml:space="preserve">
1 = הליכוד
2 = העבודה
3 = שניהם במידה שווה
4 = אף אחד מהם</t>
        </r>
      </text>
    </comment>
    <comment ref="L2" authorId="0" shapeId="0" xr:uid="{21AE267C-2EEF-479C-ABA7-D89D4109439F}">
      <text>
        <r>
          <rPr>
            <b/>
            <sz val="9"/>
            <color indexed="81"/>
            <rFont val="Tahoma"/>
            <family val="2"/>
          </rPr>
          <t>יניב שפירא:</t>
        </r>
        <r>
          <rPr>
            <sz val="9"/>
            <color indexed="81"/>
            <rFont val="Tahoma"/>
            <family val="2"/>
          </rPr>
          <t xml:space="preserve">
1 = שרון
2 = ברק
3 = שניהם במידה שווה
4 = אף אחד מהם</t>
        </r>
      </text>
    </comment>
    <comment ref="M2" authorId="0" shapeId="0" xr:uid="{7D00CB23-9863-434F-BED4-9671E57011F7}">
      <text>
        <r>
          <rPr>
            <b/>
            <sz val="9"/>
            <color indexed="81"/>
            <rFont val="Tahoma"/>
            <family val="2"/>
          </rPr>
          <t>יניב שפירא:</t>
        </r>
        <r>
          <rPr>
            <sz val="9"/>
            <color indexed="81"/>
            <rFont val="Tahoma"/>
            <family val="2"/>
          </rPr>
          <t xml:space="preserve">
1 = נתניהו
2 = ברק
3 = מרדכי
4 = במידה שווה
5 = אף אחד מהם</t>
        </r>
      </text>
    </comment>
    <comment ref="N2" authorId="0" shapeId="0" xr:uid="{7E79CA5F-71C3-4482-A187-EE90341D410F}">
      <text>
        <r>
          <rPr>
            <b/>
            <sz val="9"/>
            <color indexed="81"/>
            <rFont val="Tahoma"/>
            <family val="2"/>
          </rPr>
          <t>יניב שפירא:</t>
        </r>
        <r>
          <rPr>
            <sz val="9"/>
            <color indexed="81"/>
            <rFont val="Tahoma"/>
            <family val="2"/>
          </rPr>
          <t xml:space="preserve">
1 = העבודה
2 = הליכוד
3 = במידה שווה
4 = אף אחד מהם</t>
        </r>
      </text>
    </comment>
    <comment ref="T2" authorId="0" shapeId="0" xr:uid="{E6DA035F-48F8-4BEB-815A-F07D08CF27F1}">
      <text>
        <r>
          <rPr>
            <b/>
            <sz val="9"/>
            <color indexed="81"/>
            <rFont val="Tahoma"/>
            <charset val="177"/>
          </rPr>
          <t>יניב שפירא:</t>
        </r>
        <r>
          <rPr>
            <sz val="9"/>
            <color indexed="81"/>
            <rFont val="Tahoma"/>
            <charset val="177"/>
          </rPr>
          <t xml:space="preserve">
1 = חיים בר לב (מערך)
2 = אריק שרון (ליכוד)</t>
        </r>
      </text>
    </comment>
    <comment ref="W4" authorId="0" shapeId="0" xr:uid="{E216D6FF-EFB2-4AE6-B8F2-441E7BD17FEB}">
      <text>
        <r>
          <rPr>
            <b/>
            <sz val="9"/>
            <color indexed="81"/>
            <rFont val="Tahoma"/>
            <charset val="177"/>
          </rPr>
          <t>יניב שפירא:</t>
        </r>
        <r>
          <rPr>
            <sz val="9"/>
            <color indexed="81"/>
            <rFont val="Tahoma"/>
            <charset val="177"/>
          </rPr>
          <t xml:space="preserve">
1 = למערך
2 = לליכוד
3 = לשמאל</t>
        </r>
      </text>
    </comment>
    <comment ref="AB4" authorId="0" shapeId="0" xr:uid="{3CA6BBE4-14D6-4EA6-8061-F05693814F43}">
      <text>
        <r>
          <rPr>
            <b/>
            <sz val="9"/>
            <color indexed="81"/>
            <rFont val="Tahoma"/>
            <charset val="177"/>
          </rPr>
          <t>יניב שפירא:</t>
        </r>
        <r>
          <rPr>
            <sz val="9"/>
            <color indexed="81"/>
            <rFont val="Tahoma"/>
            <charset val="177"/>
          </rPr>
          <t xml:space="preserve">
1 = המערך
2 = הליכוד
3 = לשמאל</t>
        </r>
      </text>
    </comment>
    <comment ref="F6" authorId="0" shapeId="0" xr:uid="{E54E6133-6DA3-4308-B076-05F44D814B04}">
      <text>
        <r>
          <rPr>
            <b/>
            <sz val="9"/>
            <color indexed="81"/>
            <rFont val="Tahoma"/>
            <family val="2"/>
          </rPr>
          <t>יניב שפירא:</t>
        </r>
        <r>
          <rPr>
            <sz val="9"/>
            <color indexed="81"/>
            <rFont val="Tahoma"/>
            <family val="2"/>
          </rPr>
          <t xml:space="preserve">
1 = השתפר בהרבה
2 = השתפר במקצת
3 = לא השתנה
4 = קצת גרוע יותר
5 = הרבה יותר גרוע</t>
        </r>
      </text>
    </comment>
    <comment ref="F7" authorId="0" shapeId="0" xr:uid="{6002FA53-847E-4ACE-9375-B8DAB4B49712}">
      <text>
        <r>
          <rPr>
            <b/>
            <sz val="9"/>
            <color indexed="81"/>
            <rFont val="Tahoma"/>
            <family val="2"/>
          </rPr>
          <t>יניב שפירא:</t>
        </r>
        <r>
          <rPr>
            <sz val="9"/>
            <color indexed="81"/>
            <rFont val="Tahoma"/>
            <family val="2"/>
          </rPr>
          <t xml:space="preserve">
1 = מודאג מאד
2 = מודאג
3 = לא מודאג
4 = בכלל לא מודאג</t>
        </r>
      </text>
    </comment>
    <comment ref="I7" authorId="0" shapeId="0" xr:uid="{35A171E3-5F1C-4A4E-A111-566248E9F6A0}">
      <text>
        <r>
          <rPr>
            <b/>
            <sz val="9"/>
            <color indexed="81"/>
            <rFont val="Tahoma"/>
            <family val="2"/>
          </rPr>
          <t>יניב שפירא:</t>
        </r>
        <r>
          <rPr>
            <sz val="9"/>
            <color indexed="81"/>
            <rFont val="Tahoma"/>
            <family val="2"/>
          </rPr>
          <t xml:space="preserve">
הניסוח כאן:
"להיפגע בידי ערבים"</t>
        </r>
      </text>
    </comment>
    <comment ref="L7" authorId="0" shapeId="0" xr:uid="{A382DD21-A3C8-4550-A049-65DF6C73AA06}">
      <text>
        <r>
          <rPr>
            <b/>
            <sz val="9"/>
            <color indexed="81"/>
            <rFont val="Tahoma"/>
            <family val="2"/>
          </rPr>
          <t>יניב שפירא:</t>
        </r>
        <r>
          <rPr>
            <sz val="9"/>
            <color indexed="81"/>
            <rFont val="Tahoma"/>
            <family val="2"/>
          </rPr>
          <t xml:space="preserve">
1 = בכלל לא מודאג
2 = לא מודאג
3 = מודאג
4 = מודאג מאד</t>
        </r>
      </text>
    </comment>
    <comment ref="M7" authorId="0" shapeId="0" xr:uid="{12F70A26-CC52-49DF-ACAC-792746E62832}">
      <text>
        <r>
          <rPr>
            <b/>
            <sz val="9"/>
            <color indexed="81"/>
            <rFont val="Tahoma"/>
            <charset val="177"/>
          </rPr>
          <t>יניב שפירא:</t>
        </r>
        <r>
          <rPr>
            <sz val="9"/>
            <color indexed="81"/>
            <rFont val="Tahoma"/>
            <charset val="177"/>
          </rPr>
          <t xml:space="preserve">
1 = מודאג מאד
2 = מודאג
3 = לא מודאג
4 = בכלל לא מודאג</t>
        </r>
      </text>
    </comment>
    <comment ref="G8" authorId="0" shapeId="0" xr:uid="{D48CA24D-55DD-43D1-9B40-BE51CDD49046}">
      <text>
        <r>
          <rPr>
            <b/>
            <sz val="9"/>
            <color indexed="81"/>
            <rFont val="Tahoma"/>
            <family val="2"/>
          </rPr>
          <t>יניב שפירא:</t>
        </r>
        <r>
          <rPr>
            <sz val="9"/>
            <color indexed="81"/>
            <rFont val="Tahoma"/>
            <family val="2"/>
          </rPr>
          <t xml:space="preserve">
1 = מודאג מאוד
2 = מודאג
3 = לא מודאג
4 = בכלל לא מודאג</t>
        </r>
      </text>
    </comment>
    <comment ref="G9" authorId="0" shapeId="0" xr:uid="{5FE46F14-1437-494F-A5F1-87AD6B8D1EA0}">
      <text>
        <r>
          <rPr>
            <b/>
            <sz val="9"/>
            <color indexed="81"/>
            <rFont val="Tahoma"/>
            <family val="2"/>
          </rPr>
          <t>יניב שפירא:</t>
        </r>
        <r>
          <rPr>
            <sz val="9"/>
            <color indexed="81"/>
            <rFont val="Tahoma"/>
            <family val="2"/>
          </rPr>
          <t xml:space="preserve">
1 = יש להעדיף בכל מקרה את השמירה על שלטון החוק
2 = לפעמים כך ולפעמים כך
3 = יש להעדיף בכל מקרה את האינטרס הביטחוני</t>
        </r>
      </text>
    </comment>
    <comment ref="N9" authorId="0" shapeId="0" xr:uid="{8B57AFC2-FA7F-4AF1-BC8D-831087F0534D}">
      <text>
        <r>
          <rPr>
            <b/>
            <sz val="9"/>
            <color indexed="81"/>
            <rFont val="Tahoma"/>
            <family val="2"/>
          </rPr>
          <t>יניב שפירא:</t>
        </r>
        <r>
          <rPr>
            <sz val="9"/>
            <color indexed="81"/>
            <rFont val="Tahoma"/>
            <family val="2"/>
          </rPr>
          <t xml:space="preserve">
סולם 1-7
1 = יש להעדיף בכל מקרה את האינטרסם הבטחוני
7 = יש להעדיף בכל מקרה את שלטון החוק</t>
        </r>
      </text>
    </comment>
    <comment ref="P10" authorId="0" shapeId="0" xr:uid="{396DA569-F465-4E80-A988-73FCD8BACB61}">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P11" authorId="0" shapeId="0" xr:uid="{7A0114CD-715E-4A6A-8B35-9A903A39BA49}">
      <text>
        <r>
          <rPr>
            <b/>
            <sz val="9"/>
            <color indexed="81"/>
            <rFont val="Tahoma"/>
            <charset val="177"/>
          </rPr>
          <t>יניב שפירא:</t>
        </r>
        <r>
          <rPr>
            <sz val="9"/>
            <color indexed="81"/>
            <rFont val="Tahoma"/>
            <charset val="177"/>
          </rPr>
          <t xml:space="preserve">
1 = תמיד מעדיפה שיקולים בטחוניים
2 = בדר"כ מעדיפה שיקולים בטחוניים
3 = בדר"כ מעדיפה שלטון החוק
4 = תמיד מעדיפה שלטון החוק</t>
        </r>
      </text>
    </comment>
    <comment ref="G12" authorId="0" shapeId="0" xr:uid="{199136BC-04D1-4793-8C04-8DE7E626D9F9}">
      <text>
        <r>
          <rPr>
            <b/>
            <sz val="9"/>
            <color indexed="81"/>
            <rFont val="Tahoma"/>
            <family val="2"/>
          </rPr>
          <t>יניב שפירא:</t>
        </r>
        <r>
          <rPr>
            <sz val="9"/>
            <color indexed="81"/>
            <rFont val="Tahoma"/>
            <family val="2"/>
          </rPr>
          <t xml:space="preserve">
1 = מאוד מוצלח
2 = די מוצלח
3 = לא כ"כ מוצלח
4 = כלל לא מוצלח
</t>
        </r>
      </text>
    </comment>
    <comment ref="I13" authorId="0" shapeId="0" xr:uid="{4D44A0D9-9BB7-4B22-AD1C-95DF2F952983}">
      <text>
        <r>
          <rPr>
            <b/>
            <sz val="9"/>
            <color indexed="81"/>
            <rFont val="Tahoma"/>
            <family val="2"/>
          </rPr>
          <t>יניב שפירא:</t>
        </r>
        <r>
          <rPr>
            <sz val="9"/>
            <color indexed="81"/>
            <rFont val="Tahoma"/>
            <family val="2"/>
          </rPr>
          <t xml:space="preserve">
1 = מאוד מוצלח
2 = די מוצלח
3 = לא כ"כ מוצלח
4 = כלל לא מוצלח</t>
        </r>
      </text>
    </comment>
    <comment ref="I14" authorId="0" shapeId="0" xr:uid="{B7439218-A0E1-4AA1-AD3C-83F1A32352C0}">
      <text>
        <r>
          <rPr>
            <b/>
            <sz val="9"/>
            <color indexed="81"/>
            <rFont val="Tahoma"/>
            <family val="2"/>
          </rPr>
          <t>יניב שפירא:</t>
        </r>
        <r>
          <rPr>
            <sz val="9"/>
            <color indexed="81"/>
            <rFont val="Tahoma"/>
            <family val="2"/>
          </rPr>
          <t xml:space="preserve">
1 = לכבוש את כל רצועת עזה מחדש ולהשאר שם
2 = לעשות מבצעים חד פעמיים נגד הירי בלי להשאר שם
3 = לפעול בעיקר בצעדים מדיניים ולא בכוח צבאי</t>
        </r>
      </text>
    </comment>
    <comment ref="G15" authorId="0" shapeId="0" xr:uid="{368D64BF-0109-4013-8FC4-2ED92A237BA8}">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G16" authorId="0" shapeId="0" xr:uid="{7CC7361D-EAF3-4629-B34F-183183E54D2B}">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G17" authorId="0" shapeId="0" xr:uid="{7EB64670-9996-485B-8CE4-B0960FD76134}">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H18" authorId="0" shapeId="0" xr:uid="{92A7A7A3-17B1-4FA7-A88A-1A66CEF227CD}">
      <text>
        <r>
          <rPr>
            <b/>
            <sz val="9"/>
            <color indexed="81"/>
            <rFont val="Tahoma"/>
            <family val="2"/>
          </rPr>
          <t>יניב שפירא:</t>
        </r>
        <r>
          <rPr>
            <sz val="9"/>
            <color indexed="81"/>
            <rFont val="Tahoma"/>
            <family val="2"/>
          </rPr>
          <t xml:space="preserve">
1 = בהחלט לא מסכים
2 = לא מסכים
3 = מסגים
4 = מסכים בהחלט</t>
        </r>
      </text>
    </comment>
    <comment ref="I19" authorId="0" shapeId="0" xr:uid="{209E41CD-BB22-4146-AE85-545DD5DAB168}">
      <text>
        <r>
          <rPr>
            <b/>
            <sz val="9"/>
            <color indexed="81"/>
            <rFont val="Tahoma"/>
            <family val="2"/>
          </rPr>
          <t>יניב שפירא:</t>
        </r>
        <r>
          <rPr>
            <sz val="9"/>
            <color indexed="81"/>
            <rFont val="Tahoma"/>
            <family val="2"/>
          </rPr>
          <t xml:space="preserve">
סולם 1-9
1 = גרוע ביותר
9 = טוב ביותר</t>
        </r>
      </text>
    </comment>
    <comment ref="T19" authorId="0" shapeId="0" xr:uid="{BE75DF9F-2D7B-4C38-9BE0-26459F5DA877}">
      <text>
        <r>
          <rPr>
            <b/>
            <sz val="9"/>
            <color indexed="81"/>
            <rFont val="Tahoma"/>
            <family val="2"/>
          </rPr>
          <t>יניב שפירא:</t>
        </r>
        <r>
          <rPr>
            <sz val="9"/>
            <color indexed="81"/>
            <rFont val="Tahoma"/>
            <family val="2"/>
          </rPr>
          <t xml:space="preserve">
ארבע שנים ולא חמש
סולם 1-10
1 = הטוב ביותר
10 = הגרוע ביותר</t>
        </r>
      </text>
    </comment>
    <comment ref="V19" authorId="0" shapeId="0" xr:uid="{D77B390C-4B5D-43B6-9572-4F4FE4545CB1}">
      <text>
        <r>
          <rPr>
            <b/>
            <sz val="9"/>
            <color indexed="81"/>
            <rFont val="Tahoma"/>
            <charset val="177"/>
          </rPr>
          <t>יניב שפירא:</t>
        </r>
        <r>
          <rPr>
            <sz val="9"/>
            <color indexed="81"/>
            <rFont val="Tahoma"/>
            <charset val="177"/>
          </rPr>
          <t xml:space="preserve">
ארבע שנים ולא חמש
סולם 1-10
1 = הטוב ביותר
10 = הגרוע ביותר</t>
        </r>
      </text>
    </comment>
    <comment ref="AH19" authorId="0" shapeId="0" xr:uid="{FE2FCB99-C721-4877-AF25-1E15793D1269}">
      <text>
        <r>
          <rPr>
            <b/>
            <sz val="9"/>
            <color indexed="81"/>
            <rFont val="Tahoma"/>
            <family val="2"/>
          </rPr>
          <t>יניב שפירא:</t>
        </r>
        <r>
          <rPr>
            <sz val="9"/>
            <color indexed="81"/>
            <rFont val="Tahoma"/>
            <family val="2"/>
          </rPr>
          <t xml:space="preserve">
סולם 0-10
0 = הגרוע ביותר
10 = הטוב ביותר</t>
        </r>
      </text>
    </comment>
    <comment ref="I20" authorId="0" shapeId="0" xr:uid="{D810AC0A-8497-4971-849D-7A0180DB2978}">
      <text>
        <r>
          <rPr>
            <b/>
            <sz val="9"/>
            <color indexed="81"/>
            <rFont val="Tahoma"/>
            <family val="2"/>
          </rPr>
          <t>יניב שפירא:</t>
        </r>
        <r>
          <rPr>
            <sz val="9"/>
            <color indexed="81"/>
            <rFont val="Tahoma"/>
            <family val="2"/>
          </rPr>
          <t xml:space="preserve">
סולם 1-9
1 = גרוע ביותר
9 = טוב ביותר</t>
        </r>
      </text>
    </comment>
    <comment ref="T22" authorId="0" shapeId="0" xr:uid="{DC8C3010-B39F-4C54-8385-68577251DD7B}">
      <text>
        <r>
          <rPr>
            <b/>
            <sz val="9"/>
            <color indexed="81"/>
            <rFont val="Tahoma"/>
            <family val="2"/>
          </rPr>
          <t>יניב שפירא:</t>
        </r>
        <r>
          <rPr>
            <sz val="9"/>
            <color indexed="81"/>
            <rFont val="Tahoma"/>
            <family val="2"/>
          </rPr>
          <t xml:space="preserve">
סולם 1-10
1 = טוב ביותר
10 = גרוע ביותר</t>
        </r>
      </text>
    </comment>
    <comment ref="O25" authorId="0" shapeId="0" xr:uid="{1FB3368E-CCD5-47AB-9F57-78B257959910}">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G27" authorId="0" shapeId="0" xr:uid="{3FB8A183-DF7D-448B-B456-773103C10EAA}">
      <text>
        <r>
          <rPr>
            <b/>
            <sz val="9"/>
            <color indexed="81"/>
            <rFont val="Tahoma"/>
            <charset val="177"/>
          </rPr>
          <t>יניב שפירא:</t>
        </r>
        <r>
          <rPr>
            <sz val="9"/>
            <color indexed="81"/>
            <rFont val="Tahoma"/>
            <charset val="177"/>
          </rPr>
          <t xml:space="preserve">
מלחמה עם סוריה</t>
        </r>
      </text>
    </comment>
    <comment ref="I27" authorId="0" shapeId="0" xr:uid="{D67060F6-3C32-4C13-BB4E-3511E50D0BC3}">
      <text>
        <r>
          <rPr>
            <b/>
            <sz val="9"/>
            <color indexed="81"/>
            <rFont val="Tahoma"/>
            <charset val="177"/>
          </rPr>
          <t>יניב שפירא:</t>
        </r>
        <r>
          <rPr>
            <sz val="9"/>
            <color indexed="81"/>
            <rFont val="Tahoma"/>
            <charset val="177"/>
          </rPr>
          <t xml:space="preserve">
מלחמה עם חיזבאללה</t>
        </r>
      </text>
    </comment>
    <comment ref="O27" authorId="0" shapeId="0" xr:uid="{CA824B3C-5377-4F95-9350-9877E1D57830}">
      <text>
        <r>
          <rPr>
            <b/>
            <sz val="9"/>
            <color indexed="81"/>
            <rFont val="Tahoma"/>
            <family val="2"/>
          </rPr>
          <t>יניב שפירא:</t>
        </r>
        <r>
          <rPr>
            <sz val="9"/>
            <color indexed="81"/>
            <rFont val="Tahoma"/>
            <family val="2"/>
          </rPr>
          <t xml:space="preserve">
הניסוח הוא:
"מלחמה עם הערבים"
1 = במידה רבה
2 = במידה מסוימת
3 = במידה קטנה
4 = כלל לא</t>
        </r>
      </text>
    </comment>
    <comment ref="L28" authorId="0" shapeId="0" xr:uid="{22016343-95D3-4870-A494-06D46049984E}">
      <text>
        <r>
          <rPr>
            <b/>
            <sz val="9"/>
            <color indexed="81"/>
            <rFont val="Tahoma"/>
            <charset val="177"/>
          </rPr>
          <t>יניב שפירא:</t>
        </r>
        <r>
          <rPr>
            <sz val="9"/>
            <color indexed="81"/>
            <rFont val="Tahoma"/>
            <charset val="177"/>
          </rPr>
          <t xml:space="preserve">
1 = הרבה יותר גרוע
2 = יותר גרוע
3 = לא השתנה
4 = יותר טוב
5 = הרבה יותר טוב</t>
        </r>
      </text>
    </comment>
    <comment ref="M28" authorId="0" shapeId="0" xr:uid="{00A69881-96C7-49C6-BCC5-EFA1D5E3A440}">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M29" authorId="0" shapeId="0" xr:uid="{627551C3-0E3A-4EE1-BE0B-068FC565C83D}">
      <text>
        <r>
          <rPr>
            <b/>
            <sz val="9"/>
            <color indexed="81"/>
            <rFont val="Tahoma"/>
            <charset val="177"/>
          </rPr>
          <t>יניב שפירא:</t>
        </r>
        <r>
          <rPr>
            <sz val="9"/>
            <color indexed="81"/>
            <rFont val="Tahoma"/>
            <charset val="177"/>
          </rPr>
          <t xml:space="preserve">
1 = הרבה יותר טוב
2 = יותר טוב
3 = יותר גרוע
4 = הרבה יותר גרוע</t>
        </r>
      </text>
    </comment>
    <comment ref="M30" authorId="0" shapeId="0" xr:uid="{77AEAB1C-C2EE-460C-BD33-EB954CF7E0ED}">
      <text>
        <r>
          <rPr>
            <b/>
            <sz val="9"/>
            <color indexed="81"/>
            <rFont val="Tahoma"/>
            <charset val="177"/>
          </rPr>
          <t>יניב שפירא:</t>
        </r>
        <r>
          <rPr>
            <sz val="9"/>
            <color indexed="81"/>
            <rFont val="Tahoma"/>
            <charset val="177"/>
          </rPr>
          <t xml:space="preserve">
1 = גדלה בהרבה
2 = גדלה
3 = קטנה
4 = קטנה בהרבה</t>
        </r>
      </text>
    </comment>
    <comment ref="M31" authorId="0" shapeId="0" xr:uid="{970E06FC-0E7B-457D-A9FE-4AFF49015B38}">
      <text>
        <r>
          <rPr>
            <b/>
            <sz val="9"/>
            <color indexed="81"/>
            <rFont val="Tahoma"/>
            <charset val="177"/>
          </rPr>
          <t>יניב שפירא:</t>
        </r>
        <r>
          <rPr>
            <sz val="9"/>
            <color indexed="81"/>
            <rFont val="Tahoma"/>
            <charset val="177"/>
          </rPr>
          <t xml:space="preserve">
1 = גדלה בהרבה
2 = גדלה
3 = קטנה
4 = קטנה בהרבה</t>
        </r>
      </text>
    </comment>
    <comment ref="N32" authorId="0" shapeId="0" xr:uid="{59203983-FBBA-494B-B589-806C21B07EAB}">
      <text>
        <r>
          <rPr>
            <b/>
            <sz val="9"/>
            <color indexed="81"/>
            <rFont val="Tahoma"/>
            <family val="2"/>
          </rPr>
          <t>יניב שפירא:</t>
        </r>
        <r>
          <rPr>
            <sz val="9"/>
            <color indexed="81"/>
            <rFont val="Tahoma"/>
            <family val="2"/>
          </rPr>
          <t xml:space="preserve">
1 = תורם מאד
2 = תורם
3 = פוגע
4 = פוגע מאד</t>
        </r>
      </text>
    </comment>
    <comment ref="O33" authorId="0" shapeId="0" xr:uid="{BEA6CA7A-6404-4A2B-B860-D6C7871761D8}">
      <text>
        <r>
          <rPr>
            <b/>
            <sz val="9"/>
            <color indexed="81"/>
            <rFont val="Tahoma"/>
            <family val="2"/>
          </rPr>
          <t>יניב שפירא:</t>
        </r>
        <r>
          <rPr>
            <sz val="9"/>
            <color indexed="81"/>
            <rFont val="Tahoma"/>
            <family val="2"/>
          </rPr>
          <t xml:space="preserve">
1 = קשה מדי
2 = מתאימה
3 = רכה מדי</t>
        </r>
      </text>
    </comment>
    <comment ref="AF34" authorId="0" shapeId="0" xr:uid="{F49B40F0-DBEA-477D-8126-1AEED3C02F33}">
      <text>
        <r>
          <rPr>
            <b/>
            <sz val="9"/>
            <color indexed="81"/>
            <rFont val="Tahoma"/>
            <family val="2"/>
          </rPr>
          <t>יניב שפירא:</t>
        </r>
        <r>
          <rPr>
            <sz val="9"/>
            <color indexed="81"/>
            <rFont val="Tahoma"/>
            <family val="2"/>
          </rPr>
          <t xml:space="preserve">
1 = תומך מאוד
2 = תומך במידה ניכרת
3 = לא כ"כ תומך
4 = לא תומך כלל</t>
        </r>
      </text>
    </comment>
    <comment ref="O35" authorId="0" shapeId="0" xr:uid="{E0F66695-7DB2-443C-9C71-2C549E5DE53E}">
      <text>
        <r>
          <rPr>
            <b/>
            <sz val="9"/>
            <color indexed="81"/>
            <rFont val="Tahoma"/>
            <family val="2"/>
          </rPr>
          <t>יניב שפירא:</t>
        </r>
        <r>
          <rPr>
            <sz val="9"/>
            <color indexed="81"/>
            <rFont val="Tahoma"/>
            <family val="2"/>
          </rPr>
          <t xml:space="preserve">
1 = אין כמעט סיכוי למלחמה
2 = סיכוי נמוך מאד
3 = סיכוי נמוך
4 = סיכוי בינוני
5 = סיכוי גבוה
6 = סיכוי גבוה מאוד
7 = כמעט ודאות מלאה</t>
        </r>
      </text>
    </comment>
    <comment ref="O40" authorId="0" shapeId="0" xr:uid="{28F36CA0-2645-4BB6-8C36-3D2195978687}">
      <text>
        <r>
          <rPr>
            <b/>
            <sz val="9"/>
            <color indexed="81"/>
            <rFont val="Tahoma"/>
            <family val="2"/>
          </rPr>
          <t>יניב שפירא:</t>
        </r>
        <r>
          <rPr>
            <sz val="9"/>
            <color indexed="81"/>
            <rFont val="Tahoma"/>
            <family val="2"/>
          </rPr>
          <t xml:space="preserve">
1 = תוכל להתמודד
2 = לא תוכל להתמודד</t>
        </r>
      </text>
    </comment>
    <comment ref="O50" authorId="0" shapeId="0" xr:uid="{16BFFBA5-3893-48B5-A488-E7F9AAC2BCEF}">
      <text>
        <r>
          <rPr>
            <b/>
            <sz val="9"/>
            <color indexed="81"/>
            <rFont val="Tahoma"/>
            <family val="2"/>
          </rPr>
          <t>יניב שפירא:</t>
        </r>
        <r>
          <rPr>
            <sz val="9"/>
            <color indexed="81"/>
            <rFont val="Tahoma"/>
            <family val="2"/>
          </rPr>
          <t xml:space="preserve">
סולם 1-7
1 = השפעה רעה
7 = השפעה טובה </t>
        </r>
      </text>
    </comment>
    <comment ref="P51" authorId="0" shapeId="0" xr:uid="{3D9D4AEB-DA1B-475D-81E0-6FD4184D997E}">
      <text>
        <r>
          <rPr>
            <b/>
            <sz val="9"/>
            <color indexed="81"/>
            <rFont val="Tahoma"/>
            <family val="2"/>
          </rPr>
          <t>יניב שפירא:</t>
        </r>
        <r>
          <rPr>
            <sz val="9"/>
            <color indexed="81"/>
            <rFont val="Tahoma"/>
            <family val="2"/>
          </rPr>
          <t xml:space="preserve">
סולם 1-7
1 = תורמת לבטחון
7 = פוגעת בבטחון</t>
        </r>
      </text>
    </comment>
    <comment ref="P52" authorId="0" shapeId="0" xr:uid="{C417E01C-A5AA-4AF2-92F0-44884655D489}">
      <text>
        <r>
          <rPr>
            <b/>
            <sz val="9"/>
            <color indexed="81"/>
            <rFont val="Tahoma"/>
            <family val="2"/>
          </rPr>
          <t>יניב שפירא:</t>
        </r>
        <r>
          <rPr>
            <sz val="9"/>
            <color indexed="81"/>
            <rFont val="Tahoma"/>
            <family val="2"/>
          </rPr>
          <t xml:space="preserve">
1 = אלופי צה"ל בסדיר
2 = אלופי צה"ל במיל'
3 = פרופ' למדע המדינה
4 = מנהיגי הליכוד
5 = מנהיגי המערך
6 = הרבנים
7 = דעת הציבור</t>
        </r>
      </text>
    </comment>
    <comment ref="P53" authorId="0" shapeId="0" xr:uid="{9AFE0CF6-6B99-402C-A701-003C79B0B3E3}">
      <text>
        <r>
          <rPr>
            <b/>
            <sz val="9"/>
            <color indexed="81"/>
            <rFont val="Tahoma"/>
            <charset val="177"/>
          </rPr>
          <t>יניב שפירא:</t>
        </r>
        <r>
          <rPr>
            <sz val="9"/>
            <color indexed="81"/>
            <rFont val="Tahoma"/>
            <charset val="177"/>
          </rPr>
          <t xml:space="preserve">
1 = אפשר לחסל את הטרור
2 = אפשר להקטין את היקפו אך לא לחסלו
3 = לפעילות צבאית אין השפעה על היקף הטרור
4 = פעילות צבאית רק תגרום להחרפת הפיגועים נגדנו</t>
        </r>
      </text>
    </comment>
    <comment ref="P54" authorId="0" shapeId="0" xr:uid="{43FCAC60-0901-4982-B5C3-C05AB0497C3B}">
      <text>
        <r>
          <rPr>
            <b/>
            <sz val="9"/>
            <color indexed="81"/>
            <rFont val="Tahoma"/>
            <charset val="177"/>
          </rPr>
          <t>יניב שפירא:</t>
        </r>
        <r>
          <rPr>
            <sz val="9"/>
            <color indexed="81"/>
            <rFont val="Tahoma"/>
            <charset val="177"/>
          </rPr>
          <t xml:space="preserve">
1 = מלחמה יזומה על ידנו לפגיעה במחבלים בבסיסיהם
2 = מלחמה בעלת אופי הגנתי, פעולות מניעה
3 = מלחמה בעלת אופי תגובתי - יציאה לפעולות תגמול בעקבות פיגועים</t>
        </r>
      </text>
    </comment>
    <comment ref="P55" authorId="0" shapeId="0" xr:uid="{CD3DFE58-DE39-4BF8-BFB0-B43CCD55C4A7}">
      <text>
        <r>
          <rPr>
            <b/>
            <sz val="9"/>
            <color indexed="81"/>
            <rFont val="Tahoma"/>
            <charset val="177"/>
          </rPr>
          <t>יניב שפירא:</t>
        </r>
        <r>
          <rPr>
            <sz val="9"/>
            <color indexed="81"/>
            <rFont val="Tahoma"/>
            <charset val="177"/>
          </rPr>
          <t xml:space="preserve">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r>
      </text>
    </comment>
    <comment ref="P56" authorId="0" shapeId="0" xr:uid="{DC7B27F0-0DB9-45CC-8C63-35C0D1B690EF}">
      <text>
        <r>
          <rPr>
            <b/>
            <sz val="9"/>
            <color indexed="81"/>
            <rFont val="Tahoma"/>
            <charset val="177"/>
          </rPr>
          <t>יניב שפירא:</t>
        </r>
        <r>
          <rPr>
            <sz val="9"/>
            <color indexed="81"/>
            <rFont val="Tahoma"/>
            <charset val="177"/>
          </rPr>
          <t xml:space="preserve">
1 = כדאי
2 = לא כדאי</t>
        </r>
      </text>
    </comment>
    <comment ref="P57" authorId="0" shapeId="0" xr:uid="{724F670D-EA02-49B4-84B3-91BC1ABAF444}">
      <text>
        <r>
          <rPr>
            <b/>
            <sz val="9"/>
            <color indexed="81"/>
            <rFont val="Tahoma"/>
            <family val="2"/>
          </rPr>
          <t>יניב שפירא:</t>
        </r>
        <r>
          <rPr>
            <sz val="9"/>
            <color indexed="81"/>
            <rFont val="Tahoma"/>
            <family val="2"/>
          </rPr>
          <t xml:space="preserve">
1 = תומך בהחלט
2 = תומך
3 = מתנגד
4 = מתנגד בהחלט</t>
        </r>
      </text>
    </comment>
    <comment ref="P63" authorId="0" shapeId="0" xr:uid="{DFF55314-360F-40FC-AC61-485C05E0C40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4" authorId="0" shapeId="0" xr:uid="{DBA70C70-399E-47C6-8248-AF95E0BD9F2E}">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P65" authorId="0" shapeId="0" xr:uid="{9DA66C2F-F2A7-4E76-B09A-FF25237854E9}">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P75" authorId="0" shapeId="0" xr:uid="{12DD01CE-5EE6-4394-924F-D6596DE9A031}">
      <text>
        <r>
          <rPr>
            <b/>
            <sz val="9"/>
            <color indexed="81"/>
            <rFont val="Tahoma"/>
            <family val="2"/>
          </rPr>
          <t>יניב שפירא:</t>
        </r>
        <r>
          <rPr>
            <sz val="9"/>
            <color indexed="81"/>
            <rFont val="Tahoma"/>
            <family val="2"/>
          </rPr>
          <t xml:space="preserve">
1 = כן
2 = לא</t>
        </r>
      </text>
    </comment>
    <comment ref="P76" authorId="0" shapeId="0" xr:uid="{2616F474-D3A6-42E3-8B8C-BDDB0851E6CD}">
      <text>
        <r>
          <rPr>
            <b/>
            <sz val="9"/>
            <color indexed="81"/>
            <rFont val="Tahoma"/>
            <family val="2"/>
          </rPr>
          <t>יניב שפירא:</t>
        </r>
        <r>
          <rPr>
            <sz val="9"/>
            <color indexed="81"/>
            <rFont val="Tahoma"/>
            <family val="2"/>
          </rPr>
          <t xml:space="preserve">
1 = יש תנאים בהם מוצדק להשתמש
2 = בשום תנאי אין להשתמש</t>
        </r>
      </text>
    </comment>
    <comment ref="A79" authorId="0" shapeId="0" xr:uid="{69166011-AA25-4623-9312-4876E4A5185A}">
      <text>
        <r>
          <rPr>
            <b/>
            <sz val="9"/>
            <color indexed="81"/>
            <rFont val="Tahoma"/>
            <family val="2"/>
          </rPr>
          <t>יניב שפירא:</t>
        </r>
        <r>
          <rPr>
            <sz val="9"/>
            <color indexed="81"/>
            <rFont val="Tahoma"/>
            <family val="2"/>
          </rPr>
          <t xml:space="preserve">
רק למי שענה "1" בשאלה v49</t>
        </r>
      </text>
    </comment>
    <comment ref="P79" authorId="0" shapeId="0" xr:uid="{E33644B1-885A-4C1B-8E3F-044012F97C32}">
      <text>
        <r>
          <rPr>
            <b/>
            <sz val="9"/>
            <color indexed="81"/>
            <rFont val="Tahoma"/>
            <family val="2"/>
          </rPr>
          <t>יניב שפירא:</t>
        </r>
        <r>
          <rPr>
            <sz val="9"/>
            <color indexed="81"/>
            <rFont val="Tahoma"/>
            <family val="2"/>
          </rPr>
          <t xml:space="preserve">
1 = מוצדק בהחלט
2 = מוצדק
3 = לא מוצדק
4 = כלל לא מוצדק</t>
        </r>
      </text>
    </comment>
    <comment ref="P84" authorId="0" shapeId="0" xr:uid="{DB4D0869-4679-4D7B-BF6B-A789F92F94C9}">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85" authorId="0" shapeId="0" xr:uid="{26D8D846-B918-4C59-A762-C29215D3766D}">
      <text>
        <r>
          <rPr>
            <b/>
            <sz val="9"/>
            <color indexed="81"/>
            <rFont val="Tahoma"/>
            <family val="2"/>
          </rPr>
          <t>יניב שפירא:</t>
        </r>
        <r>
          <rPr>
            <sz val="9"/>
            <color indexed="81"/>
            <rFont val="Tahoma"/>
            <family val="2"/>
          </rPr>
          <t xml:space="preserve">
1 = לשמור בסוד
2 = להצהיר בגלוי</t>
        </r>
      </text>
    </comment>
    <comment ref="P86" authorId="0" shapeId="0" xr:uid="{8F635F25-1BD4-47BA-9409-258723C74E2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P89" authorId="0" shapeId="0" xr:uid="{7AEA9734-4317-42A9-A7DB-4080A0B45464}">
      <text>
        <r>
          <rPr>
            <b/>
            <sz val="9"/>
            <color indexed="81"/>
            <rFont val="Tahoma"/>
            <family val="2"/>
          </rPr>
          <t>יניב שפירא:</t>
        </r>
        <r>
          <rPr>
            <sz val="9"/>
            <color indexed="81"/>
            <rFont val="Tahoma"/>
            <family val="2"/>
          </rPr>
          <t xml:space="preserve">
1 = סוריה
2 = אש"ף
3 = ירדן
4 = השיעים בלבנון
5 = לוב
6 = מצרים
7 = עיראק
8 = איראן
9 = סעודיה</t>
        </r>
      </text>
    </comment>
    <comment ref="P91" authorId="0" shapeId="0" xr:uid="{67382D2B-6FC8-41BF-90F4-951D3B84FC80}">
      <text>
        <r>
          <rPr>
            <b/>
            <sz val="9"/>
            <color indexed="81"/>
            <rFont val="Tahoma"/>
            <family val="2"/>
          </rPr>
          <t>יניב שפירא:</t>
        </r>
        <r>
          <rPr>
            <sz val="9"/>
            <color indexed="81"/>
            <rFont val="Tahoma"/>
            <family val="2"/>
          </rPr>
          <t xml:space="preserve">
1 = גבוהה
2 = בינונית
3 = נמוכה
4 = אפסית</t>
        </r>
      </text>
    </comment>
    <comment ref="P92" authorId="0" shapeId="0" xr:uid="{1DCAECF2-0F4F-4C4F-BEF8-A7270EF274AB}">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P93" authorId="0" shapeId="0" xr:uid="{8E598A77-44B0-4719-8BDD-6B4C5B94CE0D}">
      <text>
        <r>
          <rPr>
            <b/>
            <sz val="9"/>
            <color indexed="81"/>
            <rFont val="Tahoma"/>
            <family val="2"/>
          </rPr>
          <t>יניב שפירא:</t>
        </r>
        <r>
          <rPr>
            <sz val="9"/>
            <color indexed="81"/>
            <rFont val="Tahoma"/>
            <family val="2"/>
          </rPr>
          <t xml:space="preserve">
1 = תמיד רציונאלית
2 = בדר"כ רציונאלית
3 = לפעמים כך ולפעמים כך
4 = בדר"כ לא רציונאלית
5 = תמיד לא רציונאלית</t>
        </r>
      </text>
    </comment>
    <comment ref="P94" authorId="0" shapeId="0" xr:uid="{4861CB7A-D743-47CB-AD46-20F758BD250C}">
      <text>
        <r>
          <rPr>
            <b/>
            <sz val="9"/>
            <color indexed="81"/>
            <rFont val="Tahoma"/>
            <family val="2"/>
          </rPr>
          <t>יניב שפירא:</t>
        </r>
        <r>
          <rPr>
            <sz val="9"/>
            <color indexed="81"/>
            <rFont val="Tahoma"/>
            <family val="2"/>
          </rPr>
          <t xml:space="preserve">
1 = מהווה סיבה
2 = לא מהווה סיבה</t>
        </r>
      </text>
    </comment>
    <comment ref="P102" authorId="0" shapeId="0" xr:uid="{FE331E64-D040-448F-8C4D-2491D9E2DF37}">
      <text>
        <r>
          <rPr>
            <b/>
            <sz val="9"/>
            <color indexed="81"/>
            <rFont val="Tahoma"/>
            <family val="2"/>
          </rPr>
          <t>יניב שפירא:</t>
        </r>
        <r>
          <rPr>
            <sz val="9"/>
            <color indexed="81"/>
            <rFont val="Tahoma"/>
            <family val="2"/>
          </rPr>
          <t xml:space="preserve">
1 = מוכן
2 = לא מוכן</t>
        </r>
      </text>
    </comment>
    <comment ref="P103" authorId="0" shapeId="0" xr:uid="{15195D73-9541-430B-A74F-F7E9CD1BC22E}">
      <text>
        <r>
          <rPr>
            <b/>
            <sz val="9"/>
            <color indexed="81"/>
            <rFont val="Tahoma"/>
            <family val="2"/>
          </rPr>
          <t>יניב שפירא:</t>
        </r>
        <r>
          <rPr>
            <sz val="9"/>
            <color indexed="81"/>
            <rFont val="Tahoma"/>
            <family val="2"/>
          </rPr>
          <t xml:space="preserve">
1 = מוכן
2 = לא מוכן</t>
        </r>
      </text>
    </comment>
    <comment ref="P104" authorId="0" shapeId="0" xr:uid="{E2CAA5C9-80BD-45F9-8A14-BCC052DD1C4D}">
      <text>
        <r>
          <rPr>
            <b/>
            <sz val="9"/>
            <color indexed="81"/>
            <rFont val="Tahoma"/>
            <family val="2"/>
          </rPr>
          <t>יניב שפירא:</t>
        </r>
        <r>
          <rPr>
            <sz val="9"/>
            <color indexed="81"/>
            <rFont val="Tahoma"/>
            <family val="2"/>
          </rPr>
          <t xml:space="preserve">
1 = חלה שחיקה משמעותית
2  = חלה שחיקה מסוימת
3 = לא חל שינוי
4 = התחזקות מסוימת
5 = התחזקות משמעותית</t>
        </r>
      </text>
    </comment>
    <comment ref="P105" authorId="0" shapeId="0" xr:uid="{E735CD1E-1241-46D6-82F8-63CC32A01BDC}">
      <text>
        <r>
          <rPr>
            <b/>
            <sz val="9"/>
            <color indexed="81"/>
            <rFont val="Tahoma"/>
            <family val="2"/>
          </rPr>
          <t>יניב שפירא:</t>
        </r>
        <r>
          <rPr>
            <sz val="9"/>
            <color indexed="81"/>
            <rFont val="Tahoma"/>
            <family val="2"/>
          </rPr>
          <t xml:space="preserve">
1 = הממשלה
2 = הכנסת
3 = הצבא
4 = תעשייה צבאית\אווירית
5 = אחר</t>
        </r>
      </text>
    </comment>
    <comment ref="P106" authorId="0" shapeId="0" xr:uid="{4A3A2856-5C38-4E52-808F-C4128611C063}">
      <text>
        <r>
          <rPr>
            <b/>
            <sz val="9"/>
            <color indexed="81"/>
            <rFont val="Tahoma"/>
            <family val="2"/>
          </rPr>
          <t>יניב שפירא:</t>
        </r>
        <r>
          <rPr>
            <sz val="9"/>
            <color indexed="81"/>
            <rFont val="Tahoma"/>
            <family val="2"/>
          </rPr>
          <t xml:space="preserve">
1 = בהחלט בעד
2 = בעד
3 = נגד
4 = בהחלט נגד</t>
        </r>
      </text>
    </comment>
    <comment ref="P107" authorId="0" shapeId="0" xr:uid="{ACC61878-F8CB-4BD8-B44B-A749F9CB0FB4}">
      <text>
        <r>
          <rPr>
            <b/>
            <sz val="9"/>
            <color indexed="81"/>
            <rFont val="Tahoma"/>
            <family val="2"/>
          </rPr>
          <t>יניב שפירא:</t>
        </r>
        <r>
          <rPr>
            <sz val="9"/>
            <color indexed="81"/>
            <rFont val="Tahoma"/>
            <family val="2"/>
          </rPr>
          <t xml:space="preserve">
1 = שיקולים עניינים בלבד
2 = גם משיקולים אחרים</t>
        </r>
      </text>
    </comment>
    <comment ref="P108" authorId="0" shapeId="0" xr:uid="{06BF418C-5D39-490E-BA9D-4BC56DFAD718}">
      <text>
        <r>
          <rPr>
            <b/>
            <sz val="9"/>
            <color indexed="81"/>
            <rFont val="Tahoma"/>
            <family val="2"/>
          </rPr>
          <t>יניב שפירא:</t>
        </r>
        <r>
          <rPr>
            <sz val="9"/>
            <color indexed="81"/>
            <rFont val="Tahoma"/>
            <family val="2"/>
          </rPr>
          <t xml:space="preserve">
1 = רק שיקולים עניינים
2 = שיקולים אחרים</t>
        </r>
      </text>
    </comment>
    <comment ref="P109" authorId="0" shapeId="0" xr:uid="{699667C2-51E5-4139-B56E-A28918781394}">
      <text>
        <r>
          <rPr>
            <b/>
            <sz val="9"/>
            <color indexed="81"/>
            <rFont val="Tahoma"/>
            <family val="2"/>
          </rPr>
          <t>יניב שפירא:</t>
        </r>
        <r>
          <rPr>
            <sz val="9"/>
            <color indexed="81"/>
            <rFont val="Tahoma"/>
            <family val="2"/>
          </rPr>
          <t xml:space="preserve">
1 = רה"מ
2 = שר הבטחון
3 = הקבינט
4 = מליאת הממשלה
5 = ועדת החוץ והבטחון של הכנסת
6 = המטכ"ל
7 = התקשורת
8 = ארה"ב
9 = העם
10 = אחר</t>
        </r>
      </text>
    </comment>
    <comment ref="P110" authorId="0" shapeId="0" xr:uid="{49FC7C26-E0C8-475C-9D67-1B4ED461A0A3}">
      <text>
        <r>
          <rPr>
            <b/>
            <sz val="9"/>
            <color indexed="81"/>
            <rFont val="Tahoma"/>
            <charset val="177"/>
          </rPr>
          <t>יניב שפירא:</t>
        </r>
        <r>
          <rPr>
            <sz val="9"/>
            <color indexed="81"/>
            <rFont val="Tahoma"/>
            <charset val="177"/>
          </rPr>
          <t xml:space="preserve">
סולם 1-7
1 = העדפת בטחון על פני כל נושא אחר
7 = בטחון - לא בכל מחיר</t>
        </r>
      </text>
    </comment>
    <comment ref="P111" authorId="0" shapeId="0" xr:uid="{A07B31CE-88B2-46D4-BE05-2FC3A982E688}">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P112" authorId="0" shapeId="0" xr:uid="{F14A83D4-BFE4-4BB5-836A-EA4BF1B925E5}">
      <text>
        <r>
          <rPr>
            <b/>
            <sz val="9"/>
            <color indexed="81"/>
            <rFont val="Tahoma"/>
            <family val="2"/>
          </rPr>
          <t>יניב שפירא:</t>
        </r>
        <r>
          <rPr>
            <sz val="9"/>
            <color indexed="81"/>
            <rFont val="Tahoma"/>
            <family val="2"/>
          </rPr>
          <t xml:space="preserve">
1 = מבין במידה רבה מאד
2 = מבין במידה רבה
3 = מבין במידה מסוימת
4 = מבין במידה קטנה
5 = לא מבין כלל</t>
        </r>
      </text>
    </comment>
    <comment ref="P113" authorId="0" shapeId="0" xr:uid="{171C866D-7B17-49B7-87E5-725E9E79202E}">
      <text>
        <r>
          <rPr>
            <b/>
            <sz val="9"/>
            <color indexed="81"/>
            <rFont val="Tahoma"/>
            <family val="2"/>
          </rPr>
          <t>יניב שפירא:</t>
        </r>
        <r>
          <rPr>
            <sz val="9"/>
            <color indexed="81"/>
            <rFont val="Tahoma"/>
            <family val="2"/>
          </rPr>
          <t xml:space="preserve">
1 = בהחלט להתחשב
2 = להתחשב
3 = לא להתחשב
4 = בהחלט לא להתחשב</t>
        </r>
      </text>
    </comment>
    <comment ref="P114" authorId="0" shapeId="0" xr:uid="{C51683BA-ECBD-473F-8FB5-2072B3451EFE}">
      <text>
        <r>
          <rPr>
            <b/>
            <sz val="9"/>
            <color indexed="81"/>
            <rFont val="Tahoma"/>
            <family val="2"/>
          </rPr>
          <t>יניב שפירא:</t>
        </r>
        <r>
          <rPr>
            <sz val="9"/>
            <color indexed="81"/>
            <rFont val="Tahoma"/>
            <family val="2"/>
          </rPr>
          <t xml:space="preserve">
1 = תמיד לתמוך
2 = בדר"כ לתמוך
3 = בדר"כ לא לתמוך
4 = תמיד לא לתמוך</t>
        </r>
      </text>
    </comment>
    <comment ref="P115" authorId="0" shapeId="0" xr:uid="{10C6CCAD-4D9E-45DE-830B-67CFCEDD11E6}">
      <text>
        <r>
          <rPr>
            <b/>
            <sz val="9"/>
            <color indexed="81"/>
            <rFont val="Tahoma"/>
            <family val="2"/>
          </rPr>
          <t>יניב שפירא:</t>
        </r>
        <r>
          <rPr>
            <sz val="9"/>
            <color indexed="81"/>
            <rFont val="Tahoma"/>
            <family val="2"/>
          </rPr>
          <t xml:space="preserve">
1 = מותר
2 = אסור</t>
        </r>
      </text>
    </comment>
    <comment ref="P120" authorId="0" shapeId="0" xr:uid="{ABDCFD2A-B86D-46C3-ACCE-5E5EC2463244}">
      <text>
        <r>
          <rPr>
            <b/>
            <sz val="9"/>
            <color indexed="81"/>
            <rFont val="Tahoma"/>
            <family val="2"/>
          </rPr>
          <t>יניב שפירא:</t>
        </r>
        <r>
          <rPr>
            <sz val="9"/>
            <color indexed="81"/>
            <rFont val="Tahoma"/>
            <family val="2"/>
          </rPr>
          <t xml:space="preserve">
1 = אחראית לגמרי
2 = בדר"כ אחראית
3 = בדר"כ לא אחראית
4 = בלתי אחראית לגמרי</t>
        </r>
      </text>
    </comment>
    <comment ref="P121" authorId="0" shapeId="0" xr:uid="{11BE478C-3108-4469-BC5F-0AC2595EF474}">
      <text>
        <r>
          <rPr>
            <b/>
            <sz val="9"/>
            <color indexed="81"/>
            <rFont val="Tahoma"/>
            <family val="2"/>
          </rPr>
          <t>יניב שפירא:</t>
        </r>
        <r>
          <rPr>
            <sz val="9"/>
            <color indexed="81"/>
            <rFont val="Tahoma"/>
            <family val="2"/>
          </rPr>
          <t xml:space="preserve">
1 = פחות מדי
2 = מתאימה
3 = יותר מדי</t>
        </r>
      </text>
    </comment>
    <comment ref="P122" authorId="0" shapeId="0" xr:uid="{5FA99927-046D-43AA-AC76-8D65BAAE06B4}">
      <text>
        <r>
          <rPr>
            <b/>
            <sz val="9"/>
            <color indexed="81"/>
            <rFont val="Tahoma"/>
            <family val="2"/>
          </rPr>
          <t>יניב שפירא:</t>
        </r>
        <r>
          <rPr>
            <sz val="9"/>
            <color indexed="81"/>
            <rFont val="Tahoma"/>
            <family val="2"/>
          </rPr>
          <t xml:space="preserve">
1 = סומך בהחלט
2 = סומך
3 = לא סומך
4 = לא סומך כלל</t>
        </r>
      </text>
    </comment>
    <comment ref="P123" authorId="0" shapeId="0" xr:uid="{67717AFA-ED9D-44A8-A4A3-F1B43CF5F615}">
      <text>
        <r>
          <rPr>
            <b/>
            <sz val="9"/>
            <color indexed="81"/>
            <rFont val="Tahoma"/>
            <family val="2"/>
          </rPr>
          <t>יניב שפירא:</t>
        </r>
        <r>
          <rPr>
            <sz val="9"/>
            <color indexed="81"/>
            <rFont val="Tahoma"/>
            <family val="2"/>
          </rPr>
          <t xml:space="preserve">
1 = טובים מאד
2 = די טובים
3 = בינוניים
4 = די גרועים
5 = גרועים מאד</t>
        </r>
      </text>
    </comment>
    <comment ref="P124" authorId="0" shapeId="0" xr:uid="{0B010247-2975-433E-B9AB-BDC60AF72391}">
      <text>
        <r>
          <rPr>
            <b/>
            <sz val="9"/>
            <color indexed="81"/>
            <rFont val="Tahoma"/>
            <family val="2"/>
          </rPr>
          <t>יניב שפירא:</t>
        </r>
        <r>
          <rPr>
            <sz val="9"/>
            <color indexed="81"/>
            <rFont val="Tahoma"/>
            <family val="2"/>
          </rPr>
          <t xml:space="preserve">
1 = במידה רבה מאד
2 = במידה  רבה
3 = במידה בינונית
4 = במידה קטנה
5 = לא יכולה בכלל</t>
        </r>
      </text>
    </comment>
    <comment ref="P125" authorId="0" shapeId="0" xr:uid="{9DCC3E5E-43D1-42B8-9475-15CF297B8C4D}">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P126" authorId="0" shapeId="0" xr:uid="{41F94A3C-BBCD-477F-8D21-EE4972D0FF1B}">
      <text>
        <r>
          <rPr>
            <b/>
            <sz val="9"/>
            <color indexed="81"/>
            <rFont val="Tahoma"/>
            <family val="2"/>
          </rPr>
          <t>יניב שפירא:</t>
        </r>
        <r>
          <rPr>
            <sz val="9"/>
            <color indexed="81"/>
            <rFont val="Tahoma"/>
            <family val="2"/>
          </rPr>
          <t xml:space="preserve">
1 = מוצדק בהחלט
2 = מוצדק
3 = לא מוצדק
4 = בהחלט לא מוצדק</t>
        </r>
      </text>
    </comment>
    <comment ref="P127" authorId="0" shapeId="0" xr:uid="{10B01F74-742C-4FEC-9E2A-8D0789641D42}">
      <text>
        <r>
          <rPr>
            <b/>
            <sz val="9"/>
            <color indexed="81"/>
            <rFont val="Tahoma"/>
            <family val="2"/>
          </rPr>
          <t>יניב שפירא:</t>
        </r>
        <r>
          <rPr>
            <sz val="9"/>
            <color indexed="81"/>
            <rFont val="Tahoma"/>
            <family val="2"/>
          </rPr>
          <t xml:space="preserve">
סולם 1-7
1 = בטוח שתהיה מלחמה
7 = בטוח שלא תהיה מלחמה</t>
        </r>
      </text>
    </comment>
    <comment ref="Q128" authorId="0" shapeId="0" xr:uid="{753ED3B2-3984-447C-BFBB-249E39FA9197}">
      <text>
        <r>
          <rPr>
            <b/>
            <sz val="9"/>
            <color indexed="81"/>
            <rFont val="Tahoma"/>
            <family val="2"/>
          </rPr>
          <t>יניב שפירא:</t>
        </r>
        <r>
          <rPr>
            <sz val="9"/>
            <color indexed="81"/>
            <rFont val="Tahoma"/>
            <family val="2"/>
          </rPr>
          <t xml:space="preserve">
1 = בעד ניתוק היחסים
2 = נגד ניתוק היחסים</t>
        </r>
      </text>
    </comment>
    <comment ref="U131" authorId="0" shapeId="0" xr:uid="{4B38F92E-FA12-40E2-B30A-2EF811A818EF}">
      <text>
        <r>
          <rPr>
            <b/>
            <sz val="9"/>
            <color indexed="81"/>
            <rFont val="Tahoma"/>
            <charset val="177"/>
          </rPr>
          <t>יניב שפירא:</t>
        </r>
        <r>
          <rPr>
            <sz val="9"/>
            <color indexed="81"/>
            <rFont val="Tahoma"/>
            <charset val="177"/>
          </rPr>
          <t xml:space="preserve">
1 = טובה מאד
2 = טובה
3 = לא כ"כ טובה
4 = לא טובה
5 = לא טובה כלל</t>
        </r>
      </text>
    </comment>
    <comment ref="U132" authorId="0" shapeId="0" xr:uid="{43ACAF48-EE44-4074-AC4D-0822699ECC13}">
      <text>
        <r>
          <rPr>
            <b/>
            <sz val="9"/>
            <color indexed="81"/>
            <rFont val="Tahoma"/>
            <charset val="177"/>
          </rPr>
          <t>יניב שפירא:</t>
        </r>
        <r>
          <rPr>
            <sz val="9"/>
            <color indexed="81"/>
            <rFont val="Tahoma"/>
            <charset val="177"/>
          </rPr>
          <t xml:space="preserve">
1 = בהחלט יש לקצץ
2 = יש לקצץ
3 = אולי יש לקצץ
4 = אולי אין לקצץ
5 = אין לקצץ
6 = בהחלט אין לקצץ</t>
        </r>
      </text>
    </comment>
    <comment ref="AB133" authorId="0" shapeId="0" xr:uid="{B299A6C6-27C1-4F24-86AB-29DCEB528DB7}">
      <text>
        <r>
          <rPr>
            <b/>
            <sz val="9"/>
            <color indexed="81"/>
            <rFont val="Tahoma"/>
            <charset val="177"/>
          </rPr>
          <t>יניב שפירא:</t>
        </r>
        <r>
          <rPr>
            <sz val="9"/>
            <color indexed="81"/>
            <rFont val="Tahoma"/>
            <charset val="177"/>
          </rPr>
          <t xml:space="preserve">
1 = בטוח שכן
2 = חושב שכן
3 = חושב שלא
4 = בטוח שלא</t>
        </r>
      </text>
    </comment>
    <comment ref="AC134" authorId="0" shapeId="0" xr:uid="{7FB96C43-3A87-4CF7-BB74-798C54EAB7DD}">
      <text>
        <r>
          <rPr>
            <b/>
            <sz val="9"/>
            <color indexed="81"/>
            <rFont val="Tahoma"/>
            <family val="2"/>
          </rPr>
          <t>יניב שפירא:</t>
        </r>
        <r>
          <rPr>
            <sz val="9"/>
            <color indexed="81"/>
            <rFont val="Tahoma"/>
            <family val="2"/>
          </rPr>
          <t xml:space="preserve">
1 = בהחלט מוצדקת
2 = מוצדקת
3 = לא כ"כ מוצדקת
4 = כלל לא מוצדקת</t>
        </r>
      </text>
    </comment>
    <comment ref="AC135" authorId="0" shapeId="0" xr:uid="{269BB39C-D47B-47D4-A13D-A3E9A0095D92}">
      <text>
        <r>
          <rPr>
            <b/>
            <sz val="9"/>
            <color indexed="81"/>
            <rFont val="Tahoma"/>
            <family val="2"/>
          </rPr>
          <t>יניב שפירא:</t>
        </r>
        <r>
          <rPr>
            <sz val="9"/>
            <color indexed="81"/>
            <rFont val="Tahoma"/>
            <family val="2"/>
          </rPr>
          <t xml:space="preserve">
1 = נכונות גבוהה מאוד
2 = נכונות גבוהה
3 = נכונות נמוכה
4 = נכונות נמוכה מאוד</t>
        </r>
      </text>
    </comment>
    <comment ref="AD136" authorId="0" shapeId="0" xr:uid="{0CBB405D-746D-4CCE-A6B8-5FCF3F889E75}">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 ref="Q137" authorId="0" shapeId="0" xr:uid="{DB935ED1-8789-4F03-A63B-F52AEF145E28}">
      <text>
        <r>
          <rPr>
            <b/>
            <sz val="9"/>
            <color indexed="81"/>
            <rFont val="Tahoma"/>
            <family val="2"/>
          </rPr>
          <t>יניב שפירא:</t>
        </r>
        <r>
          <rPr>
            <sz val="9"/>
            <color indexed="81"/>
            <rFont val="Tahoma"/>
            <family val="2"/>
          </rPr>
          <t xml:space="preserve">
1 = השתפר
2 = לא השתנה
3 = הורע</t>
        </r>
      </text>
    </comment>
    <comment ref="Q138" authorId="0" shapeId="0" xr:uid="{0BDC15B8-3A0E-4ED3-B9C4-92ADE7DCE69A}">
      <text>
        <r>
          <rPr>
            <b/>
            <sz val="9"/>
            <color indexed="81"/>
            <rFont val="Tahoma"/>
            <family val="2"/>
          </rPr>
          <t>יניב שפירא:</t>
        </r>
        <r>
          <rPr>
            <sz val="9"/>
            <color indexed="81"/>
            <rFont val="Tahoma"/>
            <family val="2"/>
          </rPr>
          <t xml:space="preserve">
1 = השתפר
2 = לא השתנה
3 = הורע</t>
        </r>
      </text>
    </comment>
    <comment ref="Q139" authorId="0" shapeId="0" xr:uid="{06452272-767D-45B7-A1BC-CF59C792C774}">
      <text>
        <r>
          <rPr>
            <b/>
            <sz val="9"/>
            <color indexed="81"/>
            <rFont val="Tahoma"/>
            <family val="2"/>
          </rPr>
          <t>יניב שפירא:</t>
        </r>
        <r>
          <rPr>
            <sz val="9"/>
            <color indexed="81"/>
            <rFont val="Tahoma"/>
            <family val="2"/>
          </rPr>
          <t xml:space="preserve">
1 = התגברה
2 = לא השתנתה
3 = הצטמצמה</t>
        </r>
      </text>
    </comment>
    <comment ref="Q140" authorId="0" shapeId="0" xr:uid="{625EDE10-6B6B-4B94-A88D-E063361337A4}">
      <text>
        <r>
          <rPr>
            <b/>
            <sz val="9"/>
            <color indexed="81"/>
            <rFont val="Tahoma"/>
            <family val="2"/>
          </rPr>
          <t>יניב שפירא:</t>
        </r>
        <r>
          <rPr>
            <sz val="9"/>
            <color indexed="81"/>
            <rFont val="Tahoma"/>
            <family val="2"/>
          </rPr>
          <t xml:space="preserve">
1 = גבר
2 = לא השתנה
3 = פחת</t>
        </r>
      </text>
    </comment>
    <comment ref="Q141" authorId="0" shapeId="0" xr:uid="{3FA1A890-F39D-4290-B5F7-2DFFB03D0345}">
      <text>
        <r>
          <rPr>
            <b/>
            <sz val="9"/>
            <color indexed="81"/>
            <rFont val="Tahoma"/>
            <family val="2"/>
          </rPr>
          <t>יניב שפירא:</t>
        </r>
        <r>
          <rPr>
            <sz val="9"/>
            <color indexed="81"/>
            <rFont val="Tahoma"/>
            <family val="2"/>
          </rPr>
          <t xml:space="preserve">
1 = נעשה יותר חיובי
2 = לא השתנה
3 = נעשה יותר שלילי</t>
        </r>
      </text>
    </comment>
    <comment ref="AH142" authorId="0" shapeId="0" xr:uid="{46BB8AEF-A2D0-4BE5-A79E-AAD10E14C27F}">
      <text>
        <r>
          <rPr>
            <b/>
            <sz val="9"/>
            <color indexed="81"/>
            <rFont val="Tahoma"/>
            <family val="2"/>
          </rPr>
          <t>יניב שפירא:</t>
        </r>
        <r>
          <rPr>
            <sz val="9"/>
            <color indexed="81"/>
            <rFont val="Tahoma"/>
            <family val="2"/>
          </rPr>
          <t xml:space="preserve">
1 = מסכים בהחלט
2 = מסכים
3 = מסתייג
4 = מסתייג בהחלט</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יניב שפירא</author>
    <author>adi</author>
  </authors>
  <commentList>
    <comment ref="W1" authorId="0" shapeId="0" xr:uid="{CBD6EBEF-47A5-42ED-808D-1055CD5C5FFA}">
      <text>
        <r>
          <rPr>
            <b/>
            <sz val="9"/>
            <color indexed="81"/>
            <rFont val="Tahoma"/>
            <charset val="177"/>
          </rPr>
          <t>יניב שפירא:</t>
        </r>
        <r>
          <rPr>
            <sz val="9"/>
            <color indexed="81"/>
            <rFont val="Tahoma"/>
            <charset val="177"/>
          </rPr>
          <t xml:space="preserve">
post election</t>
        </r>
      </text>
    </comment>
    <comment ref="AA1" authorId="0" shapeId="0" xr:uid="{24D849AF-4B4A-4145-8095-19D534ACA7F7}">
      <text>
        <r>
          <rPr>
            <b/>
            <sz val="9"/>
            <color indexed="81"/>
            <rFont val="Tahoma"/>
            <charset val="177"/>
          </rPr>
          <t>יניב שפירא:</t>
        </r>
        <r>
          <rPr>
            <sz val="9"/>
            <color indexed="81"/>
            <rFont val="Tahoma"/>
            <charset val="177"/>
          </rPr>
          <t xml:space="preserve">
post Kippur + post election</t>
        </r>
      </text>
    </comment>
    <comment ref="AB1" authorId="0" shapeId="0" xr:uid="{FAC357FC-EC28-4384-A4AA-751242B7775B}">
      <text>
        <r>
          <rPr>
            <b/>
            <sz val="9"/>
            <color indexed="81"/>
            <rFont val="Tahoma"/>
            <charset val="177"/>
          </rPr>
          <t>יניב שפירא:</t>
        </r>
        <r>
          <rPr>
            <sz val="9"/>
            <color indexed="81"/>
            <rFont val="Tahoma"/>
            <charset val="177"/>
          </rPr>
          <t xml:space="preserve">
post Kippur</t>
        </r>
      </text>
    </comment>
    <comment ref="AC1" authorId="0" shapeId="0" xr:uid="{86113EA8-2A89-44B1-9A13-16AC4C94DDFA}">
      <text>
        <r>
          <rPr>
            <b/>
            <sz val="9"/>
            <color indexed="81"/>
            <rFont val="Tahoma"/>
            <charset val="177"/>
          </rPr>
          <t>יניב שפירא:</t>
        </r>
        <r>
          <rPr>
            <sz val="9"/>
            <color indexed="81"/>
            <rFont val="Tahoma"/>
            <charset val="177"/>
          </rPr>
          <t xml:space="preserve">
post Kippur</t>
        </r>
      </text>
    </comment>
    <comment ref="AF1" authorId="0" shapeId="0" xr:uid="{3A5DB366-1008-4C6B-8465-9910C598572F}">
      <text>
        <r>
          <rPr>
            <b/>
            <sz val="9"/>
            <color indexed="81"/>
            <rFont val="Tahoma"/>
            <charset val="177"/>
          </rPr>
          <t>יניב שפירא:</t>
        </r>
        <r>
          <rPr>
            <sz val="9"/>
            <color indexed="81"/>
            <rFont val="Tahoma"/>
            <charset val="177"/>
          </rPr>
          <t xml:space="preserve">
pre + post election</t>
        </r>
      </text>
    </comment>
    <comment ref="A2" authorId="0" shapeId="0" xr:uid="{F0E836D1-832A-4137-B0D9-885ACC916279}">
      <text>
        <r>
          <rPr>
            <b/>
            <sz val="9"/>
            <color indexed="81"/>
            <rFont val="Tahoma"/>
            <family val="2"/>
          </rPr>
          <t>יניב שפירא:</t>
        </r>
        <r>
          <rPr>
            <sz val="9"/>
            <color indexed="81"/>
            <rFont val="Tahoma"/>
            <family val="2"/>
          </rPr>
          <t xml:space="preserve">
רק יהודים למעט 2022</t>
        </r>
      </text>
    </comment>
    <comment ref="B2" authorId="1" shapeId="0" xr:uid="{5BCF59A0-2D57-4456-8309-1315AFDEF85F}">
      <text>
        <r>
          <rPr>
            <b/>
            <sz val="9"/>
            <color indexed="81"/>
            <rFont val="Tahoma"/>
          </rPr>
          <t>adi:</t>
        </r>
        <r>
          <rPr>
            <sz val="9"/>
            <color indexed="81"/>
            <rFont val="Tahoma"/>
          </rPr>
          <t xml:space="preserve">
יהודים וערבים
1 = בטוח/ה שכן
2 = חושב/ת שכן
3 = חושב/ת שלא
4 = בטוח/ה שלא</t>
        </r>
      </text>
    </comment>
    <comment ref="D2" authorId="0" shapeId="0" xr:uid="{C2F08776-3960-4B34-9186-2ADF914099EE}">
      <text>
        <r>
          <rPr>
            <b/>
            <sz val="9"/>
            <color indexed="81"/>
            <rFont val="Tahoma"/>
            <charset val="177"/>
          </rPr>
          <t>יניב שפירא:</t>
        </r>
        <r>
          <rPr>
            <sz val="9"/>
            <color indexed="81"/>
            <rFont val="Tahoma"/>
            <charset val="177"/>
          </rPr>
          <t xml:space="preserve">
1 = בהחלט ניתן להגיע להסכם שלום עם הפלסטינים
2 = כנראה שניתן
3 = כנראה שלא ניתן
4 = בהחלט לא ניתן</t>
        </r>
      </text>
    </comment>
    <comment ref="H2" authorId="0" shapeId="0" xr:uid="{1D1483A1-5672-4475-B0EC-DA60592AE8C3}">
      <text>
        <r>
          <rPr>
            <b/>
            <sz val="9"/>
            <color indexed="81"/>
            <rFont val="Tahoma"/>
            <family val="2"/>
          </rPr>
          <t>יניב שפירא:</t>
        </r>
        <r>
          <rPr>
            <sz val="9"/>
            <color indexed="81"/>
            <rFont val="Tahoma"/>
            <family val="2"/>
          </rPr>
          <t xml:space="preserve">
1 = בטוח שכן
2 = חושב שכן
3 = חושב שלא
4 = בטוח שלא</t>
        </r>
      </text>
    </comment>
    <comment ref="N4" authorId="0" shapeId="0" xr:uid="{47E7C0C9-6293-4877-84D6-6783A4FC473A}">
      <text>
        <r>
          <rPr>
            <b/>
            <sz val="9"/>
            <color indexed="81"/>
            <rFont val="Tahoma"/>
            <family val="2"/>
          </rPr>
          <t>יניב שפירא:</t>
        </r>
        <r>
          <rPr>
            <sz val="9"/>
            <color indexed="81"/>
            <rFont val="Tahoma"/>
            <family val="2"/>
          </rPr>
          <t xml:space="preserve">
1 = העבודה
2 = הליכוד
3 = מפלגה אחרת</t>
        </r>
      </text>
    </comment>
    <comment ref="D7" authorId="0" shapeId="0" xr:uid="{27A4CD21-E319-47A5-8C2D-A8A7A5110759}">
      <text>
        <r>
          <rPr>
            <b/>
            <sz val="9"/>
            <color indexed="81"/>
            <rFont val="Tahoma"/>
            <charset val="177"/>
          </rPr>
          <t>יניב שפירא:</t>
        </r>
        <r>
          <rPr>
            <sz val="9"/>
            <color indexed="81"/>
            <rFont val="Tahoma"/>
            <charset val="177"/>
          </rPr>
          <t xml:space="preserve">
1 = להתרכז בשיחות שלום
2 = להגביר את עוצמתה הצבאית</t>
        </r>
      </text>
    </comment>
    <comment ref="A8" authorId="0" shapeId="0" xr:uid="{2F319CD6-DC46-40C1-BF73-1EC9B938BC5B}">
      <text>
        <r>
          <rPr>
            <b/>
            <sz val="9"/>
            <color indexed="81"/>
            <rFont val="Tahoma"/>
            <family val="2"/>
          </rPr>
          <t>יניב שפירא:</t>
        </r>
        <r>
          <rPr>
            <sz val="9"/>
            <color indexed="81"/>
            <rFont val="Tahoma"/>
            <family val="2"/>
          </rPr>
          <t xml:space="preserve">
בערבית נוסח אחר:
"האם אתה תומך בהקמת מדינה..."
התשובות בהתאם: במקום 'מסכים' כתוב 'תומך'</t>
        </r>
      </text>
    </comment>
    <comment ref="D8" authorId="0" shapeId="0" xr:uid="{1A490D75-A5FC-4CBE-863D-4293EA841FC7}">
      <text>
        <r>
          <rPr>
            <b/>
            <sz val="9"/>
            <color indexed="81"/>
            <rFont val="Tahoma"/>
            <family val="2"/>
          </rPr>
          <t>יניב שפירא:</t>
        </r>
        <r>
          <rPr>
            <sz val="9"/>
            <color indexed="81"/>
            <rFont val="Tahoma"/>
            <family val="2"/>
          </rPr>
          <t xml:space="preserve">
1 = בהחלט צריכה להסכים
2 = כנראה שצריכה להסכים
3 = כנראה שלא צריכה להסכים
4 = בהחלט לא צריכה להסכים</t>
        </r>
      </text>
    </comment>
    <comment ref="O8" authorId="0" shapeId="0" xr:uid="{B747D01B-D1BA-4FA4-9F50-17988D0DA93E}">
      <text>
        <r>
          <rPr>
            <b/>
            <sz val="9"/>
            <color indexed="81"/>
            <rFont val="Tahoma"/>
            <family val="2"/>
          </rPr>
          <t>יניב שפירא:</t>
        </r>
        <r>
          <rPr>
            <sz val="9"/>
            <color indexed="81"/>
            <rFont val="Tahoma"/>
            <family val="2"/>
          </rPr>
          <t xml:space="preserve">
הניסוח הוא:
"אוטונומיה פלסטינית"</t>
        </r>
      </text>
    </comment>
    <comment ref="B9" authorId="1" shapeId="0" xr:uid="{838C860D-8FB7-4E01-A6BA-FC9C2F2B8091}">
      <text>
        <r>
          <rPr>
            <b/>
            <sz val="9"/>
            <color indexed="81"/>
            <rFont val="Tahoma"/>
          </rPr>
          <t>adi:</t>
        </r>
        <r>
          <rPr>
            <sz val="9"/>
            <color indexed="81"/>
            <rFont val="Tahoma"/>
          </rPr>
          <t xml:space="preserve">
רק יהודים
</t>
        </r>
      </text>
    </comment>
    <comment ref="G9" authorId="0" shapeId="0" xr:uid="{AB7E2748-FC3C-49D0-A8DE-9D761E813308}">
      <text>
        <r>
          <rPr>
            <b/>
            <sz val="9"/>
            <color indexed="81"/>
            <rFont val="Tahoma"/>
            <family val="2"/>
          </rPr>
          <t>יניב שפירא:</t>
        </r>
        <r>
          <rPr>
            <sz val="9"/>
            <color indexed="81"/>
            <rFont val="Tahoma"/>
            <family val="2"/>
          </rPr>
          <t xml:space="preserve">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r>
      </text>
    </comment>
    <comment ref="A10" authorId="0" shapeId="0" xr:uid="{2F524AA9-295A-4D35-8A13-C7ABF75444C6}">
      <text>
        <r>
          <rPr>
            <b/>
            <sz val="9"/>
            <color indexed="81"/>
            <rFont val="Tahoma"/>
            <family val="2"/>
          </rPr>
          <t>יניב שפירא:</t>
        </r>
        <r>
          <rPr>
            <sz val="9"/>
            <color indexed="81"/>
            <rFont val="Tahoma"/>
            <family val="2"/>
          </rPr>
          <t xml:space="preserve">
יהודים בלבד</t>
        </r>
      </text>
    </comment>
    <comment ref="G10" authorId="0" shapeId="0" xr:uid="{488C6214-031E-4413-9803-E41502570FBC}">
      <text>
        <r>
          <rPr>
            <b/>
            <sz val="9"/>
            <color indexed="81"/>
            <rFont val="Tahoma"/>
            <family val="2"/>
          </rPr>
          <t>יניב שפירא:</t>
        </r>
        <r>
          <rPr>
            <sz val="9"/>
            <color indexed="81"/>
            <rFont val="Tahoma"/>
            <family val="2"/>
          </rPr>
          <t xml:space="preserve">
1 = לא צריכה להחזיק ביהודה ושומרון
2 = כן, כי זו זכותנו על הארץ
3 = כן, משיקולי ביטחון
9 = מסרב</t>
        </r>
      </text>
    </comment>
    <comment ref="G11" authorId="0" shapeId="0" xr:uid="{981E3CED-B6CE-457A-A412-2AAD3BCF6AEB}">
      <text>
        <r>
          <rPr>
            <b/>
            <sz val="9"/>
            <color indexed="81"/>
            <rFont val="Tahoma"/>
            <family val="2"/>
          </rPr>
          <t>יניב שפירא:</t>
        </r>
        <r>
          <rPr>
            <sz val="9"/>
            <color indexed="81"/>
            <rFont val="Tahoma"/>
            <family val="2"/>
          </rPr>
          <t xml:space="preserve">
1 = בהחלט להעביר
2 = להעביר
3 = להמשיך להחזיק
4 = בהחלט להמשיך להחזיק</t>
        </r>
      </text>
    </comment>
    <comment ref="H12" authorId="0" shapeId="0" xr:uid="{9E478C18-DAAF-48F2-A9DA-91B055441900}">
      <text>
        <r>
          <rPr>
            <b/>
            <sz val="9"/>
            <color indexed="81"/>
            <rFont val="Tahoma"/>
            <family val="2"/>
          </rPr>
          <t>יניב שפירא:</t>
        </r>
        <r>
          <rPr>
            <sz val="9"/>
            <color indexed="81"/>
            <rFont val="Tahoma"/>
            <family val="2"/>
          </rPr>
          <t xml:space="preserve">
1 = לא בשום תנאי
2 = כן, יישובים בודדים
3 = כן, את כל היישובים</t>
        </r>
      </text>
    </comment>
    <comment ref="G13" authorId="0" shapeId="0" xr:uid="{CECA8C7A-E6F3-48B0-B3DA-313502ACC6D5}">
      <text>
        <r>
          <rPr>
            <b/>
            <sz val="9"/>
            <color indexed="81"/>
            <rFont val="Tahoma"/>
            <family val="2"/>
          </rPr>
          <t>יניב שפירא:</t>
        </r>
        <r>
          <rPr>
            <sz val="9"/>
            <color indexed="81"/>
            <rFont val="Tahoma"/>
            <family val="2"/>
          </rPr>
          <t xml:space="preserve">
1-7
1 = בכלל לא מסוכן
7 = מאוד מסוכן</t>
        </r>
      </text>
    </comment>
    <comment ref="O14" authorId="0" shapeId="0" xr:uid="{0B62C465-C667-46DE-948A-DE9884378413}">
      <text>
        <r>
          <rPr>
            <b/>
            <sz val="9"/>
            <color indexed="81"/>
            <rFont val="Tahoma"/>
            <family val="2"/>
          </rPr>
          <t>יניב שפירא:</t>
        </r>
        <r>
          <rPr>
            <sz val="9"/>
            <color indexed="81"/>
            <rFont val="Tahoma"/>
            <family val="2"/>
          </rPr>
          <t xml:space="preserve">
1 = במידה רבה
2 = במידה מסוימת
3 = במידה קטנה
4 = כלל לא</t>
        </r>
      </text>
    </comment>
    <comment ref="G17" authorId="0" shapeId="0" xr:uid="{54A90A5D-BEBD-4163-9991-283C08D3DB16}">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I18" authorId="0" shapeId="0" xr:uid="{42959DFB-BF71-4826-87A9-061B0E12E102}">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I19" authorId="0" shapeId="0" xr:uid="{C0AF1E57-3619-4587-A7D9-FC712E4D9FA5}">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סיכוים נמוכים ביותר</t>
        </r>
      </text>
    </comment>
    <comment ref="I20" authorId="0" shapeId="0" xr:uid="{AF943A10-A672-44B3-BB15-D1BB835A462D}">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L20" authorId="0" shapeId="0" xr:uid="{23BC305B-0C2C-469D-8401-F2BDD22AF214}">
      <text>
        <r>
          <rPr>
            <b/>
            <sz val="9"/>
            <color indexed="81"/>
            <rFont val="Tahoma"/>
            <family val="2"/>
          </rPr>
          <t>יניב שפירא:</t>
        </r>
        <r>
          <rPr>
            <sz val="9"/>
            <color indexed="81"/>
            <rFont val="Tahoma"/>
            <family val="2"/>
          </rPr>
          <t xml:space="preserve">
1 =בטוח שלא יסתיים
2 = חושב שלא יסתיים
3 = חושב שיסתיים
4 = בטוח שיסתיים</t>
        </r>
      </text>
    </comment>
    <comment ref="N20" authorId="0" shapeId="0" xr:uid="{9908C9CE-B6D9-430D-BEB7-9990930ECD65}">
      <text>
        <r>
          <rPr>
            <b/>
            <sz val="9"/>
            <color indexed="81"/>
            <rFont val="Tahoma"/>
            <family val="2"/>
          </rPr>
          <t>יניב שפירא:</t>
        </r>
        <r>
          <rPr>
            <sz val="9"/>
            <color indexed="81"/>
            <rFont val="Tahoma"/>
            <family val="2"/>
          </rPr>
          <t xml:space="preserve">
1 = בטוח שיסתיים
2 = חושב שיסתיים
3 = חושב שלא יסתיים
4 = בטוח שלא יסתיים</t>
        </r>
      </text>
    </comment>
    <comment ref="I21" authorId="0" shapeId="0" xr:uid="{C3843070-7035-42AE-AB5D-B329C8D66B1F}">
      <text>
        <r>
          <rPr>
            <b/>
            <sz val="9"/>
            <color indexed="81"/>
            <rFont val="Tahoma"/>
            <family val="2"/>
          </rPr>
          <t>יניב שפירא:</t>
        </r>
        <r>
          <rPr>
            <sz val="9"/>
            <color indexed="81"/>
            <rFont val="Tahoma"/>
            <family val="2"/>
          </rPr>
          <t xml:space="preserve">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r>
      </text>
    </comment>
    <comment ref="O21" authorId="0" shapeId="0" xr:uid="{B778FF49-476F-4A54-A90F-E217D2FEFC37}">
      <text>
        <r>
          <rPr>
            <b/>
            <sz val="9"/>
            <color indexed="81"/>
            <rFont val="Tahoma"/>
            <family val="2"/>
          </rPr>
          <t>יניב שפירא:</t>
        </r>
        <r>
          <rPr>
            <sz val="9"/>
            <color indexed="81"/>
            <rFont val="Tahoma"/>
            <family val="2"/>
          </rPr>
          <t xml:space="preserve">
1 = כן, הכל
2 = כן, חלק
3 = לא צריכה להחזיר כלום</t>
        </r>
      </text>
    </comment>
    <comment ref="N22" authorId="0" shapeId="0" xr:uid="{5A872B3F-EB40-4945-9001-CB4FCD083893}">
      <text>
        <r>
          <rPr>
            <b/>
            <sz val="9"/>
            <color indexed="81"/>
            <rFont val="Tahoma"/>
            <family val="2"/>
          </rPr>
          <t>יניב שפירא:</t>
        </r>
        <r>
          <rPr>
            <sz val="9"/>
            <color indexed="81"/>
            <rFont val="Tahoma"/>
            <family val="2"/>
          </rPr>
          <t xml:space="preserve">
1 = כן, תחזיר
2 = לא תחזיר</t>
        </r>
      </text>
    </comment>
    <comment ref="I23" authorId="0" shapeId="0" xr:uid="{EDBB56F8-6721-4E9E-9A84-2112DFC4559F}">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M23" authorId="0" shapeId="0" xr:uid="{D962244D-A1A9-4634-84CD-F123E4936D6F}">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N23" authorId="0" shapeId="0" xr:uid="{8AB4AE54-A8D0-43D7-BAEB-940628C03573}">
      <text>
        <r>
          <rPr>
            <b/>
            <sz val="9"/>
            <color indexed="81"/>
            <rFont val="Tahoma"/>
            <family val="2"/>
          </rPr>
          <t>יניב שפירא:</t>
        </r>
        <r>
          <rPr>
            <sz val="9"/>
            <color indexed="81"/>
            <rFont val="Tahoma"/>
            <family val="2"/>
          </rPr>
          <t xml:space="preserve">
סולם 1-7
1 = מתנגד מאד
7 = מסכים מאד</t>
        </r>
      </text>
    </comment>
    <comment ref="K24" authorId="0" shapeId="0" xr:uid="{A81D9D2F-BD96-48FB-BCA8-8F7B4EF15222}">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M24" authorId="0" shapeId="0" xr:uid="{7B6EAEA7-72DD-4D15-B3A6-F507D49654CA}">
      <text>
        <r>
          <rPr>
            <b/>
            <sz val="9"/>
            <color indexed="81"/>
            <rFont val="Tahoma"/>
            <charset val="177"/>
          </rPr>
          <t>יניב שפירא:</t>
        </r>
        <r>
          <rPr>
            <sz val="9"/>
            <color indexed="81"/>
            <rFont val="Tahoma"/>
            <charset val="177"/>
          </rPr>
          <t xml:space="preserve">
1-7
1 = מידה רבה של אי הסכמה
7 = מידה רבה של הסכמה</t>
        </r>
      </text>
    </comment>
    <comment ref="N24" authorId="0" shapeId="0" xr:uid="{27BEF8D7-3EC7-4BEE-89EF-1C1497154DD5}">
      <text>
        <r>
          <rPr>
            <b/>
            <sz val="9"/>
            <color indexed="81"/>
            <rFont val="Tahoma"/>
            <charset val="177"/>
          </rPr>
          <t xml:space="preserve">יניב שפירא:
</t>
        </r>
        <r>
          <rPr>
            <sz val="9"/>
            <color indexed="81"/>
            <rFont val="Tahoma"/>
            <family val="2"/>
          </rPr>
          <t>סולם 1-7</t>
        </r>
        <r>
          <rPr>
            <sz val="9"/>
            <color indexed="81"/>
            <rFont val="Tahoma"/>
            <charset val="177"/>
          </rPr>
          <t xml:space="preserve">
1 = מתנגד מאד
7 = מסכים מאד</t>
        </r>
      </text>
    </comment>
    <comment ref="A25" authorId="0" shapeId="0" xr:uid="{6FE463E3-88AD-42CA-AA0D-77F9554E3335}">
      <text>
        <r>
          <rPr>
            <b/>
            <sz val="9"/>
            <color indexed="81"/>
            <rFont val="Tahoma"/>
            <family val="2"/>
          </rPr>
          <t>יניב שפירא:</t>
        </r>
        <r>
          <rPr>
            <sz val="9"/>
            <color indexed="81"/>
            <rFont val="Tahoma"/>
            <family val="2"/>
          </rPr>
          <t xml:space="preserve">
ליהודים בלבד</t>
        </r>
      </text>
    </comment>
    <comment ref="L25" authorId="0" shapeId="0" xr:uid="{EA9C4500-7466-49F0-B6CD-AA465A872683}">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M25" authorId="0" shapeId="0" xr:uid="{CDB2AA97-C5A2-4C0C-8511-3086A64DF01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K26" authorId="0" shapeId="0" xr:uid="{921E3CAB-C8C1-421B-A314-CDC4E18EFD04}">
      <text>
        <r>
          <rPr>
            <b/>
            <sz val="9"/>
            <color indexed="81"/>
            <rFont val="Tahoma"/>
            <charset val="177"/>
          </rPr>
          <t>יניב שפירא:</t>
        </r>
        <r>
          <rPr>
            <sz val="9"/>
            <color indexed="81"/>
            <rFont val="Tahoma"/>
            <charset val="177"/>
          </rPr>
          <t xml:space="preserve">
1 = מסכים בהחלט
2 = מסכים
3 = לא מסכים
4 = בהחלט לא מסכים</t>
        </r>
      </text>
    </comment>
    <comment ref="A30" authorId="0" shapeId="0" xr:uid="{13F8F98C-57F0-4F31-ACA6-F5DB9332A0C4}">
      <text>
        <r>
          <rPr>
            <b/>
            <sz val="9"/>
            <color indexed="81"/>
            <rFont val="Tahoma"/>
            <family val="2"/>
          </rPr>
          <t>יניב שפירא:</t>
        </r>
        <r>
          <rPr>
            <sz val="9"/>
            <color indexed="81"/>
            <rFont val="Tahoma"/>
            <family val="2"/>
          </rPr>
          <t xml:space="preserve">
ליהודים בלבד</t>
        </r>
      </text>
    </comment>
    <comment ref="A31" authorId="0" shapeId="0" xr:uid="{14648677-8021-42E2-A385-6AD7F2279857}">
      <text>
        <r>
          <rPr>
            <b/>
            <sz val="9"/>
            <color indexed="81"/>
            <rFont val="Tahoma"/>
            <family val="2"/>
          </rPr>
          <t>יניב שפירא:</t>
        </r>
        <r>
          <rPr>
            <sz val="9"/>
            <color indexed="81"/>
            <rFont val="Tahoma"/>
            <family val="2"/>
          </rPr>
          <t xml:space="preserve">
ליהודים בלבד</t>
        </r>
      </text>
    </comment>
    <comment ref="P32" authorId="0" shapeId="0" xr:uid="{D64B1D86-AEBC-4149-9A29-8E6B381881BA}">
      <text>
        <r>
          <rPr>
            <b/>
            <sz val="9"/>
            <color indexed="81"/>
            <rFont val="Tahoma"/>
            <family val="2"/>
          </rPr>
          <t>יניב שפירא:</t>
        </r>
        <r>
          <rPr>
            <sz val="9"/>
            <color indexed="81"/>
            <rFont val="Tahoma"/>
            <family val="2"/>
          </rPr>
          <t xml:space="preserve">
1 = מסכים בהחלט
2 = מסכים
3 = לא מסכים
4 = בהחלט לא מסכים</t>
        </r>
      </text>
    </comment>
    <comment ref="D33" authorId="0" shapeId="0" xr:uid="{A726B053-A958-44C4-B5E5-279B23ED0B3A}">
      <text>
        <r>
          <rPr>
            <b/>
            <sz val="9"/>
            <color indexed="81"/>
            <rFont val="Tahoma"/>
            <charset val="177"/>
          </rPr>
          <t>יניב שפירא:</t>
        </r>
        <r>
          <rPr>
            <sz val="9"/>
            <color indexed="81"/>
            <rFont val="Tahoma"/>
            <charset val="177"/>
          </rPr>
          <t xml:space="preserve">
1 = תומך
2 = מתנגד
3 = לא יודע מספיק על התכנית כדי להביע עמדה
4 = לא שמעתי על התכנית</t>
        </r>
      </text>
    </comment>
    <comment ref="J34" authorId="0" shapeId="0" xr:uid="{A1505DAC-C175-4A13-80D4-8C1675393E11}">
      <text>
        <r>
          <rPr>
            <b/>
            <sz val="9"/>
            <color indexed="81"/>
            <rFont val="Tahoma"/>
            <family val="2"/>
          </rPr>
          <t>יניב שפירא:</t>
        </r>
        <r>
          <rPr>
            <sz val="9"/>
            <color indexed="81"/>
            <rFont val="Tahoma"/>
            <family val="2"/>
          </rPr>
          <t xml:space="preserve">
1 = בהחלט צריכה להסכים
2 = חושב שצריכה להסכים
3 = חושב שלא צריכה להסכים
4 = בהחלט לא צריכה להסכים</t>
        </r>
      </text>
    </comment>
    <comment ref="J35" authorId="0" shapeId="0" xr:uid="{C4FF6096-1245-4D6D-95B0-854E2D8747ED}">
      <text>
        <r>
          <rPr>
            <b/>
            <sz val="9"/>
            <color indexed="81"/>
            <rFont val="Tahoma"/>
            <family val="2"/>
          </rPr>
          <t>יניב שפירא:</t>
        </r>
        <r>
          <rPr>
            <sz val="9"/>
            <color indexed="81"/>
            <rFont val="Tahoma"/>
            <family val="2"/>
          </rPr>
          <t xml:space="preserve">
1 = בטוח שכן
2 = חושב שכן
3 = חושב שלא
4 = בטוח שלא</t>
        </r>
      </text>
    </comment>
    <comment ref="J36" authorId="0" shapeId="0" xr:uid="{14BA8DEF-FD6A-468C-9167-D88180AB639D}">
      <text>
        <r>
          <rPr>
            <b/>
            <sz val="9"/>
            <color indexed="81"/>
            <rFont val="Tahoma"/>
            <family val="2"/>
          </rPr>
          <t>יניב שפירא:</t>
        </r>
        <r>
          <rPr>
            <sz val="9"/>
            <color indexed="81"/>
            <rFont val="Tahoma"/>
            <family val="2"/>
          </rPr>
          <t xml:space="preserve">
1 = סיכויים גדולים
2 = סיכויים מסוימים
3 = סיכויים מעטים
4 = אין סיכוי</t>
        </r>
      </text>
    </comment>
    <comment ref="L37" authorId="0" shapeId="0" xr:uid="{0A2D41D2-CB6D-4D64-B0E3-12B37F9CD916}">
      <text>
        <r>
          <rPr>
            <b/>
            <sz val="9"/>
            <color indexed="81"/>
            <rFont val="Tahoma"/>
            <family val="2"/>
          </rPr>
          <t>יניב שפירא:</t>
        </r>
        <r>
          <rPr>
            <sz val="9"/>
            <color indexed="81"/>
            <rFont val="Tahoma"/>
            <family val="2"/>
          </rPr>
          <t xml:space="preserve">
1 = בהחלט מתנגד
2 = מתנגד
3 = תומך
4 = בהחלט תומך</t>
        </r>
      </text>
    </comment>
    <comment ref="L42" authorId="0" shapeId="0" xr:uid="{36824EBB-DCC0-41DC-A18C-B9C9DD33AA7D}">
      <text>
        <r>
          <rPr>
            <b/>
            <sz val="9"/>
            <color indexed="81"/>
            <rFont val="Tahoma"/>
            <family val="2"/>
          </rPr>
          <t>יניב שפירא:</t>
        </r>
        <r>
          <rPr>
            <sz val="9"/>
            <color indexed="81"/>
            <rFont val="Tahoma"/>
            <family val="2"/>
          </rPr>
          <t xml:space="preserve">
1 = בהחלט מתנגד
2 = מתנגד
3 = תומך
4 = בהחלט תומך
9 = לא יודע</t>
        </r>
      </text>
    </comment>
    <comment ref="V43" authorId="0" shapeId="0" xr:uid="{4D9D97AB-6B09-4DA3-A9A0-56ED7610D271}">
      <text>
        <r>
          <rPr>
            <b/>
            <sz val="9"/>
            <color indexed="81"/>
            <rFont val="Tahoma"/>
            <charset val="177"/>
          </rPr>
          <t>יניב שפירא:</t>
        </r>
        <r>
          <rPr>
            <sz val="9"/>
            <color indexed="81"/>
            <rFont val="Tahoma"/>
            <charset val="177"/>
          </rPr>
          <t xml:space="preserve">
1 = מתנגד בהחלט
2 = מתנגד במידה מסויימת
3 = תומך במידה מסויימת
4 = תומך בהחלט</t>
        </r>
      </text>
    </comment>
    <comment ref="L44" authorId="0" shapeId="0" xr:uid="{A67B74A3-84DE-41B4-A398-7034D79B38D0}">
      <text>
        <r>
          <rPr>
            <b/>
            <sz val="9"/>
            <color indexed="81"/>
            <rFont val="Tahoma"/>
            <family val="2"/>
          </rPr>
          <t>יניב שפירא:</t>
        </r>
        <r>
          <rPr>
            <sz val="9"/>
            <color indexed="81"/>
            <rFont val="Tahoma"/>
            <family val="2"/>
          </rPr>
          <t xml:space="preserve">
הניסוח:
"תומכים בהסכם?"</t>
        </r>
      </text>
    </comment>
    <comment ref="N44" authorId="0" shapeId="0" xr:uid="{2668C650-0182-44C0-8930-D838494E1744}">
      <text>
        <r>
          <rPr>
            <b/>
            <sz val="9"/>
            <color indexed="81"/>
            <rFont val="Tahoma"/>
            <family val="2"/>
          </rPr>
          <t>יניב שפירא:</t>
        </r>
        <r>
          <rPr>
            <sz val="9"/>
            <color indexed="81"/>
            <rFont val="Tahoma"/>
            <family val="2"/>
          </rPr>
          <t xml:space="preserve">
הניסוח:
"מסכימים באופן עקרוני לוותר על שטחים תמורת שלום?"</t>
        </r>
      </text>
    </comment>
    <comment ref="L45" authorId="0" shapeId="0" xr:uid="{230252E9-F511-4FE9-98AE-92588989B8F4}">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N45" authorId="0" shapeId="0" xr:uid="{7F7CE583-3549-446B-91A3-AD66B44CA88D}">
      <text>
        <r>
          <rPr>
            <b/>
            <sz val="9"/>
            <color indexed="81"/>
            <rFont val="Tahoma"/>
            <family val="2"/>
          </rPr>
          <t>יניב שפירא:</t>
        </r>
        <r>
          <rPr>
            <sz val="9"/>
            <color indexed="81"/>
            <rFont val="Tahoma"/>
            <family val="2"/>
          </rPr>
          <t xml:space="preserve">
הניסוח:
"מסכיים עקרונית לוותר על שטחים תמורת שלום"</t>
        </r>
      </text>
    </comment>
    <comment ref="M47" authorId="0" shapeId="0" xr:uid="{0D4B0067-853E-4AC1-A175-1E32FD46E36F}">
      <text>
        <r>
          <rPr>
            <b/>
            <sz val="9"/>
            <color indexed="81"/>
            <rFont val="Tahoma"/>
            <family val="2"/>
          </rPr>
          <t>יניב שפירא:</t>
        </r>
        <r>
          <rPr>
            <sz val="9"/>
            <color indexed="81"/>
            <rFont val="Tahoma"/>
            <family val="2"/>
          </rPr>
          <t xml:space="preserve">
1 = יגדל מס' האנשים שתומכים
2 = יגדל מס' האנשים שלא תומכים </t>
        </r>
      </text>
    </comment>
    <comment ref="M49" authorId="0" shapeId="0" xr:uid="{68539535-56D5-4161-B602-64D2863FEDAC}">
      <text>
        <r>
          <rPr>
            <b/>
            <sz val="9"/>
            <color indexed="81"/>
            <rFont val="Tahoma"/>
            <family val="2"/>
          </rPr>
          <t>יניב שפירא:</t>
        </r>
        <r>
          <rPr>
            <sz val="9"/>
            <color indexed="81"/>
            <rFont val="Tahoma"/>
            <family val="2"/>
          </rPr>
          <t xml:space="preserve">
1 = יגדל מס' האנשים שתומכים בהסכם
2 = יגדל מס' האנשים שלא תומכים </t>
        </r>
      </text>
    </comment>
    <comment ref="L50" authorId="0" shapeId="0" xr:uid="{9B6CF8DE-4566-434B-84F9-A6E6E35C6EA0}">
      <text>
        <r>
          <rPr>
            <b/>
            <sz val="9"/>
            <color indexed="81"/>
            <rFont val="Tahoma"/>
            <family val="2"/>
          </rPr>
          <t>יניב שפירא:</t>
        </r>
        <r>
          <rPr>
            <sz val="9"/>
            <color indexed="81"/>
            <rFont val="Tahoma"/>
            <family val="2"/>
          </rPr>
          <t xml:space="preserve">
1 = בכלל לא משכנעת
2 = לא כ"כ משכנעת
3 = די משכנעת
4 = מאד משכנעת</t>
        </r>
      </text>
    </comment>
    <comment ref="L55" authorId="0" shapeId="0" xr:uid="{A4B47C77-5F30-4D70-A9E1-66C563EE33AE}">
      <text>
        <r>
          <rPr>
            <b/>
            <sz val="9"/>
            <color indexed="81"/>
            <rFont val="Tahoma"/>
            <family val="2"/>
          </rPr>
          <t>יניב שפירא:</t>
        </r>
        <r>
          <rPr>
            <sz val="9"/>
            <color indexed="81"/>
            <rFont val="Tahoma"/>
            <family val="2"/>
          </rPr>
          <t xml:space="preserve">
25-29
לפי הסיבות לעיל</t>
        </r>
      </text>
    </comment>
    <comment ref="L61" authorId="0" shapeId="0" xr:uid="{1654C9F7-4F8B-4BD9-8A05-C7BE09CDA59A}">
      <text>
        <r>
          <rPr>
            <b/>
            <sz val="9"/>
            <color indexed="81"/>
            <rFont val="Tahoma"/>
            <family val="2"/>
          </rPr>
          <t>יניב שפירא:</t>
        </r>
        <r>
          <rPr>
            <sz val="9"/>
            <color indexed="81"/>
            <rFont val="Tahoma"/>
            <family val="2"/>
          </rPr>
          <t xml:space="preserve">
32-36
לפי הסיבות לעיל</t>
        </r>
      </text>
    </comment>
    <comment ref="M62" authorId="0" shapeId="0" xr:uid="{AA7A6112-78D6-4C8B-B5EE-6744EA04F5D5}">
      <text>
        <r>
          <rPr>
            <b/>
            <sz val="9"/>
            <color indexed="81"/>
            <rFont val="Tahoma"/>
            <charset val="177"/>
          </rPr>
          <t>יניב שפירא:</t>
        </r>
        <r>
          <rPr>
            <sz val="9"/>
            <color indexed="81"/>
            <rFont val="Tahoma"/>
            <charset val="177"/>
          </rPr>
          <t xml:space="preserve">
1 = תומך מאד
2 = תומך
3 = מתנגד
4 = מתנגד מאד</t>
        </r>
      </text>
    </comment>
    <comment ref="M63" authorId="0" shapeId="0" xr:uid="{92BEB82A-0AE8-401D-B509-37F4ABF37142}">
      <text>
        <r>
          <rPr>
            <b/>
            <sz val="9"/>
            <color indexed="81"/>
            <rFont val="Tahoma"/>
            <charset val="177"/>
          </rPr>
          <t>יניב שפירא:</t>
        </r>
        <r>
          <rPr>
            <sz val="9"/>
            <color indexed="81"/>
            <rFont val="Tahoma"/>
            <charset val="177"/>
          </rPr>
          <t xml:space="preserve">
1 = כן, תקום
2 = לא, לא תקום</t>
        </r>
      </text>
    </comment>
    <comment ref="O63" authorId="0" shapeId="0" xr:uid="{EC5768DB-32F7-4EBC-9EAB-8903D4869EAC}">
      <text>
        <r>
          <rPr>
            <b/>
            <sz val="9"/>
            <color indexed="81"/>
            <rFont val="Tahoma"/>
            <family val="2"/>
          </rPr>
          <t>יניב שפירא:</t>
        </r>
        <r>
          <rPr>
            <sz val="9"/>
            <color indexed="81"/>
            <rFont val="Tahoma"/>
            <family val="2"/>
          </rPr>
          <t xml:space="preserve">
1 = סיכוי גבוה
2 = סיכוי נמוך</t>
        </r>
      </text>
    </comment>
    <comment ref="M64" authorId="0" shapeId="0" xr:uid="{ED1BA430-0E54-4790-B4BC-844BDBCB889E}">
      <text>
        <r>
          <rPr>
            <b/>
            <sz val="9"/>
            <color indexed="81"/>
            <rFont val="Tahoma"/>
            <family val="2"/>
          </rPr>
          <t>יניב שפירא:</t>
        </r>
        <r>
          <rPr>
            <sz val="9"/>
            <color indexed="81"/>
            <rFont val="Tahoma"/>
            <family val="2"/>
          </rPr>
          <t xml:space="preserve">
1 = תקום
2 = לא תקום</t>
        </r>
      </text>
    </comment>
    <comment ref="N65" authorId="0" shapeId="0" xr:uid="{915B671A-49AA-4C11-B580-C4429760F552}">
      <text>
        <r>
          <rPr>
            <b/>
            <sz val="9"/>
            <color indexed="81"/>
            <rFont val="Tahoma"/>
            <family val="2"/>
          </rPr>
          <t>יניב שפירא:</t>
        </r>
        <r>
          <rPr>
            <sz val="9"/>
            <color indexed="81"/>
            <rFont val="Tahoma"/>
            <family val="2"/>
          </rPr>
          <t xml:space="preserve">
1 = תומך בהפרדה לטווח ארוך
2 = תומך בהפרדה, אבל רק לזמן מוגבל כפתרון לבעיית הטרור
3 = לא תומך בהפרדה כלל</t>
        </r>
      </text>
    </comment>
    <comment ref="N66" authorId="0" shapeId="0" xr:uid="{6E0738A2-E58F-430B-ACC2-C5207C163EBD}">
      <text>
        <r>
          <rPr>
            <b/>
            <sz val="9"/>
            <color indexed="81"/>
            <rFont val="Tahoma"/>
            <family val="2"/>
          </rPr>
          <t>יניב שפירא:</t>
        </r>
        <r>
          <rPr>
            <sz val="9"/>
            <color indexed="81"/>
            <rFont val="Tahoma"/>
            <family val="2"/>
          </rPr>
          <t xml:space="preserve">
1 = מסוגל בהחלט
2 = מסוגל
3 = לא מסוגל
4 = בהחלט לא מסוגל</t>
        </r>
      </text>
    </comment>
    <comment ref="N67" authorId="0" shapeId="0" xr:uid="{04CD442A-873F-45E3-9149-B416BEAE73C3}">
      <text>
        <r>
          <rPr>
            <b/>
            <sz val="9"/>
            <color indexed="81"/>
            <rFont val="Tahoma"/>
            <family val="2"/>
          </rPr>
          <t>יניב שפירא:</t>
        </r>
        <r>
          <rPr>
            <sz val="9"/>
            <color indexed="81"/>
            <rFont val="Tahoma"/>
            <family val="2"/>
          </rPr>
          <t xml:space="preserve">
1 = אין להמשיך את המו"מ עם אש"ף בגלל הטרור
2 = רק סיום מוצלח של המו"מ יביא להפסקת הטרור</t>
        </r>
      </text>
    </comment>
    <comment ref="O67" authorId="0" shapeId="0" xr:uid="{8D2D20BE-41A6-414B-856E-BA18C2BA23DC}">
      <text>
        <r>
          <rPr>
            <b/>
            <sz val="9"/>
            <color indexed="81"/>
            <rFont val="Tahoma"/>
            <family val="2"/>
          </rPr>
          <t>יניב שפירא:</t>
        </r>
        <r>
          <rPr>
            <sz val="9"/>
            <color indexed="81"/>
            <rFont val="Tahoma"/>
            <family val="2"/>
          </rPr>
          <t xml:space="preserve">
1 = מוכנה למו"מ
2 = לא מוכנה למו"מ</t>
        </r>
      </text>
    </comment>
    <comment ref="O68" authorId="0" shapeId="0" xr:uid="{E981B325-FDB3-4D20-A578-D01DFB998FC0}">
      <text>
        <r>
          <rPr>
            <b/>
            <sz val="9"/>
            <color indexed="81"/>
            <rFont val="Tahoma"/>
            <family val="2"/>
          </rPr>
          <t>יניב שפירא:</t>
        </r>
        <r>
          <rPr>
            <sz val="9"/>
            <color indexed="81"/>
            <rFont val="Tahoma"/>
            <family val="2"/>
          </rPr>
          <t xml:space="preserve">
1 = צריכה להיות מוכנה
2 = לא צריכה להיות מוכנה</t>
        </r>
      </text>
    </comment>
    <comment ref="N69" authorId="0" shapeId="0" xr:uid="{1BA211ED-50F8-41B9-A692-188604D5D529}">
      <text>
        <r>
          <rPr>
            <b/>
            <sz val="9"/>
            <color indexed="81"/>
            <rFont val="Tahoma"/>
            <family val="2"/>
          </rPr>
          <t>יניב שפירא:</t>
        </r>
        <r>
          <rPr>
            <sz val="9"/>
            <color indexed="81"/>
            <rFont val="Tahoma"/>
            <family val="2"/>
          </rPr>
          <t xml:space="preserve">
1 = נכון מאד
2 = נכון
3 = לא כ"כ נכון
4 = לגמרי לא נכון</t>
        </r>
      </text>
    </comment>
    <comment ref="N70" authorId="0" shapeId="0" xr:uid="{CB295274-59A6-428E-B0BF-47BAB3BA803C}">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r>
      </text>
    </comment>
    <comment ref="N71" authorId="0" shapeId="0" xr:uid="{99CF9C6C-5914-4DF6-9C9B-8475239CCC45}">
      <text>
        <r>
          <rPr>
            <b/>
            <sz val="9"/>
            <color indexed="81"/>
            <rFont val="Tahoma"/>
            <family val="2"/>
          </rPr>
          <t>יניב שפירא:</t>
        </r>
        <r>
          <rPr>
            <sz val="9"/>
            <color indexed="81"/>
            <rFont val="Tahoma"/>
            <family val="2"/>
          </rPr>
          <t xml:space="preserve">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r>
      </text>
    </comment>
    <comment ref="O71" authorId="0" shapeId="0" xr:uid="{79FF0F52-ADEE-4E63-9BD4-A2AADAA00B7B}">
      <text>
        <r>
          <rPr>
            <b/>
            <sz val="9"/>
            <color indexed="81"/>
            <rFont val="Tahoma"/>
            <family val="2"/>
          </rPr>
          <t>יניב שפירא:</t>
        </r>
        <r>
          <rPr>
            <sz val="9"/>
            <color indexed="81"/>
            <rFont val="Tahoma"/>
            <family val="2"/>
          </rPr>
          <t xml:space="preserve">
וגם a472</t>
        </r>
      </text>
    </comment>
    <comment ref="O72" authorId="0" shapeId="0" xr:uid="{4FB989E7-BA8A-4C24-951C-926AFF0EA80B}">
      <text>
        <r>
          <rPr>
            <b/>
            <sz val="9"/>
            <color indexed="81"/>
            <rFont val="Tahoma"/>
            <family val="2"/>
          </rPr>
          <t>יניב שפירא:</t>
        </r>
        <r>
          <rPr>
            <sz val="9"/>
            <color indexed="81"/>
            <rFont val="Tahoma"/>
            <family val="2"/>
          </rPr>
          <t xml:space="preserve">
1 = תמורת הסכם השלום החזרת רוב שטחי יו"ש
2 = סיפוח יו"ש ועזה 
3 = סטטוס קוו</t>
        </r>
      </text>
    </comment>
    <comment ref="O73" authorId="0" shapeId="0" xr:uid="{D118984F-D62B-4CED-BD9C-03C447A2CB38}">
      <text>
        <r>
          <rPr>
            <b/>
            <sz val="9"/>
            <color indexed="81"/>
            <rFont val="Tahoma"/>
            <family val="2"/>
          </rPr>
          <t>יניב שפירא:</t>
        </r>
        <r>
          <rPr>
            <sz val="9"/>
            <color indexed="81"/>
            <rFont val="Tahoma"/>
            <family val="2"/>
          </rPr>
          <t xml:space="preserve">
1 = שלום תמורת שטחים
2 = סיפוח</t>
        </r>
      </text>
    </comment>
    <comment ref="N74" authorId="0" shapeId="0" xr:uid="{4ACD57AD-D965-473E-BF89-00DC3A47A387}">
      <text>
        <r>
          <rPr>
            <b/>
            <sz val="9"/>
            <color indexed="81"/>
            <rFont val="Tahoma"/>
            <family val="2"/>
          </rPr>
          <t>יניב שפירא:</t>
        </r>
        <r>
          <rPr>
            <sz val="9"/>
            <color indexed="81"/>
            <rFont val="Tahoma"/>
            <family val="2"/>
          </rPr>
          <t xml:space="preserve">
1 = בעד
2 = נגד</t>
        </r>
      </text>
    </comment>
    <comment ref="N76" authorId="0" shapeId="0" xr:uid="{D1D4EBD8-3264-4625-B1A3-715BEEB33705}">
      <text>
        <r>
          <rPr>
            <b/>
            <sz val="9"/>
            <color indexed="81"/>
            <rFont val="Tahoma"/>
            <charset val="177"/>
          </rPr>
          <t>יניב שפירא:</t>
        </r>
        <r>
          <rPr>
            <sz val="9"/>
            <color indexed="81"/>
            <rFont val="Tahoma"/>
            <charset val="177"/>
          </rPr>
          <t xml:space="preserve">
1 = יגדל מס' האנשים שמוכנים להחזיר
2 = יגדל מס' האנשים שלא מוכנים להחזיר</t>
        </r>
      </text>
    </comment>
    <comment ref="O77" authorId="0" shapeId="0" xr:uid="{DFB08121-9AA1-4598-BEF5-5F18633CB04A}">
      <text>
        <r>
          <rPr>
            <b/>
            <sz val="9"/>
            <color indexed="81"/>
            <rFont val="Tahoma"/>
            <family val="2"/>
          </rPr>
          <t>יניב שפירא:</t>
        </r>
        <r>
          <rPr>
            <sz val="9"/>
            <color indexed="81"/>
            <rFont val="Tahoma"/>
            <family val="2"/>
          </rPr>
          <t xml:space="preserve">
1 = בטוח שאפשר
2 = חושב שאפשרי
3 = חושב שבלתי אפשרי
4 = בטוח שבלתי אפשרי</t>
        </r>
      </text>
    </comment>
    <comment ref="O78" authorId="0" shapeId="0" xr:uid="{EA0FF274-B6AB-4748-AFFF-1C8AC555226C}">
      <text>
        <r>
          <rPr>
            <b/>
            <sz val="9"/>
            <color indexed="81"/>
            <rFont val="Tahoma"/>
            <family val="2"/>
          </rPr>
          <t>יניב שפירא:</t>
        </r>
        <r>
          <rPr>
            <sz val="9"/>
            <color indexed="81"/>
            <rFont val="Tahoma"/>
            <family val="2"/>
          </rPr>
          <t xml:space="preserve">
1 = בטוח שיכולה
2 = חושב שיכולה
3 = חושב שלא יכולה
4 = בטוח שלא יכולה</t>
        </r>
      </text>
    </comment>
    <comment ref="O79" authorId="0" shapeId="0" xr:uid="{33B64ADD-FD8E-45BD-A602-235596804A27}">
      <text>
        <r>
          <rPr>
            <b/>
            <sz val="9"/>
            <color indexed="81"/>
            <rFont val="Tahoma"/>
            <family val="2"/>
          </rPr>
          <t>יניב שפירא:</t>
        </r>
        <r>
          <rPr>
            <sz val="9"/>
            <color indexed="81"/>
            <rFont val="Tahoma"/>
            <family val="2"/>
          </rPr>
          <t xml:space="preserve">
1 = סיכויים גבוהים
2 = סיכויים בינוניים
3 = סיכויים נמוכים
4 = סיכויים קלושים</t>
        </r>
      </text>
    </comment>
    <comment ref="O80" authorId="0" shapeId="0" xr:uid="{C9F867C0-D4EA-4D62-B17A-324742C4D41D}">
      <text>
        <r>
          <rPr>
            <b/>
            <sz val="9"/>
            <color indexed="81"/>
            <rFont val="Tahoma"/>
            <family val="2"/>
          </rPr>
          <t>יניב שפירא:</t>
        </r>
        <r>
          <rPr>
            <sz val="9"/>
            <color indexed="81"/>
            <rFont val="Tahoma"/>
            <family val="2"/>
          </rPr>
          <t xml:space="preserve">
1 = לסיפוח השטחים
2 = למדינה פלסטינית
3 = לאוטונומיה של הפלסטינים תחת שלטון ישראלי כפתרון קבע</t>
        </r>
      </text>
    </comment>
    <comment ref="O81" authorId="0" shapeId="0" xr:uid="{D49167A5-462F-4E28-9E66-708B7E88D70A}">
      <text>
        <r>
          <rPr>
            <b/>
            <sz val="9"/>
            <color indexed="81"/>
            <rFont val="Tahoma"/>
            <family val="2"/>
          </rPr>
          <t>יניב שפירא:</t>
        </r>
        <r>
          <rPr>
            <sz val="9"/>
            <color indexed="81"/>
            <rFont val="Tahoma"/>
            <family val="2"/>
          </rPr>
          <t xml:space="preserve">
1 = תומך בהחלט
2 = תומך
3 = מתנגד
4 = מתנגד בהחלט</t>
        </r>
      </text>
    </comment>
    <comment ref="O82" authorId="0" shapeId="0" xr:uid="{1497B3CB-BBDD-4B25-9230-A3CEA81E7FCE}">
      <text>
        <r>
          <rPr>
            <b/>
            <sz val="9"/>
            <color indexed="81"/>
            <rFont val="Tahoma"/>
            <family val="2"/>
          </rPr>
          <t>יניב שפירא:</t>
        </r>
        <r>
          <rPr>
            <sz val="9"/>
            <color indexed="81"/>
            <rFont val="Tahoma"/>
            <family val="2"/>
          </rPr>
          <t xml:space="preserve">
1 = תומך בכל תנאי
2 = רק במקומות חשובים מסיבה בטחונית
3 = מתנגד בכל תנאי</t>
        </r>
      </text>
    </comment>
    <comment ref="O83" authorId="0" shapeId="0" xr:uid="{8685F8E2-501B-47E2-B87F-6E397C914C4B}">
      <text>
        <r>
          <rPr>
            <b/>
            <sz val="9"/>
            <color indexed="81"/>
            <rFont val="Tahoma"/>
            <family val="2"/>
          </rPr>
          <t>יניב שפירא:</t>
        </r>
        <r>
          <rPr>
            <sz val="9"/>
            <color indexed="81"/>
            <rFont val="Tahoma"/>
            <family val="2"/>
          </rPr>
          <t xml:space="preserve">
1 = רבין
2 = שמיר</t>
        </r>
      </text>
    </comment>
    <comment ref="O84" authorId="0" shapeId="0" xr:uid="{AA47F849-B8DA-4C7A-919B-5FE06E7E0B4E}">
      <text>
        <r>
          <rPr>
            <b/>
            <sz val="9"/>
            <color indexed="81"/>
            <rFont val="Tahoma"/>
            <family val="2"/>
          </rPr>
          <t>יניב שפירא:</t>
        </r>
        <r>
          <rPr>
            <sz val="9"/>
            <color indexed="81"/>
            <rFont val="Tahoma"/>
            <family val="2"/>
          </rPr>
          <t xml:space="preserve">
1 = סיכוי גבוה
2 = סיכוי נמוך</t>
        </r>
      </text>
    </comment>
    <comment ref="P85" authorId="0" shapeId="0" xr:uid="{27E18EBE-4E33-4A27-AA4A-18A9005C2B9D}">
      <text>
        <r>
          <rPr>
            <b/>
            <sz val="9"/>
            <color indexed="81"/>
            <rFont val="Tahoma"/>
            <family val="2"/>
          </rPr>
          <t>יניב שפירא:</t>
        </r>
        <r>
          <rPr>
            <sz val="9"/>
            <color indexed="81"/>
            <rFont val="Tahoma"/>
            <family val="2"/>
          </rPr>
          <t xml:space="preserve">
1-4
1 = הכי חשוב
4 = הכי פחות חשוב</t>
        </r>
      </text>
    </comment>
    <comment ref="P89" authorId="0" shapeId="0" xr:uid="{62C0504C-D140-4623-8763-D7589778D7F1}">
      <text>
        <r>
          <rPr>
            <b/>
            <sz val="9"/>
            <color indexed="81"/>
            <rFont val="Tahoma"/>
            <charset val="177"/>
          </rPr>
          <t>יניב שפירא:</t>
        </r>
        <r>
          <rPr>
            <sz val="9"/>
            <color indexed="81"/>
            <rFont val="Tahoma"/>
            <charset val="177"/>
          </rPr>
          <t xml:space="preserve">
1 = בהחלט כן
2 = חושב שכן
3 = חושב שלא
4 = בטוח שלא</t>
        </r>
      </text>
    </comment>
    <comment ref="P90" authorId="0" shapeId="0" xr:uid="{CBEF7B9C-1E95-4985-A81E-FEA11815EAD2}">
      <text>
        <r>
          <rPr>
            <b/>
            <sz val="9"/>
            <color indexed="81"/>
            <rFont val="Tahoma"/>
            <family val="2"/>
          </rPr>
          <t>יניב שפירא:</t>
        </r>
        <r>
          <rPr>
            <sz val="9"/>
            <color indexed="81"/>
            <rFont val="Tahoma"/>
            <family val="2"/>
          </rPr>
          <t xml:space="preserve">
1 = מחייב
2 = שולל</t>
        </r>
      </text>
    </comment>
    <comment ref="P91" authorId="0" shapeId="0" xr:uid="{27425FB4-B744-4855-BBEF-57BB0C094DB0}">
      <text>
        <r>
          <rPr>
            <b/>
            <sz val="9"/>
            <color indexed="81"/>
            <rFont val="Tahoma"/>
            <family val="2"/>
          </rPr>
          <t>יניב שפירא:</t>
        </r>
        <r>
          <rPr>
            <sz val="9"/>
            <color indexed="81"/>
            <rFont val="Tahoma"/>
            <family val="2"/>
          </rPr>
          <t xml:space="preserve">
1 = בעד
2 = נגד</t>
        </r>
      </text>
    </comment>
    <comment ref="L92" authorId="0" shapeId="0" xr:uid="{76413077-F804-49E8-8DA3-3F2352CC2035}">
      <text>
        <r>
          <rPr>
            <b/>
            <sz val="9"/>
            <color indexed="81"/>
            <rFont val="Tahoma"/>
            <family val="2"/>
          </rPr>
          <t>יניב שפירא:</t>
        </r>
        <r>
          <rPr>
            <sz val="9"/>
            <color indexed="81"/>
            <rFont val="Tahoma"/>
            <family val="2"/>
          </rPr>
          <t xml:space="preserve">
1 = כן
2 = לא
3 = לא שירתתי בצבא</t>
        </r>
      </text>
    </comment>
    <comment ref="P92" authorId="0" shapeId="0" xr:uid="{47C08B73-3834-42AA-86CA-DC292994EF8C}">
      <text>
        <r>
          <rPr>
            <b/>
            <sz val="9"/>
            <color indexed="81"/>
            <rFont val="Tahoma"/>
            <charset val="177"/>
          </rPr>
          <t>יניב שפירא:</t>
        </r>
        <r>
          <rPr>
            <sz val="9"/>
            <color indexed="81"/>
            <rFont val="Tahoma"/>
            <charset val="177"/>
          </rPr>
          <t xml:space="preserve">
1 = כן
2 = לא
3 = לא משרת במילואים</t>
        </r>
      </text>
    </comment>
    <comment ref="P93" authorId="0" shapeId="0" xr:uid="{DCC30267-771B-49A8-8B99-6C2C1E8DB877}">
      <text>
        <r>
          <rPr>
            <b/>
            <sz val="9"/>
            <color indexed="81"/>
            <rFont val="Tahoma"/>
            <charset val="177"/>
          </rPr>
          <t>יניב שפירא:</t>
        </r>
        <r>
          <rPr>
            <sz val="9"/>
            <color indexed="81"/>
            <rFont val="Tahoma"/>
            <charset val="177"/>
          </rPr>
          <t xml:space="preserve">
1 = לא
2 = כן, בכמה?</t>
        </r>
      </text>
    </comment>
    <comment ref="Q94" authorId="0" shapeId="0" xr:uid="{FF730A0A-84AC-4E3A-8324-98D3931EA623}">
      <text>
        <r>
          <rPr>
            <b/>
            <sz val="9"/>
            <color indexed="81"/>
            <rFont val="Tahoma"/>
            <charset val="177"/>
          </rPr>
          <t>יניב שפירא:</t>
        </r>
        <r>
          <rPr>
            <sz val="9"/>
            <color indexed="81"/>
            <rFont val="Tahoma"/>
            <charset val="177"/>
          </rPr>
          <t xml:space="preserve">
1 = אין לותר על שום שטח מיו"ש
2 = יש לוותר על חלק קטן מיו"ש
3 = יש לוותר על חלק מיו"ש
4 = יש לוותר כמעט על כל יו"ש
5 = יש לוותר על כל יו"ש</t>
        </r>
      </text>
    </comment>
    <comment ref="W94" authorId="0" shapeId="0" xr:uid="{38D4FDFD-AE4F-4856-B5EA-9E9E042C447A}">
      <text>
        <r>
          <rPr>
            <b/>
            <sz val="9"/>
            <color indexed="81"/>
            <rFont val="Tahoma"/>
            <charset val="177"/>
          </rPr>
          <t>יניב שפירא:</t>
        </r>
        <r>
          <rPr>
            <sz val="9"/>
            <color indexed="81"/>
            <rFont val="Tahoma"/>
            <charset val="177"/>
          </rPr>
          <t xml:space="preserve">
1 = לוותר על כל יו"ש
2 = לוותר כמעט על כל יו"ש
3 = לוותר על חלק מיו"ש
4 = לוותר על חלק קטן מיו"ש
5 = לא לוותר על שום חלק</t>
        </r>
      </text>
    </comment>
    <comment ref="Q95" authorId="0" shapeId="0" xr:uid="{3732CC3A-791C-49EB-B633-6A9BD9C15C50}">
      <text>
        <r>
          <rPr>
            <b/>
            <sz val="9"/>
            <color indexed="81"/>
            <rFont val="Tahoma"/>
            <charset val="177"/>
          </rPr>
          <t>יניב שפירא:</t>
        </r>
        <r>
          <rPr>
            <sz val="9"/>
            <color indexed="81"/>
            <rFont val="Tahoma"/>
            <charset val="177"/>
          </rPr>
          <t xml:space="preserve">
1 = עמדתי לא השתנתה
2 = נעשיתי מוכן יותר לויתורים
3 = נעשיתי מוכן פחות לויתורים</t>
        </r>
      </text>
    </comment>
    <comment ref="Q96" authorId="0" shapeId="0" xr:uid="{5EE59733-6D15-4359-BD70-FA6855F89B81}">
      <text>
        <r>
          <rPr>
            <b/>
            <sz val="9"/>
            <color indexed="81"/>
            <rFont val="Tahoma"/>
            <family val="2"/>
          </rPr>
          <t>יניב שפירא:</t>
        </r>
        <r>
          <rPr>
            <sz val="9"/>
            <color indexed="81"/>
            <rFont val="Tahoma"/>
            <family val="2"/>
          </rPr>
          <t xml:space="preserve">
1 = כן
2 = לא</t>
        </r>
      </text>
    </comment>
    <comment ref="T97" authorId="0" shapeId="0" xr:uid="{601849D3-29FF-4098-BB4B-0011842D4551}">
      <text>
        <r>
          <rPr>
            <b/>
            <sz val="9"/>
            <color indexed="81"/>
            <rFont val="Tahoma"/>
            <charset val="177"/>
          </rPr>
          <t>יניב שפירא:</t>
        </r>
        <r>
          <rPr>
            <sz val="9"/>
            <color indexed="81"/>
            <rFont val="Tahoma"/>
            <charset val="177"/>
          </rPr>
          <t xml:space="preserve">
1 = חשוב מאד
2 = חשוב
3 = לא חשוב
4 = לגמרי לא חשוב</t>
        </r>
      </text>
    </comment>
    <comment ref="T98" authorId="0" shapeId="0" xr:uid="{09354B7B-5369-48DF-AF80-7EB6EF544A70}">
      <text>
        <r>
          <rPr>
            <b/>
            <sz val="9"/>
            <color indexed="81"/>
            <rFont val="Tahoma"/>
            <charset val="177"/>
          </rPr>
          <t>יניב שפירא:</t>
        </r>
        <r>
          <rPr>
            <sz val="9"/>
            <color indexed="81"/>
            <rFont val="Tahoma"/>
            <charset val="177"/>
          </rPr>
          <t xml:space="preserve">
1 = מסכים בהחלט
2 = מסכים
3 = לא מסכים
4 = לגמרי לא מסכים</t>
        </r>
      </text>
    </comment>
    <comment ref="AD98" authorId="0" shapeId="0" xr:uid="{5D626A85-4F37-458D-8B90-6959A11BB128}">
      <text>
        <r>
          <rPr>
            <b/>
            <sz val="9"/>
            <color indexed="81"/>
            <rFont val="Tahoma"/>
            <family val="2"/>
          </rPr>
          <t>יניב שפירא:</t>
        </r>
        <r>
          <rPr>
            <sz val="9"/>
            <color indexed="81"/>
            <rFont val="Tahoma"/>
            <family val="2"/>
          </rPr>
          <t xml:space="preserve">
1 = לדעתי, אין להחזיר כלום
2 = יש להחזיר חלק קטן
3 = יש להחזיר חלק גדול
4 = יש להחזיר הכל</t>
        </r>
      </text>
    </comment>
    <comment ref="AE98" authorId="0" shapeId="0" xr:uid="{B4A53DB7-4B2A-4DBE-8F4E-067BE8F9E1B6}">
      <text>
        <r>
          <rPr>
            <b/>
            <sz val="9"/>
            <color indexed="81"/>
            <rFont val="Tahoma"/>
            <family val="2"/>
          </rPr>
          <t>יניב שפירא:</t>
        </r>
        <r>
          <rPr>
            <sz val="9"/>
            <color indexed="81"/>
            <rFont val="Tahoma"/>
            <family val="2"/>
          </rPr>
          <t xml:space="preserve">
1 = יש להחזיר הכל
2 = יש להחזיר חלק גדול
3 = יש להחזיר חלק קטן
4 = אין להחזיר  כלום</t>
        </r>
      </text>
    </comment>
    <comment ref="T99" authorId="0" shapeId="0" xr:uid="{5CC73121-73DA-4C27-9C03-AEDC6EBF6FF4}">
      <text>
        <r>
          <rPr>
            <b/>
            <sz val="9"/>
            <color indexed="81"/>
            <rFont val="Tahoma"/>
            <charset val="177"/>
          </rPr>
          <t>יניב שפירא:</t>
        </r>
        <r>
          <rPr>
            <sz val="9"/>
            <color indexed="81"/>
            <rFont val="Tahoma"/>
            <charset val="177"/>
          </rPr>
          <t xml:space="preserve">
1 = בעד ויתור על כל השטחים
2 = בעד ויתור על חלק גדול מהשטחים
3 = בעד ויתור על חלק קטן מהשטחים
4 = אין להחזיר שטחים כלל</t>
        </r>
      </text>
    </comment>
    <comment ref="K100" authorId="0" shapeId="0" xr:uid="{E1F4753C-244E-46BC-BD22-F8FDE7544E78}">
      <text>
        <r>
          <rPr>
            <b/>
            <sz val="9"/>
            <color indexed="81"/>
            <rFont val="Tahoma"/>
            <family val="2"/>
          </rPr>
          <t>יניב שפירא:</t>
        </r>
        <r>
          <rPr>
            <sz val="9"/>
            <color indexed="81"/>
            <rFont val="Tahoma"/>
            <family val="2"/>
          </rPr>
          <t xml:space="preserve">
סולם 1-10
1 = רחוק ביותר
10 = קרוב ביותר</t>
        </r>
      </text>
    </comment>
    <comment ref="M103" authorId="0" shapeId="0" xr:uid="{674EB3E7-E21B-4CC5-82D1-E28ED3B55914}">
      <text>
        <r>
          <rPr>
            <b/>
            <sz val="9"/>
            <color indexed="81"/>
            <rFont val="Tahoma"/>
            <family val="2"/>
          </rPr>
          <t>יניב שפירא:</t>
        </r>
        <r>
          <rPr>
            <sz val="9"/>
            <color indexed="81"/>
            <rFont val="Tahoma"/>
            <family val="2"/>
          </rPr>
          <t xml:space="preserve">
סולם 1-10
1 = רחוק ביותר
10 = קרוב ביותר</t>
        </r>
      </text>
    </comment>
    <comment ref="U108" authorId="0" shapeId="0" xr:uid="{B9E50FBD-177A-4B30-8AC9-7D7B45075C39}">
      <text>
        <r>
          <rPr>
            <b/>
            <sz val="9"/>
            <color indexed="81"/>
            <rFont val="Tahoma"/>
            <charset val="177"/>
          </rPr>
          <t>יניב שפירא:</t>
        </r>
        <r>
          <rPr>
            <sz val="9"/>
            <color indexed="81"/>
            <rFont val="Tahoma"/>
            <charset val="177"/>
          </rPr>
          <t xml:space="preserve">
1 = במידה רבה מאד
2 = במידה רבה
3 = במידה מסויימת
4 = במידה מועטה
5 = בכלל לא</t>
        </r>
      </text>
    </comment>
    <comment ref="V109" authorId="0" shapeId="0" xr:uid="{54260BA3-7E83-4171-8C3E-4EACA182325D}">
      <text>
        <r>
          <rPr>
            <b/>
            <sz val="9"/>
            <color indexed="81"/>
            <rFont val="Tahoma"/>
            <charset val="177"/>
          </rPr>
          <t>יניב שפירא:</t>
        </r>
        <r>
          <rPr>
            <sz val="9"/>
            <color indexed="81"/>
            <rFont val="Tahoma"/>
            <charset val="177"/>
          </rPr>
          <t xml:space="preserve">
1 = לא צריכה להיות מוכנה כלל
2 = צריכה להיות במידה מועטה
3 = צריכה במידה מסויימת
4 = צריכה להיות מוכנה במידה רבה</t>
        </r>
      </text>
    </comment>
    <comment ref="Z109" authorId="0" shapeId="0" xr:uid="{707BCD48-7360-470E-847B-452A6EE30799}">
      <text>
        <r>
          <rPr>
            <b/>
            <sz val="9"/>
            <color indexed="81"/>
            <rFont val="Tahoma"/>
            <charset val="177"/>
          </rPr>
          <t>יניב שפירא:</t>
        </r>
        <r>
          <rPr>
            <sz val="9"/>
            <color indexed="81"/>
            <rFont val="Tahoma"/>
            <charset val="177"/>
          </rPr>
          <t xml:space="preserve">
1 = במידה רבה
2 = במידה מסויימת
3 = במידה מועטה
4 = כלל לא</t>
        </r>
      </text>
    </comment>
    <comment ref="W110" authorId="0" shapeId="0" xr:uid="{E2E948CC-DF54-4ECF-A2C5-57A57291ED25}">
      <text>
        <r>
          <rPr>
            <b/>
            <sz val="9"/>
            <color indexed="81"/>
            <rFont val="Tahoma"/>
            <charset val="177"/>
          </rPr>
          <t>יניב שפירא:</t>
        </r>
        <r>
          <rPr>
            <sz val="9"/>
            <color indexed="81"/>
            <rFont val="Tahoma"/>
            <charset val="177"/>
          </rPr>
          <t xml:space="preserve">
1 = תקרב במידה רבה
2 = תקרב במידה מסוימת
3 = תרחיק במידה מסוימת
4 = תרחיק במידה רבה
5 = לא תחזק ולא תחליש</t>
        </r>
      </text>
    </comment>
    <comment ref="X111" authorId="0" shapeId="0" xr:uid="{7260D5A7-0BBA-499D-95D3-3134B3BAD812}">
      <text>
        <r>
          <rPr>
            <b/>
            <sz val="9"/>
            <color indexed="81"/>
            <rFont val="Tahoma"/>
            <charset val="177"/>
          </rPr>
          <t>יניב שפירא:</t>
        </r>
        <r>
          <rPr>
            <sz val="9"/>
            <color indexed="81"/>
            <rFont val="Tahoma"/>
            <charset val="177"/>
          </rPr>
          <t xml:space="preserve">
1 = בהחלט יש לקיים בחירות
2 = אני חושב שיש לקיים בחירות
3 = אני חושב שהממשלה מוסמכת להחליט
4 = אני בטוח שהממשלה מוסמכת להחליט</t>
        </r>
      </text>
    </comment>
    <comment ref="AA112" authorId="0" shapeId="0" xr:uid="{4D28A443-D7B3-4027-8E07-0306B2CC2650}">
      <text>
        <r>
          <rPr>
            <b/>
            <sz val="9"/>
            <color indexed="81"/>
            <rFont val="Tahoma"/>
            <family val="2"/>
          </rPr>
          <t>יניב שפירא:</t>
        </r>
        <r>
          <rPr>
            <sz val="9"/>
            <color indexed="81"/>
            <rFont val="Tahoma"/>
            <family val="2"/>
          </rPr>
          <t xml:space="preserve">
1 = בטוח שאתמוך
2 = חושב שאתמוך
3 = חושב שאתנגד
4 = בטוח שאתנגד</t>
        </r>
      </text>
    </comment>
    <comment ref="AA114" authorId="0" shapeId="0" xr:uid="{EE12C23E-E9A5-41B7-823E-7BC3015BE646}">
      <text>
        <r>
          <rPr>
            <b/>
            <sz val="9"/>
            <color indexed="81"/>
            <rFont val="Tahoma"/>
            <charset val="177"/>
          </rPr>
          <t>יניב שפירא:</t>
        </r>
        <r>
          <rPr>
            <sz val="9"/>
            <color indexed="81"/>
            <rFont val="Tahoma"/>
            <charset val="177"/>
          </rPr>
          <t xml:space="preserve">
1 = בטוח שאתמוך
2 = חושב שאתמוך
3 = חושב שאתנגד
4 = בטוח שאתנגד</t>
        </r>
      </text>
    </comment>
    <comment ref="AA116" authorId="0" shapeId="0" xr:uid="{1FB384EB-674E-4BAE-BC60-1D927B336B12}">
      <text>
        <r>
          <rPr>
            <b/>
            <sz val="9"/>
            <color indexed="81"/>
            <rFont val="Tahoma"/>
            <charset val="177"/>
          </rPr>
          <t>יניב שפירא:</t>
        </r>
        <r>
          <rPr>
            <sz val="9"/>
            <color indexed="81"/>
            <rFont val="Tahoma"/>
            <charset val="177"/>
          </rPr>
          <t xml:space="preserve">
1 = בהחלט מאמין
2 = מאמין
3 = לא כ"כ מאמין
4 = בכלל לא מאמין</t>
        </r>
      </text>
    </comment>
    <comment ref="AB117" authorId="0" shapeId="0" xr:uid="{37A83CD3-BFD8-4FB4-A060-6822C07DF378}">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B118" authorId="0" shapeId="0" xr:uid="{AD8C3971-B3D8-4332-AF16-70B4D70146E5}">
      <text>
        <r>
          <rPr>
            <b/>
            <sz val="9"/>
            <color indexed="81"/>
            <rFont val="Tahoma"/>
            <charset val="177"/>
          </rPr>
          <t>יניב שפירא:</t>
        </r>
        <r>
          <rPr>
            <sz val="9"/>
            <color indexed="81"/>
            <rFont val="Tahoma"/>
            <charset val="177"/>
          </rPr>
          <t xml:space="preserve">
1 = מסכים בהחלט
2 = מסכים
3 = מתנגד
4 = מתנגד בהחלט</t>
        </r>
      </text>
    </comment>
    <comment ref="AG119" authorId="0" shapeId="0" xr:uid="{6F62925F-7A15-4939-AB7F-5EE2CA20103C}">
      <text>
        <r>
          <rPr>
            <b/>
            <sz val="9"/>
            <color indexed="81"/>
            <rFont val="Tahoma"/>
            <family val="2"/>
          </rPr>
          <t>יניב שפירא:</t>
        </r>
        <r>
          <rPr>
            <sz val="9"/>
            <color indexed="81"/>
            <rFont val="Tahoma"/>
            <family val="2"/>
          </rPr>
          <t xml:space="preserve">
1 = כן, חשבתי הרבה
2 = כן, חשבתי קצת
3 = כמעט ולא חשבתי
4 = לא חשבתי כלל</t>
        </r>
      </text>
    </comment>
    <comment ref="AH120" authorId="0" shapeId="0" xr:uid="{9DFCA085-80C5-4C30-817B-053EEC9DA801}">
      <text>
        <r>
          <rPr>
            <b/>
            <sz val="9"/>
            <color indexed="81"/>
            <rFont val="Tahoma"/>
            <family val="2"/>
          </rPr>
          <t>יניב שפירא:</t>
        </r>
        <r>
          <rPr>
            <sz val="9"/>
            <color indexed="81"/>
            <rFont val="Tahoma"/>
            <family val="2"/>
          </rPr>
          <t xml:space="preserve">
1 = בהחלט להכריז
2 = אולי כדאי להכריז
3 = אולי לא כדאי להכריז
4 = בהחלט לא להכריז
5 = אין דעה</t>
        </r>
      </text>
    </comment>
    <comment ref="AH121" authorId="0" shapeId="0" xr:uid="{88426C59-104A-410A-A8C8-36422F191B2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22" authorId="0" shapeId="0" xr:uid="{79CFF4DE-61B8-4FCB-8C2C-47AF56FC0932}">
      <text>
        <r>
          <rPr>
            <b/>
            <sz val="9"/>
            <color indexed="81"/>
            <rFont val="Tahoma"/>
            <charset val="177"/>
          </rPr>
          <t>יניב שפירא:</t>
        </r>
        <r>
          <rPr>
            <sz val="9"/>
            <color indexed="81"/>
            <rFont val="Tahoma"/>
            <charset val="177"/>
          </rPr>
          <t xml:space="preserve">
1 = בהחלט מוכן
2 = מוכן
3 = מסתייג
4 = לא מוכן
5 = בהחלט לא מוכן</t>
        </r>
      </text>
    </comment>
    <comment ref="AH123" authorId="0" shapeId="0" xr:uid="{9C685B6A-59A7-4300-91CE-3B71B5A18687}">
      <text>
        <r>
          <rPr>
            <b/>
            <sz val="9"/>
            <color indexed="81"/>
            <rFont val="Tahoma"/>
            <charset val="177"/>
          </rPr>
          <t>יניב שפירא:</t>
        </r>
        <r>
          <rPr>
            <sz val="9"/>
            <color indexed="81"/>
            <rFont val="Tahoma"/>
            <charset val="177"/>
          </rPr>
          <t xml:space="preserve">
1 = בהחלט מסכים
2 = מסכים
3 = מסתייג
4 = לא מסכים
5 = בהחלט לא מסכים</t>
        </r>
      </text>
    </comment>
    <comment ref="AH124" authorId="0" shapeId="0" xr:uid="{3ABC4AE3-1692-4718-8D57-7404A87BDAFC}">
      <text>
        <r>
          <rPr>
            <b/>
            <sz val="9"/>
            <color indexed="81"/>
            <rFont val="Tahoma"/>
            <charset val="177"/>
          </rPr>
          <t>יניב שפירא:</t>
        </r>
        <r>
          <rPr>
            <sz val="9"/>
            <color indexed="81"/>
            <rFont val="Tahoma"/>
            <charset val="177"/>
          </rPr>
          <t xml:space="preserve">
1 = כל ערביי ישראל עוינים את היהודים
2 = רוב ערביי ישראל עוינים את היהודים
3 = חלק מערביי ישראל עוינים את היהודים
4 = אף אחד מערביי ישראל אינו עוין את היהודים</t>
        </r>
      </text>
    </comment>
    <comment ref="AH125" authorId="0" shapeId="0" xr:uid="{757CF2F9-F8E3-4ABC-85BD-601BAFF15290}">
      <text>
        <r>
          <rPr>
            <b/>
            <sz val="9"/>
            <color indexed="81"/>
            <rFont val="Tahoma"/>
            <charset val="177"/>
          </rPr>
          <t>יניב שפירא:</t>
        </r>
        <r>
          <rPr>
            <sz val="9"/>
            <color indexed="81"/>
            <rFont val="Tahoma"/>
            <charset val="177"/>
          </rPr>
          <t xml:space="preserve">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r>
      </text>
    </comment>
    <comment ref="AH126" authorId="0" shapeId="0" xr:uid="{3ACDC6E2-4C52-4D19-B171-601CFD8ADFC2}">
      <text>
        <r>
          <rPr>
            <b/>
            <sz val="9"/>
            <color indexed="81"/>
            <rFont val="Tahoma"/>
            <charset val="177"/>
          </rPr>
          <t>יניב שפירא:</t>
        </r>
        <r>
          <rPr>
            <sz val="9"/>
            <color indexed="81"/>
            <rFont val="Tahoma"/>
            <charset val="177"/>
          </rPr>
          <t xml:space="preserve">
1 = לדעתי אין להחזיר כלום
2 = להחזיר חלק קטן
3 = להחזיר את רוב השטחים
4 = להחזיר את כל השטחים</t>
        </r>
      </text>
    </comment>
    <comment ref="B127" authorId="1" shapeId="0" xr:uid="{9C877F9D-3566-4550-9F87-350670581643}">
      <text>
        <r>
          <rPr>
            <b/>
            <sz val="9"/>
            <color indexed="81"/>
            <rFont val="Tahoma"/>
          </rPr>
          <t>adi:</t>
        </r>
        <r>
          <rPr>
            <sz val="9"/>
            <color indexed="81"/>
            <rFont val="Tahoma"/>
          </rPr>
          <t xml:space="preserve">
1 = שתי מדינות
2 = מדינה אחת מהירדן לים עם שוויון זכויות מלא לפלסטינים
3 = מדינה אחת מהירדן לים בשלטון ישראל ללא זכויות פוליטיות לפלסטינים
4 = אחר (פרט):_______</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CB1EAFEE-5CD9-4367-AB9C-FF0C65A28FE4}">
      <text>
        <r>
          <rPr>
            <b/>
            <sz val="9"/>
            <color indexed="81"/>
            <rFont val="Tahoma"/>
            <charset val="177"/>
          </rPr>
          <t>יניב שפירא:</t>
        </r>
        <r>
          <rPr>
            <sz val="9"/>
            <color indexed="81"/>
            <rFont val="Tahoma"/>
            <charset val="177"/>
          </rPr>
          <t xml:space="preserve">
post election</t>
        </r>
      </text>
    </comment>
    <comment ref="AA1" authorId="0" shapeId="0" xr:uid="{DCBE12CA-036B-40C4-9317-AD6FD326EE5C}">
      <text>
        <r>
          <rPr>
            <b/>
            <sz val="9"/>
            <color indexed="81"/>
            <rFont val="Tahoma"/>
            <charset val="177"/>
          </rPr>
          <t>יניב שפירא:</t>
        </r>
        <r>
          <rPr>
            <sz val="9"/>
            <color indexed="81"/>
            <rFont val="Tahoma"/>
            <charset val="177"/>
          </rPr>
          <t xml:space="preserve">
post Kippur + post election</t>
        </r>
      </text>
    </comment>
    <comment ref="AB1" authorId="0" shapeId="0" xr:uid="{ADD8BBA3-7261-472E-8154-E1F10D7FDD36}">
      <text>
        <r>
          <rPr>
            <b/>
            <sz val="9"/>
            <color indexed="81"/>
            <rFont val="Tahoma"/>
            <charset val="177"/>
          </rPr>
          <t>יניב שפירא:</t>
        </r>
        <r>
          <rPr>
            <sz val="9"/>
            <color indexed="81"/>
            <rFont val="Tahoma"/>
            <charset val="177"/>
          </rPr>
          <t xml:space="preserve">
post Kippur</t>
        </r>
      </text>
    </comment>
    <comment ref="AC1" authorId="0" shapeId="0" xr:uid="{56437F1D-1E18-42B4-AC17-41B8C65D5D26}">
      <text>
        <r>
          <rPr>
            <b/>
            <sz val="9"/>
            <color indexed="81"/>
            <rFont val="Tahoma"/>
            <charset val="177"/>
          </rPr>
          <t>יניב שפירא:</t>
        </r>
        <r>
          <rPr>
            <sz val="9"/>
            <color indexed="81"/>
            <rFont val="Tahoma"/>
            <charset val="177"/>
          </rPr>
          <t xml:space="preserve">
post Kippur</t>
        </r>
      </text>
    </comment>
    <comment ref="AF1" authorId="0" shapeId="0" xr:uid="{137EB126-FD31-48DC-BB12-745C190F9E39}">
      <text>
        <r>
          <rPr>
            <b/>
            <sz val="9"/>
            <color indexed="81"/>
            <rFont val="Tahoma"/>
            <charset val="177"/>
          </rPr>
          <t>יניב שפירא:</t>
        </r>
        <r>
          <rPr>
            <sz val="9"/>
            <color indexed="81"/>
            <rFont val="Tahoma"/>
            <charset val="177"/>
          </rPr>
          <t xml:space="preserve">
pre + post election</t>
        </r>
      </text>
    </comment>
    <comment ref="D2" authorId="0" shapeId="0" xr:uid="{CE643869-5517-4B14-BA12-6EEC45339090}">
      <text>
        <r>
          <rPr>
            <b/>
            <sz val="9"/>
            <color indexed="81"/>
            <rFont val="Tahoma"/>
            <family val="2"/>
          </rPr>
          <t>יניב שפירא:</t>
        </r>
        <r>
          <rPr>
            <sz val="9"/>
            <color indexed="81"/>
            <rFont val="Tahoma"/>
            <family val="2"/>
          </rPr>
          <t xml:space="preserve">
1-10
1 = כלל לא דמוקרטית
10 = דמוקרטית לגמרי</t>
        </r>
      </text>
    </comment>
    <comment ref="A3" authorId="0" shapeId="0" xr:uid="{D9FDF648-B509-4DC9-85CD-9C9AA640613C}">
      <text>
        <r>
          <rPr>
            <b/>
            <sz val="9"/>
            <color indexed="81"/>
            <rFont val="Tahoma"/>
            <family val="2"/>
          </rPr>
          <t>יניב שפירא:</t>
        </r>
        <r>
          <rPr>
            <sz val="9"/>
            <color indexed="81"/>
            <rFont val="Tahoma"/>
            <family val="2"/>
          </rPr>
          <t xml:space="preserve">
שאלות 119-128
לא מקודדות אצלי בstata
גם ב2020 וגם ב2019
* ב2019 השאלה בכחול
* גם ב2021</t>
        </r>
      </text>
    </comment>
    <comment ref="D3" authorId="0" shapeId="0" xr:uid="{C320BE49-54F1-4599-83D0-1C039350684D}">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G7" authorId="0" shapeId="0" xr:uid="{08763899-92B6-4C8B-B44A-C320E86E853F}">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D9" authorId="0" shapeId="0" xr:uid="{E313C171-D05D-4B62-AB55-0399B8A287B1}">
      <text>
        <r>
          <rPr>
            <b/>
            <sz val="9"/>
            <color indexed="81"/>
            <rFont val="Tahoma"/>
            <family val="2"/>
          </rPr>
          <t>יניב שפירא:</t>
        </r>
        <r>
          <rPr>
            <sz val="9"/>
            <color indexed="81"/>
            <rFont val="Tahoma"/>
            <family val="2"/>
          </rPr>
          <t xml:space="preserve">
1 = כלל אין אמון
2 = אמון מועט
3 = אמון רב
4 = אמון רב מאד</t>
        </r>
      </text>
    </comment>
    <comment ref="M11" authorId="0" shapeId="0" xr:uid="{28B1F81D-28AD-4180-9AD9-2E71834B9756}">
      <text>
        <r>
          <rPr>
            <b/>
            <sz val="9"/>
            <color indexed="81"/>
            <rFont val="Tahoma"/>
            <charset val="177"/>
          </rPr>
          <t>יניב שפירא:</t>
        </r>
        <r>
          <rPr>
            <sz val="9"/>
            <color indexed="81"/>
            <rFont val="Tahoma"/>
            <charset val="177"/>
          </rPr>
          <t xml:space="preserve">
1 = כלל אין לי אמון
2 = במידה מועטה
3 = במידה מסוימת
4 = במידה רבה</t>
        </r>
      </text>
    </comment>
    <comment ref="M18" authorId="0" shapeId="0" xr:uid="{F495B698-D01D-48BD-B419-10A85FD56CA2}">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D23" authorId="0" shapeId="0" xr:uid="{E949E793-ADF0-4521-94A9-CB8A63FC384A}">
      <text>
        <r>
          <rPr>
            <b/>
            <sz val="9"/>
            <color indexed="81"/>
            <rFont val="Tahoma"/>
            <family val="2"/>
          </rPr>
          <t>יניב שפירא:</t>
        </r>
        <r>
          <rPr>
            <sz val="9"/>
            <color indexed="81"/>
            <rFont val="Tahoma"/>
            <family val="2"/>
          </rPr>
          <t xml:space="preserve">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r>
      </text>
    </comment>
    <comment ref="D24" authorId="0" shapeId="0" xr:uid="{386F0547-BCC4-48E8-A12C-9C6FADF2B464}">
      <text>
        <r>
          <rPr>
            <b/>
            <sz val="9"/>
            <color indexed="81"/>
            <rFont val="Tahoma"/>
            <family val="2"/>
          </rPr>
          <t>יניב שפירא:</t>
        </r>
        <r>
          <rPr>
            <sz val="9"/>
            <color indexed="81"/>
            <rFont val="Tahoma"/>
            <family val="2"/>
          </rPr>
          <t xml:space="preserve">
1 = מאד לא מרוצה
2 = לא מרוצה
3 = מרוצה
4 = מרוצה מאד
8 = לא יודע
9 = מסרב</t>
        </r>
      </text>
    </comment>
    <comment ref="M24" authorId="0" shapeId="0" xr:uid="{6F94E253-EBD8-41F5-A2A0-D1532B5C6D2A}">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M25" authorId="0" shapeId="0" xr:uid="{8BAA90C6-2D72-474F-A211-36A9BEC96349}">
      <text>
        <r>
          <rPr>
            <b/>
            <sz val="9"/>
            <color indexed="81"/>
            <rFont val="Tahoma"/>
            <family val="2"/>
          </rPr>
          <t>יניב שפירא:</t>
        </r>
        <r>
          <rPr>
            <sz val="9"/>
            <color indexed="81"/>
            <rFont val="Tahoma"/>
            <family val="2"/>
          </rPr>
          <t xml:space="preserve">
1 = מאד לא מרוצה
2 = לא מרוצה
3 = מרוצה
4 = מרוצה מאד</t>
        </r>
      </text>
    </comment>
    <comment ref="F26" authorId="0" shapeId="0" xr:uid="{2B843AC2-17C0-4214-83BB-FAB0A334079B}">
      <text>
        <r>
          <rPr>
            <b/>
            <sz val="9"/>
            <color indexed="81"/>
            <rFont val="Tahoma"/>
            <family val="2"/>
          </rPr>
          <t>יניב שפירא:</t>
        </r>
        <r>
          <rPr>
            <sz val="9"/>
            <color indexed="81"/>
            <rFont val="Tahoma"/>
            <family val="2"/>
          </rPr>
          <t xml:space="preserve">
1-10
1 = כלל לא חשוב
1 = חשוב לחלוטין</t>
        </r>
      </text>
    </comment>
    <comment ref="O27" authorId="0" shapeId="0" xr:uid="{252C0CB1-DB24-458A-8B07-5E830753EE92}">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O28" authorId="0" shapeId="0" xr:uid="{7B39951F-5037-4E39-A56A-CB647BF90541}">
      <text>
        <r>
          <rPr>
            <b/>
            <sz val="9"/>
            <color indexed="81"/>
            <rFont val="Tahoma"/>
            <family val="2"/>
          </rPr>
          <t>יניב שפירא:</t>
        </r>
        <r>
          <rPr>
            <sz val="9"/>
            <color indexed="81"/>
            <rFont val="Tahoma"/>
            <family val="2"/>
          </rPr>
          <t xml:space="preserve">
1 = סיכוי גבוה
2 = סיכוי נמוך</t>
        </r>
      </text>
    </comment>
    <comment ref="I29" authorId="0" shapeId="0" xr:uid="{1D98297C-4F6E-42E2-8C9F-8D97E45D5C67}">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Q29" authorId="0" shapeId="0" xr:uid="{7668D09B-9A28-431B-B2BD-A4A51B62B17A}">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U29" authorId="0" shapeId="0" xr:uid="{E45E0E03-9DEE-4FD6-9E23-519BB1C4A107}">
      <text>
        <r>
          <rPr>
            <b/>
            <sz val="9"/>
            <color indexed="81"/>
            <rFont val="Tahoma"/>
            <charset val="177"/>
          </rPr>
          <t>יניב שפירא:</t>
        </r>
        <r>
          <rPr>
            <sz val="9"/>
            <color indexed="81"/>
            <rFont val="Tahoma"/>
            <charset val="177"/>
          </rPr>
          <t xml:space="preserve">
1 = מסכים בהחלט
2 = מסכים
3 = לא בטוח
4 = לא מסכים
5 = בהחלט לא מסכים</t>
        </r>
      </text>
    </comment>
    <comment ref="I30" authorId="0" shapeId="0" xr:uid="{896BA699-2277-46C7-98DC-F5FF42C32128}">
      <text>
        <r>
          <rPr>
            <b/>
            <sz val="9"/>
            <color indexed="81"/>
            <rFont val="Tahoma"/>
            <family val="2"/>
          </rPr>
          <t>יניב שפירא:</t>
        </r>
        <r>
          <rPr>
            <sz val="9"/>
            <color indexed="81"/>
            <rFont val="Tahoma"/>
            <family val="2"/>
          </rPr>
          <t xml:space="preserve">
1 = בהחלט לא מסכים
2 = לא מסכים
3 = מסכים
4 = מסכים בהחלט</t>
        </r>
      </text>
    </comment>
    <comment ref="A31" authorId="0" shapeId="0" xr:uid="{6129FB11-5770-4433-8D09-FB8D4B217C90}">
      <text>
        <r>
          <rPr>
            <b/>
            <sz val="9"/>
            <color indexed="81"/>
            <rFont val="Tahoma"/>
            <family val="2"/>
          </rPr>
          <t>יניב שפירא:</t>
        </r>
        <r>
          <rPr>
            <sz val="9"/>
            <color indexed="81"/>
            <rFont val="Tahoma"/>
            <family val="2"/>
          </rPr>
          <t xml:space="preserve">
יהודים בלבד</t>
        </r>
      </text>
    </comment>
    <comment ref="L31" authorId="0" shapeId="0" xr:uid="{52554985-303D-4586-975A-3AF5CB51A568}">
      <text>
        <r>
          <rPr>
            <b/>
            <sz val="9"/>
            <color indexed="81"/>
            <rFont val="Tahoma"/>
            <family val="2"/>
          </rPr>
          <t>יניב שפירא:</t>
        </r>
        <r>
          <rPr>
            <sz val="9"/>
            <color indexed="81"/>
            <rFont val="Tahoma"/>
            <family val="2"/>
          </rPr>
          <t xml:space="preserve">
1 = בטוח שרק יהודים
2 = חושב שרק יהודים
3 = חושב שגם ערבים
4 = בטוח שגם ערבים</t>
        </r>
      </text>
    </comment>
    <comment ref="M32" authorId="0" shapeId="0" xr:uid="{0821E600-C47C-4E6D-9B69-4C9EB1BE801F}">
      <text>
        <r>
          <rPr>
            <b/>
            <sz val="9"/>
            <color indexed="81"/>
            <rFont val="Tahoma"/>
            <charset val="177"/>
          </rPr>
          <t>יניב שפירא:</t>
        </r>
        <r>
          <rPr>
            <sz val="9"/>
            <color indexed="81"/>
            <rFont val="Tahoma"/>
            <charset val="177"/>
          </rPr>
          <t xml:space="preserve">
1 = מאד מרוצה
2 = מרוצה
3 = לא מרוצה
4 = מאד לא מרוצה</t>
        </r>
      </text>
    </comment>
    <comment ref="N33" authorId="0" shapeId="0" xr:uid="{C9A07354-A6C1-4AE3-8C4F-D1BFAB7253AB}">
      <text>
        <r>
          <rPr>
            <b/>
            <sz val="9"/>
            <color indexed="81"/>
            <rFont val="Tahoma"/>
            <family val="2"/>
          </rPr>
          <t>יניב שפירא:</t>
        </r>
        <r>
          <rPr>
            <sz val="9"/>
            <color indexed="81"/>
            <rFont val="Tahoma"/>
            <family val="2"/>
          </rPr>
          <t xml:space="preserve">
1 = מסכים בהחלט
2 = די מסכים
3 = די מתנגד
4 = מתנגד בהחלט</t>
        </r>
      </text>
    </comment>
    <comment ref="S34" authorId="0" shapeId="0" xr:uid="{0E280A75-4250-4E24-A0C4-CDDF2D11BE8E}">
      <text>
        <r>
          <rPr>
            <b/>
            <sz val="9"/>
            <color indexed="81"/>
            <rFont val="Tahoma"/>
            <charset val="177"/>
          </rPr>
          <t>יניב שפירא:</t>
        </r>
        <r>
          <rPr>
            <sz val="9"/>
            <color indexed="81"/>
            <rFont val="Tahoma"/>
            <charset val="177"/>
          </rPr>
          <t xml:space="preserve">
1 = הגדלת זכויות אזרח, כולל מתן זכות הצבעה לכנסת
2 = הגדלת זכויות אזרח, אך בלי להצביע בכנסת
3 = השארת המצב כמו שהוא
4 = הפחתת זכויות אזרח</t>
        </r>
      </text>
    </comment>
    <comment ref="O35" authorId="0" shapeId="0" xr:uid="{7F5EB167-AB17-406B-9427-AC3CA58E3206}">
      <text>
        <r>
          <rPr>
            <b/>
            <sz val="9"/>
            <color indexed="81"/>
            <rFont val="Tahoma"/>
            <family val="2"/>
          </rPr>
          <t>יניב שפירא:</t>
        </r>
        <r>
          <rPr>
            <sz val="9"/>
            <color indexed="81"/>
            <rFont val="Tahoma"/>
            <family val="2"/>
          </rPr>
          <t xml:space="preserve">
1 = זכויות אזרח מלאות כולל זכות הצבעה
2 = זכויות אזרח ללא זכות הצבעה
3 = השארת המצב כמו שהוא
4 = הפחתת הזכויות הניתנות כיום</t>
        </r>
      </text>
    </comment>
    <comment ref="I36" authorId="0" shapeId="0" xr:uid="{72D6A039-3592-4660-9FC6-A14A46DB8915}">
      <text>
        <r>
          <rPr>
            <b/>
            <sz val="9"/>
            <color indexed="81"/>
            <rFont val="Tahoma"/>
            <family val="2"/>
          </rPr>
          <t>יניב שפירא:</t>
        </r>
        <r>
          <rPr>
            <sz val="9"/>
            <color indexed="81"/>
            <rFont val="Tahoma"/>
            <family val="2"/>
          </rPr>
          <t xml:space="preserve">
1 = תומך בפסילת שתי המפלגות
2 = תומך רק בפסילת בל"ד
3 = תומך רק בפסילת רע"ם-תע"ל
4 = מתנגד לפסילת שתי המפלגות</t>
        </r>
      </text>
    </comment>
    <comment ref="P37" authorId="0" shapeId="0" xr:uid="{9B832D92-B1EE-457B-9C62-F97E5A31B01E}">
      <text>
        <r>
          <rPr>
            <b/>
            <sz val="9"/>
            <color indexed="81"/>
            <rFont val="Tahoma"/>
            <charset val="177"/>
          </rPr>
          <t>יניב שפירא:</t>
        </r>
        <r>
          <rPr>
            <sz val="9"/>
            <color indexed="81"/>
            <rFont val="Tahoma"/>
            <charset val="177"/>
          </rPr>
          <t xml:space="preserve">
1 = בעד
2 = נגד</t>
        </r>
      </text>
    </comment>
    <comment ref="P38" authorId="0" shapeId="0" xr:uid="{EC69B397-260C-43D9-8B79-777936838057}">
      <text>
        <r>
          <rPr>
            <b/>
            <sz val="9"/>
            <color indexed="81"/>
            <rFont val="Tahoma"/>
            <charset val="177"/>
          </rPr>
          <t>יניב שפירא:</t>
        </r>
        <r>
          <rPr>
            <sz val="9"/>
            <color indexed="81"/>
            <rFont val="Tahoma"/>
            <charset val="177"/>
          </rPr>
          <t xml:space="preserve">
1 = יותר מדי פיקוח
2 = מידה מתאימה
3 = פחות מדי פיקוח</t>
        </r>
      </text>
    </comment>
    <comment ref="Q39" authorId="0" shapeId="0" xr:uid="{09B4D72E-B4E2-4C5C-AA6F-589037ED22CF}">
      <text>
        <r>
          <rPr>
            <b/>
            <sz val="9"/>
            <color indexed="81"/>
            <rFont val="Tahoma"/>
            <family val="2"/>
          </rPr>
          <t>יניב שפירא:</t>
        </r>
        <r>
          <rPr>
            <sz val="9"/>
            <color indexed="81"/>
            <rFont val="Tahoma"/>
            <family val="2"/>
          </rPr>
          <t xml:space="preserve">
1 = מסכים בהחלט
2 = מסכים
3 = לא בטוח
4 = לא מסכים
5 = בהחלט לא מסכים</t>
        </r>
      </text>
    </comment>
    <comment ref="Q44" authorId="0" shapeId="0" xr:uid="{537A4877-4544-4C52-82C8-374A23FD04E7}">
      <text>
        <r>
          <rPr>
            <b/>
            <sz val="9"/>
            <color indexed="81"/>
            <rFont val="Tahoma"/>
            <family val="2"/>
          </rPr>
          <t>יניב שפירא:</t>
        </r>
        <r>
          <rPr>
            <sz val="9"/>
            <color indexed="81"/>
            <rFont val="Tahoma"/>
            <family val="2"/>
          </rPr>
          <t xml:space="preserve">
1 = בהחלט בעד הוצאתה
2 = בעד הוצאתה
3 = לא בטוח
4 = נגד הוצאתה
5 = בהחלט נגד הוצאתה</t>
        </r>
      </text>
    </comment>
    <comment ref="Q49" authorId="0" shapeId="0" xr:uid="{B8986C95-F17F-451D-80CE-285A1119D559}">
      <text>
        <r>
          <rPr>
            <b/>
            <sz val="9"/>
            <color indexed="81"/>
            <rFont val="Tahoma"/>
            <family val="2"/>
          </rPr>
          <t>יניב שפירא:</t>
        </r>
        <r>
          <rPr>
            <sz val="9"/>
            <color indexed="81"/>
            <rFont val="Tahoma"/>
            <family val="2"/>
          </rPr>
          <t xml:space="preserve">
1 = בהחלט מסכים
2 = מסכים
3 = לא בטוח
4 = לא מסכים
5 = בהחלט לא מסכים</t>
        </r>
      </text>
    </comment>
    <comment ref="Q54" authorId="0" shapeId="0" xr:uid="{9B3730BA-ACF0-4AA6-9E12-D8C0AA8AD0A5}">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55" authorId="0" shapeId="0" xr:uid="{DB0F4C82-30B2-4E5E-98FE-2BDE0A9DC3E7}">
      <text>
        <r>
          <rPr>
            <b/>
            <sz val="9"/>
            <color indexed="81"/>
            <rFont val="Tahoma"/>
            <family val="2"/>
          </rPr>
          <t>יניב שפירא:</t>
        </r>
        <r>
          <rPr>
            <sz val="9"/>
            <color indexed="81"/>
            <rFont val="Tahoma"/>
            <family val="2"/>
          </rPr>
          <t xml:space="preserve">
1 = מסכים בהחלט
2 = מסכים
3 = מתנגד
4 = מתנגד בהחלט</t>
        </r>
      </text>
    </comment>
    <comment ref="S62" authorId="0" shapeId="0" xr:uid="{438BEFF8-075E-45AE-A14C-89B2613C3FD5}">
      <text>
        <r>
          <rPr>
            <b/>
            <sz val="9"/>
            <color indexed="81"/>
            <rFont val="Tahoma"/>
            <charset val="177"/>
          </rPr>
          <t>יניב שפירא:</t>
        </r>
        <r>
          <rPr>
            <sz val="9"/>
            <color indexed="81"/>
            <rFont val="Tahoma"/>
            <charset val="177"/>
          </rPr>
          <t xml:space="preserve">
1 = קולותיהם של הבוחרים יכולים במידה רבה לשנות את המדיניות
2 = יכולים לשנות במידה מסוימת
3 = במידה מועטה
4 = בכלל לא יכולים לשנות</t>
        </r>
      </text>
    </comment>
    <comment ref="AF62" authorId="0" shapeId="0" xr:uid="{FA1797BA-785A-451F-8350-9FA24EC1B649}">
      <text>
        <r>
          <rPr>
            <b/>
            <sz val="9"/>
            <color indexed="81"/>
            <rFont val="Tahoma"/>
            <family val="2"/>
          </rPr>
          <t>יניב שפירא:</t>
        </r>
        <r>
          <rPr>
            <sz val="9"/>
            <color indexed="81"/>
            <rFont val="Tahoma"/>
            <family val="2"/>
          </rPr>
          <t xml:space="preserve">
1 = מאוד מסכים עם הטענה
2 = מסכים עם הטענה
3 = מסתייג מהטענה
4 = מתנגד בהחלט לטענה</t>
        </r>
      </text>
    </comment>
    <comment ref="V63" authorId="0" shapeId="0" xr:uid="{3092FB2F-1292-4A08-AE80-5D55E1F4FAA6}">
      <text>
        <r>
          <rPr>
            <b/>
            <sz val="9"/>
            <color indexed="81"/>
            <rFont val="Tahoma"/>
            <charset val="177"/>
          </rPr>
          <t>יניב שפירא:</t>
        </r>
        <r>
          <rPr>
            <sz val="9"/>
            <color indexed="81"/>
            <rFont val="Tahoma"/>
            <charset val="177"/>
          </rPr>
          <t xml:space="preserve">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r>
      </text>
    </comment>
    <comment ref="AB64" authorId="0" shapeId="0" xr:uid="{29B4FA92-E48F-4CC7-BE27-24ED287F59A8}">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D64" authorId="0" shapeId="0" xr:uid="{7561B139-9076-48B0-B400-883B0656574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5" authorId="0" shapeId="0" xr:uid="{83E70AB0-E8DB-4A0B-A7EC-35B5FBA9B53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B66" authorId="0" shapeId="0" xr:uid="{9D0748E0-3971-485D-93CC-D1E11D239E9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6" authorId="0" shapeId="0" xr:uid="{BF36F97C-47D1-4868-82EA-8DF532E15868}">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67" authorId="0" shapeId="0" xr:uid="{8F5C42F1-123C-4228-8027-B0617AC652D1}">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C68" authorId="0" shapeId="0" xr:uid="{8CEFD707-AC8F-4820-A53A-DC598235370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C69" authorId="0" shapeId="0" xr:uid="{918F54BC-0C66-40F7-82C7-4DB0E2892725}">
      <text>
        <r>
          <rPr>
            <b/>
            <sz val="9"/>
            <color indexed="81"/>
            <rFont val="Tahoma"/>
            <family val="2"/>
          </rPr>
          <t>יניב שפירא:</t>
        </r>
        <r>
          <rPr>
            <sz val="9"/>
            <color indexed="81"/>
            <rFont val="Tahoma"/>
            <family val="2"/>
          </rPr>
          <t xml:space="preserve">
1 = בהחלט צריך להצביע
2 = יתכן שצריך
3 = יתכן שלא צריך
4 = בהחלט לא צריך</t>
        </r>
      </text>
    </comment>
    <comment ref="AB70" authorId="0" shapeId="0" xr:uid="{B0C8C9FA-4F0E-4588-BF8C-7A86E933F5E4}">
      <text>
        <r>
          <rPr>
            <b/>
            <sz val="9"/>
            <color indexed="81"/>
            <rFont val="Tahoma"/>
            <charset val="177"/>
          </rPr>
          <t>יניב שפירא:</t>
        </r>
        <r>
          <rPr>
            <sz val="9"/>
            <color indexed="81"/>
            <rFont val="Tahoma"/>
            <charset val="177"/>
          </rPr>
          <t xml:space="preserve">
1 = מסכים בהחלט
2 = מסכים
3 = לא כ"כ מסכים
4 = לא מסכים כלל</t>
        </r>
      </text>
    </comment>
    <comment ref="AD71" authorId="0" shapeId="0" xr:uid="{701A8ADB-BECE-4FEB-8B91-BCEA0AD1108F}">
      <text>
        <r>
          <rPr>
            <b/>
            <sz val="9"/>
            <color indexed="81"/>
            <rFont val="Tahoma"/>
            <family val="2"/>
          </rPr>
          <t>יניב שפירא:</t>
        </r>
        <r>
          <rPr>
            <sz val="9"/>
            <color indexed="81"/>
            <rFont val="Tahoma"/>
            <family val="2"/>
          </rPr>
          <t xml:space="preserve">
1 = בהחלט מסכים
2 = מסכים
3 = לא כ"כ מסכים
4 = בכלל לא מסכים</t>
        </r>
      </text>
    </comment>
    <comment ref="AD72" authorId="0" shapeId="0" xr:uid="{4CB940A7-2390-4ADB-BAD7-48FBBCA26DC6}">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D73" authorId="0" shapeId="0" xr:uid="{D11B81C3-14B8-4D2F-90E9-6B4FE29D7721}">
      <text>
        <r>
          <rPr>
            <b/>
            <sz val="9"/>
            <color indexed="81"/>
            <rFont val="Tahoma"/>
            <charset val="177"/>
          </rPr>
          <t>יניב שפירא:</t>
        </r>
        <r>
          <rPr>
            <sz val="9"/>
            <color indexed="81"/>
            <rFont val="Tahoma"/>
            <charset val="177"/>
          </rPr>
          <t xml:space="preserve">
1 = בהחלט מסכים
2 = מסכים
3 = לא כ"כ מסכים
4 = בהחלט לא מסכים</t>
        </r>
      </text>
    </comment>
    <comment ref="AD74" authorId="0" shapeId="0" xr:uid="{49D230B1-FE0C-4A85-96B6-28820F402EF6}">
      <text>
        <r>
          <rPr>
            <b/>
            <sz val="9"/>
            <color indexed="81"/>
            <rFont val="Tahoma"/>
            <charset val="177"/>
          </rPr>
          <t>יניב שפירא:</t>
        </r>
        <r>
          <rPr>
            <sz val="9"/>
            <color indexed="81"/>
            <rFont val="Tahoma"/>
            <charset val="177"/>
          </rPr>
          <t xml:space="preserve">
1 = מאוד חשוב
2 = חשוב
3 = לא כ"כ חשוב
4 = לא חשוב כלל</t>
        </r>
      </text>
    </comment>
    <comment ref="AD75" authorId="0" shapeId="0" xr:uid="{4EFB03F3-9380-4327-9E49-F021B04EE032}">
      <text>
        <r>
          <rPr>
            <b/>
            <sz val="9"/>
            <color indexed="81"/>
            <rFont val="Tahoma"/>
            <family val="2"/>
          </rPr>
          <t>יניב שפירא:</t>
        </r>
        <r>
          <rPr>
            <sz val="9"/>
            <color indexed="81"/>
            <rFont val="Tahoma"/>
            <family val="2"/>
          </rPr>
          <t xml:space="preserve">
1 = מוטב מפלגה אחת
2 = מוטב מס' מפלגות
3 = הבחירות אינן פוגעות בליכוד העם</t>
        </r>
      </text>
    </comment>
    <comment ref="AE76" authorId="0" shapeId="0" xr:uid="{413E0D87-8E20-4677-A26E-711A82A29AAA}">
      <text>
        <r>
          <rPr>
            <b/>
            <sz val="9"/>
            <color indexed="81"/>
            <rFont val="Tahoma"/>
            <charset val="177"/>
          </rPr>
          <t>יניב שפירא:</t>
        </r>
        <r>
          <rPr>
            <sz val="9"/>
            <color indexed="81"/>
            <rFont val="Tahoma"/>
            <charset val="177"/>
          </rPr>
          <t xml:space="preserve">
1 = בהחלט כן
2 = אולי כן
3 = אולי לא
4 = בהחלט לא</t>
        </r>
      </text>
    </comment>
    <comment ref="AD77" authorId="0" shapeId="0" xr:uid="{31075F01-86DA-4504-A9C4-14F995D98CA5}">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D78" authorId="0" shapeId="0" xr:uid="{F72CF6F7-4142-4A2C-838E-FF2295FAE053}">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G79" authorId="0" shapeId="0" xr:uid="{41D2F9E7-222B-4B14-A255-1046D29F2B13}">
      <text>
        <r>
          <rPr>
            <b/>
            <sz val="9"/>
            <color indexed="81"/>
            <rFont val="Tahoma"/>
            <family val="2"/>
          </rPr>
          <t>יניב שפירא:</t>
        </r>
        <r>
          <rPr>
            <sz val="9"/>
            <color indexed="81"/>
            <rFont val="Tahoma"/>
            <family val="2"/>
          </rPr>
          <t xml:space="preserve">
1 = כלל לא ברור לי
2 = לא כ"כ ברור
3 = ברור לי
4 = ברור בהחלט</t>
        </r>
      </text>
    </comment>
    <comment ref="C80" authorId="0" shapeId="0" xr:uid="{D725A2B3-08D3-458B-B7CC-21C8E3DBC762}">
      <text>
        <r>
          <rPr>
            <b/>
            <sz val="9"/>
            <color indexed="81"/>
            <rFont val="Tahoma"/>
            <family val="2"/>
          </rPr>
          <t>יניב שפירא:</t>
        </r>
        <r>
          <rPr>
            <sz val="9"/>
            <color indexed="81"/>
            <rFont val="Tahoma"/>
            <family val="2"/>
          </rPr>
          <t xml:space="preserve">
1 = יציבה מאוד
2 = יציבה
3 = כמו אחרות
4 = לא יציבה
5 = מאד לא יציבה</t>
        </r>
      </text>
    </comment>
    <comment ref="Z81" authorId="0" shapeId="0" xr:uid="{0CFE1DF1-0DF7-47AA-9C3F-003FD64D9C2B}">
      <text>
        <r>
          <rPr>
            <b/>
            <sz val="9"/>
            <color indexed="81"/>
            <rFont val="Tahoma"/>
            <family val="2"/>
          </rPr>
          <t>יניב שפירא:</t>
        </r>
        <r>
          <rPr>
            <sz val="9"/>
            <color indexed="81"/>
            <rFont val="Tahoma"/>
            <family val="2"/>
          </rPr>
          <t xml:space="preserve">
1 = במידה רבה
2 = במידה מסוימת
3 = במידה מועטה
4 = כלל לא</t>
        </r>
      </text>
    </comment>
    <comment ref="AB81" authorId="0" shapeId="0" xr:uid="{4FD0F723-5F17-4375-9749-51B4170B0919}">
      <text>
        <r>
          <rPr>
            <b/>
            <sz val="9"/>
            <color indexed="81"/>
            <rFont val="Tahoma"/>
            <charset val="177"/>
          </rPr>
          <t>יניב שפירא:</t>
        </r>
        <r>
          <rPr>
            <sz val="9"/>
            <color indexed="81"/>
            <rFont val="Tahoma"/>
            <charset val="177"/>
          </rPr>
          <t xml:space="preserve">
1 = רוצה להשפיע
2 = בהחלט רוצה להשפיע
3 = לא כ"כ רוצה
3 = בכלל לא רוצה</t>
        </r>
      </text>
    </comment>
    <comment ref="V82" authorId="0" shapeId="0" xr:uid="{664F89FF-50A5-4E9F-AAF7-AA4D48A1D358}">
      <text>
        <r>
          <rPr>
            <b/>
            <sz val="9"/>
            <color indexed="81"/>
            <rFont val="Tahoma"/>
            <family val="2"/>
          </rPr>
          <t>יניב שפירא:</t>
        </r>
        <r>
          <rPr>
            <sz val="9"/>
            <color indexed="81"/>
            <rFont val="Tahoma"/>
            <family val="2"/>
          </rPr>
          <t xml:space="preserve">
1 = במידה רבה
2 = במידה מסויימת
3 = במידה מועטה
4 = כלל לא</t>
        </r>
      </text>
    </comment>
    <comment ref="G83" authorId="0" shapeId="0" xr:uid="{3A6D885C-1071-4F43-B3E2-21361A68D46B}">
      <text>
        <r>
          <rPr>
            <b/>
            <sz val="9"/>
            <color indexed="81"/>
            <rFont val="Tahoma"/>
            <family val="2"/>
          </rPr>
          <t>יניב שפירא:</t>
        </r>
        <r>
          <rPr>
            <sz val="9"/>
            <color indexed="81"/>
            <rFont val="Tahoma"/>
            <family val="2"/>
          </rPr>
          <t xml:space="preserve">
1 = בהחלט צריכה לשנות
2 = חשוב שצריכה לשנות
3 = חושב שלא צריכה לשנות
4 = בהחלט לא צריכה לשנות</t>
        </r>
      </text>
    </comment>
    <comment ref="Z85" authorId="0" shapeId="0" xr:uid="{05A3169B-58E3-44A4-B78B-8517C75D7526}">
      <text>
        <r>
          <rPr>
            <b/>
            <sz val="9"/>
            <color indexed="81"/>
            <rFont val="Tahoma"/>
            <family val="2"/>
          </rPr>
          <t>יניב שפירא:</t>
        </r>
        <r>
          <rPr>
            <sz val="9"/>
            <color indexed="81"/>
            <rFont val="Tahoma"/>
            <family val="2"/>
          </rPr>
          <t xml:space="preserve">
1 = בהחלט להמשיך בשיטה הקיימת
2 = חושב להמשיך
3 = חושב שצריך לשנות
4 = בטוח שצריך לשנות
5 = אין לי דעה
6 = שתי השיטות לא טובות, צריך בכלל לעבור לשיטה אזורית</t>
        </r>
      </text>
    </comment>
    <comment ref="AH86" authorId="0" shapeId="0" xr:uid="{4ACB9AA3-BE56-4970-BACA-C93D22492182}">
      <text>
        <r>
          <rPr>
            <b/>
            <sz val="9"/>
            <color indexed="81"/>
            <rFont val="Tahoma"/>
            <family val="2"/>
          </rPr>
          <t>יניב שפירא:</t>
        </r>
        <r>
          <rPr>
            <sz val="9"/>
            <color indexed="81"/>
            <rFont val="Tahoma"/>
            <family val="2"/>
          </rPr>
          <t xml:space="preserve">
1 = בהחלט עדיף בחירות אישיות
2 = עדיף בחירות אישיות
3 = עדיף רשימה מפלגתית
4 = בהחלט עדיף רשימה מפלגתית
5 = אין דעה</t>
        </r>
      </text>
    </comment>
    <comment ref="Z87" authorId="0" shapeId="0" xr:uid="{55A877B7-8F46-4212-8F3D-751FC67F688E}">
      <text>
        <r>
          <rPr>
            <b/>
            <sz val="9"/>
            <color indexed="81"/>
            <rFont val="Tahoma"/>
            <family val="2"/>
          </rPr>
          <t>יניב שפירא:</t>
        </r>
        <r>
          <rPr>
            <sz val="9"/>
            <color indexed="81"/>
            <rFont val="Tahoma"/>
            <family val="2"/>
          </rPr>
          <t xml:space="preserve">
1 = תגביר במידה רבה
2 = תגביר במידה מסוימת
3 = תגביר במידה מועטה
4 = תקטין במידה מועטה
5 = תקטין במידה מסוימת
6 = תקטין במידה רבה
7 = לא תשנה
8 = לא יודע</t>
        </r>
      </text>
    </comment>
    <comment ref="C88" authorId="0" shapeId="0" xr:uid="{338DA9AE-0B27-4A6C-B1BA-3782C357AAE1}">
      <text>
        <r>
          <rPr>
            <b/>
            <sz val="9"/>
            <color indexed="81"/>
            <rFont val="Tahoma"/>
            <family val="2"/>
          </rPr>
          <t>יניב שפירא:</t>
        </r>
        <r>
          <rPr>
            <sz val="9"/>
            <color indexed="81"/>
            <rFont val="Tahoma"/>
            <family val="2"/>
          </rPr>
          <t xml:space="preserve">
1 = זמן ארוך מאד
2 = זמן ארוך
3 = דומה למדינות אחרות
4 = זמן קצר
5 = זמן קצר מאוד</t>
        </r>
      </text>
    </comment>
    <comment ref="C89" authorId="0" shapeId="0" xr:uid="{C0F1A5D0-4874-42EA-8925-937236E06A30}">
      <text>
        <r>
          <rPr>
            <b/>
            <sz val="9"/>
            <color indexed="81"/>
            <rFont val="Tahoma"/>
            <family val="2"/>
          </rPr>
          <t>יניב שפירא:</t>
        </r>
        <r>
          <rPr>
            <sz val="9"/>
            <color indexed="81"/>
            <rFont val="Tahoma"/>
            <family val="2"/>
          </rPr>
          <t xml:space="preserve">
1 = מצליחות מאד
2 = מצליחות
3 = כמו אחרות
4 = לא מצליחות
5 = לא מצליחות כלל</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0526DA23-A73C-4A23-B825-A09EE754BA89}">
      <text>
        <r>
          <rPr>
            <b/>
            <sz val="9"/>
            <color indexed="81"/>
            <rFont val="Tahoma"/>
            <charset val="177"/>
          </rPr>
          <t>יניב שפירא:</t>
        </r>
        <r>
          <rPr>
            <sz val="9"/>
            <color indexed="81"/>
            <rFont val="Tahoma"/>
            <charset val="177"/>
          </rPr>
          <t xml:space="preserve">
post election</t>
        </r>
      </text>
    </comment>
    <comment ref="AA1" authorId="0" shapeId="0" xr:uid="{DBF32650-33FD-4E43-BB26-912FCE3553AE}">
      <text>
        <r>
          <rPr>
            <b/>
            <sz val="9"/>
            <color indexed="81"/>
            <rFont val="Tahoma"/>
            <charset val="177"/>
          </rPr>
          <t>יניב שפירא:</t>
        </r>
        <r>
          <rPr>
            <sz val="9"/>
            <color indexed="81"/>
            <rFont val="Tahoma"/>
            <charset val="177"/>
          </rPr>
          <t xml:space="preserve">
post Kippur + post election</t>
        </r>
      </text>
    </comment>
    <comment ref="AB1" authorId="0" shapeId="0" xr:uid="{EFFA4C27-56E0-4894-ACAD-72432B9B1D4D}">
      <text>
        <r>
          <rPr>
            <b/>
            <sz val="9"/>
            <color indexed="81"/>
            <rFont val="Tahoma"/>
            <charset val="177"/>
          </rPr>
          <t>יניב שפירא:</t>
        </r>
        <r>
          <rPr>
            <sz val="9"/>
            <color indexed="81"/>
            <rFont val="Tahoma"/>
            <charset val="177"/>
          </rPr>
          <t xml:space="preserve">
post Kippur</t>
        </r>
      </text>
    </comment>
    <comment ref="AC1" authorId="0" shapeId="0" xr:uid="{C42F41CB-BA53-49D1-B2BC-5E5CB2735EA1}">
      <text>
        <r>
          <rPr>
            <b/>
            <sz val="9"/>
            <color indexed="81"/>
            <rFont val="Tahoma"/>
            <charset val="177"/>
          </rPr>
          <t>יניב שפירא:</t>
        </r>
        <r>
          <rPr>
            <sz val="9"/>
            <color indexed="81"/>
            <rFont val="Tahoma"/>
            <charset val="177"/>
          </rPr>
          <t xml:space="preserve">
post Kippur</t>
        </r>
      </text>
    </comment>
    <comment ref="AF1" authorId="0" shapeId="0" xr:uid="{6A1B467B-988E-47C4-A3DB-D4D84EE807FF}">
      <text>
        <r>
          <rPr>
            <b/>
            <sz val="9"/>
            <color indexed="81"/>
            <rFont val="Tahoma"/>
            <charset val="177"/>
          </rPr>
          <t>יניב שפירא:</t>
        </r>
        <r>
          <rPr>
            <sz val="9"/>
            <color indexed="81"/>
            <rFont val="Tahoma"/>
            <charset val="177"/>
          </rPr>
          <t xml:space="preserve">
pre + post election</t>
        </r>
      </text>
    </comment>
    <comment ref="C2" authorId="0" shapeId="0" xr:uid="{A164C094-3E35-4DF4-9776-8768C9A2E3A0}">
      <text>
        <r>
          <rPr>
            <b/>
            <sz val="9"/>
            <color indexed="81"/>
            <rFont val="Tahoma"/>
            <family val="2"/>
          </rPr>
          <t>יניב שפירא:</t>
        </r>
        <r>
          <rPr>
            <sz val="9"/>
            <color indexed="81"/>
            <rFont val="Tahoma"/>
            <family val="2"/>
          </rPr>
          <t xml:space="preserve">
1 = אף פעם
2 = פעם בשבוע
3 = פעמים-שלוש בשבוע
4 = כמעט כל יום
5 = יותר מפעם ביום</t>
        </r>
      </text>
    </comment>
    <comment ref="D2" authorId="0" shapeId="0" xr:uid="{9889F420-21AA-4E7E-BDE0-E312025447A6}">
      <text>
        <r>
          <rPr>
            <b/>
            <sz val="9"/>
            <color indexed="81"/>
            <rFont val="Tahoma"/>
            <family val="2"/>
          </rPr>
          <t>יניב שפירא:</t>
        </r>
        <r>
          <rPr>
            <sz val="9"/>
            <color indexed="81"/>
            <rFont val="Tahoma"/>
            <family val="2"/>
          </rPr>
          <t xml:space="preserve">
1 = כמעט אף פעם לא
2 = לעיתים רחוקות בלבד
3 = פעם בשבוע בערך
4 = פעמיים-שלוש בשבוע
5 = כמעט כל יום
6 = יותר מפעם ביום</t>
        </r>
      </text>
    </comment>
    <comment ref="D3" authorId="0" shapeId="0" xr:uid="{7249DC00-6157-48F0-8E92-A8AE3B467FD1}">
      <text>
        <r>
          <rPr>
            <b/>
            <sz val="9"/>
            <color indexed="81"/>
            <rFont val="Tahoma"/>
            <family val="2"/>
          </rPr>
          <t>יניב שפירא:</t>
        </r>
        <r>
          <rPr>
            <sz val="9"/>
            <color indexed="81"/>
            <rFont val="Tahoma"/>
            <family val="2"/>
          </rPr>
          <t xml:space="preserve">
0 = לא משתמש ברשתות חברתיות
1 = אף פעם
2 = פעם אחת בשבוע
3 = פעמיים-שלוש בשבוע
4 = כמעט כל יום
5 = יותר מפעם ביום</t>
        </r>
      </text>
    </comment>
    <comment ref="A4" authorId="0" shapeId="0" xr:uid="{7847E714-20E1-4CB6-AC33-7ECB223D971F}">
      <text>
        <r>
          <rPr>
            <b/>
            <sz val="9"/>
            <color indexed="81"/>
            <rFont val="Tahoma"/>
            <family val="2"/>
          </rPr>
          <t>יניב שפירא:</t>
        </r>
        <r>
          <rPr>
            <sz val="9"/>
            <color indexed="81"/>
            <rFont val="Tahoma"/>
            <family val="2"/>
          </rPr>
          <t xml:space="preserve">
שאלה 92 לא מקודדת בstata
(ב2019, אין אותה ב2020)</t>
        </r>
      </text>
    </comment>
    <comment ref="F4" authorId="0" shapeId="0" xr:uid="{AC4B14C7-8AC5-4745-A5B0-2972C1A1D747}">
      <text>
        <r>
          <rPr>
            <b/>
            <sz val="9"/>
            <color indexed="81"/>
            <rFont val="Tahoma"/>
            <family val="2"/>
          </rPr>
          <t>יניב שפירא:</t>
        </r>
        <r>
          <rPr>
            <sz val="9"/>
            <color indexed="81"/>
            <rFont val="Tahoma"/>
            <family val="2"/>
          </rPr>
          <t xml:space="preserve">
1 = לא
2 = כן</t>
        </r>
      </text>
    </comment>
    <comment ref="F5" authorId="0" shapeId="0" xr:uid="{9BF89D19-D208-4ABB-AED8-1BCC5C8D37A5}">
      <text>
        <r>
          <rPr>
            <b/>
            <sz val="9"/>
            <color indexed="81"/>
            <rFont val="Tahoma"/>
            <family val="2"/>
          </rPr>
          <t>יניב שפירא:</t>
        </r>
        <r>
          <rPr>
            <sz val="9"/>
            <color indexed="81"/>
            <rFont val="Tahoma"/>
            <family val="2"/>
          </rPr>
          <t xml:space="preserve">
1 = כלל לא
2 = לעתים רחוקות
3 = מדי פעם
4 = לעתים קרובות
5 = בקביעות</t>
        </r>
      </text>
    </comment>
    <comment ref="H6" authorId="0" shapeId="0" xr:uid="{67C78511-38C8-404D-B81C-8B8CEC6FE3E9}">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קורא עיתון יומי אחד כמעט כל יום
6 = קורא יותר מעיתון יומי אחד כמעט כל יום</t>
        </r>
      </text>
    </comment>
    <comment ref="J7" authorId="0" shapeId="0" xr:uid="{3D629A81-F57B-4F3F-AFA6-BB138FF040EA}">
      <text>
        <r>
          <rPr>
            <b/>
            <sz val="9"/>
            <color indexed="81"/>
            <rFont val="Tahoma"/>
            <charset val="177"/>
          </rPr>
          <t>יניב שפירא:</t>
        </r>
        <r>
          <rPr>
            <sz val="9"/>
            <color indexed="81"/>
            <rFont val="Tahoma"/>
            <charset val="177"/>
          </rPr>
          <t xml:space="preserve">
1 = ידיעות אחרונות
2 = מעריב
3 = הארץ
4 = וסטי
5 = נובוסטי נדלי
6 = כל אל-ערב
7 = אל-סינארה
8 = אל-אתחאד
9 = פנורמה
10 = אחר</t>
        </r>
      </text>
    </comment>
    <comment ref="L7" authorId="0" shapeId="0" xr:uid="{D7FB1C38-E5E7-4AD0-9BE0-591170E06441}">
      <text>
        <r>
          <rPr>
            <b/>
            <sz val="9"/>
            <color indexed="81"/>
            <rFont val="Tahoma"/>
            <family val="2"/>
          </rPr>
          <t>יניב שפירא:</t>
        </r>
        <r>
          <rPr>
            <sz val="9"/>
            <color indexed="81"/>
            <rFont val="Tahoma"/>
            <family val="2"/>
          </rPr>
          <t xml:space="preserve">
רק ערבים</t>
        </r>
      </text>
    </comment>
    <comment ref="T7" authorId="0" shapeId="0" xr:uid="{4B8D0E54-1E58-4A1C-B98A-8B829ECEDFE5}">
      <text>
        <r>
          <rPr>
            <b/>
            <sz val="9"/>
            <color indexed="81"/>
            <rFont val="Tahoma"/>
            <charset val="177"/>
          </rPr>
          <t>יניב שפירא:</t>
        </r>
        <r>
          <rPr>
            <sz val="9"/>
            <color indexed="81"/>
            <rFont val="Tahoma"/>
            <charset val="177"/>
          </rPr>
          <t xml:space="preserve">
כולל b153 וb154
1 = מעריב
2 = ידיעות אחרונות
3 = הארץ
4 = דבר
5 = עיתון עברי אחר
6 = עיתון לועזי
7 = לא קורא עיתונים</t>
        </r>
      </text>
    </comment>
    <comment ref="V7" authorId="0" shapeId="0" xr:uid="{97F86B6A-A44E-41D2-BA64-E57AF730C8D7}">
      <text>
        <r>
          <rPr>
            <b/>
            <sz val="9"/>
            <color indexed="81"/>
            <rFont val="Tahoma"/>
            <charset val="177"/>
          </rPr>
          <t>יניב שפירא:</t>
        </r>
        <r>
          <rPr>
            <sz val="9"/>
            <color indexed="81"/>
            <rFont val="Tahoma"/>
            <charset val="177"/>
          </rPr>
          <t xml:space="preserve">
גם
v147
v148</t>
        </r>
      </text>
    </comment>
    <comment ref="H8" authorId="0" shapeId="0" xr:uid="{93E22A1C-F3C8-4294-A9CC-FB428556FB71}">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כמעט כל יום
6 = יותר מפעם ביום</t>
        </r>
      </text>
    </comment>
    <comment ref="H9" authorId="0" shapeId="0" xr:uid="{D4276387-14BD-44B9-9B9D-9044EAEE37CF}">
      <text>
        <r>
          <rPr>
            <b/>
            <sz val="9"/>
            <color indexed="81"/>
            <rFont val="Tahoma"/>
            <charset val="177"/>
          </rPr>
          <t>יניב שפירא:</t>
        </r>
        <r>
          <rPr>
            <sz val="9"/>
            <color indexed="81"/>
            <rFont val="Tahoma"/>
            <charset val="177"/>
          </rPr>
          <t xml:space="preserve">
1 = כמעט אף פעם לא
2 = לעיתים רחוקות בלבד
3 = פעם בשבוע בערך
4 = פעמיים-שלוש בשבוע
5 = אני צופה בחדשות לפחות פעם ביום
6 = אני צופה בחדשות יותר מפעם ביום</t>
        </r>
      </text>
    </comment>
    <comment ref="J10" authorId="0" shapeId="0" xr:uid="{A1C82BB6-1259-467F-AC83-B15A686DD882}">
      <text>
        <r>
          <rPr>
            <b/>
            <sz val="9"/>
            <color indexed="81"/>
            <rFont val="Tahoma"/>
            <charset val="177"/>
          </rPr>
          <t>יניב שפירא:</t>
        </r>
        <r>
          <rPr>
            <sz val="9"/>
            <color indexed="81"/>
            <rFont val="Tahoma"/>
            <charset val="177"/>
          </rPr>
          <t xml:space="preserve">
1 = ערוץ 1
2 = ערוץ 2
3 = ערוץ 9
4 = ערוץ 10
5 = RTVi
6 = אל-ג'זירה
7 = MBC דובאי
8 = אחר</t>
        </r>
      </text>
    </comment>
    <comment ref="L10" authorId="0" shapeId="0" xr:uid="{FA6E5E0B-DA82-4030-9DBA-01BAACD69099}">
      <text>
        <r>
          <rPr>
            <b/>
            <sz val="9"/>
            <color indexed="81"/>
            <rFont val="Tahoma"/>
            <family val="2"/>
          </rPr>
          <t>יניב שפירא:</t>
        </r>
        <r>
          <rPr>
            <sz val="9"/>
            <color indexed="81"/>
            <rFont val="Tahoma"/>
            <family val="2"/>
          </rPr>
          <t xml:space="preserve">
רק ערבים</t>
        </r>
      </text>
    </comment>
    <comment ref="A12" authorId="0" shapeId="0" xr:uid="{1F480D38-12F1-4CE9-959E-00F3EF30FC8C}">
      <text>
        <r>
          <rPr>
            <b/>
            <sz val="9"/>
            <color indexed="81"/>
            <rFont val="Tahoma"/>
            <family val="2"/>
          </rPr>
          <t>יניב שפירא:</t>
        </r>
        <r>
          <rPr>
            <sz val="9"/>
            <color indexed="81"/>
            <rFont val="Tahoma"/>
            <family val="2"/>
          </rPr>
          <t xml:space="preserve">
שאלות 96-103 לא מקודדת בstata
(ב2019, אין אותה ב2020)</t>
        </r>
      </text>
    </comment>
    <comment ref="F13" authorId="0" shapeId="0" xr:uid="{CCDCE1A0-E076-4BE2-870F-4D551A55BB96}">
      <text>
        <r>
          <rPr>
            <b/>
            <sz val="9"/>
            <color indexed="81"/>
            <rFont val="Tahoma"/>
            <charset val="177"/>
          </rPr>
          <t>יניב שפירא:</t>
        </r>
        <r>
          <rPr>
            <sz val="9"/>
            <color indexed="81"/>
            <rFont val="Tahoma"/>
            <charset val="177"/>
          </rPr>
          <t xml:space="preserve">
1 = אף פעם
2 = פעם אחת בשבוע
3 = פעמיים-שלוש בשבוע
4 = כמעט כל יום
5 = כמה פעמים ביום</t>
        </r>
      </text>
    </comment>
    <comment ref="C20" authorId="0" shapeId="0" xr:uid="{2D109A20-02F9-48B4-9DB5-EB8C8FBD2D83}">
      <text>
        <r>
          <rPr>
            <b/>
            <sz val="9"/>
            <color indexed="81"/>
            <rFont val="Tahoma"/>
            <family val="2"/>
          </rPr>
          <t>יניב שפירא:</t>
        </r>
        <r>
          <rPr>
            <sz val="9"/>
            <color indexed="81"/>
            <rFont val="Tahoma"/>
            <family val="2"/>
          </rPr>
          <t xml:space="preserve">
0 = לא משתמש כלל
1 = עקבת אחר מפלגת/מועמד ברשתות חברתיות
2 = כתבת בנושא הבחירות או שיתפת תוכן
3 = גם עקבת וגם כתבת
4 = משתמש באינטרהט אך לא עשיתי את הפעולות הללו</t>
        </r>
      </text>
    </comment>
    <comment ref="G20" authorId="0" shapeId="0" xr:uid="{647D3CC9-2FE9-4E6B-AD43-C7B191D98E23}">
      <text>
        <r>
          <rPr>
            <b/>
            <sz val="9"/>
            <color indexed="81"/>
            <rFont val="Tahoma"/>
            <family val="2"/>
          </rPr>
          <t>יניב שפירא:</t>
        </r>
        <r>
          <rPr>
            <sz val="9"/>
            <color indexed="81"/>
            <rFont val="Tahoma"/>
            <family val="2"/>
          </rPr>
          <t xml:space="preserve">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r>
      </text>
    </comment>
    <comment ref="I21" authorId="0" shapeId="0" xr:uid="{A3ECB6F4-5199-4326-9D5F-D1052B7DF6BC}">
      <text>
        <r>
          <rPr>
            <b/>
            <sz val="9"/>
            <color indexed="81"/>
            <rFont val="Tahoma"/>
            <family val="2"/>
          </rPr>
          <t>יניב שפירא:</t>
        </r>
        <r>
          <rPr>
            <sz val="9"/>
            <color indexed="81"/>
            <rFont val="Tahoma"/>
            <family val="2"/>
          </rPr>
          <t xml:space="preserve">
1 = כל יום
2 = לעיתים קרובות
3 = לפעמים
4 = לעיתים רחוקות
5 = בכלל לא</t>
        </r>
      </text>
    </comment>
    <comment ref="X21" authorId="0" shapeId="0" xr:uid="{C8FE2756-2284-4D57-9C15-5EBBD94CF364}">
      <text>
        <r>
          <rPr>
            <b/>
            <sz val="9"/>
            <color indexed="81"/>
            <rFont val="Tahoma"/>
            <charset val="177"/>
          </rPr>
          <t>יניב שפירא:</t>
        </r>
        <r>
          <rPr>
            <sz val="9"/>
            <color indexed="81"/>
            <rFont val="Tahoma"/>
            <charset val="177"/>
          </rPr>
          <t xml:space="preserve">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r>
      </text>
    </comment>
    <comment ref="AD21" authorId="0" shapeId="0" xr:uid="{EB4E406D-D742-493E-A413-0A4C0117659B}">
      <text>
        <r>
          <rPr>
            <b/>
            <sz val="9"/>
            <color indexed="81"/>
            <rFont val="Tahoma"/>
            <family val="2"/>
          </rPr>
          <t>יניב שפירא:</t>
        </r>
        <r>
          <rPr>
            <sz val="9"/>
            <color indexed="81"/>
            <rFont val="Tahoma"/>
            <family val="2"/>
          </rPr>
          <t xml:space="preserve">
1 = כן
2 = לא</t>
        </r>
      </text>
    </comment>
    <comment ref="AF21" authorId="0" shapeId="0" xr:uid="{B5C4535A-4A54-44FD-8C71-1D1DD115EFA8}">
      <text>
        <r>
          <rPr>
            <b/>
            <sz val="9"/>
            <color indexed="81"/>
            <rFont val="Tahoma"/>
            <charset val="177"/>
          </rPr>
          <t>יניב שפירא:</t>
        </r>
        <r>
          <rPr>
            <sz val="9"/>
            <color indexed="81"/>
            <rFont val="Tahoma"/>
            <charset val="177"/>
          </rPr>
          <t xml:space="preserve">
1 = כן, של כל המפלגות
2 = כן, של חלק מהמפלגות
3 = כן, רק של המפלגה שאני תומך בה
4 = לא, למרות שיש לי מקלט
5 = לא, אין לי מקלט</t>
        </r>
      </text>
    </comment>
    <comment ref="AF23" authorId="0" shapeId="0" xr:uid="{785C810D-CB5A-4392-9123-A8BB9C98B26B}">
      <text>
        <r>
          <rPr>
            <b/>
            <sz val="9"/>
            <color indexed="81"/>
            <rFont val="Tahoma"/>
            <charset val="177"/>
          </rPr>
          <t>יניב שפירא:</t>
        </r>
        <r>
          <rPr>
            <sz val="9"/>
            <color indexed="81"/>
            <rFont val="Tahoma"/>
            <charset val="177"/>
          </rPr>
          <t xml:space="preserve">
1 = יותר
2 = כמו עכשיו
3 = פחות
4 = בכלל לא רוצה לראות
5 = לא ראיתי אבל רוצה לראות</t>
        </r>
      </text>
    </comment>
    <comment ref="I24" authorId="0" shapeId="0" xr:uid="{EFF68C23-0F09-4051-B2E3-12FB384D3A8D}">
      <text>
        <r>
          <rPr>
            <b/>
            <sz val="9"/>
            <color indexed="81"/>
            <rFont val="Tahoma"/>
            <family val="2"/>
          </rPr>
          <t>יניב שפירא:</t>
        </r>
        <r>
          <rPr>
            <sz val="9"/>
            <color indexed="81"/>
            <rFont val="Tahoma"/>
            <family val="2"/>
          </rPr>
          <t xml:space="preserve">
1 = כן
2 = משתמש באינטרנט אבל לא בהקשר לבחירות
3 = לא משתמש באינטרנט כלל</t>
        </r>
      </text>
    </comment>
    <comment ref="A25" authorId="0" shapeId="0" xr:uid="{B34D207E-0ED2-4CFE-82F9-5E9228F479D6}">
      <text>
        <r>
          <rPr>
            <b/>
            <sz val="9"/>
            <color indexed="81"/>
            <rFont val="Tahoma"/>
            <family val="2"/>
          </rPr>
          <t>יניב שפירא:</t>
        </r>
        <r>
          <rPr>
            <sz val="9"/>
            <color indexed="81"/>
            <rFont val="Tahoma"/>
            <family val="2"/>
          </rPr>
          <t xml:space="preserve">
רק מי שענה 1 בשאלה הקודמת</t>
        </r>
      </text>
    </comment>
    <comment ref="I25" authorId="0" shapeId="0" xr:uid="{4EE1BA0B-E727-460B-9784-DD96F70E5ADE}">
      <text>
        <r>
          <rPr>
            <b/>
            <sz val="9"/>
            <color indexed="81"/>
            <rFont val="Tahoma"/>
            <family val="2"/>
          </rPr>
          <t>יניב שפירא:</t>
        </r>
        <r>
          <rPr>
            <sz val="9"/>
            <color indexed="81"/>
            <rFont val="Tahoma"/>
            <family val="2"/>
          </rPr>
          <t xml:space="preserve">
1 = לא משתמש
2 = מקבל מידע באמצעותו
3 = מפיץ מידע באמצעותו
4 = גם מקבל וגם מפיץ</t>
        </r>
      </text>
    </comment>
    <comment ref="I34" authorId="0" shapeId="0" xr:uid="{CB48E318-F461-4E70-91E6-F718CF1776DC}">
      <text>
        <r>
          <rPr>
            <b/>
            <sz val="9"/>
            <color indexed="81"/>
            <rFont val="Tahoma"/>
            <family val="2"/>
          </rPr>
          <t>יניב שפירא:</t>
        </r>
        <r>
          <rPr>
            <sz val="9"/>
            <color indexed="81"/>
            <rFont val="Tahoma"/>
            <family val="2"/>
          </rPr>
          <t xml:space="preserve">
1 = כן
2 = לא</t>
        </r>
      </text>
    </comment>
    <comment ref="I35" authorId="0" shapeId="0" xr:uid="{10053935-664D-4DD2-9FDB-EDE936866796}">
      <text>
        <r>
          <rPr>
            <b/>
            <sz val="9"/>
            <color indexed="81"/>
            <rFont val="Tahoma"/>
            <charset val="177"/>
          </rPr>
          <t>יניב שפירא:</t>
        </r>
        <r>
          <rPr>
            <sz val="9"/>
            <color indexed="81"/>
            <rFont val="Tahoma"/>
            <charset val="177"/>
          </rPr>
          <t xml:space="preserve">
1 = כל ערב
2 = כמעט כל ערב
3 = מספר פעמים
4 = פעם אחת
5 = אף פעם</t>
        </r>
      </text>
    </comment>
    <comment ref="AB35" authorId="0" shapeId="0" xr:uid="{B35A6453-3E86-4902-B067-8F3B783743D5}">
      <text>
        <r>
          <rPr>
            <b/>
            <sz val="9"/>
            <color indexed="81"/>
            <rFont val="Tahoma"/>
            <charset val="177"/>
          </rPr>
          <t>יניב שפירא:</t>
        </r>
        <r>
          <rPr>
            <sz val="9"/>
            <color indexed="81"/>
            <rFont val="Tahoma"/>
            <charset val="177"/>
          </rPr>
          <t xml:space="preserve">
1 = כן, כל ערב
2 = לעיתים קרובות
3 = לעיתים רחוקות
4 = כלל לא</t>
        </r>
      </text>
    </comment>
    <comment ref="J37" authorId="0" shapeId="0" xr:uid="{5C2C30DC-68E6-4F3D-B0ED-A5D4290C7563}">
      <text>
        <r>
          <rPr>
            <b/>
            <sz val="9"/>
            <color indexed="81"/>
            <rFont val="Tahoma"/>
            <charset val="177"/>
          </rPr>
          <t>יניב שפירא:</t>
        </r>
        <r>
          <rPr>
            <sz val="9"/>
            <color indexed="81"/>
            <rFont val="Tahoma"/>
            <charset val="177"/>
          </rPr>
          <t xml:space="preserve">
1 = לא גולש באינטרנט כלל
2 = כו, לעיתים רחוקות
3 = גולש, אבל לא באתרים של מפלגות
4 = כן, לעיתים קרובות</t>
        </r>
      </text>
    </comment>
    <comment ref="A38" authorId="0" shapeId="0" xr:uid="{335C7ACE-C4BC-452B-ABFA-9480491E8C15}">
      <text>
        <r>
          <rPr>
            <b/>
            <sz val="9"/>
            <color indexed="81"/>
            <rFont val="Tahoma"/>
            <charset val="177"/>
          </rPr>
          <t>יניב שפירא:</t>
        </r>
        <r>
          <rPr>
            <sz val="9"/>
            <color indexed="81"/>
            <rFont val="Tahoma"/>
            <charset val="177"/>
          </rPr>
          <t xml:space="preserve">
רק מי שענה 3 או 4 
בשאלה קודמת</t>
        </r>
      </text>
    </comment>
    <comment ref="J38" authorId="0" shapeId="0" xr:uid="{5011014F-3578-4914-B508-2DC22228FB12}">
      <text>
        <r>
          <rPr>
            <b/>
            <sz val="9"/>
            <color indexed="81"/>
            <rFont val="Tahoma"/>
            <charset val="177"/>
          </rPr>
          <t>יניב שפירא:</t>
        </r>
        <r>
          <rPr>
            <sz val="9"/>
            <color indexed="81"/>
            <rFont val="Tahoma"/>
            <charset val="177"/>
          </rPr>
          <t xml:space="preserve">
1 = רק מפלגות שאני אוהד
2 = רק מפלגות שאני סולד מהן
3 = כל המפלגות</t>
        </r>
      </text>
    </comment>
    <comment ref="L39" authorId="0" shapeId="0" xr:uid="{98C5558D-3F46-4060-BBF3-0607946F4D03}">
      <text>
        <r>
          <rPr>
            <b/>
            <sz val="9"/>
            <color indexed="81"/>
            <rFont val="Tahoma"/>
            <family val="2"/>
          </rPr>
          <t>יניב שפירא:</t>
        </r>
        <r>
          <rPr>
            <sz val="9"/>
            <color indexed="81"/>
            <rFont val="Tahoma"/>
            <family val="2"/>
          </rPr>
          <t xml:space="preserve">
1 = בהחלט לא
2 = לא
3 = לא בטוח
4 = כן
5 = בהחלט כן</t>
        </r>
      </text>
    </comment>
    <comment ref="N39" authorId="0" shapeId="0" xr:uid="{A9E16BB9-FEB8-4ADA-A5A2-3A5CCD4D1854}">
      <text>
        <r>
          <rPr>
            <b/>
            <sz val="9"/>
            <color indexed="81"/>
            <rFont val="Tahoma"/>
            <family val="2"/>
          </rPr>
          <t>יניב שפירא:</t>
        </r>
        <r>
          <rPr>
            <sz val="9"/>
            <color indexed="81"/>
            <rFont val="Tahoma"/>
            <family val="2"/>
          </rPr>
          <t xml:space="preserve">
1 = בהחלט כן
2 = כן
3 = לא בטוח
4 = לא
5 = בהחלט לא</t>
        </r>
      </text>
    </comment>
    <comment ref="L40" authorId="0" shapeId="0" xr:uid="{729DD68D-E9CF-4DC6-B445-BD1699A4753E}">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40" authorId="0" shapeId="0" xr:uid="{F272BC86-E366-4588-AC96-DA38DEDDF6F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0" authorId="0" shapeId="0" xr:uid="{2D2DB636-F3E3-4403-BDCB-30D5838DB06B}">
      <text>
        <r>
          <rPr>
            <b/>
            <sz val="9"/>
            <color indexed="81"/>
            <rFont val="Tahoma"/>
            <family val="2"/>
          </rPr>
          <t>יניב שפירא:</t>
        </r>
        <r>
          <rPr>
            <sz val="9"/>
            <color indexed="81"/>
            <rFont val="Tahoma"/>
            <family val="2"/>
          </rPr>
          <t xml:space="preserve">
1 = לעיתים קרובות
2 = לעיתים רחוקות
3 = אף פעם
4 = לא יודע על קיום סקרים</t>
        </r>
      </text>
    </comment>
    <comment ref="AA40" authorId="0" shapeId="0" xr:uid="{3B2A65C2-7795-4A92-810B-ABADB81C3049}">
      <text>
        <r>
          <rPr>
            <b/>
            <sz val="9"/>
            <color indexed="81"/>
            <rFont val="Tahoma"/>
            <charset val="177"/>
          </rPr>
          <t>יניב שפירא:</t>
        </r>
        <r>
          <rPr>
            <sz val="9"/>
            <color indexed="81"/>
            <rFont val="Tahoma"/>
            <charset val="177"/>
          </rPr>
          <t xml:space="preserve">
1 = במידה רבה
2 = במידה מסוימת
3 = במידה מועטה
4 = כלל לא</t>
        </r>
      </text>
    </comment>
    <comment ref="AF40" authorId="0" shapeId="0" xr:uid="{C02F4440-AE8A-4442-96A8-7DFF071CCEE1}">
      <text>
        <r>
          <rPr>
            <b/>
            <sz val="9"/>
            <color indexed="81"/>
            <rFont val="Tahoma"/>
            <family val="2"/>
          </rPr>
          <t>יניב שפירא:</t>
        </r>
        <r>
          <rPr>
            <sz val="9"/>
            <color indexed="81"/>
            <rFont val="Tahoma"/>
            <family val="2"/>
          </rPr>
          <t xml:space="preserve">
1 = לעיתים קרובות
2 = לעיתים רחוקות
3 = אף פעם לא
4 = לא יודע על קיומם</t>
        </r>
      </text>
    </comment>
    <comment ref="L41" authorId="0" shapeId="0" xr:uid="{7597FD43-1C0F-47B9-A62E-F1600275C3AC}">
      <text>
        <r>
          <rPr>
            <b/>
            <sz val="9"/>
            <color indexed="81"/>
            <rFont val="Tahoma"/>
            <family val="2"/>
          </rPr>
          <t>יניב שפירא:</t>
        </r>
        <r>
          <rPr>
            <sz val="9"/>
            <color indexed="81"/>
            <rFont val="Tahoma"/>
            <family val="2"/>
          </rPr>
          <t xml:space="preserve">
1 = בכלל לא
2 = במידה מועטה
3 = במידה מסוימת
4 = במידה רבה</t>
        </r>
      </text>
    </comment>
    <comment ref="M41" authorId="0" shapeId="0" xr:uid="{6B63A6E4-50D2-4276-9E07-ABB0A2512339}">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T41" authorId="0" shapeId="0" xr:uid="{7FA24864-10D0-4E4F-8C80-E5FF4605A049}">
      <text>
        <r>
          <rPr>
            <b/>
            <sz val="9"/>
            <color indexed="81"/>
            <rFont val="Tahoma"/>
            <family val="2"/>
          </rPr>
          <t>יניב שפירא:</t>
        </r>
        <r>
          <rPr>
            <sz val="9"/>
            <color indexed="81"/>
            <rFont val="Tahoma"/>
            <family val="2"/>
          </rPr>
          <t xml:space="preserve">
1 = כן תמיד
2 = כן בדר"כ
3 = לא בדר"כ
4 = אף פעם לא
5 = לא יודע על קיום סקרים</t>
        </r>
      </text>
    </comment>
    <comment ref="AF41" authorId="0" shapeId="0" xr:uid="{88C96833-279A-44FF-82A5-77ACBA6794FD}">
      <text>
        <r>
          <rPr>
            <b/>
            <sz val="9"/>
            <color indexed="81"/>
            <rFont val="Tahoma"/>
            <family val="2"/>
          </rPr>
          <t>יניב שפירא:</t>
        </r>
        <r>
          <rPr>
            <sz val="9"/>
            <color indexed="81"/>
            <rFont val="Tahoma"/>
            <family val="2"/>
          </rPr>
          <t xml:space="preserve">
1 = כן, תמיד
2 = בדר"כ כן
3 = בדר"כ לא
4 = אף פעם לא</t>
        </r>
      </text>
    </comment>
    <comment ref="T42" authorId="0" shapeId="0" xr:uid="{80328008-7261-4F87-A3B5-D6510CC032F6}">
      <text>
        <r>
          <rPr>
            <b/>
            <sz val="9"/>
            <color indexed="81"/>
            <rFont val="Tahoma"/>
            <family val="2"/>
          </rPr>
          <t>יניב שפירא:</t>
        </r>
        <r>
          <rPr>
            <sz val="9"/>
            <color indexed="81"/>
            <rFont val="Tahoma"/>
            <family val="2"/>
          </rPr>
          <t xml:space="preserve">
1 = השפעה גדולה
2 = השפעה מסויימת
3 = השפעה מועטה
4 = כלל לא
5 = לא יודע על קיום סקרים</t>
        </r>
      </text>
    </comment>
    <comment ref="AF42" authorId="0" shapeId="0" xr:uid="{B470D168-4A2A-4047-9219-8FCFACB3D79B}">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AF43" authorId="0" shapeId="0" xr:uid="{7773BC23-D421-4993-973B-101EA675A6B2}">
      <text>
        <r>
          <rPr>
            <b/>
            <sz val="9"/>
            <color indexed="81"/>
            <rFont val="Tahoma"/>
            <family val="2"/>
          </rPr>
          <t>יניב שפירא:</t>
        </r>
        <r>
          <rPr>
            <sz val="9"/>
            <color indexed="81"/>
            <rFont val="Tahoma"/>
            <family val="2"/>
          </rPr>
          <t xml:space="preserve">
1 = השפעה רבה
2 = השפעה בינונית
3 = השפעה מועטה
4 = אין השפעה
5 = לא יודע על קיומם</t>
        </r>
      </text>
    </comment>
    <comment ref="N44" authorId="0" shapeId="0" xr:uid="{8ECD07F0-DCA3-4F14-807D-F92D8F5D6BEB}">
      <text>
        <r>
          <rPr>
            <b/>
            <sz val="9"/>
            <color indexed="81"/>
            <rFont val="Tahoma"/>
            <family val="2"/>
          </rPr>
          <t>יניב שפירא:</t>
        </r>
        <r>
          <rPr>
            <sz val="9"/>
            <color indexed="81"/>
            <rFont val="Tahoma"/>
            <family val="2"/>
          </rPr>
          <t xml:space="preserve">
1 = בהחלט לאסור
2 = נוטה לאסור
3 = נוטה להתיר
4 = בהחלט להתיר</t>
        </r>
      </text>
    </comment>
    <comment ref="AH45" authorId="0" shapeId="0" xr:uid="{F670ADD3-AB8E-408E-A5B7-730ABA264AA6}">
      <text>
        <r>
          <rPr>
            <b/>
            <sz val="9"/>
            <color indexed="81"/>
            <rFont val="Tahoma"/>
            <charset val="177"/>
          </rPr>
          <t>יניב שפירא:</t>
        </r>
        <r>
          <rPr>
            <sz val="9"/>
            <color indexed="81"/>
            <rFont val="Tahoma"/>
            <charset val="177"/>
          </rPr>
          <t xml:space="preserve">
1 = כן
2 = לא</t>
        </r>
      </text>
    </comment>
    <comment ref="O46" authorId="0" shapeId="0" xr:uid="{4EDF9479-7D48-48E7-B2CA-EB86D99645F7}">
      <text>
        <r>
          <rPr>
            <b/>
            <sz val="9"/>
            <color indexed="81"/>
            <rFont val="Tahoma"/>
            <family val="2"/>
          </rPr>
          <t>יניב שפירא:</t>
        </r>
        <r>
          <rPr>
            <sz val="9"/>
            <color indexed="81"/>
            <rFont val="Tahoma"/>
            <family val="2"/>
          </rPr>
          <t xml:space="preserve">
1 = כן
2 = לא
3 = אין לנו טלוויזיה</t>
        </r>
      </text>
    </comment>
    <comment ref="T49" authorId="0" shapeId="0" xr:uid="{2C2745F8-A065-484F-95CD-FDB5BBA915F7}">
      <text>
        <r>
          <rPr>
            <b/>
            <sz val="9"/>
            <color indexed="81"/>
            <rFont val="Tahoma"/>
            <charset val="177"/>
          </rPr>
          <t>יניב שפירא:</t>
        </r>
        <r>
          <rPr>
            <sz val="9"/>
            <color indexed="81"/>
            <rFont val="Tahoma"/>
            <charset val="177"/>
          </rPr>
          <t xml:space="preserve">
1 = קורא לעיתים קרובות
2 = קורא לעיתים רחוקות
3 = לא קורא כלל</t>
        </r>
      </text>
    </comment>
    <comment ref="AH50" authorId="0" shapeId="0" xr:uid="{6B097F0D-35A6-4CFF-87D0-0F59F0D02305}">
      <text>
        <r>
          <rPr>
            <b/>
            <sz val="9"/>
            <color indexed="81"/>
            <rFont val="Tahoma"/>
            <charset val="177"/>
          </rPr>
          <t>יניב שפירא:</t>
        </r>
        <r>
          <rPr>
            <sz val="9"/>
            <color indexed="81"/>
            <rFont val="Tahoma"/>
            <charset val="177"/>
          </rPr>
          <t xml:space="preserve">
1 = כן, 8 שעות +
2 = כן, 5-8 שעות
3 = 3-5 שעות
4 = 1-5 שעות
5 = פחות משעה ביום
6 = לא מאזין כל יום</t>
        </r>
      </text>
    </comment>
    <comment ref="T51" authorId="0" shapeId="0" xr:uid="{C2A430E0-81C4-4B00-9BF8-5EBBD11D1C3D}">
      <text>
        <r>
          <rPr>
            <b/>
            <sz val="9"/>
            <color indexed="81"/>
            <rFont val="Tahoma"/>
            <charset val="177"/>
          </rPr>
          <t>יניב שפירא:</t>
        </r>
        <r>
          <rPr>
            <sz val="9"/>
            <color indexed="81"/>
            <rFont val="Tahoma"/>
            <charset val="177"/>
          </rPr>
          <t xml:space="preserve">
1 = הגל הקל
2 = גל ג'
3 = גלי צה"ל
4 = גל א'
5 = קול העם
6 = לא מאזין לרדיו</t>
        </r>
      </text>
    </comment>
    <comment ref="AH52" authorId="0" shapeId="0" xr:uid="{BC1285A7-61A8-4B64-BF60-017F300005C7}">
      <text>
        <r>
          <rPr>
            <b/>
            <sz val="9"/>
            <color indexed="81"/>
            <rFont val="Tahoma"/>
            <charset val="177"/>
          </rPr>
          <t>יניב שפירא:</t>
        </r>
        <r>
          <rPr>
            <sz val="9"/>
            <color indexed="81"/>
            <rFont val="Tahoma"/>
            <charset val="177"/>
          </rPr>
          <t xml:space="preserve">
1 = בידור, תרבות, ידיעות
2 = בידור, ידיעות, תרבות
3 = תרבות, ידיעות, בידור
4 = תרבות, בידור, ידיעות
5 = ידיעות, בידור, תרבות
6 = ידיעות, תרבות, בידור</t>
        </r>
      </text>
    </comment>
    <comment ref="V53" authorId="0" shapeId="0" xr:uid="{441CA93E-AE20-4F84-AFBF-EFA1AD875F02}">
      <text>
        <r>
          <rPr>
            <b/>
            <sz val="9"/>
            <color indexed="81"/>
            <rFont val="Tahoma"/>
            <charset val="177"/>
          </rPr>
          <t>יניב שפירא:</t>
        </r>
        <r>
          <rPr>
            <sz val="9"/>
            <color indexed="81"/>
            <rFont val="Tahoma"/>
            <charset val="177"/>
          </rPr>
          <t xml:space="preserve">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r>
      </text>
    </comment>
    <comment ref="V54" authorId="0" shapeId="0" xr:uid="{FE404A62-DC69-4715-BD06-9A4FD28BCDA0}">
      <text>
        <r>
          <rPr>
            <b/>
            <sz val="9"/>
            <color indexed="81"/>
            <rFont val="Tahoma"/>
            <charset val="177"/>
          </rPr>
          <t>יניב שפירא:</t>
        </r>
        <r>
          <rPr>
            <sz val="9"/>
            <color indexed="81"/>
            <rFont val="Tahoma"/>
            <charset val="177"/>
          </rPr>
          <t xml:space="preserve">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r>
      </text>
    </comment>
    <comment ref="W55" authorId="0" shapeId="0" xr:uid="{7DACEEDF-6E1A-4A24-B3C7-4E11510597E2}">
      <text>
        <r>
          <rPr>
            <b/>
            <sz val="9"/>
            <color indexed="81"/>
            <rFont val="Tahoma"/>
            <charset val="177"/>
          </rPr>
          <t>יניב שפירא:</t>
        </r>
        <r>
          <rPr>
            <sz val="9"/>
            <color indexed="81"/>
            <rFont val="Tahoma"/>
            <charset val="177"/>
          </rPr>
          <t xml:space="preserve">
1 = מוצלחת מאד
2 = מוצלחת
3 = לא כ"כ מוצלחת
4 = בכלל לא מוצלחת</t>
        </r>
      </text>
    </comment>
    <comment ref="Y57" authorId="0" shapeId="0" xr:uid="{D1AC193C-F852-4C81-A991-EAFB9FBD97F6}">
      <text>
        <r>
          <rPr>
            <b/>
            <sz val="9"/>
            <color indexed="81"/>
            <rFont val="Tahoma"/>
            <charset val="177"/>
          </rPr>
          <t>יניב שפירא:</t>
        </r>
        <r>
          <rPr>
            <sz val="9"/>
            <color indexed="81"/>
            <rFont val="Tahoma"/>
            <charset val="177"/>
          </rPr>
          <t xml:space="preserve">
1 = קורא את רוב/כל המודעות
2 = הרוב של הליכוד
3 = הרוב של המערך
4 = הרוב של ד"ש
5 = קורא מעט מכל המפלגות
6 = קורא רק ליכוד
7 = קורא רק מערך
8 = קורא רק ד"ש
9 = לא קורא כלל</t>
        </r>
      </text>
    </comment>
    <comment ref="AD57" authorId="0" shapeId="0" xr:uid="{5A56995E-D690-48D1-A72B-2C506B8010EE}">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B58" authorId="0" shapeId="0" xr:uid="{FC5FF08C-87D8-4DCD-9F2D-0EFD2772C7F2}">
      <text>
        <r>
          <rPr>
            <b/>
            <sz val="9"/>
            <color indexed="81"/>
            <rFont val="Tahoma"/>
            <charset val="177"/>
          </rPr>
          <t>יניב שפירא:</t>
        </r>
        <r>
          <rPr>
            <sz val="9"/>
            <color indexed="81"/>
            <rFont val="Tahoma"/>
            <charset val="177"/>
          </rPr>
          <t xml:space="preserve">
1 = כן במידה רבה
2 = במידה מסוימת
3 = במידה מועטה
4 = כלל לא</t>
        </r>
      </text>
    </comment>
    <comment ref="AA59" authorId="0" shapeId="0" xr:uid="{3C4C86AE-1770-4DF7-BD24-A8BADC04C8AC}">
      <text>
        <r>
          <rPr>
            <b/>
            <sz val="9"/>
            <color indexed="81"/>
            <rFont val="Tahoma"/>
            <charset val="177"/>
          </rPr>
          <t>יניב שפירא:</t>
        </r>
        <r>
          <rPr>
            <sz val="9"/>
            <color indexed="81"/>
            <rFont val="Tahoma"/>
            <charset val="177"/>
          </rPr>
          <t xml:space="preserve">
1 = דרושה בהחלט
2 = דרושה
3 = לא כ"כ דרושה
4 = בהחלט לא דרושה</t>
        </r>
      </text>
    </comment>
    <comment ref="AB60" authorId="0" shapeId="0" xr:uid="{67F06D53-660E-45A9-A20E-B1BE34B695D0}">
      <text>
        <r>
          <rPr>
            <b/>
            <sz val="9"/>
            <color indexed="81"/>
            <rFont val="Tahoma"/>
            <charset val="177"/>
          </rPr>
          <t>יניב שפירא:</t>
        </r>
        <r>
          <rPr>
            <sz val="9"/>
            <color indexed="81"/>
            <rFont val="Tahoma"/>
            <charset val="177"/>
          </rPr>
          <t xml:space="preserve">
1 = קורא הרבה יותר
2 = קורא יותר
3 = קורא פחות
4 = קורא הרבה פחות</t>
        </r>
      </text>
    </comment>
    <comment ref="AB61" authorId="0" shapeId="0" xr:uid="{5BA8E860-9396-458C-86B7-EF842932758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B62" authorId="0" shapeId="0" xr:uid="{CB9BE676-2C01-4532-A25D-F890B52E8DD8}">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B63" authorId="0" shapeId="0" xr:uid="{E1B6F1DB-3DF5-4D27-A487-F14E8F3D2274}">
      <text>
        <r>
          <rPr>
            <b/>
            <sz val="9"/>
            <color indexed="81"/>
            <rFont val="Tahoma"/>
            <charset val="177"/>
          </rPr>
          <t>יניב שפירא:</t>
        </r>
        <r>
          <rPr>
            <sz val="9"/>
            <color indexed="81"/>
            <rFont val="Tahoma"/>
            <charset val="177"/>
          </rPr>
          <t xml:space="preserve">
1 = כן, בכל יום
2 = לעיתים קרובות
3 = לעיתים רחוקות
4 = אף פעם לא</t>
        </r>
      </text>
    </comment>
    <comment ref="AD63" authorId="0" shapeId="0" xr:uid="{C759F09A-6B1E-4299-93C8-8AB21B860776}">
      <text>
        <r>
          <rPr>
            <b/>
            <sz val="9"/>
            <color indexed="81"/>
            <rFont val="Tahoma"/>
            <family val="2"/>
          </rPr>
          <t>יניב שפירא:</t>
        </r>
        <r>
          <rPr>
            <sz val="9"/>
            <color indexed="81"/>
            <rFont val="Tahoma"/>
            <family val="2"/>
          </rPr>
          <t xml:space="preserve">
1 = כן 
2 = לא</t>
        </r>
      </text>
    </comment>
    <comment ref="AD67" authorId="0" shapeId="0" xr:uid="{4B85A228-1C54-4F14-80B7-B1FFFA85E2FD}">
      <text>
        <r>
          <rPr>
            <b/>
            <sz val="9"/>
            <color indexed="81"/>
            <rFont val="Tahoma"/>
            <family val="2"/>
          </rPr>
          <t>יניב שפירא:</t>
        </r>
        <r>
          <rPr>
            <sz val="9"/>
            <color indexed="81"/>
            <rFont val="Tahoma"/>
            <family val="2"/>
          </rPr>
          <t xml:space="preserve">
1 = בפעילות פוליטית
2 = כאדם פרטי</t>
        </r>
      </text>
    </comment>
    <comment ref="AC69" authorId="0" shapeId="0" xr:uid="{BA90C934-83EF-466A-AF4A-EA776362A4FA}">
      <text>
        <r>
          <rPr>
            <b/>
            <sz val="9"/>
            <color indexed="81"/>
            <rFont val="Tahoma"/>
            <charset val="177"/>
          </rPr>
          <t>יניב שפירא:</t>
        </r>
        <r>
          <rPr>
            <sz val="9"/>
            <color indexed="81"/>
            <rFont val="Tahoma"/>
            <charset val="177"/>
          </rPr>
          <t xml:space="preserve">
1 = שידורים לכל אחת מהמפלגות בנפרד
2 = דיונים בהשתתפות נציגים של מס' מפלגות שונות</t>
        </r>
      </text>
    </comment>
    <comment ref="AD70" authorId="0" shapeId="0" xr:uid="{583E88AE-A43C-47FF-ABCE-30A9A070BB76}">
      <text>
        <r>
          <rPr>
            <b/>
            <sz val="9"/>
            <color indexed="81"/>
            <rFont val="Tahoma"/>
            <family val="2"/>
          </rPr>
          <t>יניב שפירא:</t>
        </r>
        <r>
          <rPr>
            <sz val="9"/>
            <color indexed="81"/>
            <rFont val="Tahoma"/>
            <family val="2"/>
          </rPr>
          <t xml:space="preserve">
1 = לעיתים קרובות
2 = לעיתים
3 = לעיתים רחוקות
4 = כלל לא</t>
        </r>
      </text>
    </comment>
    <comment ref="AE71" authorId="0" shapeId="0" xr:uid="{394BEF13-4830-4B22-8258-F2087E25D5E3}">
      <text>
        <r>
          <rPr>
            <b/>
            <sz val="9"/>
            <color indexed="81"/>
            <rFont val="Tahoma"/>
            <charset val="177"/>
          </rPr>
          <t>יניב שפירא:</t>
        </r>
        <r>
          <rPr>
            <sz val="9"/>
            <color indexed="81"/>
            <rFont val="Tahoma"/>
            <charset val="177"/>
          </rPr>
          <t xml:space="preserve">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r>
      </text>
    </comment>
    <comment ref="U72" authorId="0" shapeId="0" xr:uid="{EE6BBDB7-E8E2-406B-A1E1-35E8AB032081}">
      <text>
        <r>
          <rPr>
            <b/>
            <sz val="9"/>
            <color indexed="81"/>
            <rFont val="Tahoma"/>
            <charset val="177"/>
          </rPr>
          <t>יניב שפירא:</t>
        </r>
        <r>
          <rPr>
            <sz val="9"/>
            <color indexed="81"/>
            <rFont val="Tahoma"/>
            <charset val="177"/>
          </rPr>
          <t xml:space="preserve">
1 = כן
2 = לא</t>
        </r>
      </text>
    </comment>
    <comment ref="AE73" authorId="0" shapeId="0" xr:uid="{643093D2-A89D-46BD-8570-CBB202803F98}">
      <text>
        <r>
          <rPr>
            <b/>
            <sz val="9"/>
            <color indexed="81"/>
            <rFont val="Tahoma"/>
            <family val="2"/>
          </rPr>
          <t>יניב שפירא:</t>
        </r>
        <r>
          <rPr>
            <sz val="9"/>
            <color indexed="81"/>
            <rFont val="Tahoma"/>
            <family val="2"/>
          </rPr>
          <t xml:space="preserve">
1 = לא צופה כלל
2 = 1-2 שעות
3 = 3-5
4 = 6-10
5 = 11-15
6 = 16-20
7 = 21 +</t>
        </r>
      </text>
    </comment>
    <comment ref="AH73" authorId="0" shapeId="0" xr:uid="{215E6235-B597-4C83-87C2-CD4CAEAFA482}">
      <text>
        <r>
          <rPr>
            <b/>
            <sz val="9"/>
            <color indexed="81"/>
            <rFont val="Tahoma"/>
            <family val="2"/>
          </rPr>
          <t>יניב שפירא:</t>
        </r>
        <r>
          <rPr>
            <sz val="9"/>
            <color indexed="81"/>
            <rFont val="Tahoma"/>
            <family val="2"/>
          </rPr>
          <t xml:space="preserve">
1 = בכל יום
2 = 2-3 פעמים בשבוע
3 = אחת לשבוע
4 = 2-3 פעמים בחודש
5 = אחת לחודש
6 = לעיתים רחוקות יותר
7 = לא צופה כלל</t>
        </r>
      </text>
    </comment>
    <comment ref="AH74" authorId="0" shapeId="0" xr:uid="{FB6E8C27-9DCE-44FD-97F1-4FC52E1605F3}">
      <text>
        <r>
          <rPr>
            <b/>
            <sz val="9"/>
            <color indexed="81"/>
            <rFont val="Tahoma"/>
            <family val="2"/>
          </rPr>
          <t>יניב שפירא:</t>
        </r>
        <r>
          <rPr>
            <sz val="9"/>
            <color indexed="81"/>
            <rFont val="Tahoma"/>
            <family val="2"/>
          </rPr>
          <t xml:space="preserve">
1 = בידור, תרבות, ידיעות
2 = בידור, ידיעות, תרבות
3 = תרבות, ידיעות, בידור
4 = תרבות, בידור, ידיעות
5 = ידיעות, בידור, תרבות
6 = ידיעות, תרבות, בידור</t>
        </r>
      </text>
    </comment>
    <comment ref="AF75" authorId="0" shapeId="0" xr:uid="{70879ADF-8C55-45A3-9F5F-89B8DB329427}">
      <text>
        <r>
          <rPr>
            <b/>
            <sz val="9"/>
            <color indexed="81"/>
            <rFont val="Tahoma"/>
            <family val="2"/>
          </rPr>
          <t>יניב שפירא:</t>
        </r>
        <r>
          <rPr>
            <sz val="9"/>
            <color indexed="81"/>
            <rFont val="Tahoma"/>
            <family val="2"/>
          </rPr>
          <t xml:space="preserve">
1 = חשוב מאוד
2 = חשוב
3 = לא כ"כ חשוב
4 = כלל לא חשוב</t>
        </r>
      </text>
    </comment>
    <comment ref="AF84" authorId="0" shapeId="0" xr:uid="{1A2FA5A8-A94B-4D69-BBD4-2D9F1CC1DAB0}">
      <text>
        <r>
          <rPr>
            <b/>
            <sz val="9"/>
            <color indexed="81"/>
            <rFont val="Tahoma"/>
            <family val="2"/>
          </rPr>
          <t>יניב שפירא:</t>
        </r>
        <r>
          <rPr>
            <sz val="9"/>
            <color indexed="81"/>
            <rFont val="Tahoma"/>
            <family val="2"/>
          </rPr>
          <t xml:space="preserve">
1 = קובעת מאוד
2 = קובעת
3 = לא כ"כ קובעת
4 = לא קובעת כלל</t>
        </r>
      </text>
    </comment>
    <comment ref="AF93" authorId="0" shapeId="0" xr:uid="{69881C48-1077-431D-B351-3570A9B78AE4}">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F94" authorId="0" shapeId="0" xr:uid="{D0CA0EEA-E652-484E-9F89-A6D2C72E9A31}">
      <text>
        <r>
          <rPr>
            <b/>
            <sz val="9"/>
            <color indexed="81"/>
            <rFont val="Tahoma"/>
            <family val="2"/>
          </rPr>
          <t>יניב שפירא:</t>
        </r>
        <r>
          <rPr>
            <sz val="9"/>
            <color indexed="81"/>
            <rFont val="Tahoma"/>
            <family val="2"/>
          </rPr>
          <t xml:space="preserve">
1 = שידורים שבהם מופיע מנהיג פוליטי ומציג את עמדת המפלגה
2 = שידור שבו מוצג סרט מחיי הארץ המציג את עמדת המפלגה
3 = אחר</t>
        </r>
      </text>
    </comment>
    <comment ref="AG95" authorId="0" shapeId="0" xr:uid="{E2F5F321-8339-4BBA-A047-0EA17DB31D13}">
      <text>
        <r>
          <rPr>
            <b/>
            <sz val="9"/>
            <color indexed="81"/>
            <rFont val="Tahoma"/>
            <charset val="177"/>
          </rPr>
          <t>יניב שפירא:</t>
        </r>
        <r>
          <rPr>
            <sz val="9"/>
            <color indexed="81"/>
            <rFont val="Tahoma"/>
            <charset val="177"/>
          </rPr>
          <t xml:space="preserve">
</t>
        </r>
      </text>
    </comment>
    <comment ref="AH96" authorId="0" shapeId="0" xr:uid="{D9A4288B-7834-4DB0-B84C-40EA19EC0905}">
      <text>
        <r>
          <rPr>
            <b/>
            <sz val="9"/>
            <color indexed="81"/>
            <rFont val="Tahoma"/>
            <family val="2"/>
          </rPr>
          <t>יניב שפירא:</t>
        </r>
        <r>
          <rPr>
            <sz val="9"/>
            <color indexed="81"/>
            <rFont val="Tahoma"/>
            <family val="2"/>
          </rPr>
          <t xml:space="preserve">
1 = כל יום
2 = כמה פעמים בשבוע
3 = פעם בשבוע
4 = לעיתים רחוקות יותר
5 = לא קורא</t>
        </r>
      </text>
    </comment>
    <comment ref="AH109" authorId="0" shapeId="0" xr:uid="{F682BCE3-4693-4B94-BCE4-C6BCC18845E6}">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 ref="AH110" authorId="0" shapeId="0" xr:uid="{9F259D52-5C2B-4898-A974-C0F07D4EBE8D}">
      <text>
        <r>
          <rPr>
            <b/>
            <sz val="9"/>
            <color indexed="81"/>
            <rFont val="Tahoma"/>
            <family val="2"/>
          </rPr>
          <t>יניב שפירא:</t>
        </r>
        <r>
          <rPr>
            <sz val="9"/>
            <color indexed="81"/>
            <rFont val="Tahoma"/>
            <family val="2"/>
          </rPr>
          <t xml:space="preserve">
1 = בדר"כ כן
2 = לפעמים כן לפעמים לא
3 = בדר"כ לא
4 = לא מקבל אינפורמציה</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E8F610F-41D0-4108-AD21-1577530F8478}">
      <text>
        <r>
          <rPr>
            <b/>
            <sz val="9"/>
            <color indexed="81"/>
            <rFont val="Tahoma"/>
            <charset val="177"/>
          </rPr>
          <t>יניב שפירא:</t>
        </r>
        <r>
          <rPr>
            <sz val="9"/>
            <color indexed="81"/>
            <rFont val="Tahoma"/>
            <charset val="177"/>
          </rPr>
          <t xml:space="preserve">
post election</t>
        </r>
      </text>
    </comment>
    <comment ref="AA1" authorId="0" shapeId="0" xr:uid="{9E3A4B91-C328-459E-BB65-7EED2D79EF32}">
      <text>
        <r>
          <rPr>
            <b/>
            <sz val="9"/>
            <color indexed="81"/>
            <rFont val="Tahoma"/>
            <charset val="177"/>
          </rPr>
          <t>יניב שפירא:</t>
        </r>
        <r>
          <rPr>
            <sz val="9"/>
            <color indexed="81"/>
            <rFont val="Tahoma"/>
            <charset val="177"/>
          </rPr>
          <t xml:space="preserve">
post Kippur + post election</t>
        </r>
      </text>
    </comment>
    <comment ref="AB1" authorId="0" shapeId="0" xr:uid="{6A79853C-843F-42C8-BC00-04CBF05E5CB6}">
      <text>
        <r>
          <rPr>
            <b/>
            <sz val="9"/>
            <color indexed="81"/>
            <rFont val="Tahoma"/>
            <charset val="177"/>
          </rPr>
          <t>יניב שפירא:</t>
        </r>
        <r>
          <rPr>
            <sz val="9"/>
            <color indexed="81"/>
            <rFont val="Tahoma"/>
            <charset val="177"/>
          </rPr>
          <t xml:space="preserve">
post Kippur</t>
        </r>
      </text>
    </comment>
    <comment ref="AC1" authorId="0" shapeId="0" xr:uid="{95E93660-D4A9-4B50-B937-8C55D762110F}">
      <text>
        <r>
          <rPr>
            <b/>
            <sz val="9"/>
            <color indexed="81"/>
            <rFont val="Tahoma"/>
            <charset val="177"/>
          </rPr>
          <t>יניב שפירא:</t>
        </r>
        <r>
          <rPr>
            <sz val="9"/>
            <color indexed="81"/>
            <rFont val="Tahoma"/>
            <charset val="177"/>
          </rPr>
          <t xml:space="preserve">
post Kippur</t>
        </r>
      </text>
    </comment>
    <comment ref="AF1" authorId="0" shapeId="0" xr:uid="{324A6CB2-3D5F-443A-AA90-5A2E27DE2FC3}">
      <text>
        <r>
          <rPr>
            <b/>
            <sz val="9"/>
            <color indexed="81"/>
            <rFont val="Tahoma"/>
            <charset val="177"/>
          </rPr>
          <t>יניב שפירא:</t>
        </r>
        <r>
          <rPr>
            <sz val="9"/>
            <color indexed="81"/>
            <rFont val="Tahoma"/>
            <charset val="177"/>
          </rPr>
          <t xml:space="preserve">
pre + post election</t>
        </r>
      </text>
    </comment>
    <comment ref="D2" authorId="0" shapeId="0" xr:uid="{B4570898-A40F-4077-B750-C6286DC053AA}">
      <text>
        <r>
          <rPr>
            <b/>
            <sz val="9"/>
            <color indexed="81"/>
            <rFont val="Tahoma"/>
            <family val="2"/>
          </rPr>
          <t>יניב שפירא:</t>
        </r>
        <r>
          <rPr>
            <sz val="9"/>
            <color indexed="81"/>
            <rFont val="Tahoma"/>
            <family val="2"/>
          </rPr>
          <t xml:space="preserve">
1 = תשובה נכונה
2 = תשובה לא נכונה
3 = לא יודע</t>
        </r>
      </text>
    </comment>
    <comment ref="D3" authorId="0" shapeId="0" xr:uid="{8AC75F70-0722-435B-B42C-CBE2371DBA38}">
      <text>
        <r>
          <rPr>
            <b/>
            <sz val="9"/>
            <color indexed="81"/>
            <rFont val="Tahoma"/>
            <family val="2"/>
          </rPr>
          <t>יניב שפירא:</t>
        </r>
        <r>
          <rPr>
            <sz val="9"/>
            <color indexed="81"/>
            <rFont val="Tahoma"/>
            <family val="2"/>
          </rPr>
          <t xml:space="preserve">
1 = תשובה נכונה (אסתר חיות)
2 = תשובה לא נכונה
3 = לא יודע</t>
        </r>
      </text>
    </comment>
    <comment ref="D4" authorId="0" shapeId="0" xr:uid="{A4E67861-3528-41C0-9C87-097655B78895}">
      <text>
        <r>
          <rPr>
            <b/>
            <sz val="9"/>
            <color indexed="81"/>
            <rFont val="Tahoma"/>
            <family val="2"/>
          </rPr>
          <t>יניב שפירא:</t>
        </r>
        <r>
          <rPr>
            <sz val="9"/>
            <color indexed="81"/>
            <rFont val="Tahoma"/>
            <family val="2"/>
          </rPr>
          <t xml:space="preserve">
1 = לא יודע
2 = בינוי ושיכון
3 = בריאות
4 = חינוך
5 = תחבורה</t>
        </r>
      </text>
    </comment>
    <comment ref="F5" authorId="0" shapeId="0" xr:uid="{013F31C1-F48B-4507-AB63-0D8DB690F079}">
      <text>
        <r>
          <rPr>
            <b/>
            <sz val="9"/>
            <color indexed="81"/>
            <rFont val="Tahoma"/>
            <family val="2"/>
          </rPr>
          <t>יניב שפירא:</t>
        </r>
        <r>
          <rPr>
            <sz val="9"/>
            <color indexed="81"/>
            <rFont val="Tahoma"/>
            <family val="2"/>
          </rPr>
          <t xml:space="preserve">
1 = יולי אדלשטיין
2 = תשובה לא נכונה
3 = לא יודע</t>
        </r>
      </text>
    </comment>
    <comment ref="G5" authorId="0" shapeId="0" xr:uid="{5290948A-0DFD-4A4F-BE9E-98732D8CE391}">
      <text>
        <r>
          <rPr>
            <b/>
            <sz val="9"/>
            <color indexed="81"/>
            <rFont val="Tahoma"/>
            <charset val="177"/>
          </rPr>
          <t>יניב שפירא:</t>
        </r>
        <r>
          <rPr>
            <sz val="9"/>
            <color indexed="81"/>
            <rFont val="Tahoma"/>
            <charset val="177"/>
          </rPr>
          <t xml:space="preserve">
1 = יולי אדלשטיין
2 = לא נכון
8 = לא יודע</t>
        </r>
      </text>
    </comment>
    <comment ref="F6" authorId="0" shapeId="0" xr:uid="{DF4A6427-923D-4B3C-8962-0C36DD5B18F2}">
      <text>
        <r>
          <rPr>
            <b/>
            <sz val="9"/>
            <color indexed="81"/>
            <rFont val="Tahoma"/>
            <family val="2"/>
          </rPr>
          <t>יניב שפירא:</t>
        </r>
        <r>
          <rPr>
            <sz val="9"/>
            <color indexed="81"/>
            <rFont val="Tahoma"/>
            <family val="2"/>
          </rPr>
          <t xml:space="preserve">
1 = לא יודע
2 = ברזיל
3 = סעודיה
4 = צפון קוריאה
5 = צ'אד (תשובה נכונה)</t>
        </r>
      </text>
    </comment>
    <comment ref="G7" authorId="0" shapeId="0" xr:uid="{B5BE2FE4-9AEE-4014-B29F-EEED30097DFC}">
      <text>
        <r>
          <rPr>
            <b/>
            <sz val="9"/>
            <color indexed="81"/>
            <rFont val="Tahoma"/>
            <charset val="177"/>
          </rPr>
          <t>יניב שפירא:</t>
        </r>
        <r>
          <rPr>
            <sz val="9"/>
            <color indexed="81"/>
            <rFont val="Tahoma"/>
            <charset val="177"/>
          </rPr>
          <t xml:space="preserve">
1 = פחות מ10%
2 = בין 10% ל40%
3 = בין 40% ל75%
4 = יותר מ75%
8 = לא יודע</t>
        </r>
      </text>
    </comment>
    <comment ref="P8" authorId="0" shapeId="0" xr:uid="{A686A7A4-4F8A-46E1-88AD-31C7070B7774}">
      <text>
        <r>
          <rPr>
            <b/>
            <sz val="9"/>
            <color indexed="81"/>
            <rFont val="Tahoma"/>
            <family val="2"/>
          </rPr>
          <t>יניב שפירא:</t>
        </r>
        <r>
          <rPr>
            <sz val="9"/>
            <color indexed="81"/>
            <rFont val="Tahoma"/>
            <family val="2"/>
          </rPr>
          <t xml:space="preserve">
1 = ישראל
2 = צרפת
3 = ארה"ב
4 = בריטניה</t>
        </r>
      </text>
    </comment>
    <comment ref="P9" authorId="0" shapeId="0" xr:uid="{BEE8C0B0-EE22-4C0A-B8CE-7EBF845F0FFD}">
      <text>
        <r>
          <rPr>
            <b/>
            <sz val="9"/>
            <color indexed="81"/>
            <rFont val="Tahoma"/>
            <family val="2"/>
          </rPr>
          <t>יניב שפירא:</t>
        </r>
        <r>
          <rPr>
            <sz val="9"/>
            <color indexed="81"/>
            <rFont val="Tahoma"/>
            <family val="2"/>
          </rPr>
          <t xml:space="preserve">
1 = פחות ממיליארד דולר בשנה
2 = בין 1-2 מיליארד דולר בשנה
3 = בין 3-5 מיליארד דולר בשנה
4 = יותר מ-5 מיליארד דולר בשנה</t>
        </r>
      </text>
    </comment>
    <comment ref="P10" authorId="0" shapeId="0" xr:uid="{E5BBF757-8E0F-4B4A-80A6-DBE2301AC5CA}">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1" authorId="0" shapeId="0" xr:uid="{9D49604C-7029-42E1-BBAC-4F539E75D286}">
      <text>
        <r>
          <rPr>
            <b/>
            <sz val="9"/>
            <color indexed="81"/>
            <rFont val="Tahoma"/>
            <family val="2"/>
          </rPr>
          <t>יניב שפירא:</t>
        </r>
        <r>
          <rPr>
            <sz val="9"/>
            <color indexed="81"/>
            <rFont val="Tahoma"/>
            <family val="2"/>
          </rPr>
          <t xml:space="preserve">
1 = 58
2 = 140
3 = 485
4 = 1150
5 = 3900</t>
        </r>
      </text>
    </comment>
    <comment ref="P12" authorId="0" shapeId="0" xr:uid="{1E908FC8-EC27-4079-AC0C-9C8BF538A13B}">
      <text>
        <r>
          <rPr>
            <b/>
            <sz val="9"/>
            <color indexed="81"/>
            <rFont val="Tahoma"/>
            <family val="2"/>
          </rPr>
          <t>יניב שפירא:</t>
        </r>
        <r>
          <rPr>
            <sz val="9"/>
            <color indexed="81"/>
            <rFont val="Tahoma"/>
            <family val="2"/>
          </rPr>
          <t xml:space="preserve">
1 = בטוח שיש
2 = חושב שיש
3 = חושב שאין
4 = בטוח שאין</t>
        </r>
      </text>
    </comment>
    <comment ref="P13" authorId="0" shapeId="0" xr:uid="{06A264B4-2094-49DE-B8F6-ACB8D2510E5C}">
      <text>
        <r>
          <rPr>
            <b/>
            <sz val="9"/>
            <color indexed="81"/>
            <rFont val="Tahoma"/>
            <family val="2"/>
          </rPr>
          <t>יניב שפירא:</t>
        </r>
        <r>
          <rPr>
            <sz val="9"/>
            <color indexed="81"/>
            <rFont val="Tahoma"/>
            <family val="2"/>
          </rPr>
          <t xml:space="preserve">
1 = בטוח שיש
2 = חושב שיש
3 = חושב שאין
4 = בטוח שאין</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D5CC14F2-E964-4CE5-B515-52CC826ED8C5}">
      <text>
        <r>
          <rPr>
            <b/>
            <sz val="9"/>
            <color indexed="81"/>
            <rFont val="Tahoma"/>
            <charset val="177"/>
          </rPr>
          <t>יניב שפירא:</t>
        </r>
        <r>
          <rPr>
            <sz val="9"/>
            <color indexed="81"/>
            <rFont val="Tahoma"/>
            <charset val="177"/>
          </rPr>
          <t xml:space="preserve">
post election</t>
        </r>
      </text>
    </comment>
    <comment ref="AA1" authorId="0" shapeId="0" xr:uid="{A674A44F-C6D6-4493-AC9F-8A1C11944D39}">
      <text>
        <r>
          <rPr>
            <b/>
            <sz val="9"/>
            <color indexed="81"/>
            <rFont val="Tahoma"/>
            <charset val="177"/>
          </rPr>
          <t>יניב שפירא:</t>
        </r>
        <r>
          <rPr>
            <sz val="9"/>
            <color indexed="81"/>
            <rFont val="Tahoma"/>
            <charset val="177"/>
          </rPr>
          <t xml:space="preserve">
post Kippur + post election</t>
        </r>
      </text>
    </comment>
    <comment ref="AB1" authorId="0" shapeId="0" xr:uid="{4A490D98-2B4D-464E-BB63-AA5CBD1BB639}">
      <text>
        <r>
          <rPr>
            <b/>
            <sz val="9"/>
            <color indexed="81"/>
            <rFont val="Tahoma"/>
            <charset val="177"/>
          </rPr>
          <t>יניב שפירא:</t>
        </r>
        <r>
          <rPr>
            <sz val="9"/>
            <color indexed="81"/>
            <rFont val="Tahoma"/>
            <charset val="177"/>
          </rPr>
          <t xml:space="preserve">
post Kippur</t>
        </r>
      </text>
    </comment>
    <comment ref="AC1" authorId="0" shapeId="0" xr:uid="{B4F1DC7A-FF2A-4F5F-B8B1-5EC187458FB5}">
      <text>
        <r>
          <rPr>
            <b/>
            <sz val="9"/>
            <color indexed="81"/>
            <rFont val="Tahoma"/>
            <charset val="177"/>
          </rPr>
          <t>יניב שפירא:</t>
        </r>
        <r>
          <rPr>
            <sz val="9"/>
            <color indexed="81"/>
            <rFont val="Tahoma"/>
            <charset val="177"/>
          </rPr>
          <t xml:space="preserve">
post Kippur</t>
        </r>
      </text>
    </comment>
    <comment ref="AF1" authorId="0" shapeId="0" xr:uid="{001FB9CB-C334-4262-80FE-4F7D01D96AB6}">
      <text>
        <r>
          <rPr>
            <b/>
            <sz val="9"/>
            <color indexed="81"/>
            <rFont val="Tahoma"/>
            <charset val="177"/>
          </rPr>
          <t>יניב שפירא:</t>
        </r>
        <r>
          <rPr>
            <sz val="9"/>
            <color indexed="81"/>
            <rFont val="Tahoma"/>
            <charset val="177"/>
          </rPr>
          <t xml:space="preserve">
pre + post election</t>
        </r>
      </text>
    </comment>
    <comment ref="G2" authorId="0" shapeId="0" xr:uid="{ADF1EC93-E782-4615-AA0B-7FB16DC5EAC0}">
      <text>
        <r>
          <rPr>
            <b/>
            <sz val="9"/>
            <color indexed="81"/>
            <rFont val="Tahoma"/>
            <charset val="177"/>
          </rPr>
          <t>יניב שפירא:</t>
        </r>
        <r>
          <rPr>
            <sz val="9"/>
            <color indexed="81"/>
            <rFont val="Tahoma"/>
            <charset val="177"/>
          </rPr>
          <t xml:space="preserve">
1 = בכלל לא
2 = במידה מועטה
3 = במידה רבה
4 = במידה רבה מאד</t>
        </r>
      </text>
    </comment>
    <comment ref="G3" authorId="0" shapeId="0" xr:uid="{AA505A8E-3502-4A91-9A26-924F42096BEB}">
      <text>
        <r>
          <rPr>
            <b/>
            <sz val="9"/>
            <color indexed="81"/>
            <rFont val="Tahoma"/>
            <family val="2"/>
          </rPr>
          <t>יניב שפירא:</t>
        </r>
        <r>
          <rPr>
            <sz val="9"/>
            <color indexed="81"/>
            <rFont val="Tahoma"/>
            <family val="2"/>
          </rPr>
          <t xml:space="preserve">
1 = בכלל לא חשוב
2 = חשוב במידה מועטה
3 = די חשוב
4 = חשוב מאד</t>
        </r>
      </text>
    </comment>
    <comment ref="H4" authorId="0" shapeId="0" xr:uid="{D73D6109-7CA7-4405-A658-D96BA970C019}">
      <text>
        <r>
          <rPr>
            <b/>
            <sz val="9"/>
            <color indexed="81"/>
            <rFont val="Tahoma"/>
            <family val="2"/>
          </rPr>
          <t>יניב שפירא:</t>
        </r>
        <r>
          <rPr>
            <sz val="9"/>
            <color indexed="81"/>
            <rFont val="Tahoma"/>
            <family val="2"/>
          </rPr>
          <t xml:space="preserve">
1 = בהחלט לא מסכים
2 = לא מסכים
3 = מסכים
4 = בהחלט מסכים</t>
        </r>
      </text>
    </comment>
    <comment ref="H10" authorId="0" shapeId="0" xr:uid="{76C1DA6B-B644-4E43-8E7B-9047B1BB0DF3}">
      <text>
        <r>
          <rPr>
            <b/>
            <sz val="9"/>
            <color indexed="81"/>
            <rFont val="Tahoma"/>
            <family val="2"/>
          </rPr>
          <t>יניב שפירא:</t>
        </r>
        <r>
          <rPr>
            <sz val="9"/>
            <color indexed="81"/>
            <rFont val="Tahoma"/>
            <family val="2"/>
          </rPr>
          <t xml:space="preserve">
1 = אני עושה יותר מבן/בת זוגי
2 = החלוקה פחות או יותר שוויונית
3 = אני עושה פחות מבן/בת זוגי</t>
        </r>
      </text>
    </comment>
    <comment ref="H11" authorId="0" shapeId="0" xr:uid="{ADA83B03-D727-4ED7-A8EE-636B9DF108AA}">
      <text>
        <r>
          <rPr>
            <b/>
            <sz val="9"/>
            <color indexed="81"/>
            <rFont val="Tahoma"/>
            <family val="2"/>
          </rPr>
          <t>יניב שפירא:</t>
        </r>
        <r>
          <rPr>
            <sz val="9"/>
            <color indexed="81"/>
            <rFont val="Tahoma"/>
            <family val="2"/>
          </rPr>
          <t xml:space="preserve">
1 = בטוח שכן
2 = חושב שכן
3 = ככה ככה
4 = חושב שלא
5 = בטוח שלא</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0A9A4332-7D69-4B69-A44E-10A7A78AEBBC}">
      <text>
        <r>
          <rPr>
            <b/>
            <sz val="9"/>
            <color indexed="81"/>
            <rFont val="Tahoma"/>
            <charset val="177"/>
          </rPr>
          <t>יניב שפירא:</t>
        </r>
        <r>
          <rPr>
            <sz val="9"/>
            <color indexed="81"/>
            <rFont val="Tahoma"/>
            <charset val="177"/>
          </rPr>
          <t xml:space="preserve">
post election</t>
        </r>
      </text>
    </comment>
    <comment ref="AA1" authorId="0" shapeId="0" xr:uid="{285BF299-E354-4C62-B44F-0FC5EDFDE4A5}">
      <text>
        <r>
          <rPr>
            <b/>
            <sz val="9"/>
            <color indexed="81"/>
            <rFont val="Tahoma"/>
            <charset val="177"/>
          </rPr>
          <t>יניב שפירא:</t>
        </r>
        <r>
          <rPr>
            <sz val="9"/>
            <color indexed="81"/>
            <rFont val="Tahoma"/>
            <charset val="177"/>
          </rPr>
          <t xml:space="preserve">
post Kippur + post election</t>
        </r>
      </text>
    </comment>
    <comment ref="AB1" authorId="0" shapeId="0" xr:uid="{0A601A34-6A2F-4C93-99D5-94D8337585AE}">
      <text>
        <r>
          <rPr>
            <b/>
            <sz val="9"/>
            <color indexed="81"/>
            <rFont val="Tahoma"/>
            <charset val="177"/>
          </rPr>
          <t>יניב שפירא:</t>
        </r>
        <r>
          <rPr>
            <sz val="9"/>
            <color indexed="81"/>
            <rFont val="Tahoma"/>
            <charset val="177"/>
          </rPr>
          <t xml:space="preserve">
post Kippur</t>
        </r>
      </text>
    </comment>
    <comment ref="AC1" authorId="0" shapeId="0" xr:uid="{86E06CF1-993C-4E35-A4AE-8B99BA58A9C3}">
      <text>
        <r>
          <rPr>
            <b/>
            <sz val="9"/>
            <color indexed="81"/>
            <rFont val="Tahoma"/>
            <charset val="177"/>
          </rPr>
          <t>יניב שפירא:</t>
        </r>
        <r>
          <rPr>
            <sz val="9"/>
            <color indexed="81"/>
            <rFont val="Tahoma"/>
            <charset val="177"/>
          </rPr>
          <t xml:space="preserve">
post Kippur</t>
        </r>
      </text>
    </comment>
    <comment ref="AF1" authorId="0" shapeId="0" xr:uid="{4DECF788-C7B1-40EA-9261-C4144A8B347A}">
      <text>
        <r>
          <rPr>
            <b/>
            <sz val="9"/>
            <color indexed="81"/>
            <rFont val="Tahoma"/>
            <charset val="177"/>
          </rPr>
          <t>יניב שפירא:</t>
        </r>
        <r>
          <rPr>
            <sz val="9"/>
            <color indexed="81"/>
            <rFont val="Tahoma"/>
            <charset val="177"/>
          </rPr>
          <t xml:space="preserve">
pre + post election</t>
        </r>
      </text>
    </comment>
    <comment ref="A2" authorId="0" shapeId="0" xr:uid="{DE6AC2BB-0F3A-4A36-ABF4-01FCE30008E1}">
      <text>
        <r>
          <rPr>
            <b/>
            <sz val="9"/>
            <color indexed="81"/>
            <rFont val="Tahoma"/>
            <family val="2"/>
          </rPr>
          <t>יניב שפירא:</t>
        </r>
        <r>
          <rPr>
            <sz val="9"/>
            <color indexed="81"/>
            <rFont val="Tahoma"/>
            <family val="2"/>
          </rPr>
          <t xml:space="preserve">
שאלות: 31,33,34,36,37,39,40,42,43,44
אין קידוד בstata, האם אבד??
גם ב2020 וגם ב2019
גם ב2021</t>
        </r>
      </text>
    </comment>
    <comment ref="D2" authorId="0" shapeId="0" xr:uid="{3C32675A-96A6-40F6-9449-6C9758C1BE05}">
      <text>
        <r>
          <rPr>
            <b/>
            <sz val="9"/>
            <color indexed="81"/>
            <rFont val="Tahoma"/>
            <family val="2"/>
          </rPr>
          <t>יניב שפירא:</t>
        </r>
        <r>
          <rPr>
            <sz val="9"/>
            <color indexed="81"/>
            <rFont val="Tahoma"/>
            <family val="2"/>
          </rPr>
          <t xml:space="preserve">
1 = בטוח שלא
2 = חושב שלא
3 = חושב שכן
4 = בטוח שכן</t>
        </r>
      </text>
    </comment>
    <comment ref="D10" authorId="0" shapeId="0" xr:uid="{70D49FA9-C1C0-4424-8913-4EE0785CEF81}">
      <text>
        <r>
          <rPr>
            <b/>
            <sz val="9"/>
            <color indexed="81"/>
            <rFont val="Tahoma"/>
            <family val="2"/>
          </rPr>
          <t>יניב שפירא:</t>
        </r>
        <r>
          <rPr>
            <sz val="9"/>
            <color indexed="81"/>
            <rFont val="Tahoma"/>
            <family val="2"/>
          </rPr>
          <t xml:space="preserve">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r>
      </text>
    </comment>
    <comment ref="D11" authorId="0" shapeId="0" xr:uid="{B608C858-C739-425E-BD16-8C19DB69D2BE}">
      <text>
        <r>
          <rPr>
            <b/>
            <sz val="9"/>
            <color indexed="81"/>
            <rFont val="Tahoma"/>
            <family val="2"/>
          </rPr>
          <t>יניב שפירא:</t>
        </r>
        <r>
          <rPr>
            <sz val="9"/>
            <color indexed="81"/>
            <rFont val="Tahoma"/>
            <family val="2"/>
          </rPr>
          <t xml:space="preserve">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r>
      </text>
    </comment>
    <comment ref="A12" authorId="0" shapeId="0" xr:uid="{C98A5A6F-340A-4757-B6D0-595E4E7AAD05}">
      <text>
        <r>
          <rPr>
            <b/>
            <sz val="9"/>
            <color indexed="81"/>
            <rFont val="Tahoma"/>
            <family val="2"/>
          </rPr>
          <t>יניב שפירא:</t>
        </r>
        <r>
          <rPr>
            <sz val="9"/>
            <color indexed="81"/>
            <rFont val="Tahoma"/>
            <family val="2"/>
          </rPr>
          <t xml:space="preserve">
שאלות 109 + 110
לא מקודדות אצלי בstata
גם ב2020 וגם ב2019
גם ב2021</t>
        </r>
      </text>
    </comment>
    <comment ref="D12" authorId="0" shapeId="0" xr:uid="{7A509F49-D60C-4B7F-9E8E-D0949E4A199F}">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D13" authorId="0" shapeId="0" xr:uid="{8DCCD631-ADD9-437E-B329-D128FB54593A}">
      <text>
        <r>
          <rPr>
            <b/>
            <sz val="9"/>
            <color indexed="81"/>
            <rFont val="Tahoma"/>
            <family val="2"/>
          </rPr>
          <t>יניב שפירא:</t>
        </r>
        <r>
          <rPr>
            <sz val="9"/>
            <color indexed="81"/>
            <rFont val="Tahoma"/>
            <family val="2"/>
          </rPr>
          <t xml:space="preserve">
1 = במידה רבה
2 = במידה מסוימת
3 = במידה מועטה
4 = בכלל לא</t>
        </r>
      </text>
    </comment>
    <comment ref="A14" authorId="0" shapeId="0" xr:uid="{73E713B9-E70A-4C9E-A599-51D418D137C0}">
      <text>
        <r>
          <rPr>
            <b/>
            <sz val="9"/>
            <color indexed="81"/>
            <rFont val="Tahoma"/>
            <family val="2"/>
          </rPr>
          <t>יניב שפירא:</t>
        </r>
        <r>
          <rPr>
            <sz val="9"/>
            <color indexed="81"/>
            <rFont val="Tahoma"/>
            <family val="2"/>
          </rPr>
          <t xml:space="preserve">
שאלה של אחרי הבחירות.
שאלה E110 לא מקודדת בstata
גם ב2020 וגם ב2019
גם ב2021</t>
        </r>
      </text>
    </comment>
    <comment ref="D14" authorId="0" shapeId="0" xr:uid="{51645FA1-BD74-4B4C-B54D-8A128324B975}">
      <text>
        <r>
          <rPr>
            <b/>
            <sz val="9"/>
            <color indexed="81"/>
            <rFont val="Tahoma"/>
            <family val="2"/>
          </rPr>
          <t>יניב שפירא:</t>
        </r>
        <r>
          <rPr>
            <sz val="9"/>
            <color indexed="81"/>
            <rFont val="Tahoma"/>
            <family val="2"/>
          </rPr>
          <t xml:space="preserve">
1 = במידה רבה
2 = במידה מסוימת
3 = במידה מועטה
4 = בכלל לא
8 = לא יודע
9 = מסרב</t>
        </r>
      </text>
    </comment>
    <comment ref="F15" authorId="0" shapeId="0" xr:uid="{9E20383D-9133-4A53-B42A-AD305CE9EF46}">
      <text>
        <r>
          <rPr>
            <b/>
            <sz val="9"/>
            <color indexed="81"/>
            <rFont val="Tahoma"/>
            <family val="2"/>
          </rPr>
          <t>יניב שפירא:</t>
        </r>
        <r>
          <rPr>
            <sz val="9"/>
            <color indexed="81"/>
            <rFont val="Tahoma"/>
            <family val="2"/>
          </rPr>
          <t xml:space="preserve">
1 = כלל לא מסכים
2 = לא כ"כ מסכים
3 = די מסכים
4 = מסכים מאד</t>
        </r>
      </text>
    </comment>
    <comment ref="Q15" authorId="0" shapeId="0" xr:uid="{3455E853-C372-4173-A321-0512020DEA7B}">
      <text>
        <r>
          <rPr>
            <b/>
            <sz val="9"/>
            <color indexed="81"/>
            <rFont val="Tahoma"/>
            <family val="2"/>
          </rPr>
          <t>יניב שפירא:</t>
        </r>
        <r>
          <rPr>
            <sz val="9"/>
            <color indexed="81"/>
            <rFont val="Tahoma"/>
            <family val="2"/>
          </rPr>
          <t xml:space="preserve">
1 = מסכים בהחלט
2 = מסכים
3 = לא בטוח
4 = לא מסכים
5 = כלל לא מסכים</t>
        </r>
      </text>
    </comment>
    <comment ref="V15" authorId="0" shapeId="0" xr:uid="{4ABF1528-E035-4648-B12B-E024875A0D8C}">
      <text>
        <r>
          <rPr>
            <b/>
            <sz val="9"/>
            <color indexed="81"/>
            <rFont val="Tahoma"/>
            <family val="2"/>
          </rPr>
          <t>יניב שפירא:</t>
        </r>
        <r>
          <rPr>
            <sz val="9"/>
            <color indexed="81"/>
            <rFont val="Tahoma"/>
            <family val="2"/>
          </rPr>
          <t xml:space="preserve">
1 = בכלל לא מתחשב
2 = מתחשב במידה מועטה
3 = מתחשב במידה מסויימת
4 = מתחשב במידה רבה</t>
        </r>
      </text>
    </comment>
    <comment ref="AG15" authorId="0" shapeId="0" xr:uid="{6C057748-AB5B-432A-9830-3B29B46A5699}">
      <text>
        <r>
          <rPr>
            <b/>
            <sz val="9"/>
            <color indexed="81"/>
            <rFont val="Tahoma"/>
            <family val="2"/>
          </rPr>
          <t>יניב שפירא:</t>
        </r>
        <r>
          <rPr>
            <sz val="9"/>
            <color indexed="81"/>
            <rFont val="Tahoma"/>
            <family val="2"/>
          </rPr>
          <t xml:space="preserve">
1 = בהחלט לא מתחשב
2 = אולי לא מתחשב
3 = אולי מתחשב
4 = בהחלט מתחשב</t>
        </r>
      </text>
    </comment>
    <comment ref="F16" authorId="0" shapeId="0" xr:uid="{06AB5C4D-B6C5-40E3-BB4F-D7D25042FA6D}">
      <text>
        <r>
          <rPr>
            <b/>
            <sz val="9"/>
            <color indexed="81"/>
            <rFont val="Tahoma"/>
            <family val="2"/>
          </rPr>
          <t>יניב שפירא:</t>
        </r>
        <r>
          <rPr>
            <sz val="9"/>
            <color indexed="81"/>
            <rFont val="Tahoma"/>
            <family val="2"/>
          </rPr>
          <t xml:space="preserve">
קידוד 29 מפלגות</t>
        </r>
      </text>
    </comment>
    <comment ref="A17" authorId="0" shapeId="0" xr:uid="{77D5B861-2BE1-4AB6-9D47-E7723C266986}">
      <text>
        <r>
          <rPr>
            <b/>
            <sz val="9"/>
            <color indexed="81"/>
            <rFont val="Tahoma"/>
            <family val="2"/>
          </rPr>
          <t>יניב שפירא:</t>
        </r>
        <r>
          <rPr>
            <sz val="9"/>
            <color indexed="81"/>
            <rFont val="Tahoma"/>
            <family val="2"/>
          </rPr>
          <t xml:space="preserve">
שאלות 80-85 לא מקודדות בstata
(בשנת 2019, אין אותם ב2020)</t>
        </r>
      </text>
    </comment>
    <comment ref="F17" authorId="0" shapeId="0" xr:uid="{311BCC0B-EBE1-4A57-8A6A-922A27AD305F}">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3" authorId="0" shapeId="0" xr:uid="{DA2A443E-41EA-4E2F-8997-69614A82EC9B}">
      <text>
        <r>
          <rPr>
            <b/>
            <sz val="9"/>
            <color indexed="81"/>
            <rFont val="Tahoma"/>
            <family val="2"/>
          </rPr>
          <t>יניב שפירא:</t>
        </r>
        <r>
          <rPr>
            <sz val="9"/>
            <color indexed="81"/>
            <rFont val="Tahoma"/>
            <family val="2"/>
          </rPr>
          <t xml:space="preserve">
שאלה 91 לא מקודדת בstata
(בשנת 2019, אין אותה ב2020)</t>
        </r>
      </text>
    </comment>
    <comment ref="F23" authorId="0" shapeId="0" xr:uid="{0EC6C46A-032A-494D-A204-EA82E8CF130C}">
      <text>
        <r>
          <rPr>
            <b/>
            <sz val="9"/>
            <color indexed="81"/>
            <rFont val="Tahoma"/>
            <family val="2"/>
          </rPr>
          <t>יניב שפירא:</t>
        </r>
        <r>
          <rPr>
            <sz val="9"/>
            <color indexed="81"/>
            <rFont val="Tahoma"/>
            <family val="2"/>
          </rPr>
          <t xml:space="preserve">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r>
      </text>
    </comment>
    <comment ref="G24" authorId="0" shapeId="0" xr:uid="{80025F00-DBF8-4477-9978-DE5AC325A983}">
      <text>
        <r>
          <rPr>
            <b/>
            <sz val="9"/>
            <color indexed="81"/>
            <rFont val="Tahoma"/>
            <family val="2"/>
          </rPr>
          <t>יניב שפירא:</t>
        </r>
        <r>
          <rPr>
            <sz val="9"/>
            <color indexed="81"/>
            <rFont val="Tahoma"/>
            <family val="2"/>
          </rPr>
          <t xml:space="preserve">
1 = כלל לא מסכים
2 = לא מסכים
3 = מסכים
4 = מסכים מאד</t>
        </r>
      </text>
    </comment>
    <comment ref="A25" authorId="0" shapeId="0" xr:uid="{E9FA7006-AA6D-4C33-AEFC-F9E9B8A2AB95}">
      <text>
        <r>
          <rPr>
            <b/>
            <sz val="9"/>
            <color indexed="81"/>
            <rFont val="Tahoma"/>
            <family val="2"/>
          </rPr>
          <t>יניב שפירא:</t>
        </r>
        <r>
          <rPr>
            <sz val="9"/>
            <color indexed="81"/>
            <rFont val="Tahoma"/>
            <family val="2"/>
          </rPr>
          <t xml:space="preserve">
שאלות 86-90
לא מקודדות אצלי בstata
גם ב2020 וגם ב2019
גם ב2021</t>
        </r>
      </text>
    </comment>
    <comment ref="D25" authorId="0" shapeId="0" xr:uid="{FD199D00-EF19-4924-BC4A-D77C7C5E6DEB}">
      <text>
        <r>
          <rPr>
            <b/>
            <sz val="9"/>
            <color indexed="81"/>
            <rFont val="Tahoma"/>
            <family val="2"/>
          </rPr>
          <t>יניב שפירא:</t>
        </r>
        <r>
          <rPr>
            <sz val="9"/>
            <color indexed="81"/>
            <rFont val="Tahoma"/>
            <family val="2"/>
          </rPr>
          <t xml:space="preserve">
1 = כלל לא מסכים
2 = לא כ"כ מסכים
3 = די מסכים
4 = מאד מסכים</t>
        </r>
      </text>
    </comment>
    <comment ref="A29" authorId="0" shapeId="0" xr:uid="{54AA8F14-0141-4BBE-BF0E-F6DDB2D84827}">
      <text>
        <r>
          <rPr>
            <b/>
            <sz val="9"/>
            <color indexed="81"/>
            <rFont val="Tahoma"/>
            <family val="2"/>
          </rPr>
          <t>יניב שפירא:</t>
        </r>
        <r>
          <rPr>
            <sz val="9"/>
            <color indexed="81"/>
            <rFont val="Tahoma"/>
            <family val="2"/>
          </rPr>
          <t xml:space="preserve">
רק ליהודים</t>
        </r>
      </text>
    </comment>
    <comment ref="L29" authorId="0" shapeId="0" xr:uid="{11FBA2C6-93C0-4AB3-8E55-AD280420F002}">
      <text>
        <r>
          <rPr>
            <b/>
            <sz val="9"/>
            <color indexed="81"/>
            <rFont val="Tahoma"/>
            <family val="2"/>
          </rPr>
          <t>יניב שפירא:</t>
        </r>
        <r>
          <rPr>
            <sz val="9"/>
            <color indexed="81"/>
            <rFont val="Tahoma"/>
            <family val="2"/>
          </rPr>
          <t xml:space="preserve">
סולם 1-5
1 = לא משנה עבור מי מצביעים
5 = כן משנה</t>
        </r>
      </text>
    </comment>
    <comment ref="I30" authorId="0" shapeId="0" xr:uid="{BB1099B8-26CA-4A82-A8EC-ABAC218C6A87}">
      <text>
        <r>
          <rPr>
            <b/>
            <sz val="9"/>
            <color indexed="81"/>
            <rFont val="Tahoma"/>
            <charset val="177"/>
          </rPr>
          <t>יניב שפירא:</t>
        </r>
        <r>
          <rPr>
            <sz val="9"/>
            <color indexed="81"/>
            <rFont val="Tahoma"/>
            <charset val="177"/>
          </rPr>
          <t xml:space="preserve">
1 = היא קודם כל מפלגה שמייצגת את העולים מברה"מ לשעבר
2 = היא לא מפלגה כזו</t>
        </r>
      </text>
    </comment>
    <comment ref="A31" authorId="0" shapeId="0" xr:uid="{69814127-C8D7-43CD-94F6-CDF22AD255C6}">
      <text>
        <r>
          <rPr>
            <b/>
            <sz val="9"/>
            <color indexed="81"/>
            <rFont val="Tahoma"/>
            <family val="2"/>
          </rPr>
          <t>יניב שפירא:</t>
        </r>
        <r>
          <rPr>
            <sz val="9"/>
            <color indexed="81"/>
            <rFont val="Tahoma"/>
            <family val="2"/>
          </rPr>
          <t xml:space="preserve">
רק לעולי ברה"מ</t>
        </r>
      </text>
    </comment>
    <comment ref="J31" authorId="0" shapeId="0" xr:uid="{F93B7B8E-50A3-466D-BDB9-0CBB6C7F673E}">
      <text>
        <r>
          <rPr>
            <b/>
            <sz val="9"/>
            <color indexed="81"/>
            <rFont val="Tahoma"/>
            <family val="2"/>
          </rPr>
          <t>יניב שפירא:</t>
        </r>
        <r>
          <rPr>
            <sz val="9"/>
            <color indexed="81"/>
            <rFont val="Tahoma"/>
            <family val="2"/>
          </rPr>
          <t xml:space="preserve">
1 = בטוח שכן
2 = חושב שכן
3 = חושב שלא
4 = בטוח שלא</t>
        </r>
      </text>
    </comment>
    <comment ref="V32" authorId="0" shapeId="0" xr:uid="{0B6851A9-AB39-4431-9232-4E3F35D6747C}">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V33" authorId="0" shapeId="0" xr:uid="{88EF79F3-CB0C-40F4-AF7C-B427060C5B43}">
      <text>
        <r>
          <rPr>
            <b/>
            <sz val="9"/>
            <color indexed="81"/>
            <rFont val="Tahoma"/>
            <family val="2"/>
          </rPr>
          <t>יניב שפירא:</t>
        </r>
        <r>
          <rPr>
            <sz val="9"/>
            <color indexed="81"/>
            <rFont val="Tahoma"/>
            <family val="2"/>
          </rPr>
          <t xml:space="preserve">
1 = צעירים
2 = נשים
3 = עדות המזרח
4 = אנשי רוח
5 = פועלים
6 = אנשי צבא
7 = אנשי עסקים
8 = עולים חדשים
9 = אף קבוצה</t>
        </r>
      </text>
    </comment>
    <comment ref="A34" authorId="0" shapeId="0" xr:uid="{8B2A28F3-00F7-494B-9F2A-AE9FF1EC3C56}">
      <text>
        <r>
          <rPr>
            <b/>
            <sz val="9"/>
            <color indexed="81"/>
            <rFont val="Tahoma"/>
            <family val="2"/>
          </rPr>
          <t>יניב שפירא:</t>
        </r>
        <r>
          <rPr>
            <sz val="9"/>
            <color indexed="81"/>
            <rFont val="Tahoma"/>
            <family val="2"/>
          </rPr>
          <t xml:space="preserve">
אין קידוד
2021</t>
        </r>
      </text>
    </comment>
    <comment ref="C34" authorId="0" shapeId="0" xr:uid="{878574E9-3F91-4BA6-8549-FF59F29BEB57}">
      <text>
        <r>
          <rPr>
            <b/>
            <sz val="9"/>
            <color indexed="81"/>
            <rFont val="Tahoma"/>
            <family val="2"/>
          </rPr>
          <t>יניב שפירא:</t>
        </r>
        <r>
          <rPr>
            <sz val="9"/>
            <color indexed="81"/>
            <rFont val="Tahoma"/>
            <family val="2"/>
          </rPr>
          <t xml:space="preserve">
1 = מי שהצביע לו
2 = מי שלא הצביע לו
3 = גם וגם
4 = אף אחד
5 = לא הצביע</t>
        </r>
      </text>
    </comment>
    <comment ref="A35" authorId="0" shapeId="0" xr:uid="{70290F82-6AB0-4A10-BBC0-61DC137F2F8F}">
      <text>
        <r>
          <rPr>
            <b/>
            <sz val="9"/>
            <color indexed="81"/>
            <rFont val="Tahoma"/>
            <family val="2"/>
          </rPr>
          <t>יניב שפירא:</t>
        </r>
        <r>
          <rPr>
            <sz val="9"/>
            <color indexed="81"/>
            <rFont val="Tahoma"/>
            <family val="2"/>
          </rPr>
          <t xml:space="preserve">
אין קידוד
2021</t>
        </r>
      </text>
    </comment>
    <comment ref="C35" authorId="0" shapeId="0" xr:uid="{A1EBE2FB-4E1D-469F-AC01-4306F0336481}">
      <text>
        <r>
          <rPr>
            <b/>
            <sz val="9"/>
            <color indexed="81"/>
            <rFont val="Tahoma"/>
            <family val="2"/>
          </rPr>
          <t>יניב שפירא:</t>
        </r>
        <r>
          <rPr>
            <sz val="9"/>
            <color indexed="81"/>
            <rFont val="Tahoma"/>
            <family val="2"/>
          </rPr>
          <t xml:space="preserve">
1 = מפלגות ופוליטיקאים מהמערכת הפוליטית
2 = גופים ואנשים מחוץ למערכת הפוליטית
3 = גם וגם
4 = אף אחד מהם</t>
        </r>
      </text>
    </comment>
    <comment ref="A36" authorId="0" shapeId="0" xr:uid="{DC40417C-F236-406C-A62D-0674CFC17B54}">
      <text>
        <r>
          <rPr>
            <b/>
            <sz val="9"/>
            <color indexed="81"/>
            <rFont val="Tahoma"/>
            <family val="2"/>
          </rPr>
          <t>יניב שפירא:</t>
        </r>
        <r>
          <rPr>
            <sz val="9"/>
            <color indexed="81"/>
            <rFont val="Tahoma"/>
            <family val="2"/>
          </rPr>
          <t xml:space="preserve">
מי שענה 2/3 בשאלה הקודמת
אין קידוד
2021</t>
        </r>
      </text>
    </comment>
    <comment ref="C36" authorId="0" shapeId="0" xr:uid="{393EAD1F-446A-459D-A4F8-5408E050F9B2}">
      <text>
        <r>
          <rPr>
            <b/>
            <sz val="9"/>
            <color indexed="81"/>
            <rFont val="Tahoma"/>
            <family val="2"/>
          </rPr>
          <t>יניב שפירא:</t>
        </r>
        <r>
          <rPr>
            <sz val="9"/>
            <color indexed="81"/>
            <rFont val="Tahoma"/>
            <family val="2"/>
          </rPr>
          <t xml:space="preserve">
שאלה פתוחה</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972FA1DC-3D31-42C7-9A3B-32FE9AFBA0AD}">
      <text>
        <r>
          <rPr>
            <b/>
            <sz val="9"/>
            <color indexed="81"/>
            <rFont val="Tahoma"/>
            <charset val="177"/>
          </rPr>
          <t>יניב שפירא:</t>
        </r>
        <r>
          <rPr>
            <sz val="9"/>
            <color indexed="81"/>
            <rFont val="Tahoma"/>
            <charset val="177"/>
          </rPr>
          <t xml:space="preserve">
post election</t>
        </r>
      </text>
    </comment>
    <comment ref="AA1" authorId="0" shapeId="0" xr:uid="{EAE2594C-F1C4-465D-A829-971F2D3A8F36}">
      <text>
        <r>
          <rPr>
            <b/>
            <sz val="9"/>
            <color indexed="81"/>
            <rFont val="Tahoma"/>
            <charset val="177"/>
          </rPr>
          <t>יניב שפירא:</t>
        </r>
        <r>
          <rPr>
            <sz val="9"/>
            <color indexed="81"/>
            <rFont val="Tahoma"/>
            <charset val="177"/>
          </rPr>
          <t xml:space="preserve">
post Kippur + post election</t>
        </r>
      </text>
    </comment>
    <comment ref="AB1" authorId="0" shapeId="0" xr:uid="{17F60622-B4C5-433B-B124-0E24D397EAD7}">
      <text>
        <r>
          <rPr>
            <b/>
            <sz val="9"/>
            <color indexed="81"/>
            <rFont val="Tahoma"/>
            <charset val="177"/>
          </rPr>
          <t>יניב שפירא:</t>
        </r>
        <r>
          <rPr>
            <sz val="9"/>
            <color indexed="81"/>
            <rFont val="Tahoma"/>
            <charset val="177"/>
          </rPr>
          <t xml:space="preserve">
post Kippur</t>
        </r>
      </text>
    </comment>
    <comment ref="AC1" authorId="0" shapeId="0" xr:uid="{DC3D9118-DB77-48E0-A3AC-61FC765B9702}">
      <text>
        <r>
          <rPr>
            <b/>
            <sz val="9"/>
            <color indexed="81"/>
            <rFont val="Tahoma"/>
            <charset val="177"/>
          </rPr>
          <t>יניב שפירא:</t>
        </r>
        <r>
          <rPr>
            <sz val="9"/>
            <color indexed="81"/>
            <rFont val="Tahoma"/>
            <charset val="177"/>
          </rPr>
          <t xml:space="preserve">
post Kippur</t>
        </r>
      </text>
    </comment>
    <comment ref="AF1" authorId="0" shapeId="0" xr:uid="{03D1F82C-E013-477C-AB82-9BCC11716AD3}">
      <text>
        <r>
          <rPr>
            <b/>
            <sz val="9"/>
            <color indexed="81"/>
            <rFont val="Tahoma"/>
            <charset val="177"/>
          </rPr>
          <t>יניב שפירא:</t>
        </r>
        <r>
          <rPr>
            <sz val="9"/>
            <color indexed="81"/>
            <rFont val="Tahoma"/>
            <charset val="177"/>
          </rPr>
          <t xml:space="preserve">
pre + post election</t>
        </r>
      </text>
    </comment>
    <comment ref="D2" authorId="0" shapeId="0" xr:uid="{7D016B48-B923-4333-8E8C-5A6FEFB5B0A9}">
      <text>
        <r>
          <rPr>
            <b/>
            <sz val="9"/>
            <color indexed="81"/>
            <rFont val="Tahoma"/>
            <family val="2"/>
          </rPr>
          <t>יניב שפירא:</t>
        </r>
        <r>
          <rPr>
            <sz val="9"/>
            <color indexed="81"/>
            <rFont val="Tahoma"/>
            <family val="2"/>
          </rPr>
          <t xml:space="preserve">
1 = בהחלט יכול
2 = יכול
3 = לא יכול
4 = בהחלט לא יכול</t>
        </r>
      </text>
    </comment>
    <comment ref="D3" authorId="0" shapeId="0" xr:uid="{B4A2BCCA-418F-4794-B39A-D27636897125}">
      <text>
        <r>
          <rPr>
            <b/>
            <sz val="9"/>
            <color indexed="81"/>
            <rFont val="Tahoma"/>
            <family val="2"/>
          </rPr>
          <t>יניב שפירא:</t>
        </r>
        <r>
          <rPr>
            <sz val="9"/>
            <color indexed="81"/>
            <rFont val="Tahoma"/>
            <family val="2"/>
          </rPr>
          <t xml:space="preserve">
1 = כלל לא מסכים
2 = לא כ"כ מסכים
3 = די מסכים
4 = מאוד מסכים</t>
        </r>
      </text>
    </comment>
    <comment ref="D4" authorId="0" shapeId="0" xr:uid="{D6F7D432-AFB1-4714-8FC8-4AFA1F705219}">
      <text>
        <r>
          <rPr>
            <b/>
            <sz val="9"/>
            <color indexed="81"/>
            <rFont val="Tahoma"/>
            <family val="2"/>
          </rPr>
          <t>יניב שפירא:</t>
        </r>
        <r>
          <rPr>
            <sz val="9"/>
            <color indexed="81"/>
            <rFont val="Tahoma"/>
            <family val="2"/>
          </rPr>
          <t xml:space="preserve">
1 = שכתב האישום נגד ראש הממשלה הוא חלק ממסע רדיפה נגדו
2 = שהגופים הללו פועלים כנדרש</t>
        </r>
      </text>
    </comment>
    <comment ref="F4" authorId="0" shapeId="0" xr:uid="{0D9D13C2-E854-4F38-86FB-C8221CD7FDA1}">
      <text>
        <r>
          <rPr>
            <b/>
            <sz val="9"/>
            <color indexed="81"/>
            <rFont val="Tahoma"/>
            <family val="2"/>
          </rPr>
          <t>יניב שפירא:</t>
        </r>
        <r>
          <rPr>
            <sz val="9"/>
            <color indexed="81"/>
            <rFont val="Tahoma"/>
            <family val="2"/>
          </rPr>
          <t xml:space="preserve">
1 = שחקירות ראש הממשלה הן חלק ממסע רדיפה שמנהלות נגדו התקשורת, מערכת המשפט והמשטרה
2 = שהתקשורת, מערכת המשפט והמשטרה פועלים כנדרש</t>
        </r>
      </text>
    </comment>
    <comment ref="AD5" authorId="0" shapeId="0" xr:uid="{DE4E70E8-BD06-4FE3-842B-B03552E4E876}">
      <text>
        <r>
          <rPr>
            <b/>
            <sz val="9"/>
            <color indexed="81"/>
            <rFont val="Tahoma"/>
            <family val="2"/>
          </rPr>
          <t>יניב שפירא:</t>
        </r>
        <r>
          <rPr>
            <sz val="9"/>
            <color indexed="81"/>
            <rFont val="Tahoma"/>
            <family val="2"/>
          </rPr>
          <t xml:space="preserve">
1 = בהחלט מסכים
2 = מסכים
3 = לא כ"כ מסכים
4 = כלל לא מסכים</t>
        </r>
      </text>
    </comment>
    <comment ref="AD6" authorId="0" shapeId="0" xr:uid="{36E5B6E0-6F2A-4244-AD95-7BB21611E3B9}">
      <text>
        <r>
          <rPr>
            <b/>
            <sz val="9"/>
            <color indexed="81"/>
            <rFont val="Tahoma"/>
            <family val="2"/>
          </rPr>
          <t>יניב שפירא:</t>
        </r>
        <r>
          <rPr>
            <sz val="9"/>
            <color indexed="81"/>
            <rFont val="Tahoma"/>
            <family val="2"/>
          </rPr>
          <t xml:space="preserve">
1 = במצב של פיתוח כלכלי אין להמנע ממקרים כאלה
2 = מקרים אלה מראים על הדרדרות מוסרית ויש לעקור אותם מן השורש</t>
        </r>
      </text>
    </comment>
    <comment ref="AD8" authorId="0" shapeId="0" xr:uid="{88A15258-77EA-4046-B9CE-7FD5257E9D73}">
      <text>
        <r>
          <rPr>
            <b/>
            <sz val="9"/>
            <color indexed="81"/>
            <rFont val="Tahoma"/>
            <charset val="177"/>
          </rPr>
          <t>יניב שפירא:</t>
        </r>
        <r>
          <rPr>
            <sz val="9"/>
            <color indexed="81"/>
            <rFont val="Tahoma"/>
            <charset val="177"/>
          </rPr>
          <t xml:space="preserve">
1 = שינוי לטובה
2 = המצב ישאר כמו שהוא
3 = שינוי לרעה</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יניב שפירא</author>
  </authors>
  <commentList>
    <comment ref="W1" authorId="0" shapeId="0" xr:uid="{1EB2D2E0-B9B4-48EA-8533-EB2830F46CE7}">
      <text>
        <r>
          <rPr>
            <b/>
            <sz val="9"/>
            <color indexed="81"/>
            <rFont val="Tahoma"/>
            <charset val="177"/>
          </rPr>
          <t>יניב שפירא:</t>
        </r>
        <r>
          <rPr>
            <sz val="9"/>
            <color indexed="81"/>
            <rFont val="Tahoma"/>
            <charset val="177"/>
          </rPr>
          <t xml:space="preserve">
post election</t>
        </r>
      </text>
    </comment>
    <comment ref="AA1" authorId="0" shapeId="0" xr:uid="{1D67752A-2026-457D-9A34-9393B438ED80}">
      <text>
        <r>
          <rPr>
            <b/>
            <sz val="9"/>
            <color indexed="81"/>
            <rFont val="Tahoma"/>
            <charset val="177"/>
          </rPr>
          <t>יניב שפירא:</t>
        </r>
        <r>
          <rPr>
            <sz val="9"/>
            <color indexed="81"/>
            <rFont val="Tahoma"/>
            <charset val="177"/>
          </rPr>
          <t xml:space="preserve">
post Kippur + post election</t>
        </r>
      </text>
    </comment>
    <comment ref="AB1" authorId="0" shapeId="0" xr:uid="{1EF9A092-23CA-4A4D-B874-379E2E0847FA}">
      <text>
        <r>
          <rPr>
            <b/>
            <sz val="9"/>
            <color indexed="81"/>
            <rFont val="Tahoma"/>
            <charset val="177"/>
          </rPr>
          <t>יניב שפירא:</t>
        </r>
        <r>
          <rPr>
            <sz val="9"/>
            <color indexed="81"/>
            <rFont val="Tahoma"/>
            <charset val="177"/>
          </rPr>
          <t xml:space="preserve">
post Kippur</t>
        </r>
      </text>
    </comment>
    <comment ref="AC1" authorId="0" shapeId="0" xr:uid="{E1292EA1-2F04-43B1-8600-AF1884F834DB}">
      <text>
        <r>
          <rPr>
            <b/>
            <sz val="9"/>
            <color indexed="81"/>
            <rFont val="Tahoma"/>
            <charset val="177"/>
          </rPr>
          <t>יניב שפירא:</t>
        </r>
        <r>
          <rPr>
            <sz val="9"/>
            <color indexed="81"/>
            <rFont val="Tahoma"/>
            <charset val="177"/>
          </rPr>
          <t xml:space="preserve">
post Kippur</t>
        </r>
      </text>
    </comment>
    <comment ref="AF1" authorId="0" shapeId="0" xr:uid="{7935D535-AFE2-4508-9035-FA7E4CFCAF0B}">
      <text>
        <r>
          <rPr>
            <b/>
            <sz val="9"/>
            <color indexed="81"/>
            <rFont val="Tahoma"/>
            <charset val="177"/>
          </rPr>
          <t>יניב שפירא:</t>
        </r>
        <r>
          <rPr>
            <sz val="9"/>
            <color indexed="81"/>
            <rFont val="Tahoma"/>
            <charset val="177"/>
          </rPr>
          <t xml:space="preserve">
pre + post election</t>
        </r>
      </text>
    </comment>
    <comment ref="D2" authorId="0" shapeId="0" xr:uid="{A66E9803-6586-42DA-8CF4-CFB048C86AAF}">
      <text>
        <r>
          <rPr>
            <b/>
            <sz val="9"/>
            <color indexed="81"/>
            <rFont val="Tahoma"/>
            <family val="2"/>
          </rPr>
          <t>יניב שפירא:</t>
        </r>
        <r>
          <rPr>
            <sz val="9"/>
            <color indexed="81"/>
            <rFont val="Tahoma"/>
            <family val="2"/>
          </rPr>
          <t xml:space="preserve">
1 = מדינה פלסטינית לצד מדינת ישראל היא הדרך הטובה ביותר
2 = מדינה אחת בין הים לירדן היא הדרך הטובה ביותר</t>
        </r>
      </text>
    </comment>
    <comment ref="G3" authorId="0" shapeId="0" xr:uid="{90224D77-06B3-4960-B39B-790BE7FD2F3A}">
      <text>
        <r>
          <rPr>
            <b/>
            <sz val="9"/>
            <color indexed="81"/>
            <rFont val="Tahoma"/>
            <charset val="177"/>
          </rPr>
          <t>יניב שפירא:</t>
        </r>
        <r>
          <rPr>
            <sz val="9"/>
            <color indexed="81"/>
            <rFont val="Tahoma"/>
            <charset val="177"/>
          </rPr>
          <t xml:space="preserve">
1 = כלל לא מסכים
2 = לא מסכים
3 = מסכים
4 = מסכים מאוד</t>
        </r>
      </text>
    </comment>
    <comment ref="D4" authorId="0" shapeId="0" xr:uid="{31BF6E55-E760-4D2F-AC43-266B05A5E85C}">
      <text>
        <r>
          <rPr>
            <b/>
            <sz val="9"/>
            <color indexed="81"/>
            <rFont val="Tahoma"/>
            <family val="2"/>
          </rPr>
          <t>יניב שפירא:</t>
        </r>
        <r>
          <rPr>
            <sz val="9"/>
            <color indexed="81"/>
            <rFont val="Tahoma"/>
            <family val="2"/>
          </rPr>
          <t xml:space="preserve">
1 = כלל לא מסכים
2 = לא כ"כ מסכים
3 = די מסכים
4 = מאוד מסכים </t>
        </r>
      </text>
    </comment>
    <comment ref="A9" authorId="0" shapeId="0" xr:uid="{DC4FE9EE-ACCD-4AE7-B917-60DB9DB2C297}">
      <text>
        <r>
          <rPr>
            <b/>
            <sz val="9"/>
            <color indexed="81"/>
            <rFont val="Tahoma"/>
            <family val="2"/>
          </rPr>
          <t>יניב שפירא:</t>
        </r>
        <r>
          <rPr>
            <sz val="9"/>
            <color indexed="81"/>
            <rFont val="Tahoma"/>
            <family val="2"/>
          </rPr>
          <t xml:space="preserve">
שאלות 12B-14B בפוסט בחירות 2019 לא מקודדות בstata</t>
        </r>
      </text>
    </comment>
    <comment ref="I12" authorId="0" shapeId="0" xr:uid="{F5B1952A-7B86-40CA-BCD4-E4097BA5AFC2}">
      <text>
        <r>
          <rPr>
            <b/>
            <sz val="9"/>
            <color indexed="81"/>
            <rFont val="Tahoma"/>
            <family val="2"/>
          </rPr>
          <t>יניב שפירא:</t>
        </r>
        <r>
          <rPr>
            <sz val="9"/>
            <color indexed="81"/>
            <rFont val="Tahoma"/>
            <family val="2"/>
          </rPr>
          <t xml:space="preserve">
1 = ישראלי
2 = פלסטיני
3 = ערבי
4 = הדת שלי</t>
        </r>
      </text>
    </comment>
    <comment ref="C16" authorId="0" shapeId="0" xr:uid="{6CBA2A87-B6EB-4125-972D-16630B70C80B}">
      <text>
        <r>
          <rPr>
            <b/>
            <sz val="9"/>
            <color indexed="81"/>
            <rFont val="Tahoma"/>
            <charset val="177"/>
          </rPr>
          <t>יניב שפירא:</t>
        </r>
        <r>
          <rPr>
            <sz val="9"/>
            <color indexed="81"/>
            <rFont val="Tahoma"/>
            <charset val="177"/>
          </rPr>
          <t xml:space="preserve">
1 = מאד מסכים
2 = די מסכים
3 = לא כ"כ מסכים
4 = לא מסכים כלל</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<sst xmlns="http://schemas.openxmlformats.org/spreadsheetml/2006/main" count="21804" uniqueCount="6708">
  <si>
    <t>שאלה</t>
  </si>
  <si>
    <t>age</t>
  </si>
  <si>
    <t>לאיזו קבוצת גיל אתה משתייך?</t>
  </si>
  <si>
    <t>agegroup</t>
  </si>
  <si>
    <t>gender</t>
  </si>
  <si>
    <t>מהי השכלתך?</t>
  </si>
  <si>
    <t>educ</t>
  </si>
  <si>
    <t>האם אתה אזרח ישראלי?</t>
  </si>
  <si>
    <t>v5</t>
  </si>
  <si>
    <t>v6</t>
  </si>
  <si>
    <t>v12</t>
  </si>
  <si>
    <t>v13</t>
  </si>
  <si>
    <t>v15</t>
  </si>
  <si>
    <t>v16</t>
  </si>
  <si>
    <t>v19</t>
  </si>
  <si>
    <t>v20</t>
  </si>
  <si>
    <t>v21</t>
  </si>
  <si>
    <t>v22</t>
  </si>
  <si>
    <t>מהו לדעתך מצבה של ישראל באופן כללי?</t>
  </si>
  <si>
    <t>מהי לדעתך הבעיה החשובה ביותר שעל הממשלה לטפל בה?</t>
  </si>
  <si>
    <t>v8_code</t>
  </si>
  <si>
    <t>ישראל הולכת עכשיו בפעם השלישית לבחירות בתוך פחות משנה. מבין הדברים הבאים, מה הכי מפריע לך, אם בכלל, במצב שנוצר:</t>
  </si>
  <si>
    <t>v501</t>
  </si>
  <si>
    <t>מה דעתך על תכנית השלום של טראמפ, המכונה תכנית המאה, שכוללת החלת ריבונות ישראלית בבקעת הירדן ובישובים היהודים ביהודה ושומרון, ובהמשך מדינה פלסטינית בכ-70% משטח יהודה ושומרון. האם אתה תומך או מתנגד?</t>
  </si>
  <si>
    <t>v514</t>
  </si>
  <si>
    <t>האם לדעתך ניתן להגיע להסכם שלום עם הפלסטינים?</t>
  </si>
  <si>
    <t>על מה אתה חושב שישראל צריכה לשים את הדגש כדי למנוע מלחמה בינה לבין שכנותיה?</t>
  </si>
  <si>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t>
    </r>
  </si>
  <si>
    <t>ואיזה שני בחשיבותו?</t>
  </si>
  <si>
    <t>האם לפי דעתך על ישראל להסכים או לא להקמת מדינה פלסטינית ביהודה, שומרון וחבל עזה במסגרת הסדר קבע?</t>
  </si>
  <si>
    <t>בקשר למבנה החיים הכלכליים בארץ, האם אתה תומך יותר בגישה הסוציאליסטית או בגישה הקפיטליסטית?</t>
  </si>
  <si>
    <t>האם לדעתך ממשלת ישראל צריכה או לא צריכה לדאוג לכך שהחיים הציבורים במדינה יתנהלו על פי המסורת הדתית היהודית?</t>
  </si>
  <si>
    <t>יש הטוענים שמדינה פלסטינית לצד מדינת ישראל היא הדרך הטובה ביותר לפתרון הסכסוך הישראלי-פלסטיני. אחרים טוענים שמדינה אחת בין הים לירדן היא הדרך הטובה ביותר לפתרון הסכסוך. מבין שתי הטענות, לאיזו טענה אתה נוטה להסכים?</t>
  </si>
  <si>
    <t>v26</t>
  </si>
  <si>
    <t>v27</t>
  </si>
  <si>
    <t>ניתן להשיג שוויון אזרחי לאזרחים הערבים בעיקר באמצעות המאבק הפוליטי בכנסת</t>
  </si>
  <si>
    <t>v28</t>
  </si>
  <si>
    <t>v29</t>
  </si>
  <si>
    <t>השתתפות בבחירות לכנסת פוגעת במאבק להשגת הזכויות הלאומיות הפלסטיניות</t>
  </si>
  <si>
    <t>v30</t>
  </si>
  <si>
    <t>v502</t>
  </si>
  <si>
    <t>בעקבות כתב האישום נגד ראש הממשלה, האם לדעתך נתניהו יכול להמשיך ולכהן כראש ממשלה בזמן שמתנהל נגדו משפט?</t>
  </si>
  <si>
    <t>v503A</t>
  </si>
  <si>
    <t>יש לאפשר למנהיג פוליטי, שמבצע את תפקידו בצורה מוצלחת, להמשיך בתפקידו, גם אם הורשע בעבירה של שחיתות ציבורית</t>
  </si>
  <si>
    <t>v25</t>
  </si>
  <si>
    <t>יש טענות כי כתב האישום שהוגש נגד ראש הממשלה הוא חלק ממסע רדיפה שמנהלים נגדו מערכת המשפט, התקשורת והמשטרה, כדי להביא לסיום שלטונו. מנגד, נטען כי הגופים הללו פועלים כפי שנדרש מהם כאשר יש חשד לשחיתות ציבורית. מבין שתי הטענות, עם איזו מהטענות אתה נוטה להסכים?</t>
  </si>
  <si>
    <t>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t>
  </si>
  <si>
    <t>האם החוקים שעוברים בכנסת בסך הכל מייצגים את העמדות שלך?</t>
  </si>
  <si>
    <t>האם יש בארץ מפלגה שיש בה נציגים שדומים לך מבחינת המאפיינים והרקע שלך?</t>
  </si>
  <si>
    <t>האם הכנסת מייצגת אנשים עם מאפיינים ורקע כמו שלך?</t>
  </si>
  <si>
    <t>האם יש מפלגה ו/או פוליטיקאי שגורמים לך להרגיש שייכות וגאווה בזהות שלך?</t>
  </si>
  <si>
    <t>האם הכנסת גורמת לך להרגיש שייכות וגאווה בזהות שלך?</t>
  </si>
  <si>
    <t>האם המפלגה ו/או הפוליטיקאי שהצגת עבורם משתמשים בסמכות שנתת להם בצורה אחראית?</t>
  </si>
  <si>
    <t>האם הכנסת משתמש בסמכות שאנחנו נתנו לה בצורה אחראית למעם האזרחים?</t>
  </si>
  <si>
    <t>כעת חשוב על ההצבעה שלך למפלגה מסוימת בבחירות. מבין הגורמים הבאים מה הכי חשוב לך?</t>
  </si>
  <si>
    <t>ולגבי הכנסת, מבין הגורים הבאים, מה ההכי חשוב לך?</t>
  </si>
  <si>
    <t>באיזו מידה אתה נוהג לשוחח עם חבריך ובני משפחתך על עניינים פוליטיים?</t>
  </si>
  <si>
    <t>v45</t>
  </si>
  <si>
    <t>v65</t>
  </si>
  <si>
    <t>v115</t>
  </si>
  <si>
    <t>v135</t>
  </si>
  <si>
    <t>באיזו מידה אתה וחבריך יכולים להשפיע על מדיניות הממשלה?</t>
  </si>
  <si>
    <t>v46</t>
  </si>
  <si>
    <t>v47</t>
  </si>
  <si>
    <t>v48</t>
  </si>
  <si>
    <r>
      <t xml:space="preserve">מה יחסך לכל אחת מן המפלגות הבאות? </t>
    </r>
    <r>
      <rPr>
        <b/>
        <sz val="11"/>
        <color theme="1"/>
        <rFont val="Calibri"/>
        <family val="2"/>
        <scheme val="minor"/>
      </rPr>
      <t>הליכוד</t>
    </r>
  </si>
  <si>
    <t>v49A</t>
  </si>
  <si>
    <r>
      <t xml:space="preserve">מה יחסך לכל אחת מן המפלגות הבאות? </t>
    </r>
    <r>
      <rPr>
        <b/>
        <sz val="11"/>
        <color theme="1"/>
        <rFont val="Calibri"/>
        <family val="2"/>
        <scheme val="minor"/>
      </rPr>
      <t>כחול-לבן</t>
    </r>
  </si>
  <si>
    <t>v49B</t>
  </si>
  <si>
    <t>v49C</t>
  </si>
  <si>
    <r>
      <t xml:space="preserve">מה יחסך לכל אחת מן המפלגות הבאות? </t>
    </r>
    <r>
      <rPr>
        <b/>
        <sz val="11"/>
        <color theme="1"/>
        <rFont val="Calibri"/>
        <family val="2"/>
        <scheme val="minor"/>
      </rPr>
      <t>ימינה</t>
    </r>
  </si>
  <si>
    <t>v49D</t>
  </si>
  <si>
    <r>
      <t xml:space="preserve">מה יחסך לכל אחת מן המפלגות הבאות? </t>
    </r>
    <r>
      <rPr>
        <b/>
        <sz val="11"/>
        <color theme="1"/>
        <rFont val="Calibri"/>
        <family val="2"/>
        <scheme val="minor"/>
      </rPr>
      <t>ישראל ביתנו</t>
    </r>
  </si>
  <si>
    <t>v49H</t>
  </si>
  <si>
    <r>
      <t xml:space="preserve">מה יחסך לכל אחת מן המפלגות הבאות? </t>
    </r>
    <r>
      <rPr>
        <b/>
        <sz val="11"/>
        <color theme="1"/>
        <rFont val="Calibri"/>
        <family val="2"/>
        <scheme val="minor"/>
      </rPr>
      <t>ש"ס</t>
    </r>
  </si>
  <si>
    <t>v49I</t>
  </si>
  <si>
    <r>
      <t xml:space="preserve">מה יחסך לכל אחת מן המפלגות הבאות? </t>
    </r>
    <r>
      <rPr>
        <b/>
        <sz val="11"/>
        <color theme="1"/>
        <rFont val="Calibri"/>
        <family val="2"/>
        <scheme val="minor"/>
      </rPr>
      <t>עוצמה יהודית</t>
    </r>
  </si>
  <si>
    <t>v49S</t>
  </si>
  <si>
    <r>
      <t xml:space="preserve">מה יחסך לכל אחת מן המפלגות הבאות? </t>
    </r>
    <r>
      <rPr>
        <b/>
        <sz val="11"/>
        <color theme="1"/>
        <rFont val="Calibri"/>
        <family val="2"/>
        <scheme val="minor"/>
      </rPr>
      <t>יהדות התורה</t>
    </r>
  </si>
  <si>
    <t>v49K</t>
  </si>
  <si>
    <r>
      <t xml:space="preserve">מה יחסך לכל אחת מן המפלגות הבאות? </t>
    </r>
    <r>
      <rPr>
        <b/>
        <sz val="11"/>
        <color theme="1"/>
        <rFont val="Calibri"/>
        <family val="2"/>
        <scheme val="minor"/>
      </rPr>
      <t>הרשימה המשותפת</t>
    </r>
  </si>
  <si>
    <t>v49J</t>
  </si>
  <si>
    <t>v50</t>
  </si>
  <si>
    <r>
      <t xml:space="preserve">על סולם שבו 0 משמעו דחייה ושנאה, 10 משמעו תמיכה ואהדה ו-5 משמעו אמצע, </t>
    </r>
    <r>
      <rPr>
        <b/>
        <sz val="11"/>
        <color theme="1"/>
        <rFont val="Calibri"/>
        <family val="2"/>
        <scheme val="minor"/>
      </rPr>
      <t>מה יחסך לימנים?</t>
    </r>
  </si>
  <si>
    <r>
      <t xml:space="preserve">על סולם שבו 0 משמעו דחייה ושנאה, 10 משמעו תמיכה ואהדה ו-5 משמעו אמצע, </t>
    </r>
    <r>
      <rPr>
        <b/>
        <sz val="11"/>
        <color theme="1"/>
        <rFont val="Calibri"/>
        <family val="2"/>
        <scheme val="minor"/>
      </rPr>
      <t>מה יחסך לשמאלנים?</t>
    </r>
  </si>
  <si>
    <r>
      <t xml:space="preserve">ועל אותו סולם, מה יחסך לאישים הבאים? </t>
    </r>
    <r>
      <rPr>
        <b/>
        <sz val="11"/>
        <color theme="1"/>
        <rFont val="Calibri"/>
        <family val="2"/>
        <scheme val="minor"/>
      </rPr>
      <t>בנימין נתניהו</t>
    </r>
  </si>
  <si>
    <t>v52A</t>
  </si>
  <si>
    <r>
      <t xml:space="preserve">ועל אותו סולם, מה יחסך לאישים הבאים? </t>
    </r>
    <r>
      <rPr>
        <b/>
        <sz val="11"/>
        <color theme="1"/>
        <rFont val="Calibri"/>
        <family val="2"/>
        <scheme val="minor"/>
      </rPr>
      <t>בני גנץ</t>
    </r>
  </si>
  <si>
    <t>v52B</t>
  </si>
  <si>
    <r>
      <t xml:space="preserve">ועל אותו סולם, מה יחסך לאישים הבאים? </t>
    </r>
    <r>
      <rPr>
        <b/>
        <sz val="11"/>
        <color theme="1"/>
        <rFont val="Calibri"/>
        <family val="2"/>
        <scheme val="minor"/>
      </rPr>
      <t>אביגדור ליברמן</t>
    </r>
  </si>
  <si>
    <t>v52I</t>
  </si>
  <si>
    <r>
      <t xml:space="preserve">ועל אותו סולם, מה יחסך לאישים הבאים? </t>
    </r>
    <r>
      <rPr>
        <b/>
        <sz val="11"/>
        <color theme="1"/>
        <rFont val="Calibri"/>
        <family val="2"/>
        <scheme val="minor"/>
      </rPr>
      <t>איימן עודה</t>
    </r>
  </si>
  <si>
    <t>v52K</t>
  </si>
  <si>
    <r>
      <t xml:space="preserve">ועל אותו סולם, מה יחסך לאישים הבאים? </t>
    </r>
    <r>
      <rPr>
        <b/>
        <sz val="11"/>
        <color theme="1"/>
        <rFont val="Calibri"/>
        <family val="2"/>
        <scheme val="minor"/>
      </rPr>
      <t>אחמד טיבי</t>
    </r>
  </si>
  <si>
    <t>v52R</t>
  </si>
  <si>
    <t>ישנם גורמים שונים בגללם אנשים יצביעו דווקא למפלגה מסוימת בכנסת. מבין הגורמים הבאים, מהוא הגורם העיקרי המשפיע עליך להצבעה למפלגה מסוימת?</t>
  </si>
  <si>
    <t>v63</t>
  </si>
  <si>
    <t>v64</t>
  </si>
  <si>
    <t>v66</t>
  </si>
  <si>
    <t>v67</t>
  </si>
  <si>
    <t>v68</t>
  </si>
  <si>
    <t>v69</t>
  </si>
  <si>
    <t>v504</t>
  </si>
  <si>
    <t>למיטב ידיעתך, מהו אחוז החסימה בבחירות לכנסת?</t>
  </si>
  <si>
    <t>v73</t>
  </si>
  <si>
    <r>
      <t xml:space="preserve">באיזו מידה אתה מסכים או לא מסכים עם המשפטים הבאים: </t>
    </r>
    <r>
      <rPr>
        <b/>
        <sz val="11"/>
        <color theme="1"/>
        <rFont val="Calibri"/>
        <family val="2"/>
        <scheme val="minor"/>
      </rPr>
      <t>פוליטיקאים מבטיחים במערכת הבחירות דברים שאין להם שום כוונה לקיים</t>
    </r>
  </si>
  <si>
    <r>
      <t xml:space="preserve">באיזו מידה אתה מסכים או לא מסכים עם המשפטים הבאים: </t>
    </r>
    <r>
      <rPr>
        <b/>
        <sz val="11"/>
        <color theme="1"/>
        <rFont val="Calibri"/>
        <family val="2"/>
        <scheme val="minor"/>
      </rPr>
      <t>רוב הפוליטיקאים נקיים משחיתות</t>
    </r>
  </si>
  <si>
    <r>
      <t xml:space="preserve">באיזו מידה אתה מסכים או לא מסכים עם המשפטים הבאים: </t>
    </r>
    <r>
      <rPr>
        <b/>
        <sz val="11"/>
        <color theme="1"/>
        <rFont val="Calibri"/>
        <family val="2"/>
        <scheme val="minor"/>
      </rPr>
      <t>יותר מדי גורמים מתערבים בבחירות כך שהתוצאה לא מייצגת את רצון הבוחר</t>
    </r>
  </si>
  <si>
    <r>
      <t xml:space="preserve">באיזו מידה אתה מסכים או לא מסכים עם המשפטים הבאים: </t>
    </r>
    <r>
      <rPr>
        <b/>
        <sz val="11"/>
        <color theme="1"/>
        <rFont val="Calibri"/>
        <family val="2"/>
        <scheme val="minor"/>
      </rPr>
      <t>שיטת הבחירות מעוותת את רצון הבוחר</t>
    </r>
  </si>
  <si>
    <t>מבין הדברים הבאים, מה לדעתך הכי מאיים על המערכת הפוליטית כיום?</t>
  </si>
  <si>
    <t>v51</t>
  </si>
  <si>
    <t>באיזו תדירות אתה נוהג להתעדכן בחדשות בעיתון יומי, בטלוויזיה, ברדיו או באינטרנט?</t>
  </si>
  <si>
    <t>v505</t>
  </si>
  <si>
    <t>כמה פעמים בשבוע האחרון קראת מידע פוליטי וחדשותי ברשתות החברתיות שאתה פעיל בהן (כמו פייסבוק, וואטספ, אינסטגרם וכד')</t>
  </si>
  <si>
    <t>v506</t>
  </si>
  <si>
    <t>לו הבחירות לכנסת היו נערכות היום, עבור איזו רשימה היית מצביע?</t>
  </si>
  <si>
    <t>v104E</t>
  </si>
  <si>
    <t>לדעתך, האם אחרי הבחירות הממשלה תתבסס על:</t>
  </si>
  <si>
    <t>v106</t>
  </si>
  <si>
    <t>ואיזו ממשלה מבין הבאות אתה מעדיף?</t>
  </si>
  <si>
    <t>v107</t>
  </si>
  <si>
    <t>v507</t>
  </si>
  <si>
    <t>v508</t>
  </si>
  <si>
    <t>v509</t>
  </si>
  <si>
    <t>באופן כללי, באיזו מידה אתה מרגיש שיש בארץ מפלגה ו/או פוליטיקאי שמייצגים אותך?</t>
  </si>
  <si>
    <t>ובאופן כללי, באיזו מידה אתה מרגיש שהמערכת הפוליטית הישראלית מייצגת אותך?</t>
  </si>
  <si>
    <t>הרבה מדברים על שמאל וימין בפוליטיקה. היכן היית מדרג את עצמך על פני רצף שמאל-ימין, כאשר 1 הקצה הימני ו-7 הקצה השמאלי?</t>
  </si>
  <si>
    <t>v111</t>
  </si>
  <si>
    <t>למיטב ידיעתך, מי עומד בראש בית המשפט העליון כיום?</t>
  </si>
  <si>
    <t>v510</t>
  </si>
  <si>
    <t>v511</t>
  </si>
  <si>
    <t>באיזו מידה ישראל מתנהלת כיום בצורה דמוקרטית?</t>
  </si>
  <si>
    <t>באיזו מידה אתה מרוצה מהאופן בו המערכת הפוליטית בישראל מתפקדת כיום?</t>
  </si>
  <si>
    <t>v116</t>
  </si>
  <si>
    <r>
      <t xml:space="preserve">באיזו מידה אתה מסכים או לא מסכים, עם המשפטים הבאים: </t>
    </r>
    <r>
      <rPr>
        <b/>
        <sz val="11"/>
        <color theme="1"/>
        <rFont val="Calibri"/>
        <family val="2"/>
        <scheme val="minor"/>
      </rPr>
      <t>אתה מרגיש מחויב למשטר הדמוקרטי בישראל, גם אם יש תקופות שבהן ההחלטות לא מוצאות חן בעיניך?</t>
    </r>
  </si>
  <si>
    <r>
      <t xml:space="preserve">באיזו מידה אתה מסכים או לא מסכים, עם המשפטים הבאים: </t>
    </r>
    <r>
      <rPr>
        <b/>
        <sz val="11"/>
        <color theme="1"/>
        <rFont val="Calibri"/>
        <family val="2"/>
        <scheme val="minor"/>
      </rPr>
      <t>כדי לטפל בבעיות המיוחדות של ישראל יש צורך במנהיג חזק שלא יתחשב בכנסת ובבחירות</t>
    </r>
  </si>
  <si>
    <r>
      <t xml:space="preserve">באיזו מידה אתה מסכים או לא מסכים, עם המשפטים הבאים: </t>
    </r>
    <r>
      <rPr>
        <b/>
        <sz val="11"/>
        <color theme="1"/>
        <rFont val="Calibri"/>
        <family val="2"/>
        <scheme val="minor"/>
      </rPr>
      <t>יש פעמים שנדמה שעדיף לחרוג מכללי המשחק הדמוקרטיים כדי להשיג שינוי משמעותי</t>
    </r>
  </si>
  <si>
    <r>
      <t xml:space="preserve">באיזו מידה אתה מסכים או לא מסכים, עם המשפטים הבאים: </t>
    </r>
    <r>
      <rPr>
        <b/>
        <sz val="11"/>
        <color theme="1"/>
        <rFont val="Calibri"/>
        <family val="2"/>
        <scheme val="minor"/>
      </rPr>
      <t>המדינה צריכה להבטיח שוויון זכויות חברתי ופוליטי מלא לכל האזרחים ללא הבדל זת גזע ומין</t>
    </r>
  </si>
  <si>
    <r>
      <t xml:space="preserve">באיזו מידה אתה מסכים או לא מסכים, עם המשפטים הבאים: </t>
    </r>
    <r>
      <rPr>
        <b/>
        <sz val="11"/>
        <color theme="1"/>
        <rFont val="Calibri"/>
        <family val="2"/>
        <scheme val="minor"/>
      </rPr>
      <t>יש להבטיח חופש ביטוי גם לאנשים המתבטאים נגד המדינה</t>
    </r>
  </si>
  <si>
    <r>
      <t xml:space="preserve">באיזו מידה אתה מסכים או לא מסכים, עם המשפטים הבאים: </t>
    </r>
    <r>
      <rPr>
        <b/>
        <sz val="11"/>
        <color theme="1"/>
        <rFont val="Calibri"/>
        <family val="2"/>
        <scheme val="minor"/>
      </rPr>
      <t>מי שמתפשר בפוליטיקה בעצם מוכר את העקרונות שלו</t>
    </r>
  </si>
  <si>
    <r>
      <t xml:space="preserve">מה מידת האמון שיש לך ב: </t>
    </r>
    <r>
      <rPr>
        <b/>
        <sz val="11"/>
        <color theme="1"/>
        <rFont val="Calibri"/>
        <family val="2"/>
        <scheme val="minor"/>
      </rPr>
      <t>ממשלה</t>
    </r>
  </si>
  <si>
    <r>
      <t xml:space="preserve">מה מידת האמון שיש לך ב: </t>
    </r>
    <r>
      <rPr>
        <b/>
        <sz val="11"/>
        <color theme="1"/>
        <rFont val="Calibri"/>
        <family val="2"/>
        <scheme val="minor"/>
      </rPr>
      <t>כנסת</t>
    </r>
  </si>
  <si>
    <r>
      <t xml:space="preserve">מה מידת האמון שיש לך ב: </t>
    </r>
    <r>
      <rPr>
        <b/>
        <sz val="11"/>
        <color theme="1"/>
        <rFont val="Calibri"/>
        <family val="2"/>
        <scheme val="minor"/>
      </rPr>
      <t>בית המשפט העליון</t>
    </r>
  </si>
  <si>
    <r>
      <t xml:space="preserve">מה מידת האמון שיש לך ב: </t>
    </r>
    <r>
      <rPr>
        <b/>
        <sz val="11"/>
        <color theme="1"/>
        <rFont val="Calibri"/>
        <family val="2"/>
        <scheme val="minor"/>
      </rPr>
      <t>פוליטיקאים</t>
    </r>
  </si>
  <si>
    <t>אנשים שונים מייחסים משמעות שונה למונח "דמוקרטיה". במילה אחת או שתיים מהו לדעתך המאפיין החשוב והמהותי ביותר של המשטר הדמוקרטי?</t>
  </si>
  <si>
    <t>v512_code</t>
  </si>
  <si>
    <t>v513</t>
  </si>
  <si>
    <t>אם לא נולד בארץ, באיזו שנה עלית ארצה?</t>
  </si>
  <si>
    <t>v134</t>
  </si>
  <si>
    <t>האם למדת את לימודייך התיכוניים או העל-תיכוניים במסגרת דתית כלשהי?</t>
  </si>
  <si>
    <t>v137</t>
  </si>
  <si>
    <t>v139</t>
  </si>
  <si>
    <t xml:space="preserve">ההוצאה החודשית הממוצעת של משפחה בישראל היא כ-16,500 ₪. בהתחשב בכל ההוצאות של משפחתכם, האם אתם מוציאים: </t>
  </si>
  <si>
    <t>מה מספר החדרים שיש לכם בבית?</t>
  </si>
  <si>
    <t>v140</t>
  </si>
  <si>
    <t>מה מספר הנפשות המתגוררות בבית? (כולל חיילים)</t>
  </si>
  <si>
    <t>v141</t>
  </si>
  <si>
    <t>מהי דתך?</t>
  </si>
  <si>
    <t>v143_code</t>
  </si>
  <si>
    <t>כיצד היית מגדיר את עצמך מבחינה דתית?</t>
  </si>
  <si>
    <t>v144</t>
  </si>
  <si>
    <t>v147</t>
  </si>
  <si>
    <t>האם הצבעת בבחירות האחרונות לכנסת?</t>
  </si>
  <si>
    <t>E1_after</t>
  </si>
  <si>
    <t>E2_after</t>
  </si>
  <si>
    <t>עבור איזו רשימה הצבעת בבחירות האחרונות לכנסת?</t>
  </si>
  <si>
    <t>באיזו מידה ביום הבחירות היה חשוב לך באופן אישי אם הממשלה הבאה תהיה ממשלת ימין או ממשלת שמאל?</t>
  </si>
  <si>
    <t>E4_after</t>
  </si>
  <si>
    <t>E7_after</t>
  </si>
  <si>
    <r>
      <t xml:space="preserve">בבחירות האלה דיברו הרבה על ימין ועל שמאל בפוליטיקה, </t>
    </r>
    <r>
      <rPr>
        <b/>
        <sz val="11"/>
        <color theme="1"/>
        <rFont val="Calibri"/>
        <family val="2"/>
        <scheme val="minor"/>
      </rPr>
      <t>מה זה להבנתך ימין?</t>
    </r>
  </si>
  <si>
    <r>
      <t xml:space="preserve">בבחירות האלה דיברו הרבה על ימין ועל שמאל בפוליטיקה, </t>
    </r>
    <r>
      <rPr>
        <b/>
        <sz val="11"/>
        <color theme="1"/>
        <rFont val="Calibri"/>
        <family val="2"/>
        <scheme val="minor"/>
      </rPr>
      <t>מה זה להבנתך שמאל?</t>
    </r>
  </si>
  <si>
    <t>E8A_after</t>
  </si>
  <si>
    <t>E8B_after</t>
  </si>
  <si>
    <t>ועתה, לאחר תוצאות הבחירות - איזו קואליציה אתה הכי מעדיף?</t>
  </si>
  <si>
    <t>E9_after</t>
  </si>
  <si>
    <t>באיזו מידה אתה מרגיש שהמערכת הפוליטית מייצגת אותך?</t>
  </si>
  <si>
    <t>באיזו מידה אתה מרוצה או לא מרוצה מהדמוקרטיה בישראל?</t>
  </si>
  <si>
    <t>E10_after</t>
  </si>
  <si>
    <t>מה דעתך על הדרך שבה מטפלת הממשלה בבעיות שישנן כיום במדינה?</t>
  </si>
  <si>
    <t>v7</t>
  </si>
  <si>
    <t>האם לדעתך המצב הכלכלי במדינה ב-4 השנים האחרונות השתפר, לא השתנה או נעשה גרוע יותר?</t>
  </si>
  <si>
    <t>v9</t>
  </si>
  <si>
    <t>ומה לגבי מצבך האישי; האם היית אומר שב-4 השנים האחרונות מצבך האישי:</t>
  </si>
  <si>
    <t>v10</t>
  </si>
  <si>
    <t>ומה לגבי המצב הביטחוני במדינה - האם לדעתך ב-4 השנים האחרונות הוא השתפר, לא השתנה או נעשה גרוע יותר?</t>
  </si>
  <si>
    <t>v11</t>
  </si>
  <si>
    <t>באיזו מידה אתה מודאג או לא מודאג מגך שאתה או בני משפחתך עלולים להיפגע בדי מחבלים בחיי היום יום שלכם?</t>
  </si>
  <si>
    <t>v14</t>
  </si>
  <si>
    <t>ומה השלישי בחשיבותו?</t>
  </si>
  <si>
    <t>v17</t>
  </si>
  <si>
    <t>v18</t>
  </si>
  <si>
    <r>
      <t xml:space="preserve">באיזו מידה אה מסכים או לא מסכים למשפטים הבאים? </t>
    </r>
    <r>
      <rPr>
        <b/>
        <sz val="11"/>
        <color theme="1"/>
        <rFont val="Calibri"/>
        <family val="2"/>
        <scheme val="minor"/>
      </rPr>
      <t>אנשים עם הכנסה גבוהה צריכים לשלם יותר מיסים ממה שהם משלמים היום</t>
    </r>
  </si>
  <si>
    <t>v23</t>
  </si>
  <si>
    <r>
      <t xml:space="preserve">באיזו מידה אתה מסכים או לא מסכים למשפטים הבאים? </t>
    </r>
    <r>
      <rPr>
        <b/>
        <sz val="11"/>
        <color theme="1"/>
        <rFont val="Calibri"/>
        <family val="2"/>
        <scheme val="minor"/>
      </rPr>
      <t>פוליטיקאי אינו נוטה להתחשב בדעתו של האזרח ברחוב</t>
    </r>
  </si>
  <si>
    <t>v24</t>
  </si>
  <si>
    <t>v49E</t>
  </si>
  <si>
    <r>
      <t xml:space="preserve">מה יחסך לכל אחת מן המפלגות הבאות? </t>
    </r>
    <r>
      <rPr>
        <b/>
        <sz val="11"/>
        <color theme="1"/>
        <rFont val="Calibri"/>
        <family val="2"/>
        <scheme val="minor"/>
      </rPr>
      <t>מרצ</t>
    </r>
  </si>
  <si>
    <t>v49F</t>
  </si>
  <si>
    <r>
      <t xml:space="preserve">מה יחסך לכל אחת מן המפלגות הבאות? </t>
    </r>
    <r>
      <rPr>
        <b/>
        <sz val="11"/>
        <color theme="1"/>
        <rFont val="Calibri"/>
        <family val="2"/>
        <scheme val="minor"/>
      </rPr>
      <t>כולנו</t>
    </r>
  </si>
  <si>
    <t>v49G</t>
  </si>
  <si>
    <r>
      <t xml:space="preserve">מה יחסך לכל אחת מן המפלגות הבאות? </t>
    </r>
    <r>
      <rPr>
        <b/>
        <sz val="11"/>
        <color theme="1"/>
        <rFont val="Calibri"/>
        <family val="2"/>
        <scheme val="minor"/>
      </rPr>
      <t>רע"מ-בל"ד</t>
    </r>
  </si>
  <si>
    <t>v49R</t>
  </si>
  <si>
    <r>
      <t xml:space="preserve">ועל אותו סולם, מה יחסך לאישים הבאים? </t>
    </r>
    <r>
      <rPr>
        <b/>
        <sz val="11"/>
        <color theme="1"/>
        <rFont val="Calibri"/>
        <family val="2"/>
        <scheme val="minor"/>
      </rPr>
      <t>יאיר לפיד</t>
    </r>
  </si>
  <si>
    <t>v52C</t>
  </si>
  <si>
    <r>
      <t xml:space="preserve">ועל אותו סולם, מה יחסך לאישים הבאים? </t>
    </r>
    <r>
      <rPr>
        <b/>
        <sz val="11"/>
        <color theme="1"/>
        <rFont val="Calibri"/>
        <family val="2"/>
        <scheme val="minor"/>
      </rPr>
      <t>אבי גבאי</t>
    </r>
  </si>
  <si>
    <t>v52D</t>
  </si>
  <si>
    <r>
      <t xml:space="preserve">ועל אותו סולם, מה יחסך לאישים הבאים? </t>
    </r>
    <r>
      <rPr>
        <b/>
        <sz val="11"/>
        <color theme="1"/>
        <rFont val="Calibri"/>
        <family val="2"/>
        <scheme val="minor"/>
      </rPr>
      <t>נפתלי בנט</t>
    </r>
  </si>
  <si>
    <t>v52E</t>
  </si>
  <si>
    <r>
      <t xml:space="preserve">ועל אותו סולם, מה יחסך לאישים הבאים? </t>
    </r>
    <r>
      <rPr>
        <b/>
        <sz val="11"/>
        <color theme="1"/>
        <rFont val="Calibri"/>
        <family val="2"/>
        <scheme val="minor"/>
      </rPr>
      <t>בצלאל סמוטריץ'</t>
    </r>
  </si>
  <si>
    <t>v52F</t>
  </si>
  <si>
    <r>
      <t xml:space="preserve">ועל אותו סולם, מה יחסך לאישים הבאים? </t>
    </r>
    <r>
      <rPr>
        <b/>
        <sz val="11"/>
        <color theme="1"/>
        <rFont val="Calibri"/>
        <family val="2"/>
        <scheme val="minor"/>
      </rPr>
      <t>תמר זנדברג</t>
    </r>
  </si>
  <si>
    <t>v52G</t>
  </si>
  <si>
    <r>
      <t xml:space="preserve">ועל אותו סולם, מה יחסך לאישים הבאים? </t>
    </r>
    <r>
      <rPr>
        <b/>
        <sz val="11"/>
        <color theme="1"/>
        <rFont val="Calibri"/>
        <family val="2"/>
        <scheme val="minor"/>
      </rPr>
      <t>משה כחלון</t>
    </r>
  </si>
  <si>
    <t>v52H</t>
  </si>
  <si>
    <r>
      <t>ועל אותו סולם, מה יחסך לאישים הבאים?</t>
    </r>
    <r>
      <rPr>
        <b/>
        <sz val="11"/>
        <color theme="1"/>
        <rFont val="Calibri"/>
        <family val="2"/>
        <scheme val="minor"/>
      </rPr>
      <t xml:space="preserve"> אריה דרעי</t>
    </r>
  </si>
  <si>
    <t>v52J</t>
  </si>
  <si>
    <r>
      <t>ועל אותו סולם, מה יחסך לאישים הבאים?</t>
    </r>
    <r>
      <rPr>
        <b/>
        <sz val="11"/>
        <color theme="1"/>
        <rFont val="Calibri"/>
        <family val="2"/>
        <scheme val="minor"/>
      </rPr>
      <t xml:space="preserve"> מנסור עבאס</t>
    </r>
  </si>
  <si>
    <t>v52S</t>
  </si>
  <si>
    <r>
      <t>ועל אותו סולם, מה יחסך לאישים הבאים?</t>
    </r>
    <r>
      <rPr>
        <b/>
        <sz val="11"/>
        <color theme="1"/>
        <rFont val="Calibri"/>
        <family val="2"/>
        <scheme val="minor"/>
      </rPr>
      <t xml:space="preserve"> מטאנס שחאדה</t>
    </r>
  </si>
  <si>
    <t>v52T</t>
  </si>
  <si>
    <r>
      <t>ועל אותו סולם, מה יחסך לאישים הבאים?</t>
    </r>
    <r>
      <rPr>
        <b/>
        <sz val="11"/>
        <color theme="1"/>
        <rFont val="Calibri"/>
        <family val="2"/>
        <scheme val="minor"/>
      </rPr>
      <t xml:space="preserve"> עאידה תומא-סולימן</t>
    </r>
  </si>
  <si>
    <t>v52U</t>
  </si>
  <si>
    <t>v53</t>
  </si>
  <si>
    <t>עד כמה חשובה לך הזהות שלך כ(ימני/שמאלני/תומך מרכז)?</t>
  </si>
  <si>
    <t>v54</t>
  </si>
  <si>
    <t>באיזו מידה אתה מסכים או לא מסכים עם כל אחת מן הטענות הבאות: כשמישהו מעביר ביקורת על (ימנים/שמאלנים/תומכים של המרכז) זה מרגיש לך כמו עלבון אישי</t>
  </si>
  <si>
    <t>v55</t>
  </si>
  <si>
    <t>כשאתה פוגש תומך אחר של (הימין/שמאל/מרכז) אתה מרגיש קשור אליו</t>
  </si>
  <si>
    <t>v56</t>
  </si>
  <si>
    <t>כשאנשים אומרים דברים טובים על (ימנים/שמאלנים/תומכים של המרכז) זה גורם לך הרגשה טובה</t>
  </si>
  <si>
    <t>v57</t>
  </si>
  <si>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כלכלית-חברתית</t>
    </r>
  </si>
  <si>
    <t>v58</t>
  </si>
  <si>
    <r>
      <t xml:space="preserve">האם לדעתך קיימים או לא קיימים הבדלים בעמדותיהן של המפלגות העיקריות בארץ בנושאים הבאים: </t>
    </r>
    <r>
      <rPr>
        <b/>
        <sz val="11"/>
        <color theme="1"/>
        <rFont val="Calibri"/>
        <family val="2"/>
        <scheme val="minor"/>
      </rPr>
      <t>דת ומדינה</t>
    </r>
  </si>
  <si>
    <t>v59</t>
  </si>
  <si>
    <r>
      <t xml:space="preserve">האם לדעתך קיימים או לא קיימים הבדלים בעמדותיהן של המפלגות העיקריות בארץ בנושאים הבאים: </t>
    </r>
    <r>
      <rPr>
        <b/>
        <sz val="11"/>
        <color theme="1"/>
        <rFont val="Calibri"/>
        <family val="2"/>
        <scheme val="minor"/>
      </rPr>
      <t>שלום ושטחים</t>
    </r>
  </si>
  <si>
    <r>
      <t xml:space="preserve">האם לדעתך קיימים או לא קיימים הבדלים בעמדותיהן של המפלגות העיקריות בארץ בנושאים הבאים: </t>
    </r>
    <r>
      <rPr>
        <b/>
        <sz val="11"/>
        <color theme="1"/>
        <rFont val="Calibri"/>
        <family val="2"/>
        <scheme val="minor"/>
      </rPr>
      <t>בטחון וטרור</t>
    </r>
  </si>
  <si>
    <r>
      <t xml:space="preserve">האם לדעתך קיימים או לא קיימים הבדלים בעמדותיהן של המפלגות העיקריות בארץ בנושאים הבאים: </t>
    </r>
    <r>
      <rPr>
        <b/>
        <sz val="11"/>
        <color theme="1"/>
        <rFont val="Calibri"/>
        <family val="2"/>
        <scheme val="minor"/>
      </rPr>
      <t>ביחס שלהן לדמוקרטיה</t>
    </r>
  </si>
  <si>
    <t>v60</t>
  </si>
  <si>
    <t>v61</t>
  </si>
  <si>
    <t>v62</t>
  </si>
  <si>
    <t>v70</t>
  </si>
  <si>
    <t>v71</t>
  </si>
  <si>
    <t>v72</t>
  </si>
  <si>
    <t>לאיזו מפלגה אתה מרגיש הכי קרוב?</t>
  </si>
  <si>
    <t>v75</t>
  </si>
  <si>
    <t>עד כמה חשובה לך הזהות שלך כתומך ב(המפלגה שציין המרואיין)?</t>
  </si>
  <si>
    <t>v76</t>
  </si>
  <si>
    <r>
      <t xml:space="preserve">באיזו מידה אתה מסכים או לא מסכים עם כל אחת מן הטענות הבאות: </t>
    </r>
    <r>
      <rPr>
        <b/>
        <sz val="11"/>
        <color theme="1"/>
        <rFont val="Calibri"/>
        <family val="2"/>
        <scheme val="minor"/>
      </rPr>
      <t>כשמישהו מעביר ביקורת על תומכים של (המפלגה שציין) זה מרגיש לך כמו עלבון אישי</t>
    </r>
  </si>
  <si>
    <t>v77</t>
  </si>
  <si>
    <t>כשאתה פוגש מישהו שתומך ב(המפלגה שציין) אתה מרגיש קשור אליו</t>
  </si>
  <si>
    <t>v78</t>
  </si>
  <si>
    <t>כשאנשים אומרים דברים טובים על תומכים של (המפלגה שציין) זה גורם לך להרגשה טובה</t>
  </si>
  <si>
    <t>v79</t>
  </si>
  <si>
    <r>
      <t xml:space="preserve">באיזו מידה אתה מסכים או לא מסכים עם המשפטים הבאים לגבי הממשלה: </t>
    </r>
    <r>
      <rPr>
        <b/>
        <sz val="11"/>
        <color theme="1"/>
        <rFont val="Calibri"/>
        <family val="2"/>
        <scheme val="minor"/>
      </rPr>
      <t>חברי הממשלה מגיעים מכל חלקי החברה</t>
    </r>
  </si>
  <si>
    <t>הממשלה בישראל מתאימה את המדיניות שלה לעמדות הציבור</t>
  </si>
  <si>
    <t>הממשלה גורמת לרוב האזרחים להרגיש שייכות וגאווה</t>
  </si>
  <si>
    <t>יש בכנסת הנוכחית ייצוג לקבוצות השונות בחברה הישראלית</t>
  </si>
  <si>
    <t>ההרכב של הכנסת מייצג היטב את הדעות הרבות הקיימות בציבור הישראלי</t>
  </si>
  <si>
    <t>הכנסת מעוררת אצל רוב הישראלים תחושת שייכות וגאווה</t>
  </si>
  <si>
    <t>אם יכולת לבחור פוליטיקאי אחד שייצג אותך בכנסת, מה מתוך רשימת המאפיינים הבאה היה חשוב לך ביותר?</t>
  </si>
  <si>
    <t>למיטב ידיעתך, לאיזה משרד ממשלתי שאיננו משרד הביטחון יש את התקציב הגבוה ביותר?</t>
  </si>
  <si>
    <t>האם אתה משתמש ברשתות חברתיות כמו וואטספ, פייסבוק, טוויטר, אינסטגרם, טלגרם וכד'?</t>
  </si>
  <si>
    <r>
      <t xml:space="preserve">בדרך כלל, באיזו מידה אתה משתמש בכל אחד מאמצעי התקשרות הבאים לצריכת חדשות ומידע פוליטי: </t>
    </r>
    <r>
      <rPr>
        <b/>
        <sz val="11"/>
        <color theme="1"/>
        <rFont val="Calibri"/>
        <family val="2"/>
        <scheme val="minor"/>
      </rPr>
      <t>אתרי חדשות או עיתונים</t>
    </r>
  </si>
  <si>
    <t>v93</t>
  </si>
  <si>
    <t>v94</t>
  </si>
  <si>
    <t>חדשות ברדיו</t>
  </si>
  <si>
    <t>v95</t>
  </si>
  <si>
    <t>רשתות חברתיות כמו ווטאספ, פייסבוק, טוויטר, אינסטגרם, טלגרם וכו'</t>
  </si>
  <si>
    <t>בשבוע האחרון, כמה פעמים הופיעו לך תכנים מפוליטיקאים וממפלגות בחשבונות שלך ברשתות החברתיות שאתה פעיל בהן?</t>
  </si>
  <si>
    <r>
      <t xml:space="preserve">בשבוע האחרון, כמה פעמים יצא לך לעשות את הפעולות הבאות ברשתות החברתיות שאתה פעיל בהן, כמו וואטספ, פייסבוק, טוויטר, אינסטגרם, טלגרם וכו': </t>
    </r>
    <r>
      <rPr>
        <b/>
        <sz val="11"/>
        <color theme="1"/>
        <rFont val="Calibri"/>
        <family val="2"/>
        <scheme val="minor"/>
      </rPr>
      <t>כתבת בעמוד הפייסבוק או הטוויטר של פוליטיקאי או מפלגה</t>
    </r>
  </si>
  <si>
    <t>הגבת לתכנים שפוליטיקאים או מפלגות העלו</t>
  </si>
  <si>
    <t>שיתפת תכנים של מפלגות או פוליטיקאים</t>
  </si>
  <si>
    <t>קראת תכנים מפוליטיקאים ומפלגות שהופיעו בחשבון שלך</t>
  </si>
  <si>
    <t>עקבת (עשית לייק או follow) אחרי עמודים של פוליטיקאים או מפלגות ברשתות חברתיות או שצטרפת לקבוצה של מפלגה או פוליטיקאי בוואטסאפ</t>
  </si>
  <si>
    <t>כתבת את דעתך על נושא פוליטי ברשתות החברתיות או שיתפת דברים שאחרים כתבו בנושאים פוליטיים</t>
  </si>
  <si>
    <t>v104</t>
  </si>
  <si>
    <t>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t>
  </si>
  <si>
    <t>v105</t>
  </si>
  <si>
    <t>לאיזו מפלגה תעבור?</t>
  </si>
  <si>
    <t>v105E</t>
  </si>
  <si>
    <t>v108</t>
  </si>
  <si>
    <t>למיטב ידיעתך, מיהו יושב ראש הכנסת היום?</t>
  </si>
  <si>
    <t>v112</t>
  </si>
  <si>
    <t>למיטב ידיעתך, עם איזו מדינה ישראל חידשה לאחרונה את היחסים הדיפלומטיים?</t>
  </si>
  <si>
    <t>v113</t>
  </si>
  <si>
    <t>באיזו מידה חשוב לך לחיות במדינה שמתנהלת באופן דמוקרטי?</t>
  </si>
  <si>
    <t>v114</t>
  </si>
  <si>
    <t>עד כמה חשובה לך הזהות שלך כישראלי?</t>
  </si>
  <si>
    <t>v117</t>
  </si>
  <si>
    <t>v118</t>
  </si>
  <si>
    <t>ועד כמה חשובה לך הזהות שלך כיהודי (לערבים "כפלשתיני")?</t>
  </si>
  <si>
    <t>מהו מצבך המשפחתי?</t>
  </si>
  <si>
    <t>v129</t>
  </si>
  <si>
    <t>באיזו מידה אתה נוהג לשמור על המסורת הדתית?</t>
  </si>
  <si>
    <t>v130</t>
  </si>
  <si>
    <t>v131</t>
  </si>
  <si>
    <t>היכן נולד אביך?</t>
  </si>
  <si>
    <t>v132</t>
  </si>
  <si>
    <t>היכן נולדה אמך?</t>
  </si>
  <si>
    <t>v133</t>
  </si>
  <si>
    <t>תאר בצורה מפורטת את עיסוקך או את עבודתך העיקרית</t>
  </si>
  <si>
    <t>v138_code</t>
  </si>
  <si>
    <t>לאיזה מעמד חברתי אתה משייך את עצמך?</t>
  </si>
  <si>
    <t>v142</t>
  </si>
  <si>
    <t>v1_after</t>
  </si>
  <si>
    <t>v2_after</t>
  </si>
  <si>
    <t>מתי קיבלת את החלטתך הסופית (להצביע עבור המפלגה שהצביע)</t>
  </si>
  <si>
    <t>v3_after</t>
  </si>
  <si>
    <t>v4_after</t>
  </si>
  <si>
    <t>באיזו מידה הסקרים שהתפרסמו כמה ימים לפני הבחירות היוו גורם בהחלטה שלך כיצד להצביע?</t>
  </si>
  <si>
    <t>v5_after</t>
  </si>
  <si>
    <r>
      <t xml:space="preserve">יש כל מיני דעות "על מה" היו הבחירות האחרונות. באיזו מידה אתה מסכים או לא מסכים עם כל אחד מהמשפטים הבאים: </t>
    </r>
    <r>
      <rPr>
        <b/>
        <sz val="11"/>
        <color theme="1"/>
        <rFont val="Calibri"/>
        <family val="2"/>
        <scheme val="minor"/>
      </rPr>
      <t>הבחירות האלה היו משאל עם על נתניהו</t>
    </r>
  </si>
  <si>
    <t>v6A_after</t>
  </si>
  <si>
    <t>הבחירות האלה היו בעיקר על עתיד הדמוקרטיה בישראל</t>
  </si>
  <si>
    <t>v6B_after</t>
  </si>
  <si>
    <t>הבחירות מצביעות בעיקר על כך שלעם נמאס שהתקשורת נגד נתניהו</t>
  </si>
  <si>
    <t>v6C_after</t>
  </si>
  <si>
    <t>הבחירות היו בעיקר על איך להתמודד עם האיומים הביטחוניים שמסביבנו</t>
  </si>
  <si>
    <t>v6D_after</t>
  </si>
  <si>
    <t>הבחירות הראו שהעם מרוצה מהמצב הכלכלי-חברתי</t>
  </si>
  <si>
    <t>v6E_after</t>
  </si>
  <si>
    <t>הבחירות היו על מקומם של האזרחים הערבים בישראל לאור חוק הלאום</t>
  </si>
  <si>
    <t>v6F_after</t>
  </si>
  <si>
    <t>הבחירות מצביעות על כך שהעם רוצה מפלגות גדולות</t>
  </si>
  <si>
    <t>v6G_after</t>
  </si>
  <si>
    <t>הבחירות מצביעות על כך שהעם רוצה ימין</t>
  </si>
  <si>
    <t>v6H_after</t>
  </si>
  <si>
    <t>v6I_after</t>
  </si>
  <si>
    <t>v7_after</t>
  </si>
  <si>
    <t>v9_after</t>
  </si>
  <si>
    <t>v10_after</t>
  </si>
  <si>
    <t>V8A_after</t>
  </si>
  <si>
    <t>V8B_after</t>
  </si>
  <si>
    <t>באיזו מידה את גאה להיות ישראלי?</t>
  </si>
  <si>
    <t>v11_after</t>
  </si>
  <si>
    <t>כאשר אתה חושב על תולדות מדינת ישראל ועם ישראל, איזה אירוע מהעבר נראה לך החשוב ביותר?</t>
  </si>
  <si>
    <t>כאשר אתה חושב על העתיד של מדינת ישראל ועם ישראל, איזה אירוע או התרחשות הייתה רוצה לראות?</t>
  </si>
  <si>
    <t>מיהי, לדעתך, הדמות המשמעותית ביותר בתולדות מדינת ישראל ועם ישראל?</t>
  </si>
  <si>
    <t>כאשר אתה חושב על תולדות מדינת ישראל ועל הערבים אזרח ישראל, איזה אירוע מהעבר נראה לך החשוב ביותר?</t>
  </si>
  <si>
    <t>כאשר אתה חושב על העתיד של מדינת ישראל ושל הערבים אזרחי ישראל, איזה אירוע או התרחשות היית רוצה לראות?</t>
  </si>
  <si>
    <t>מיהי, לדעתך, הדמות המשמעותית ביותר בתולדות מדינת ישראל והערבים אזרחי ישראל?</t>
  </si>
  <si>
    <r>
      <t xml:space="preserve">נתחיל מהאירועים שהובילו לבחירות החוזרות ב-17 בספטמבר, לאחר שנתניהו לא הצליח להרכיב ממשלה. עד כמה לדעתך, כל אחד מהדברים הבאים, היה ראוי או לא ראוי בעינייך: </t>
    </r>
    <r>
      <rPr>
        <b/>
        <sz val="11"/>
        <color theme="1"/>
        <rFont val="Calibri"/>
        <family val="2"/>
        <scheme val="minor"/>
      </rPr>
      <t>שהכנסת החליטה לפזר עצמה ולקיים בחירות חדשות</t>
    </r>
  </si>
  <si>
    <t>c301</t>
  </si>
  <si>
    <t>שנתניהו לא החזיר את המנדט לנשיא בתום התקופה שקיבל להרכיב קואליציה</t>
  </si>
  <si>
    <t>c302</t>
  </si>
  <si>
    <t>שליברמן לא נכנס לקואליציה למרות שהתחייב לקואליציית ימין בראשות נתניהו</t>
  </si>
  <si>
    <t>c303</t>
  </si>
  <si>
    <t>שמפלגות מהמרכז ומהשמאל פסלו ישיבה בממשלה בראשות נתניהו בשל כתבי האישום נגדו</t>
  </si>
  <si>
    <t>c304</t>
  </si>
  <si>
    <t>שהמשא ומתן הקואליציוני התמקד בנושאים האישיים של נתניהו ולא בנושאי מדיניות</t>
  </si>
  <si>
    <t>c305</t>
  </si>
  <si>
    <r>
      <t xml:space="preserve">לאנשים יש רגשות שונים כלפי מה שקרה אחרי הבחירות באפריל האחרון. באיזו מידה אתה מרגיש: </t>
    </r>
    <r>
      <rPr>
        <b/>
        <sz val="11"/>
        <color theme="1"/>
        <rFont val="Calibri"/>
        <family val="2"/>
        <scheme val="minor"/>
      </rPr>
      <t>כעס</t>
    </r>
  </si>
  <si>
    <t>c306</t>
  </si>
  <si>
    <t>c307</t>
  </si>
  <si>
    <t>c308</t>
  </si>
  <si>
    <t>c309</t>
  </si>
  <si>
    <r>
      <t xml:space="preserve">לאנשים יש רגשות שונים כלפי מה שקרה אחרי הבחירות באפריל האחרון. באיזו מידה אתה מרגיש: </t>
    </r>
    <r>
      <rPr>
        <b/>
        <sz val="11"/>
        <color theme="1"/>
        <rFont val="Calibri"/>
        <family val="2"/>
        <scheme val="minor"/>
      </rPr>
      <t>גועל</t>
    </r>
  </si>
  <si>
    <r>
      <t xml:space="preserve">לאנשים יש רגשות שונים כלפי מה שקרה אחרי הבחירות באפריל האחרון. באיזו מידה אתה מרגיש: </t>
    </r>
    <r>
      <rPr>
        <b/>
        <sz val="11"/>
        <color theme="1"/>
        <rFont val="Calibri"/>
        <family val="2"/>
        <scheme val="minor"/>
      </rPr>
      <t>תקווה</t>
    </r>
  </si>
  <si>
    <r>
      <t xml:space="preserve">לאנשים יש רגשות שונים כלפי מה שקרה אחרי הבחירות באפריל האחרון. באיזו מידה אתה מרגיש: </t>
    </r>
    <r>
      <rPr>
        <b/>
        <sz val="11"/>
        <color theme="1"/>
        <rFont val="Calibri"/>
        <family val="2"/>
        <scheme val="minor"/>
      </rPr>
      <t>ייאוש</t>
    </r>
  </si>
  <si>
    <t>c104</t>
  </si>
  <si>
    <t>c8_code</t>
  </si>
  <si>
    <t>c19</t>
  </si>
  <si>
    <t>c20</t>
  </si>
  <si>
    <t>c21</t>
  </si>
  <si>
    <t>c25</t>
  </si>
  <si>
    <t>c28</t>
  </si>
  <si>
    <t>c29</t>
  </si>
  <si>
    <t>c49_a</t>
  </si>
  <si>
    <t>c49_b</t>
  </si>
  <si>
    <t>c49_d</t>
  </si>
  <si>
    <t>c49_f</t>
  </si>
  <si>
    <t>c49_h</t>
  </si>
  <si>
    <t>c49_j</t>
  </si>
  <si>
    <t>c52_a</t>
  </si>
  <si>
    <t>c52_b</t>
  </si>
  <si>
    <r>
      <t xml:space="preserve">ועל אותו סולם, מה יחסך לאישים הבאים? </t>
    </r>
    <r>
      <rPr>
        <b/>
        <sz val="11"/>
        <color theme="1"/>
        <rFont val="Calibri"/>
        <family val="2"/>
        <scheme val="minor"/>
      </rPr>
      <t>עמיר פרץ</t>
    </r>
  </si>
  <si>
    <t>c52_d</t>
  </si>
  <si>
    <r>
      <t xml:space="preserve">ועל אותו סולם, מה יחסך לאישים הבאים? </t>
    </r>
    <r>
      <rPr>
        <b/>
        <sz val="11"/>
        <color theme="1"/>
        <rFont val="Calibri"/>
        <family val="2"/>
        <scheme val="minor"/>
      </rPr>
      <t>איילת שקד</t>
    </r>
  </si>
  <si>
    <t>c52_e</t>
  </si>
  <si>
    <r>
      <t xml:space="preserve">ועל אותו סולם, מה יחסך לאישים הבאים? </t>
    </r>
    <r>
      <rPr>
        <b/>
        <sz val="11"/>
        <color theme="1"/>
        <rFont val="Calibri"/>
        <family val="2"/>
        <scheme val="minor"/>
      </rPr>
      <t>ניצן הורוביץ</t>
    </r>
  </si>
  <si>
    <t>c52_g</t>
  </si>
  <si>
    <t>c52_i</t>
  </si>
  <si>
    <t>c52_k</t>
  </si>
  <si>
    <t>c106</t>
  </si>
  <si>
    <t>c107</t>
  </si>
  <si>
    <t>c111</t>
  </si>
  <si>
    <t>D1</t>
  </si>
  <si>
    <t>D2</t>
  </si>
  <si>
    <t>D4</t>
  </si>
  <si>
    <t>D7</t>
  </si>
  <si>
    <t>D9</t>
  </si>
  <si>
    <t>ID</t>
  </si>
  <si>
    <t>id</t>
  </si>
  <si>
    <t>תאריך</t>
  </si>
  <si>
    <t>date</t>
  </si>
  <si>
    <t>תאריך פוסט בחירות</t>
  </si>
  <si>
    <t>date_after</t>
  </si>
  <si>
    <t>סקטור</t>
  </si>
  <si>
    <t>sector</t>
  </si>
  <si>
    <t>resp_id</t>
  </si>
  <si>
    <t>גרסה</t>
  </si>
  <si>
    <t>version</t>
  </si>
  <si>
    <t>v149</t>
  </si>
  <si>
    <t>c_resp_id_~e</t>
  </si>
  <si>
    <t>c_date_before</t>
  </si>
  <si>
    <t>girsa_c</t>
  </si>
  <si>
    <t>c149</t>
  </si>
  <si>
    <t>d_date_after</t>
  </si>
  <si>
    <t>sex</t>
  </si>
  <si>
    <t>v8</t>
  </si>
  <si>
    <t>האם לדעתך ישראל צריכה להמשיך ולהחזיק ביהודה ושומרון?</t>
  </si>
  <si>
    <t>באיזו מידה אתה מודאג או לא מודאג מכך שאתה או בני משפחתך עלולים להיפגע מפשיעה או אלימות ברחובות?</t>
  </si>
  <si>
    <t>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t>
  </si>
  <si>
    <t>יש החושבים כי על הממשלה לדאוג שלכל אדם תהיה עבודה ורמת חיים סבירה. אחרים חושבים שעל הממשלה לא להתערב ולתת לכל אדם להסתדר בעצמו. ומה דעתך?</t>
  </si>
  <si>
    <t>יש מצבים בהם קיימת סתירה בין שמירה על העיקרון של שלטון החוק לבין הצורך להגן על האינרטסיים הביטחוניים. במקרה של סתירה, האם יש להעדיף את האינטרס הביטחוני או להעדיף את השמירה על שלטון החוק?</t>
  </si>
  <si>
    <t>האם ישראל צריכה להיות מוכנה להעביר לפלסטינים את השכונות הערביות בירושלים או שהיא צריכה להמשיך להחזיק בהן גם אם זה ימנע הסדר קבע עם הפלסטינים?</t>
  </si>
  <si>
    <t>האם לדעתך מבצע "צוק איתן" בעזה היה מוצלח או לא מוצלח?</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</si>
  <si>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החזרת שטחים במסגרת הסכם שלום</t>
    </r>
  </si>
  <si>
    <t>הקמת מדינה פלסטינית</t>
  </si>
  <si>
    <t>חידוש האינתיפדה והפיגועים</t>
  </si>
  <si>
    <t>v31</t>
  </si>
  <si>
    <t>v32</t>
  </si>
  <si>
    <r>
      <t xml:space="preserve">באיזו מידה אתה מסכים או לא מסכים עם המשפטים הבאים: </t>
    </r>
    <r>
      <rPr>
        <b/>
        <sz val="11"/>
        <color theme="1"/>
        <rFont val="Calibri"/>
        <family val="2"/>
        <scheme val="minor"/>
      </rPr>
      <t>לפעמים הפוליטיקה נראית כ"כ מסובכת שאדם כמוני לא יכול להבין באמת מה קורה</t>
    </r>
  </si>
  <si>
    <t>v33</t>
  </si>
  <si>
    <t>v34</t>
  </si>
  <si>
    <r>
      <t xml:space="preserve">באיזו מידה אתה מסכים או לא מסכים עם המשפטים הבאים: </t>
    </r>
    <r>
      <rPr>
        <b/>
        <sz val="11"/>
        <color theme="1"/>
        <rFont val="Calibri"/>
        <family val="2"/>
        <scheme val="minor"/>
      </rPr>
      <t>לא חשוב עבור מי מצביעים, זה לא משנה את המצב</t>
    </r>
  </si>
  <si>
    <t>v35</t>
  </si>
  <si>
    <t>v36</t>
  </si>
  <si>
    <r>
      <t xml:space="preserve">באיזו מידה אתה מסכים או לא מסכים עם המשפטים הבאים: </t>
    </r>
    <r>
      <rPr>
        <b/>
        <sz val="11"/>
        <color theme="1"/>
        <rFont val="Calibri"/>
        <family val="2"/>
        <scheme val="minor"/>
      </rPr>
      <t>יש להנהיג נישואים אזרחיים בנוסף לנישואים דתיים בישראל</t>
    </r>
  </si>
  <si>
    <r>
      <t xml:space="preserve">באיזו מידה אתה מסכים או לא מסכים עם המשפטים הבאים: </t>
    </r>
    <r>
      <rPr>
        <b/>
        <sz val="11"/>
        <color theme="1"/>
        <rFont val="Calibri"/>
        <family val="2"/>
        <scheme val="minor"/>
      </rPr>
      <t>על ישראל לעשות את מה שטוב בשביל ביטחונה גם במחיר של עימות עם הממשל האמריקאי</t>
    </r>
  </si>
  <si>
    <t>v37</t>
  </si>
  <si>
    <t>v38</t>
  </si>
  <si>
    <t>v39</t>
  </si>
  <si>
    <r>
      <t xml:space="preserve">באיזו מידה אתה מסכים או לא מסכים עם המשפטים הבאים: </t>
    </r>
    <r>
      <rPr>
        <b/>
        <sz val="11"/>
        <color theme="1"/>
        <rFont val="Calibri"/>
        <family val="2"/>
        <scheme val="minor"/>
      </rPr>
      <t>במהלך מלחמה צה"ל צריך להמנע מפגיעה באוכלוסיה אזרחית</t>
    </r>
  </si>
  <si>
    <r>
      <t xml:space="preserve">באיזו מידה אתה מסכים או לא מסכים עם המשפטים הבאים: </t>
    </r>
    <r>
      <rPr>
        <b/>
        <sz val="11"/>
        <color theme="1"/>
        <rFont val="Calibri"/>
        <family val="2"/>
        <scheme val="minor"/>
      </rPr>
      <t>אם יכשלו המאמצעים הדיפלומטים, על ישראל לתקוף צבאית את מתקני הגרעין האיראניים</t>
    </r>
  </si>
  <si>
    <r>
      <t xml:space="preserve">באיזו מידה אתה מסכים או לא מסכים עם המשפטים הבאים: </t>
    </r>
    <r>
      <rPr>
        <b/>
        <sz val="11"/>
        <color theme="1"/>
        <rFont val="Calibri"/>
        <family val="2"/>
        <scheme val="minor"/>
      </rPr>
      <t>אפשר להגיע להסדר שלום עם הפלסטינים בלי להחזיר שטחים</t>
    </r>
  </si>
  <si>
    <t>v40</t>
  </si>
  <si>
    <r>
      <t xml:space="preserve">באיזה מידה אתה מסכים או לא מסכים למשפטים הבאים: </t>
    </r>
    <r>
      <rPr>
        <b/>
        <sz val="11"/>
        <color theme="1"/>
        <rFont val="Calibri"/>
        <family val="2"/>
        <scheme val="minor"/>
      </rPr>
      <t>השאיפה העיקרית של האזרחים הערבים בישראל היא שוויון אזרחי מלא</t>
    </r>
  </si>
  <si>
    <r>
      <t xml:space="preserve">באיזה מידה אתה מסכים או לא מסכים למשפטים הבאים: </t>
    </r>
    <r>
      <rPr>
        <b/>
        <sz val="11"/>
        <color theme="1"/>
        <rFont val="Calibri"/>
        <family val="2"/>
        <scheme val="minor"/>
      </rPr>
      <t>מדינה פלסטינית לצד מדינת ישראל היא הדרך הטובה ביותר לפתרון הסכסוך הישראלי-פלסטיני</t>
    </r>
  </si>
  <si>
    <t>v41</t>
  </si>
  <si>
    <t>v42</t>
  </si>
  <si>
    <t>v43</t>
  </si>
  <si>
    <t>v44</t>
  </si>
  <si>
    <t>v49</t>
  </si>
  <si>
    <t>v51A</t>
  </si>
  <si>
    <t>v56A</t>
  </si>
  <si>
    <t>v51B</t>
  </si>
  <si>
    <t>v51C</t>
  </si>
  <si>
    <t>v51D</t>
  </si>
  <si>
    <t>v51E</t>
  </si>
  <si>
    <r>
      <t>מה יחסך לכל אחת מן המפלגות הבאות?</t>
    </r>
    <r>
      <rPr>
        <b/>
        <sz val="11"/>
        <color theme="1"/>
        <rFont val="Calibri"/>
        <family val="2"/>
        <scheme val="minor"/>
      </rPr>
      <t xml:space="preserve"> יש עתיד</t>
    </r>
  </si>
  <si>
    <t>v51F</t>
  </si>
  <si>
    <t>v51G</t>
  </si>
  <si>
    <t>v51H</t>
  </si>
  <si>
    <t>v51I</t>
  </si>
  <si>
    <t>v51J</t>
  </si>
  <si>
    <r>
      <t xml:space="preserve">מה יחסך לכל אחת מן המפלגות הבאות? </t>
    </r>
    <r>
      <rPr>
        <b/>
        <sz val="11"/>
        <color theme="1"/>
        <rFont val="Calibri"/>
        <family val="2"/>
        <scheme val="minor"/>
      </rPr>
      <t>חד"ש</t>
    </r>
  </si>
  <si>
    <r>
      <t xml:space="preserve">מה יחסך לכל אחת מן המפלגות הבאות? </t>
    </r>
    <r>
      <rPr>
        <b/>
        <sz val="11"/>
        <color theme="1"/>
        <rFont val="Calibri"/>
        <family val="2"/>
        <scheme val="minor"/>
      </rPr>
      <t>תע"ל</t>
    </r>
  </si>
  <si>
    <r>
      <t xml:space="preserve">מה יחסך לכל אחת מן המפלגות הבאות? </t>
    </r>
    <r>
      <rPr>
        <b/>
        <sz val="11"/>
        <color theme="1"/>
        <rFont val="Calibri"/>
        <family val="2"/>
        <scheme val="minor"/>
      </rPr>
      <t>רע"מ</t>
    </r>
  </si>
  <si>
    <r>
      <t xml:space="preserve">מה יחסך לכל אחת מן המפלגות הבאות? </t>
    </r>
    <r>
      <rPr>
        <b/>
        <sz val="11"/>
        <color theme="1"/>
        <rFont val="Calibri"/>
        <family val="2"/>
        <scheme val="minor"/>
      </rPr>
      <t>בל"ד</t>
    </r>
  </si>
  <si>
    <t>v51K</t>
  </si>
  <si>
    <t>v51L</t>
  </si>
  <si>
    <t>v51M</t>
  </si>
  <si>
    <t>v51N</t>
  </si>
  <si>
    <r>
      <t xml:space="preserve">ועל אותו סולם, מה יחסך לאישים הבאים? </t>
    </r>
    <r>
      <rPr>
        <b/>
        <sz val="11"/>
        <color theme="1"/>
        <rFont val="Calibri"/>
        <family val="2"/>
        <scheme val="minor"/>
      </rPr>
      <t>יצחק הרצוג</t>
    </r>
  </si>
  <si>
    <t>v56B</t>
  </si>
  <si>
    <r>
      <t xml:space="preserve">ועל אותו סולם, מה יחסך לאישים הבאים? </t>
    </r>
    <r>
      <rPr>
        <b/>
        <sz val="11"/>
        <color theme="1"/>
        <rFont val="Calibri"/>
        <family val="2"/>
        <scheme val="minor"/>
      </rPr>
      <t>ציפי לבני</t>
    </r>
  </si>
  <si>
    <t>v56C</t>
  </si>
  <si>
    <t>v56Z</t>
  </si>
  <si>
    <t>v56D</t>
  </si>
  <si>
    <t>v56E</t>
  </si>
  <si>
    <t>v56F</t>
  </si>
  <si>
    <r>
      <t xml:space="preserve">ועל אותו סולם, מה יחסך לאישים הבאים? </t>
    </r>
    <r>
      <rPr>
        <b/>
        <sz val="11"/>
        <color theme="1"/>
        <rFont val="Calibri"/>
        <family val="2"/>
        <scheme val="minor"/>
      </rPr>
      <t>זהבה גלאון</t>
    </r>
  </si>
  <si>
    <t>v56G</t>
  </si>
  <si>
    <t>v56H</t>
  </si>
  <si>
    <r>
      <t>ועל אותו סולם, מה יחסך לאישים הבאים?</t>
    </r>
    <r>
      <rPr>
        <b/>
        <sz val="11"/>
        <color theme="1"/>
        <rFont val="Calibri"/>
        <family val="2"/>
        <scheme val="minor"/>
      </rPr>
      <t xml:space="preserve"> אלי ישי</t>
    </r>
  </si>
  <si>
    <t>v56I</t>
  </si>
  <si>
    <t>v56J</t>
  </si>
  <si>
    <t>v56L</t>
  </si>
  <si>
    <r>
      <t>ועל אותו סולם, מה יחסך לאישים הבאים?</t>
    </r>
    <r>
      <rPr>
        <b/>
        <sz val="11"/>
        <color theme="1"/>
        <rFont val="Calibri"/>
        <family val="2"/>
        <scheme val="minor"/>
      </rPr>
      <t xml:space="preserve"> מסעוד גנאים</t>
    </r>
  </si>
  <si>
    <t>v56M</t>
  </si>
  <si>
    <r>
      <t>ועל אותו סולם, מה יחסך לאישים הבאים?</t>
    </r>
    <r>
      <rPr>
        <b/>
        <sz val="11"/>
        <color theme="1"/>
        <rFont val="Calibri"/>
        <family val="2"/>
        <scheme val="minor"/>
      </rPr>
      <t xml:space="preserve"> ג'מאל זחאלקה</t>
    </r>
  </si>
  <si>
    <t>v56N</t>
  </si>
  <si>
    <r>
      <t>ועל אותו סולם, מה יחסך לאישים הבאים?</t>
    </r>
    <r>
      <rPr>
        <b/>
        <sz val="11"/>
        <color theme="1"/>
        <rFont val="Calibri"/>
        <family val="2"/>
        <scheme val="minor"/>
      </rPr>
      <t xml:space="preserve"> חנין זועבי</t>
    </r>
  </si>
  <si>
    <t>v56O</t>
  </si>
  <si>
    <t>v56P</t>
  </si>
  <si>
    <t>האם אתה מוכן או לא מוכן שיעלו בארץ את המסים, כלומר שגם אתה תשלם יותר, כדי לטפל בבעיות השונות שהמדינה ניצבת בפניהן?</t>
  </si>
  <si>
    <r>
      <t xml:space="preserve">לגבי כל אחד מהסעיפים הבאים, ציין האם לדעתך על המדינה להוציא יותר כספים, פחות כספים או כמו עכשיו: </t>
    </r>
    <r>
      <rPr>
        <b/>
        <sz val="11"/>
        <color theme="1"/>
        <rFont val="Calibri"/>
        <family val="2"/>
        <scheme val="minor"/>
      </rPr>
      <t>חינוך</t>
    </r>
  </si>
  <si>
    <t>מוסדות דת וישיבות</t>
  </si>
  <si>
    <t>v74</t>
  </si>
  <si>
    <t>בריאות</t>
  </si>
  <si>
    <t>משטרה</t>
  </si>
  <si>
    <t>צבא ובטחון</t>
  </si>
  <si>
    <t>קיצבאות (אבטלה, זקנה, נכות, ילדים)</t>
  </si>
  <si>
    <t>התיישבות בשטחים</t>
  </si>
  <si>
    <t>המגזר הערבי</t>
  </si>
  <si>
    <t>v80</t>
  </si>
  <si>
    <t>האם אתה מסכים או לא מסכים לכך שיש להעביר כספים מתקציב הבטחון לנושאים חברתיים, כמו חינוך ובריאות?</t>
  </si>
  <si>
    <t>v81</t>
  </si>
  <si>
    <t>v82</t>
  </si>
  <si>
    <t>v83</t>
  </si>
  <si>
    <t>v84</t>
  </si>
  <si>
    <t>v85</t>
  </si>
  <si>
    <t>v86</t>
  </si>
  <si>
    <t>אילו מהפעולות הבאות באינטרנט עשית בשבוע האחרון?</t>
  </si>
  <si>
    <t>v88</t>
  </si>
  <si>
    <t>האם אתה חבר, אוהד או פעיל של מפלגה כלשהי?</t>
  </si>
  <si>
    <t>v89</t>
  </si>
  <si>
    <t>האם תמכת או השתתפת במחאה החברתית של קיץ 2011?</t>
  </si>
  <si>
    <t>v90</t>
  </si>
  <si>
    <t>יש אנשים שלא מצביעים בבחירות מסיבה כזו או אחרת. האם אתה מתכוון להצביע בבחירות לכנסת?</t>
  </si>
  <si>
    <t>v91</t>
  </si>
  <si>
    <t>v92</t>
  </si>
  <si>
    <t>אם הסקרים שיפורסמו בימים האחרונים של מערכת הבחירות יראו שהליכוד והמחנה הציוני מקבלים פחות או יותר אותו מספר של מנדטים, האם זה יגרום לך לשנות את הצבעתך?</t>
  </si>
  <si>
    <t>v97</t>
  </si>
  <si>
    <t>מדוע זה לא ישנה את הצבעתך?</t>
  </si>
  <si>
    <t>v96</t>
  </si>
  <si>
    <t>לאחרונה התפרסמו בתקשורת ידיעות רבות על חקירות בחשד לשחיתות של פוליטיקאים ועובדים בכירים במשרדי הממשלה וברשויות הממשלתיות. האם בעקבות ידיעות אלה שינית את החלטתך כיצד שלהצביע בבחירות?</t>
  </si>
  <si>
    <t>v98</t>
  </si>
  <si>
    <t>v99</t>
  </si>
  <si>
    <t>v100</t>
  </si>
  <si>
    <t>v101</t>
  </si>
  <si>
    <t>אם הליכוד וישראל ביתנו היו רצות בנפרד בבחירות הקודמות ב2013, עבור מי מהשניים היית מצביע?</t>
  </si>
  <si>
    <t>v102</t>
  </si>
  <si>
    <t>v103</t>
  </si>
  <si>
    <t>בהנחה שיש שני מועמדים מוכשרים ומתאימים באותה מידה לתפקיד פוליטי בכיר, האחד גבר והשנייה אישה, למי היית נוטה להצביע?</t>
  </si>
  <si>
    <t>בהנחה שיש שני מועמדים מוכשרים ומתאימים באותה מידה לתפקיד פוליטי בכיר, האחד אשכנזי והשני מזרחי, למי הית נוטה להצביע?</t>
  </si>
  <si>
    <t>באיזו מידה אתה מגדיר את עצמך כפמיניסט?</t>
  </si>
  <si>
    <t>לפעמים, אנשים שואלים את עצמם מה צריכות להיות המטרות של המדינה לעשר השנים הבאות? מבין המטרות הבאות, מה לדעתך, המטרה החשובה ביותר של המדינה?</t>
  </si>
  <si>
    <t>ומה לדעתך, המטרה השנייה בחשיבותה?</t>
  </si>
  <si>
    <t>למיטב ידיעתך, איזה חלק מכלל התקציב הממשלתי תופס כיום תקציב הביטחון?</t>
  </si>
  <si>
    <t>v109</t>
  </si>
  <si>
    <t>v110</t>
  </si>
  <si>
    <t>האם יש לך ילדים?</t>
  </si>
  <si>
    <t>אם כן, כמה ילדים?</t>
  </si>
  <si>
    <t>v112_a</t>
  </si>
  <si>
    <t>האם יש לך ילדים שחיים איתך בבית?</t>
  </si>
  <si>
    <t>באיזו ארץ נולדת?</t>
  </si>
  <si>
    <t>v120</t>
  </si>
  <si>
    <t>עד כמה חשוב לך המוצא העדתי שלך?</t>
  </si>
  <si>
    <t>v121</t>
  </si>
  <si>
    <t>עד כמה חשוב לך היותך גבר/אישה?</t>
  </si>
  <si>
    <t>v122</t>
  </si>
  <si>
    <r>
      <t xml:space="preserve">באיזו מידה משפיע או לא משפיע כל אחד מהנושאים הבאים על ההצבעה שלך: </t>
    </r>
    <r>
      <rPr>
        <b/>
        <sz val="11"/>
        <color theme="1"/>
        <rFont val="Calibri"/>
        <family val="2"/>
        <scheme val="minor"/>
      </rPr>
      <t>אם אישה עומדת בראש הרשימה</t>
    </r>
  </si>
  <si>
    <t>v123</t>
  </si>
  <si>
    <r>
      <t xml:space="preserve">באיזו מידה משפיע או לא משפיע כל אחד מהנושאים הבאים על ההצבעה שלך: </t>
    </r>
    <r>
      <rPr>
        <b/>
        <sz val="11"/>
        <color theme="1"/>
        <rFont val="Calibri"/>
        <family val="2"/>
        <scheme val="minor"/>
      </rPr>
      <t>אם מזרחי עומד בראש הרשימה</t>
    </r>
  </si>
  <si>
    <t>v124</t>
  </si>
  <si>
    <r>
      <t xml:space="preserve">באיזו מידה משפיע או לא משפיע כל אחד מהנושאים הבאים על ההצבעה שלך: </t>
    </r>
    <r>
      <rPr>
        <b/>
        <sz val="11"/>
        <color theme="1"/>
        <rFont val="Calibri"/>
        <family val="2"/>
        <scheme val="minor"/>
      </rPr>
      <t>מספר הנשים ברשימה לכנסת</t>
    </r>
  </si>
  <si>
    <t>v125</t>
  </si>
  <si>
    <r>
      <t xml:space="preserve">באיזו מידה משפיע או לא משפיע כל אחד מהנושאים הבאים על ההצבעה שלך: </t>
    </r>
    <r>
      <rPr>
        <b/>
        <sz val="11"/>
        <color theme="1"/>
        <rFont val="Calibri"/>
        <family val="2"/>
        <scheme val="minor"/>
      </rPr>
      <t>מספר המזרחים ברשימה לכנסת</t>
    </r>
  </si>
  <si>
    <t>v126</t>
  </si>
  <si>
    <t>v127</t>
  </si>
  <si>
    <t>v128</t>
  </si>
  <si>
    <t>מהו מצבך התעסוקתי?</t>
  </si>
  <si>
    <t>האם אתה עובד במשרה מלאה או חלקית?</t>
  </si>
  <si>
    <t>באיזה מגזר אתה עובד או עבדת?</t>
  </si>
  <si>
    <t>v136</t>
  </si>
  <si>
    <t>v138</t>
  </si>
  <si>
    <t>v148</t>
  </si>
  <si>
    <r>
      <t xml:space="preserve">ציין באיזו מידה כל אחד מהמשפטים הבאים נכון או לא נכון לגביך: </t>
    </r>
    <r>
      <rPr>
        <b/>
        <sz val="11"/>
        <color theme="1"/>
        <rFont val="Calibri"/>
        <family val="2"/>
        <scheme val="minor"/>
      </rPr>
      <t>אתה אדם שמתאים לו לקחת סיכונים</t>
    </r>
  </si>
  <si>
    <t>קשה לך לשים את עצמך במקומו של מישהו אחר</t>
  </si>
  <si>
    <t>אתה נוטה להימנע ממצבים שאין להם תוצאות ברורות</t>
  </si>
  <si>
    <t>אנשים אומרים שאתה טוב בלהבין איך הם מרגישים ומה הם חושבים</t>
  </si>
  <si>
    <t>במהלך מבצע "צוק איתן" בקיץ האחרון התמלאת חרדה כששמעת אזעקה</t>
  </si>
  <si>
    <t>אתה מלא חרדה כאשר אתה חושב על חידוש האינתיפאדה והפיגועים</t>
  </si>
  <si>
    <t>v143</t>
  </si>
  <si>
    <t>v145</t>
  </si>
  <si>
    <t>v146</t>
  </si>
  <si>
    <t>after_date</t>
  </si>
  <si>
    <t>after_v1</t>
  </si>
  <si>
    <t>after_v2</t>
  </si>
  <si>
    <t>after_v3</t>
  </si>
  <si>
    <t>after_v5</t>
  </si>
  <si>
    <t>מה בסופו של דבר הביא אותך להצביע כמו שהצבעת?</t>
  </si>
  <si>
    <t>after_v4a</t>
  </si>
  <si>
    <t>מדוע החלטת לא להצביע בבחירות/לשים פתק לבן?</t>
  </si>
  <si>
    <t>after_v4b</t>
  </si>
  <si>
    <t>after_v6</t>
  </si>
  <si>
    <t>after_v7a</t>
  </si>
  <si>
    <t>הבחירות מצביעות על כך שהעם רוצה מדיניות כלכלית שתהיה חברתית יותר</t>
  </si>
  <si>
    <t>after_v7b</t>
  </si>
  <si>
    <t>הבחירות מצביעות על כך שהעם לא רוצה שכסף ממדיניות זרות יקבע את תוצאות הבחירות</t>
  </si>
  <si>
    <t>after_v7c</t>
  </si>
  <si>
    <t>after_v7d</t>
  </si>
  <si>
    <t>הבחירות היו בעיקר על הנושאים המדיניים - המו"מ עם הפלסטינים והמדינה הפלסטינית</t>
  </si>
  <si>
    <t>after_v7e</t>
  </si>
  <si>
    <t>after_v7f</t>
  </si>
  <si>
    <t>הבחירות היו בעיקר על הגרעין האיראני</t>
  </si>
  <si>
    <t>after_v7g</t>
  </si>
  <si>
    <t>הבחירות היו בעיקר על יוקר המחייה ובעיות הדיור</t>
  </si>
  <si>
    <t>after_v7h</t>
  </si>
  <si>
    <t>הבחירות מצביעות על כך שהעם התגייס כדי שערבים לא יקבעו את תוצאות הבחירות</t>
  </si>
  <si>
    <t>after_v7i</t>
  </si>
  <si>
    <t>after_v7j</t>
  </si>
  <si>
    <t>after_v7k</t>
  </si>
  <si>
    <t>after_v8</t>
  </si>
  <si>
    <t>after_v9</t>
  </si>
  <si>
    <t>באופן כללי, האם אתה רואה את עצמך קרוב למפלגה מסוימת?</t>
  </si>
  <si>
    <t>after_v10</t>
  </si>
  <si>
    <t>לאיזו מפלגה אתה חש הכי קרוב?</t>
  </si>
  <si>
    <t>after_v11</t>
  </si>
  <si>
    <t>האם אתה חש קרוב מאוד ל(מפלגה שציין) , די קרוב או לא מאוד קרוב?</t>
  </si>
  <si>
    <t>after_v12</t>
  </si>
  <si>
    <t>בבחירות האלה דיברו הרבה על ימין ושמאל בפוליטיקה. מהם לדעתך הדברים העיקריים שמבחינים בין שמאל לימין?</t>
  </si>
  <si>
    <t>after_v13a</t>
  </si>
  <si>
    <t>מחקר בינלאומי שנערך לאחרונה מראה שמשך הזמן הממוצע בין בחירות במדינות מערב אירופה עומד על שלוש וחצי שנים וממשלות במדינות אלה מכהנות בממוצע שנתיים. כלומר ישראל לא יוצאת דופן. האם לדעתך על ישראל לשנות או לא לשנות את שיטת הממשל?</t>
  </si>
  <si>
    <t>after_v14a</t>
  </si>
  <si>
    <t>מחקר בינלאומי שנערך לאחרונה מראה שבעשורים האחרונים יש בישראל חוסר יציבות פוליטית, אנחנו הולכים לבחירות לעיתים תכופות וממשלות מתחלפות בתדירות גבוהה. האם לדעתך על ישראל לשנות או לא לשנות את שיטת הממשל?</t>
  </si>
  <si>
    <t>after_v14b</t>
  </si>
  <si>
    <t>after_v13b_1</t>
  </si>
  <si>
    <t>after_v13b_2</t>
  </si>
  <si>
    <t>after_v15</t>
  </si>
  <si>
    <t>age_group</t>
  </si>
  <si>
    <t>יש מקרים בהם קיימת סתירה בין היות מדינת ישראל מדינה יהודית והיותה המדינה של כל האזרחים החיים בה. במקרה של סתירה, האם יש להעדיף את העקרון של מדינה יהודית או את העקרון של מדינת כל אזרחיה?</t>
  </si>
  <si>
    <t>מה עמדתך לגבי פינוי יישובים יהודים ביהודה ושומרון במסגרת הסדר קבע עם הפלסטינים?</t>
  </si>
  <si>
    <r>
      <t xml:space="preserve">באיזו מידה אתה מסכים או לא מסכים עם המשפטים הבאים: </t>
    </r>
    <r>
      <rPr>
        <b/>
        <sz val="11"/>
        <color theme="1"/>
        <rFont val="Calibri"/>
        <family val="2"/>
        <scheme val="minor"/>
      </rPr>
      <t>יש להרחיב את סמכויות המשטרה לשם הגנה על הסדר הציבורי</t>
    </r>
  </si>
  <si>
    <r>
      <t xml:space="preserve">באיזו מידה אתה מסכים או לא מסכים עם המשפטים הבאים: </t>
    </r>
    <r>
      <rPr>
        <b/>
        <sz val="11"/>
        <color theme="1"/>
        <rFont val="Calibri"/>
        <family val="2"/>
        <scheme val="minor"/>
      </rPr>
      <t>יש לגרש מהארץ את העובדים הזרים שאין להם רשיון עבודה וגם את ילדיהם</t>
    </r>
  </si>
  <si>
    <r>
      <t xml:space="preserve">באיזו מידה אתה מסכים או לא מסכים עם המשפטים הבאים: </t>
    </r>
    <r>
      <rPr>
        <b/>
        <sz val="11"/>
        <color theme="1"/>
        <rFont val="Calibri"/>
        <family val="2"/>
        <scheme val="minor"/>
      </rPr>
      <t>יש לחייב את החרדים לשרת בצה"ל או בשירות הלאומי</t>
    </r>
  </si>
  <si>
    <t>v45A</t>
  </si>
  <si>
    <t>v45B</t>
  </si>
  <si>
    <r>
      <t xml:space="preserve">מה יחסך לכל אחת מן המפלגות הבאות? </t>
    </r>
    <r>
      <rPr>
        <b/>
        <sz val="11"/>
        <color theme="1"/>
        <rFont val="Calibri"/>
        <family val="2"/>
        <scheme val="minor"/>
      </rPr>
      <t>התנועה</t>
    </r>
  </si>
  <si>
    <t>v45D</t>
  </si>
  <si>
    <t>v45E</t>
  </si>
  <si>
    <t>v45F</t>
  </si>
  <si>
    <t>v45G</t>
  </si>
  <si>
    <t>v45H</t>
  </si>
  <si>
    <t>v45J</t>
  </si>
  <si>
    <r>
      <t xml:space="preserve">מה יחסך לכל אחת מן המפלגות הבאות? </t>
    </r>
    <r>
      <rPr>
        <b/>
        <sz val="11"/>
        <color theme="1"/>
        <rFont val="Calibri"/>
        <family val="2"/>
        <scheme val="minor"/>
      </rPr>
      <t>רע"מ-תע"ל</t>
    </r>
  </si>
  <si>
    <t>v45I</t>
  </si>
  <si>
    <t>v46A</t>
  </si>
  <si>
    <r>
      <t xml:space="preserve">ועל אותו סולם, מה יחסך לאישים הבאים? </t>
    </r>
    <r>
      <rPr>
        <b/>
        <sz val="11"/>
        <color theme="1"/>
        <rFont val="Calibri"/>
        <family val="2"/>
        <scheme val="minor"/>
      </rPr>
      <t>שלי יחימוביץ</t>
    </r>
  </si>
  <si>
    <t>v46B</t>
  </si>
  <si>
    <t>v46C</t>
  </si>
  <si>
    <t>v46D</t>
  </si>
  <si>
    <t>v46E</t>
  </si>
  <si>
    <t>v46F</t>
  </si>
  <si>
    <t>v46G</t>
  </si>
  <si>
    <t>v46H</t>
  </si>
  <si>
    <r>
      <t>ועל אותו סולם, מה יחסך לאישים הבאים?</t>
    </r>
    <r>
      <rPr>
        <b/>
        <sz val="11"/>
        <color theme="1"/>
        <rFont val="Calibri"/>
        <family val="2"/>
        <scheme val="minor"/>
      </rPr>
      <t xml:space="preserve"> מוחמד בראכה</t>
    </r>
  </si>
  <si>
    <t>v46I</t>
  </si>
  <si>
    <t>v46K</t>
  </si>
  <si>
    <r>
      <t>ועל אותו סולם, מה יחסך לאישים הבאים?</t>
    </r>
    <r>
      <rPr>
        <b/>
        <sz val="11"/>
        <color theme="1"/>
        <rFont val="Calibri"/>
        <family val="2"/>
        <scheme val="minor"/>
      </rPr>
      <t xml:space="preserve"> איברהים צרצור</t>
    </r>
  </si>
  <si>
    <t>v46J</t>
  </si>
  <si>
    <r>
      <t xml:space="preserve">מי לדעתך יטפל יותר טוב בבעיות </t>
    </r>
    <r>
      <rPr>
        <b/>
        <sz val="11"/>
        <color theme="1"/>
        <rFont val="Calibri"/>
        <family val="2"/>
        <scheme val="minor"/>
      </rPr>
      <t>החברתיות</t>
    </r>
    <r>
      <rPr>
        <sz val="11"/>
        <color theme="1"/>
        <rFont val="Calibri"/>
        <family val="2"/>
        <charset val="177"/>
        <scheme val="minor"/>
      </rPr>
      <t xml:space="preserve"> של המדינה?</t>
    </r>
  </si>
  <si>
    <r>
      <t xml:space="preserve">מי לדעתך יטפל יותר טוב בבעיות </t>
    </r>
    <r>
      <rPr>
        <b/>
        <sz val="11"/>
        <color theme="1"/>
        <rFont val="Calibri"/>
        <family val="2"/>
        <scheme val="minor"/>
      </rPr>
      <t>הכלכליות</t>
    </r>
    <r>
      <rPr>
        <sz val="11"/>
        <color theme="1"/>
        <rFont val="Calibri"/>
        <family val="2"/>
        <charset val="177"/>
        <scheme val="minor"/>
      </rPr>
      <t xml:space="preserve"> של המדינה?</t>
    </r>
  </si>
  <si>
    <r>
      <t xml:space="preserve">מי לדעתך יטפל טוב יותר בבעיית </t>
    </r>
    <r>
      <rPr>
        <b/>
        <sz val="11"/>
        <color theme="1"/>
        <rFont val="Calibri"/>
        <family val="2"/>
        <scheme val="minor"/>
      </rPr>
      <t>הכלכלה והחברה</t>
    </r>
    <r>
      <rPr>
        <sz val="11"/>
        <color theme="1"/>
        <rFont val="Calibri"/>
        <family val="2"/>
        <charset val="177"/>
        <scheme val="minor"/>
      </rPr>
      <t xml:space="preserve"> של המדינה?</t>
    </r>
  </si>
  <si>
    <r>
      <t xml:space="preserve">האם לדעתך קיימים או לא קיימים הבדלים בעמדותיהן של המפלגות העיקריות בארץ בנושאים הבאים: </t>
    </r>
    <r>
      <rPr>
        <b/>
        <sz val="11"/>
        <color theme="1"/>
        <rFont val="Calibri"/>
        <family val="2"/>
        <scheme val="minor"/>
      </rPr>
      <t>כלכלה</t>
    </r>
  </si>
  <si>
    <r>
      <t xml:space="preserve">האם לדעתך קיימים או לא קיימים הבדלים בעמדותיהן של המפלגות העיקריות בארץ בנושאים הבאים: </t>
    </r>
    <r>
      <rPr>
        <b/>
        <sz val="11"/>
        <color theme="1"/>
        <rFont val="Calibri"/>
        <family val="2"/>
        <scheme val="minor"/>
      </rPr>
      <t>מדיניות חברתית</t>
    </r>
  </si>
  <si>
    <t>v52</t>
  </si>
  <si>
    <t>מדברים היום הרבה גם על נושאי כלכלה וחברה. כיצד היית מדרג את עצמך על פני הרצף הכלכלי-חברתי, כאשר 0 משמעו גישה סוציאל-דמוקרטית; 10 משמעו גישה קפיטליסטית ו-5 משמעו אמצע</t>
  </si>
  <si>
    <t>קיצבאות אבטלה</t>
  </si>
  <si>
    <t>קיצבאות זקנה</t>
  </si>
  <si>
    <t>קיצבאות ילדים</t>
  </si>
  <si>
    <t>פתרונות לבעיית הדיור</t>
  </si>
  <si>
    <t>יצירת מקומות תעסוקה</t>
  </si>
  <si>
    <t>v87</t>
  </si>
  <si>
    <t>האם אתה נוהג לקרוא עיתון יומי?</t>
  </si>
  <si>
    <t>האם אתה נוהג להתעדכן בחדשות באינטרנט?</t>
  </si>
  <si>
    <t>v98_B</t>
  </si>
  <si>
    <t>v119</t>
  </si>
  <si>
    <r>
      <t xml:space="preserve">באיזו מידה אתה מסכים או לא מסכים עם המשפטים הבאים: </t>
    </r>
    <r>
      <rPr>
        <b/>
        <sz val="11"/>
        <color theme="1"/>
        <rFont val="Calibri"/>
        <family val="2"/>
        <scheme val="minor"/>
      </rPr>
      <t>נשים בישראל מופלות בשכר ובקידום במקום העבודה</t>
    </r>
  </si>
  <si>
    <t>יש לאסור על שירת נשים בצבא אם זה מפריע לחיילים הנוכחים באירוע</t>
  </si>
  <si>
    <t>אישה מוטרדת מינית מביאה זאת על עצמה</t>
  </si>
  <si>
    <t>לכל אישה צריכה להיות זכות לבצע הפלה אם היא רוצה בכך</t>
  </si>
  <si>
    <t>יש להפעיל העדפות מתקנות לקידום נשים במועצות מנהלים, דירקטוריונים ותפקידים בכירים אחרים</t>
  </si>
  <si>
    <t>פוליטיקה מתאימה יותר לגבר מאשר לאישה</t>
  </si>
  <si>
    <t>כיצד היית מתאר את חלוקת העבודה בינך לבן/בת זוגך?</t>
  </si>
  <si>
    <t>v129_B</t>
  </si>
  <si>
    <t>האם נראה לך שהקשר הזוגי שלך ישמך גם בעתיד הנראה לעין?</t>
  </si>
  <si>
    <t>לו הבחירות לכנסת היו נערכות היום, עבור איזו רשימה, למיטב ידיעתך, היה בן/בת הזוג שלך מצביע?</t>
  </si>
  <si>
    <t>חשוב על הכנסותיהם של כל בני הבית ועל כל ההכנסות במתקבלות במשק הבית בכללו. מהו מקור ההכנסה העיקרי של משק הבית שלך?</t>
  </si>
  <si>
    <t xml:space="preserve">מהי ההכנסה של משק הבית שלך מכל המקורות, אחרי ניכוי מיסים וניכויי חובה אחרים? </t>
  </si>
  <si>
    <t>v150</t>
  </si>
  <si>
    <t>v151</t>
  </si>
  <si>
    <t>v153</t>
  </si>
  <si>
    <t>a_date</t>
  </si>
  <si>
    <t>a_v1</t>
  </si>
  <si>
    <t>a_v2</t>
  </si>
  <si>
    <t>ומה לגבי בן/בת זוגך, אם יש לך, כיצד למיטב ידיעתך הוא/היא הצביע/ה?</t>
  </si>
  <si>
    <t>a_v4</t>
  </si>
  <si>
    <t>a_v3</t>
  </si>
  <si>
    <t>a_v5A</t>
  </si>
  <si>
    <t>הבחירות מצביעות על כך שהעם רוצה פוליטיקה אחרת ומנהיגים חדשים</t>
  </si>
  <si>
    <t>a_v6</t>
  </si>
  <si>
    <t>a_v7A</t>
  </si>
  <si>
    <t>הבחירות מצביעות על כך שהעם רוצה מתונים ולא קיצונים</t>
  </si>
  <si>
    <t>a_v8</t>
  </si>
  <si>
    <t>a_v9</t>
  </si>
  <si>
    <t>הבחירות היו בעיקר על המדיניות הכלכלית והתקציב המתאימים לישראל בימים אלה</t>
  </si>
  <si>
    <t>a_v10</t>
  </si>
  <si>
    <t>a_v11</t>
  </si>
  <si>
    <t>a_v12</t>
  </si>
  <si>
    <t>a_v13</t>
  </si>
  <si>
    <t>הבחירות היו בעיקר על חלוקת הנטל ושרות צבאי או לאומי לכל</t>
  </si>
  <si>
    <t>a_v14</t>
  </si>
  <si>
    <t>הבחירות מצביעות על חוסר אמון בנתניהו</t>
  </si>
  <si>
    <t>1_v5B</t>
  </si>
  <si>
    <t>הבחירות מצביעות על כך שהעם רוצה מרכז</t>
  </si>
  <si>
    <t>a_v7B</t>
  </si>
  <si>
    <t>a_v15</t>
  </si>
  <si>
    <t>a_v16</t>
  </si>
  <si>
    <t>a_v17</t>
  </si>
  <si>
    <t>a_v18</t>
  </si>
  <si>
    <t>a_v19</t>
  </si>
  <si>
    <t>age_1</t>
  </si>
  <si>
    <t>agegroup_1</t>
  </si>
  <si>
    <t>sex_1</t>
  </si>
  <si>
    <t>ולפני חמש שנים, מה היה מצב המדינה מבחינת הבטחון הלאומי?</t>
  </si>
  <si>
    <t>ובעוד חמש שנים, מה יהיה מצב המדינה מבחינת הבטחון הלאומי?</t>
  </si>
  <si>
    <t>מהם לדעתך הסיכויים שיתחזק השלום בין ישראל למדינות ערב בשלוש השנים הקרובות?</t>
  </si>
  <si>
    <t>ומהם לדעתך הסיכויים שתפרוץ מלחמה בין ישראל לבין מדינה ערבית בשלוש השנים הקרובות?</t>
  </si>
  <si>
    <t>האם לדעתך מבצע "עופרת יצוקה" בעזה היה מוצלח או לא מוצלח?</t>
  </si>
  <si>
    <t>v16a</t>
  </si>
  <si>
    <t>כיצד ישראל צריכה להגיב במידה והירי על היישובים הישראליים מרצועת עזה יימשך?</t>
  </si>
  <si>
    <t>v16b</t>
  </si>
  <si>
    <t>אם יהיה הסכם שלום עם הפלסטינים ועם מדינות ערב, האם לדעתך יסתיים או לא יסתיים בכך הסכסוך הישראלי-ערבי?</t>
  </si>
  <si>
    <t>מלחמה בצפון</t>
  </si>
  <si>
    <t>התנתקות חד צדדית מהפלסטינים</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</si>
  <si>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נשק כימי וביולוגי בידי מדינת אויב</t>
    </r>
  </si>
  <si>
    <t>נשק גרעיני בידי מדינת אויב</t>
  </si>
  <si>
    <t>האם ישראל צריכה להחזיר לסוריה שטחים ברמת הגולן תמורת חוזה שלום וסידורי בטחון המקובלים על צה"ל?</t>
  </si>
  <si>
    <r>
      <t xml:space="preserve">האם לדעתך קיימים או לא קיימים הבדלים בעמדותיהן של המפלגות העיקריות בארץ בנושאים הבאים: </t>
    </r>
    <r>
      <rPr>
        <b/>
        <sz val="11"/>
        <color theme="1"/>
        <rFont val="Calibri"/>
        <family val="2"/>
        <scheme val="minor"/>
      </rPr>
      <t>האיום האיראני</t>
    </r>
  </si>
  <si>
    <r>
      <t xml:space="preserve">באיזו מידה אתה מסכים או לא מסכים עם המשפטים הבאים: </t>
    </r>
    <r>
      <rPr>
        <b/>
        <sz val="11"/>
        <color theme="1"/>
        <rFont val="Calibri"/>
        <family val="2"/>
        <scheme val="minor"/>
      </rPr>
      <t>יש להפסיק את תהליך השלום אפילו אם נסתכן במלחמה נוספת</t>
    </r>
  </si>
  <si>
    <r>
      <t xml:space="preserve">באיזו מידה אתה מסכים או לא מסכים עם המשפטים הבאים: </t>
    </r>
    <r>
      <rPr>
        <b/>
        <sz val="11"/>
        <color theme="1"/>
        <rFont val="Calibri"/>
        <family val="2"/>
        <scheme val="minor"/>
      </rPr>
      <t>יש להחזיר שטחים תמורת שלום</t>
    </r>
  </si>
  <si>
    <r>
      <t xml:space="preserve">באיזו מידה אתה מסכים או לא מסכים עם המשפטים הבאים: </t>
    </r>
    <r>
      <rPr>
        <b/>
        <sz val="11"/>
        <color theme="1"/>
        <rFont val="Calibri"/>
        <family val="2"/>
        <scheme val="minor"/>
      </rPr>
      <t>על הממשלה לעודד הגירת ערבים מהארץ</t>
    </r>
  </si>
  <si>
    <r>
      <t>באיזו מידה אתה מסכים או לא מסכים עם המשפטים הבאים:</t>
    </r>
    <r>
      <rPr>
        <b/>
        <sz val="11"/>
        <color theme="1"/>
        <rFont val="Calibri"/>
        <family val="2"/>
        <scheme val="minor"/>
      </rPr>
      <t xml:space="preserve"> לבית המשפט העליון צריכה להיות הסמכות לבטל חוק שחוקקה הכנסת</t>
    </r>
  </si>
  <si>
    <t>כיצד היית מדרג את מצבך האישי בימים אלו?</t>
  </si>
  <si>
    <t>ולפני 5 שנים מה היה מצבך האישי?</t>
  </si>
  <si>
    <t>ובעוד 5 שנים מה יהיה מצבך האישי?</t>
  </si>
  <si>
    <r>
      <t xml:space="preserve">באיזו מידה כל אחד מהמצבים הבאים מהווה סכנה בעיניך? דרך את תשובתך על סולם בין 1-7 כאשר 1 משמעו 'בכלל לא מסוכן ו-7 'מאוד מסוכן': </t>
    </r>
    <r>
      <rPr>
        <b/>
        <sz val="11"/>
        <color theme="1"/>
        <rFont val="Calibri"/>
        <family val="2"/>
        <scheme val="minor"/>
      </rPr>
      <t>משטר לא דמוקרטי בישראל</t>
    </r>
  </si>
  <si>
    <r>
      <t xml:space="preserve">מה יחסך לכל אחת מן המפלגות הבאות? </t>
    </r>
    <r>
      <rPr>
        <b/>
        <sz val="11"/>
        <color theme="1"/>
        <rFont val="Calibri"/>
        <family val="2"/>
        <scheme val="minor"/>
      </rPr>
      <t>קדימה</t>
    </r>
  </si>
  <si>
    <t>ועדת הבחירות המרכזית החליטה לפסול את הרשימות הערביות בל"ד ורע"ם-תע"ל מהתמודדות בבחירות הקרובות. האם האתה תומך או מתנגד להחלטה זו?</t>
  </si>
  <si>
    <t>v68a</t>
  </si>
  <si>
    <r>
      <t xml:space="preserve">ועל אותו סולם, מה יחסך לאישים הבאים? </t>
    </r>
    <r>
      <rPr>
        <b/>
        <sz val="11"/>
        <color theme="1"/>
        <rFont val="Calibri"/>
        <family val="2"/>
        <scheme val="minor"/>
      </rPr>
      <t>אהוד ברק</t>
    </r>
  </si>
  <si>
    <t>v72a</t>
  </si>
  <si>
    <t>ומי במקום השני?</t>
  </si>
  <si>
    <t>v72b</t>
  </si>
  <si>
    <t>v73a</t>
  </si>
  <si>
    <t>v73b</t>
  </si>
  <si>
    <t>v74a</t>
  </si>
  <si>
    <t>v74b</t>
  </si>
  <si>
    <r>
      <t xml:space="preserve">האם לדעתך קיימים או לא קיימים הבדלים בעמדותיהן של המפלגות העיקריות בארץ בנושאים הבאים: </t>
    </r>
    <r>
      <rPr>
        <b/>
        <sz val="11"/>
        <color theme="1"/>
        <rFont val="Calibri"/>
        <family val="2"/>
        <scheme val="minor"/>
      </rPr>
      <t>ירושלים</t>
    </r>
  </si>
  <si>
    <t>מבין הנושאים הבאים מה הדבר שהכי שישפיע ביותר על ההצבעה שלך בבחירות הקרובות?</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</si>
  <si>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ליכוד</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</si>
  <si>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עבודה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</si>
  <si>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קדימה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</si>
  <si>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ש"ס</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</si>
  <si>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הבית היהודי</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</si>
  <si>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ישראל ביתנו</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</si>
  <si>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מרצ</t>
    </r>
  </si>
  <si>
    <t>שמירת הטבע והאקולוגיה</t>
  </si>
  <si>
    <t>כבישים ותאונות דרכים</t>
  </si>
  <si>
    <r>
      <t xml:space="preserve">לפניך רשימה של תכונות שונות של מפלגות. לגבי כל אחת מהן, ציין לאיזו מפלגה היא מתאימה ביותר: </t>
    </r>
    <r>
      <rPr>
        <b/>
        <sz val="11"/>
        <color theme="1"/>
        <rFont val="Calibri"/>
        <family val="2"/>
        <scheme val="minor"/>
      </rPr>
      <t xml:space="preserve">מפלגה שתדע לעמוד בתוקף במו"מ על שטחים ושלום </t>
    </r>
  </si>
  <si>
    <t>ולמי הכי פחות?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</si>
  <si>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שתשמור על המשטר הדמוקרטי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</si>
  <si>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להוביל לשלום אמת עם הערבים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</si>
  <si>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לטפל בטרור</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</si>
  <si>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שתבטיח רוב יהודי במדינה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</si>
  <si>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שיש בה שחיתות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</si>
  <si>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פערים חברתיים</t>
    </r>
  </si>
  <si>
    <r>
      <t xml:space="preserve">האם </t>
    </r>
    <r>
      <rPr>
        <b/>
        <sz val="11"/>
        <color theme="1"/>
        <rFont val="Calibri"/>
        <family val="2"/>
        <scheme val="minor"/>
      </rPr>
      <t>"אכפתיות מאנשים כמוך"</t>
    </r>
    <r>
      <rPr>
        <sz val="11"/>
        <color theme="1"/>
        <rFont val="Calibri"/>
        <family val="2"/>
        <charset val="177"/>
        <scheme val="minor"/>
      </rPr>
      <t xml:space="preserve"> מתאימה יותר ל:</t>
    </r>
  </si>
  <si>
    <r>
      <t xml:space="preserve">האם </t>
    </r>
    <r>
      <rPr>
        <b/>
        <sz val="11"/>
        <color theme="1"/>
        <rFont val="Calibri"/>
        <family val="2"/>
        <scheme val="minor"/>
      </rPr>
      <t>"יושר והגינות"</t>
    </r>
    <r>
      <rPr>
        <sz val="11"/>
        <color theme="1"/>
        <rFont val="Calibri"/>
        <family val="2"/>
        <charset val="177"/>
        <scheme val="minor"/>
      </rPr>
      <t xml:space="preserve"> מתאים יותר ל:</t>
    </r>
  </si>
  <si>
    <r>
      <t xml:space="preserve">האם </t>
    </r>
    <r>
      <rPr>
        <b/>
        <sz val="11"/>
        <color theme="1"/>
        <rFont val="Calibri"/>
        <family val="2"/>
        <scheme val="minor"/>
      </rPr>
      <t>"אמין"</t>
    </r>
    <r>
      <rPr>
        <sz val="11"/>
        <color theme="1"/>
        <rFont val="Calibri"/>
        <family val="2"/>
        <charset val="177"/>
        <scheme val="minor"/>
      </rPr>
      <t xml:space="preserve"> מתאים יותר ל:</t>
    </r>
  </si>
  <si>
    <r>
      <t xml:space="preserve">האם </t>
    </r>
    <r>
      <rPr>
        <b/>
        <sz val="11"/>
        <color theme="1"/>
        <rFont val="Calibri"/>
        <family val="2"/>
        <scheme val="minor"/>
      </rPr>
      <t>"יעדיף את טובת המדינה על פני שיקולים אחרים"</t>
    </r>
    <r>
      <rPr>
        <sz val="11"/>
        <color theme="1"/>
        <rFont val="Calibri"/>
        <family val="2"/>
        <charset val="177"/>
        <scheme val="minor"/>
      </rPr>
      <t xml:space="preserve"> מתאים יותר ל:</t>
    </r>
  </si>
  <si>
    <r>
      <t xml:space="preserve">האם </t>
    </r>
    <r>
      <rPr>
        <b/>
        <sz val="11"/>
        <color theme="1"/>
        <rFont val="Calibri"/>
        <family val="2"/>
        <scheme val="minor"/>
      </rPr>
      <t>"יכולת טובה לניהול משא ומתן"</t>
    </r>
    <r>
      <rPr>
        <sz val="11"/>
        <color theme="1"/>
        <rFont val="Calibri"/>
        <family val="2"/>
        <charset val="177"/>
        <scheme val="minor"/>
      </rPr>
      <t xml:space="preserve"> מתאים יותר ל:</t>
    </r>
  </si>
  <si>
    <r>
      <t xml:space="preserve">האם </t>
    </r>
    <r>
      <rPr>
        <b/>
        <sz val="11"/>
        <color theme="1"/>
        <rFont val="Calibri"/>
        <family val="2"/>
        <scheme val="minor"/>
      </rPr>
      <t>"ישמור על שלטון החוק"</t>
    </r>
    <r>
      <rPr>
        <sz val="11"/>
        <color theme="1"/>
        <rFont val="Calibri"/>
        <family val="2"/>
        <charset val="177"/>
        <scheme val="minor"/>
      </rPr>
      <t xml:space="preserve"> מתאים יותר ל:</t>
    </r>
  </si>
  <si>
    <r>
      <t xml:space="preserve">לפניך רשימה של תכונות של מנהיגים. לגבי כל אחת מהתכונות ציין למי היא מתאימה יותר? </t>
    </r>
    <r>
      <rPr>
        <sz val="11"/>
        <color theme="1"/>
        <rFont val="Calibri"/>
        <family val="2"/>
        <scheme val="minor"/>
      </rPr>
      <t>האם</t>
    </r>
    <r>
      <rPr>
        <b/>
        <sz val="11"/>
        <color theme="1"/>
        <rFont val="Calibri"/>
        <family val="2"/>
        <scheme val="minor"/>
      </rPr>
      <t xml:space="preserve"> "כושר מנהיגות" </t>
    </r>
    <r>
      <rPr>
        <sz val="11"/>
        <color theme="1"/>
        <rFont val="Calibri"/>
        <family val="2"/>
        <scheme val="minor"/>
      </rPr>
      <t>מתאים יותר ל:</t>
    </r>
  </si>
  <si>
    <t xml:space="preserve">מבין הנושאים הבאים, איזה נושא לדעתך עומד במרכז מערכת הבחירות? </t>
  </si>
  <si>
    <t>v154</t>
  </si>
  <si>
    <t>v164</t>
  </si>
  <si>
    <t>v174</t>
  </si>
  <si>
    <t>v184</t>
  </si>
  <si>
    <t>הרבה מדברים על "שמאל" ו-"ימין" בפוליטיקה. כיצד היית מדרג את עצמך על פני רצף "שמאל-ימין" כאשר 0 משמעו שמאל, 10 משמעו ימין ו-5 משמעו אמצע?</t>
  </si>
  <si>
    <t>באיזו מידה לדעתך מערכת הבחירות תעזור לך להחליט בעד מי להצביע?</t>
  </si>
  <si>
    <t>האם אתה צופה בתשדירי הבחירות בטלוויזיה?</t>
  </si>
  <si>
    <t>האם בתקופת הבחירות אתה משתמש באינטרנט בהקשר של הבחירות?</t>
  </si>
  <si>
    <r>
      <t xml:space="preserve">באילו מהאמצעים הבאים של האינטרנט יצא לך להשתמש בהקשר של הבחירות? </t>
    </r>
    <r>
      <rPr>
        <b/>
        <sz val="11"/>
        <color theme="1"/>
        <rFont val="Calibri"/>
        <family val="2"/>
        <scheme val="minor"/>
      </rPr>
      <t>אי-מייל</t>
    </r>
  </si>
  <si>
    <t>בלוגים</t>
  </si>
  <si>
    <t>טוקבקים</t>
  </si>
  <si>
    <t>צ'טים או קבוצות דיון</t>
  </si>
  <si>
    <t>אתר המפלגה או המועמדים שאתה תומך בהם</t>
  </si>
  <si>
    <t>אתרי המפלגות או מועמדים אחרים</t>
  </si>
  <si>
    <t>אתרי וידאו כמו יו-טיוב</t>
  </si>
  <si>
    <t>אתרי חדשות כמו וואלה או YNET</t>
  </si>
  <si>
    <t>רשתות חברתיות כמו פייסבוק</t>
  </si>
  <si>
    <t>האם השתמש במצפן הבחירות של YNET</t>
  </si>
  <si>
    <t>v152</t>
  </si>
  <si>
    <t>כנראה שבבחירות הקרובות יצביעו פחות אנשים מבעבר. מהי לדעתך הסיבה העיקרית לכך?</t>
  </si>
  <si>
    <t>v155</t>
  </si>
  <si>
    <r>
      <t xml:space="preserve">אילו היו שני פתקים בבחירות האלה, אחד לראש הממשלה ואחד לכנסת, </t>
    </r>
    <r>
      <rPr>
        <b/>
        <sz val="11"/>
        <color theme="1"/>
        <rFont val="Calibri"/>
        <family val="2"/>
        <scheme val="minor"/>
      </rPr>
      <t>עבור מי היית מצביע לכנסת?</t>
    </r>
  </si>
  <si>
    <r>
      <t xml:space="preserve">אילו היו שני פתקים בבחירות האלה, אחד לראש הממשלה ואחד לכנסת, </t>
    </r>
    <r>
      <rPr>
        <b/>
        <sz val="11"/>
        <color theme="1"/>
        <rFont val="Calibri"/>
        <family val="2"/>
        <scheme val="minor"/>
      </rPr>
      <t>עבור מי היית מצביע לראשות הממשלה?</t>
    </r>
  </si>
  <si>
    <t>v156</t>
  </si>
  <si>
    <t>v157</t>
  </si>
  <si>
    <t>לדעתך, מה הסיכוי שציפי לבני תהיה ראש ממשלה לאחר הבחירות?</t>
  </si>
  <si>
    <t>לדעתך, מה הסיכוי שבנימין נתניהו תהיה ראש ממשלה לאחר הבחירות?</t>
  </si>
  <si>
    <t>לדעתך, מה הסיכוי שאהוד ברק תהיה ראש ממשלה לאחר הבחירות?</t>
  </si>
  <si>
    <t>v158</t>
  </si>
  <si>
    <t>v159</t>
  </si>
  <si>
    <t>v160</t>
  </si>
  <si>
    <t>באיזו מידה אכפת לך באופן אישי מי יהיה ראש הממשלה לאחר הבחירות?</t>
  </si>
  <si>
    <t>v161</t>
  </si>
  <si>
    <t>v162</t>
  </si>
  <si>
    <t>האם הצבעת בבחירות לרשויות המקומיות האחרונות?</t>
  </si>
  <si>
    <t>v163</t>
  </si>
  <si>
    <t>איזה מבין המונחים הבאים מגדיר בצורה הטובה ביותר את זהותך?</t>
  </si>
  <si>
    <t>והשני?</t>
  </si>
  <si>
    <t>והשלישי?</t>
  </si>
  <si>
    <t>והרביעי?</t>
  </si>
  <si>
    <t>v165</t>
  </si>
  <si>
    <t>v166</t>
  </si>
  <si>
    <t>v167</t>
  </si>
  <si>
    <t>איזה מבין המונחים הבאים מגדיר בצורה הטובה ביותר את הזהות שלך?</t>
  </si>
  <si>
    <t>v168</t>
  </si>
  <si>
    <t>v169</t>
  </si>
  <si>
    <t>v170</t>
  </si>
  <si>
    <t>v171</t>
  </si>
  <si>
    <t>v172</t>
  </si>
  <si>
    <t>v173</t>
  </si>
  <si>
    <t>v175</t>
  </si>
  <si>
    <t>v176</t>
  </si>
  <si>
    <t>v177</t>
  </si>
  <si>
    <t>v188</t>
  </si>
  <si>
    <t>v179</t>
  </si>
  <si>
    <t>v180</t>
  </si>
  <si>
    <t>האם יש לך תואר אקדמי?</t>
  </si>
  <si>
    <t>v182</t>
  </si>
  <si>
    <t>v181_1</t>
  </si>
  <si>
    <t>v183</t>
  </si>
  <si>
    <t>האם אתה מודאג שתאבד את מקום העבודה או מקור הפרנסה שלך?</t>
  </si>
  <si>
    <t>v185</t>
  </si>
  <si>
    <t>v186</t>
  </si>
  <si>
    <t>v187</t>
  </si>
  <si>
    <t>v189_1</t>
  </si>
  <si>
    <t>v190</t>
  </si>
  <si>
    <t>מהו מוסד הלימודים האחרון בו למדת?</t>
  </si>
  <si>
    <t>v191</t>
  </si>
  <si>
    <t>v193</t>
  </si>
  <si>
    <t>v195</t>
  </si>
  <si>
    <t>פאנל</t>
  </si>
  <si>
    <t>panel</t>
  </si>
  <si>
    <t>q1</t>
  </si>
  <si>
    <t>q2</t>
  </si>
  <si>
    <t>q3</t>
  </si>
  <si>
    <t>q4</t>
  </si>
  <si>
    <t>q5</t>
  </si>
  <si>
    <t>באופן כללי, האם אתה מרוצה או לא מרוצה מתוצאות הבחירות?</t>
  </si>
  <si>
    <t>q6</t>
  </si>
  <si>
    <t>q7</t>
  </si>
  <si>
    <t>כמה פעמים צפית בשידורי התעמולה של המפלגות בטלוויזיה?</t>
  </si>
  <si>
    <t>q8</t>
  </si>
  <si>
    <t>q9</t>
  </si>
  <si>
    <t>q10</t>
  </si>
  <si>
    <t>הבחירות היו על מי מתאים להנהיג את ישראל בתקופה זו</t>
  </si>
  <si>
    <t>q11</t>
  </si>
  <si>
    <t>הבחירות מצביעות על כך שהציבור רוצה מועמד נקי כפיים</t>
  </si>
  <si>
    <t>q12</t>
  </si>
  <si>
    <t>q13</t>
  </si>
  <si>
    <t>הבחירות היו בעיקר על איזו תוכנית כלכלית תוציא את המדינה מהבוץ</t>
  </si>
  <si>
    <t>q14</t>
  </si>
  <si>
    <t>q15</t>
  </si>
  <si>
    <t>הבחירות מצביעות על כך ש"קדימה" היא לא תופעה חולפת</t>
  </si>
  <si>
    <t>q16</t>
  </si>
  <si>
    <t>הבחירות היו בעיקר על יחסי יהודים-ערבים בתוך ישראל והקשר בין אזרחות לנאמנות</t>
  </si>
  <si>
    <t>q17</t>
  </si>
  <si>
    <t>הבחירות מצביעות על כך שהציבור חושב שאישה מתאימה להיות ראש ממשלה</t>
  </si>
  <si>
    <t>q18</t>
  </si>
  <si>
    <t>הבחירות מלמדות שחייבים לשנות את השיטה הנוכחית לשיטה שתביא לממשלה יציבה ל-4 שנים</t>
  </si>
  <si>
    <t>q19</t>
  </si>
  <si>
    <t>q20</t>
  </si>
  <si>
    <t>האם לדעתך מפלגת ישראל ביתנו היא קודם כל מפלגה שמייצגת את העולים מברה"מ לשעבר או שהיא לא מפלגה כזו?</t>
  </si>
  <si>
    <t>q21</t>
  </si>
  <si>
    <t>caseid</t>
  </si>
  <si>
    <t>a6</t>
  </si>
  <si>
    <t>a7</t>
  </si>
  <si>
    <t>a8</t>
  </si>
  <si>
    <t>a10</t>
  </si>
  <si>
    <t>a11</t>
  </si>
  <si>
    <t>a12</t>
  </si>
  <si>
    <t>a13</t>
  </si>
  <si>
    <t>a27</t>
  </si>
  <si>
    <t>a30</t>
  </si>
  <si>
    <t>a32</t>
  </si>
  <si>
    <t>a14</t>
  </si>
  <si>
    <t>a15</t>
  </si>
  <si>
    <t>במסגרת הסכם שלום עם הפלסטינים, האם על ישראל להסכים או לא להסכים לפשרה טריטוריאלית ולפינוי התנחלויות ביו"ש?</t>
  </si>
  <si>
    <t>a16</t>
  </si>
  <si>
    <t>ואם לא ניתן יהיה להגיע בשנים הקרובות להסכם שלום עם הפלסטינים, האם על ישראל לבצע מהלך נוסף חד-צדדי של פינוי התנחלויות ביו"ש?</t>
  </si>
  <si>
    <t>אם אהוד אולמרט יבחר כראש ממשלה, מהם הסיכויים לדעתך שהוא יבצע פינוי התנחלויות נוסף ביו"ש?</t>
  </si>
  <si>
    <t>a17</t>
  </si>
  <si>
    <t>a18</t>
  </si>
  <si>
    <t>a19</t>
  </si>
  <si>
    <t>a20</t>
  </si>
  <si>
    <t>a21</t>
  </si>
  <si>
    <t>a22</t>
  </si>
  <si>
    <t>a23</t>
  </si>
  <si>
    <t>a24</t>
  </si>
  <si>
    <t>a25</t>
  </si>
  <si>
    <t>a26</t>
  </si>
  <si>
    <t>a28</t>
  </si>
  <si>
    <t>a29</t>
  </si>
  <si>
    <t>a34</t>
  </si>
  <si>
    <t>a35</t>
  </si>
  <si>
    <t>a33</t>
  </si>
  <si>
    <t>a36</t>
  </si>
  <si>
    <t>a31</t>
  </si>
  <si>
    <t>a37</t>
  </si>
  <si>
    <t>a38</t>
  </si>
  <si>
    <t>a39</t>
  </si>
  <si>
    <t>a40</t>
  </si>
  <si>
    <t>a41</t>
  </si>
  <si>
    <t>a42</t>
  </si>
  <si>
    <t>a43</t>
  </si>
  <si>
    <t>a44</t>
  </si>
  <si>
    <t>a45</t>
  </si>
  <si>
    <t>a46</t>
  </si>
  <si>
    <t>a48</t>
  </si>
  <si>
    <t>a47</t>
  </si>
  <si>
    <t>a49</t>
  </si>
  <si>
    <t>a50</t>
  </si>
  <si>
    <t>a51</t>
  </si>
  <si>
    <t>a53</t>
  </si>
  <si>
    <t>a54</t>
  </si>
  <si>
    <t>a55</t>
  </si>
  <si>
    <t>a56</t>
  </si>
  <si>
    <t>a57</t>
  </si>
  <si>
    <t>a58</t>
  </si>
  <si>
    <t>a59</t>
  </si>
  <si>
    <t>a60</t>
  </si>
  <si>
    <t>a61</t>
  </si>
  <si>
    <t>a62</t>
  </si>
  <si>
    <t>a63</t>
  </si>
  <si>
    <t>a64</t>
  </si>
  <si>
    <t>a65</t>
  </si>
  <si>
    <r>
      <t xml:space="preserve">ועל אותו סולם, מה יחסך לאישים הבאים? </t>
    </r>
    <r>
      <rPr>
        <b/>
        <sz val="11"/>
        <color theme="1"/>
        <rFont val="Calibri"/>
        <family val="2"/>
        <scheme val="minor"/>
      </rPr>
      <t>אהוד אולמרט</t>
    </r>
  </si>
  <si>
    <t>a68</t>
  </si>
  <si>
    <t>a66</t>
  </si>
  <si>
    <t>a69</t>
  </si>
  <si>
    <t>a70</t>
  </si>
  <si>
    <r>
      <t xml:space="preserve">ועל אותו סולם, מה יחסך לאישים הבאים? </t>
    </r>
    <r>
      <rPr>
        <b/>
        <sz val="11"/>
        <color theme="1"/>
        <rFont val="Calibri"/>
        <family val="2"/>
        <scheme val="minor"/>
      </rPr>
      <t>שמעון פרס</t>
    </r>
  </si>
  <si>
    <t>a71</t>
  </si>
  <si>
    <t>a72</t>
  </si>
  <si>
    <r>
      <t xml:space="preserve">ועל אותו סולם, מה יחסך לאישים הבאים? </t>
    </r>
    <r>
      <rPr>
        <b/>
        <sz val="11"/>
        <color theme="1"/>
        <rFont val="Calibri"/>
        <family val="2"/>
        <scheme val="minor"/>
      </rPr>
      <t>אריאל שרון</t>
    </r>
  </si>
  <si>
    <t>a73</t>
  </si>
  <si>
    <t>a74</t>
  </si>
  <si>
    <r>
      <t xml:space="preserve">ועל אותו סולם, מה יחסך לאישים הבאים? </t>
    </r>
    <r>
      <rPr>
        <b/>
        <sz val="11"/>
        <color theme="1"/>
        <rFont val="Calibri"/>
        <family val="2"/>
        <scheme val="minor"/>
      </rPr>
      <t>יוסי ביילין</t>
    </r>
  </si>
  <si>
    <t>a75</t>
  </si>
  <si>
    <r>
      <t xml:space="preserve">ועל אותו סולם, מה יחסך לאישים הבאים? </t>
    </r>
    <r>
      <rPr>
        <b/>
        <sz val="11"/>
        <color theme="1"/>
        <rFont val="Calibri"/>
        <family val="2"/>
        <scheme val="minor"/>
      </rPr>
      <t>בני אלון</t>
    </r>
  </si>
  <si>
    <t>a76</t>
  </si>
  <si>
    <r>
      <t xml:space="preserve">ועל אותו סולם, מה יחסך לאישים הבאים? </t>
    </r>
    <r>
      <rPr>
        <b/>
        <sz val="11"/>
        <color theme="1"/>
        <rFont val="Calibri"/>
        <family val="2"/>
        <scheme val="minor"/>
      </rPr>
      <t>נתן שרנסקי</t>
    </r>
  </si>
  <si>
    <t>a77</t>
  </si>
  <si>
    <t>a78</t>
  </si>
  <si>
    <t>a79</t>
  </si>
  <si>
    <t>a80</t>
  </si>
  <si>
    <t>a81</t>
  </si>
  <si>
    <t>a82</t>
  </si>
  <si>
    <t>a83</t>
  </si>
  <si>
    <t>a84</t>
  </si>
  <si>
    <t>a85</t>
  </si>
  <si>
    <t>a86</t>
  </si>
  <si>
    <t>a87</t>
  </si>
  <si>
    <t>a88</t>
  </si>
  <si>
    <t>a89</t>
  </si>
  <si>
    <t>a90</t>
  </si>
  <si>
    <t>a91</t>
  </si>
  <si>
    <t>a92</t>
  </si>
  <si>
    <t>a93</t>
  </si>
  <si>
    <t>a94</t>
  </si>
  <si>
    <t>a95</t>
  </si>
  <si>
    <t>a96</t>
  </si>
  <si>
    <t>a97</t>
  </si>
  <si>
    <t>b6</t>
  </si>
  <si>
    <t>b7</t>
  </si>
  <si>
    <t>b11</t>
  </si>
  <si>
    <t>b13</t>
  </si>
  <si>
    <t>b15</t>
  </si>
  <si>
    <t>b17</t>
  </si>
  <si>
    <t>b19</t>
  </si>
  <si>
    <t>b21</t>
  </si>
  <si>
    <t>b23</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</si>
  <si>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</si>
  <si>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</si>
  <si>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</si>
  <si>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</si>
  <si>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</si>
  <si>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</si>
  <si>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</si>
  <si>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</si>
  <si>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</si>
  <si>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</si>
  <si>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</si>
  <si>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</si>
  <si>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</si>
  <si>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</si>
  <si>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</si>
  <si>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</si>
  <si>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</si>
  <si>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</si>
  <si>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</si>
  <si>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</si>
  <si>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</si>
  <si>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</si>
  <si>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</si>
  <si>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</si>
  <si>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</si>
  <si>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b51</t>
  </si>
  <si>
    <t>b52</t>
  </si>
  <si>
    <t>b53</t>
  </si>
  <si>
    <t>b54</t>
  </si>
  <si>
    <t>b55</t>
  </si>
  <si>
    <t>b56</t>
  </si>
  <si>
    <t>b57</t>
  </si>
  <si>
    <t>b58</t>
  </si>
  <si>
    <t>b59</t>
  </si>
  <si>
    <t>b60</t>
  </si>
  <si>
    <t>b61</t>
  </si>
  <si>
    <t>b62</t>
  </si>
  <si>
    <t>b63</t>
  </si>
  <si>
    <t>מהו העיתון העיקרי שאתה קורא?</t>
  </si>
  <si>
    <t>b64</t>
  </si>
  <si>
    <t>האם אתה נוהג לצפות בחדשות בטלוויזיה?</t>
  </si>
  <si>
    <t>b66</t>
  </si>
  <si>
    <t>באיזה ערוץ אתה צופה הכי הרבה?</t>
  </si>
  <si>
    <t>b67</t>
  </si>
  <si>
    <t>b69</t>
  </si>
  <si>
    <t>האם אתה גולש באתרים של מפלגות פוליטיות?</t>
  </si>
  <si>
    <t>b70</t>
  </si>
  <si>
    <t>b71</t>
  </si>
  <si>
    <t>לאתרים של איזה מפלגות אתה גולש?</t>
  </si>
  <si>
    <t>b72</t>
  </si>
  <si>
    <t>b73</t>
  </si>
  <si>
    <r>
      <t xml:space="preserve">לדעתך, מה הסיכוי שהמפלגה הבאה תהיה בקואליציה: </t>
    </r>
    <r>
      <rPr>
        <b/>
        <sz val="11"/>
        <color theme="1"/>
        <rFont val="Calibri"/>
        <family val="2"/>
        <scheme val="minor"/>
      </rPr>
      <t>קדימה</t>
    </r>
  </si>
  <si>
    <r>
      <t xml:space="preserve">לדעתך, מה הסיכוי שהמפלגה הבאה תהיה בקואליציה: </t>
    </r>
    <r>
      <rPr>
        <b/>
        <sz val="11"/>
        <color theme="1"/>
        <rFont val="Calibri"/>
        <family val="2"/>
        <scheme val="minor"/>
      </rPr>
      <t>העובדה</t>
    </r>
  </si>
  <si>
    <r>
      <t xml:space="preserve">לדעתך, מה הסיכוי שהמפלגה הבאה תהיה בקואליציה: </t>
    </r>
    <r>
      <rPr>
        <b/>
        <sz val="11"/>
        <color theme="1"/>
        <rFont val="Calibri"/>
        <family val="2"/>
        <scheme val="minor"/>
      </rPr>
      <t>הליכוד</t>
    </r>
  </si>
  <si>
    <r>
      <t xml:space="preserve">לדעתך, מה הסיכוי שהמפלגה הבאה תהיה בקואליציה: </t>
    </r>
    <r>
      <rPr>
        <b/>
        <sz val="11"/>
        <color theme="1"/>
        <rFont val="Calibri"/>
        <family val="2"/>
        <scheme val="minor"/>
      </rPr>
      <t>המפלגה שאתה מצביע</t>
    </r>
  </si>
  <si>
    <t>b75</t>
  </si>
  <si>
    <t>b78</t>
  </si>
  <si>
    <t>b81</t>
  </si>
  <si>
    <t>b84</t>
  </si>
  <si>
    <r>
      <t xml:space="preserve">לדעתך, כמה חברי כנסת יהיו למפלגה הבאה: </t>
    </r>
    <r>
      <rPr>
        <b/>
        <sz val="11"/>
        <color theme="1"/>
        <rFont val="Calibri"/>
        <family val="2"/>
        <scheme val="minor"/>
      </rPr>
      <t>קדימה</t>
    </r>
  </si>
  <si>
    <r>
      <t xml:space="preserve">לדעתך, כמה חברי כנסת יהיו למפלגה הבאה: </t>
    </r>
    <r>
      <rPr>
        <b/>
        <sz val="11"/>
        <color theme="1"/>
        <rFont val="Calibri"/>
        <family val="2"/>
        <scheme val="minor"/>
      </rPr>
      <t>העבודה</t>
    </r>
  </si>
  <si>
    <r>
      <t xml:space="preserve">לדעתך, כמה חברי כנסת יהיו למפלגה הבאה: </t>
    </r>
    <r>
      <rPr>
        <b/>
        <sz val="11"/>
        <color theme="1"/>
        <rFont val="Calibri"/>
        <family val="2"/>
        <scheme val="minor"/>
      </rPr>
      <t>הליכוד</t>
    </r>
  </si>
  <si>
    <r>
      <t xml:space="preserve">לדעתך, כמה חברי כנסת יהיו למפלגה הבאה: </t>
    </r>
    <r>
      <rPr>
        <b/>
        <sz val="11"/>
        <color theme="1"/>
        <rFont val="Calibri"/>
        <family val="2"/>
        <scheme val="minor"/>
      </rPr>
      <t>המפלגה שאתה מתכוון להצביע לה</t>
    </r>
  </si>
  <si>
    <t>b87</t>
  </si>
  <si>
    <t>b89</t>
  </si>
  <si>
    <t>b91</t>
  </si>
  <si>
    <t>b93</t>
  </si>
  <si>
    <r>
      <t xml:space="preserve">הסיכויים לקואליציות שונות לאחר הבחירות: </t>
    </r>
    <r>
      <rPr>
        <b/>
        <sz val="11"/>
        <color theme="1"/>
        <rFont val="Calibri"/>
        <family val="2"/>
        <scheme val="minor"/>
      </rPr>
      <t>קדימה-עבודה</t>
    </r>
  </si>
  <si>
    <r>
      <t xml:space="preserve">הסיכויים לקואליציות שונות לאחר הבחירות: </t>
    </r>
    <r>
      <rPr>
        <b/>
        <sz val="11"/>
        <color theme="1"/>
        <rFont val="Calibri"/>
        <family val="2"/>
        <scheme val="minor"/>
      </rPr>
      <t>קדימה-ליכוד</t>
    </r>
  </si>
  <si>
    <r>
      <t xml:space="preserve">הסיכויים לקואליציות שונות לאחר הבחירות: </t>
    </r>
    <r>
      <rPr>
        <b/>
        <sz val="11"/>
        <color theme="1"/>
        <rFont val="Calibri"/>
        <family val="2"/>
        <scheme val="minor"/>
      </rPr>
      <t>קדימה-ליכוד-מפלגות חרדיות</t>
    </r>
  </si>
  <si>
    <r>
      <t xml:space="preserve">הסיכויים לקואליציות שונות לאחר הבחירות: </t>
    </r>
    <r>
      <rPr>
        <b/>
        <sz val="11"/>
        <color theme="1"/>
        <rFont val="Calibri"/>
        <family val="2"/>
        <scheme val="minor"/>
      </rPr>
      <t>קדימה-עבודה-מפלגות חרדיות</t>
    </r>
  </si>
  <si>
    <r>
      <t xml:space="preserve">הסיכויים לקואליציות שונות לאחר הבחירות: </t>
    </r>
    <r>
      <rPr>
        <b/>
        <sz val="11"/>
        <color theme="1"/>
        <rFont val="Calibri"/>
        <family val="2"/>
        <scheme val="minor"/>
      </rPr>
      <t>קדימה-ליכוד-מפלגות ימין</t>
    </r>
  </si>
  <si>
    <r>
      <t xml:space="preserve">הסיכויים לקואליציות שונות לאחר הבחירות: </t>
    </r>
    <r>
      <rPr>
        <b/>
        <sz val="11"/>
        <color theme="1"/>
        <rFont val="Calibri"/>
        <family val="2"/>
        <scheme val="minor"/>
      </rPr>
      <t>קדימה-עבודה-מרצ</t>
    </r>
  </si>
  <si>
    <r>
      <t xml:space="preserve">הסיכויים לקואליציות שונות לאחר הבחירות: </t>
    </r>
    <r>
      <rPr>
        <b/>
        <sz val="11"/>
        <color theme="1"/>
        <rFont val="Calibri"/>
        <family val="2"/>
        <scheme val="minor"/>
      </rPr>
      <t>קדימה-עבודה-ליכוד-מפלגות ימין-מפלגות חרדיות (אחדות לאומית)</t>
    </r>
  </si>
  <si>
    <t>c6</t>
  </si>
  <si>
    <t>c9</t>
  </si>
  <si>
    <t>c12</t>
  </si>
  <si>
    <t>c15</t>
  </si>
  <si>
    <t>c18</t>
  </si>
  <si>
    <t>c24</t>
  </si>
  <si>
    <r>
      <t xml:space="preserve">מה מידת התמיכה שלך בכל אחת מן הקואליציות הבאות: </t>
    </r>
    <r>
      <rPr>
        <b/>
        <sz val="11"/>
        <color theme="1"/>
        <rFont val="Calibri"/>
        <family val="2"/>
        <scheme val="minor"/>
      </rPr>
      <t>קדימה-עבודה</t>
    </r>
  </si>
  <si>
    <r>
      <t xml:space="preserve">מה מידת התמיכה שלך בכל אחת מן הקואליציות הבאות: </t>
    </r>
    <r>
      <rPr>
        <b/>
        <sz val="11"/>
        <color theme="1"/>
        <rFont val="Calibri"/>
        <family val="2"/>
        <scheme val="minor"/>
      </rPr>
      <t>קדימה-ליכוד</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</si>
  <si>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</si>
  <si>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מפלגות חרדיות</t>
    </r>
  </si>
  <si>
    <r>
      <t xml:space="preserve">מה מידת התמיכה שלך בכל אחת מן הקואליציות הבאות: </t>
    </r>
    <r>
      <rPr>
        <b/>
        <sz val="11"/>
        <color theme="1"/>
        <rFont val="Calibri"/>
        <family val="2"/>
        <scheme val="minor"/>
      </rPr>
      <t>קדימה-ליכוד</t>
    </r>
    <r>
      <rPr>
        <sz val="11"/>
        <color theme="1"/>
        <rFont val="Calibri"/>
        <family val="2"/>
        <charset val="177"/>
        <scheme val="minor"/>
      </rPr>
      <t>-</t>
    </r>
    <r>
      <rPr>
        <b/>
        <sz val="11"/>
        <color theme="1"/>
        <rFont val="Calibri"/>
        <family val="2"/>
        <scheme val="minor"/>
      </rPr>
      <t>מפלגות ימין</t>
    </r>
  </si>
  <si>
    <r>
      <t xml:space="preserve">מה מידת התמיכה שלך בכל אחת מן הקואליציות הבאות: </t>
    </r>
    <r>
      <rPr>
        <b/>
        <sz val="11"/>
        <color theme="1"/>
        <rFont val="Calibri"/>
        <family val="2"/>
        <scheme val="minor"/>
      </rPr>
      <t>קדימה-עבודה</t>
    </r>
    <r>
      <rPr>
        <sz val="11"/>
        <color theme="1"/>
        <rFont val="Calibri"/>
        <family val="2"/>
        <charset val="177"/>
        <scheme val="minor"/>
      </rPr>
      <t>-</t>
    </r>
    <r>
      <rPr>
        <b/>
        <sz val="11"/>
        <color theme="1"/>
        <rFont val="Calibri"/>
        <family val="2"/>
        <scheme val="minor"/>
      </rPr>
      <t>מרצ</t>
    </r>
  </si>
  <si>
    <r>
      <t xml:space="preserve">מה מידת התמיכה שלך בכל אחת מן הקואליציות הבאות: </t>
    </r>
    <r>
      <rPr>
        <b/>
        <sz val="11"/>
        <color theme="1"/>
        <rFont val="Calibri"/>
        <family val="2"/>
        <scheme val="minor"/>
      </rPr>
      <t>קדימה-עבודה-ליכוד-מפלגות ימין-מפלגות חרדיות (אחדות לאומית)</t>
    </r>
  </si>
  <si>
    <t>c27</t>
  </si>
  <si>
    <t>c30</t>
  </si>
  <si>
    <t>c32</t>
  </si>
  <si>
    <t>c33</t>
  </si>
  <si>
    <t>בסיכומו של דבר, מבין הקואליציות האלה, איזו קואליציה אתה מעדיף?</t>
  </si>
  <si>
    <t>c34</t>
  </si>
  <si>
    <t>c36</t>
  </si>
  <si>
    <t>c38</t>
  </si>
  <si>
    <t>עבור איזו רשימה הצבעת בבחירות הקודמות לכנסת?</t>
  </si>
  <si>
    <t>c40</t>
  </si>
  <si>
    <t>c42</t>
  </si>
  <si>
    <t>c47</t>
  </si>
  <si>
    <t>c48</t>
  </si>
  <si>
    <t>c49</t>
  </si>
  <si>
    <t>c50</t>
  </si>
  <si>
    <t>c43</t>
  </si>
  <si>
    <t>c44</t>
  </si>
  <si>
    <t>c45</t>
  </si>
  <si>
    <t>c46</t>
  </si>
  <si>
    <t>c51</t>
  </si>
  <si>
    <t>c52</t>
  </si>
  <si>
    <t>c53</t>
  </si>
  <si>
    <t>c54</t>
  </si>
  <si>
    <t>c56</t>
  </si>
  <si>
    <t>c57</t>
  </si>
  <si>
    <t>c60</t>
  </si>
  <si>
    <t>באיזו עיר בברה"מ לשעבר גרת לפני שעלית ארצה?</t>
  </si>
  <si>
    <t>c63</t>
  </si>
  <si>
    <t>מה היה הלאום שהיה רשום בפספורט הסובייטי הפנימי שלך?</t>
  </si>
  <si>
    <t>c65</t>
  </si>
  <si>
    <t>לגבי החברים שלך בארץ, היית אומר שהרוב:</t>
  </si>
  <si>
    <t>c67</t>
  </si>
  <si>
    <t>האם היית רוצה לראות מפלגה "רוסית" משתתפת בבחירות האלה?</t>
  </si>
  <si>
    <t>c68</t>
  </si>
  <si>
    <t>c69</t>
  </si>
  <si>
    <t>c72</t>
  </si>
  <si>
    <t>c75</t>
  </si>
  <si>
    <t>c77</t>
  </si>
  <si>
    <t>c78</t>
  </si>
  <si>
    <t>c80</t>
  </si>
  <si>
    <t>c81</t>
  </si>
  <si>
    <t>c82</t>
  </si>
  <si>
    <t>c84</t>
  </si>
  <si>
    <t>c86</t>
  </si>
  <si>
    <t>c87</t>
  </si>
  <si>
    <t>c88</t>
  </si>
  <si>
    <t>c89</t>
  </si>
  <si>
    <t>c90</t>
  </si>
  <si>
    <t>c94</t>
  </si>
  <si>
    <t>d5</t>
  </si>
  <si>
    <t>d6</t>
  </si>
  <si>
    <t>d8</t>
  </si>
  <si>
    <t>d10</t>
  </si>
  <si>
    <t>d11</t>
  </si>
  <si>
    <t>d13</t>
  </si>
  <si>
    <t>d14</t>
  </si>
  <si>
    <r>
      <t xml:space="preserve">בבחירות האחרונות השתתפו הרבה פחות בוחרים מבעבר. עד כמה לדעתך כל סיבה כזאת חשובה או לא חשובה לאלה שלא הלכו להצביע: </t>
    </r>
    <r>
      <rPr>
        <b/>
        <sz val="11"/>
        <color theme="1"/>
        <rFont val="Calibri"/>
        <family val="2"/>
        <scheme val="minor"/>
      </rPr>
      <t>אין הבדל בין המפלגות</t>
    </r>
  </si>
  <si>
    <t>d15</t>
  </si>
  <si>
    <t>d16</t>
  </si>
  <si>
    <t>d17</t>
  </si>
  <si>
    <t>d18</t>
  </si>
  <si>
    <t>d19</t>
  </si>
  <si>
    <t>d20</t>
  </si>
  <si>
    <t>היה ברור מראש מי ינצח</t>
  </si>
  <si>
    <t>הפוליטיקה והפוליטיקאים נמאסו על הציבור</t>
  </si>
  <si>
    <t>הם הרגישו שלא היה להם במי לבחור</t>
  </si>
  <si>
    <t>לא אכפת להם, הם אדישים</t>
  </si>
  <si>
    <t>d21</t>
  </si>
  <si>
    <t>הבחירות היו על המצב הכלכלי והפערים במדינה</t>
  </si>
  <si>
    <t>d23</t>
  </si>
  <si>
    <t>הבחירות היו על תכנית ההתנקות ועתיד ההתנחלויות</t>
  </si>
  <si>
    <t>d24</t>
  </si>
  <si>
    <t>d25</t>
  </si>
  <si>
    <t>הבחירות היו בעיקר על פרשות השחיתות</t>
  </si>
  <si>
    <t>d26</t>
  </si>
  <si>
    <t>הבחירות היו בעיקר מחאה נגד הממסד</t>
  </si>
  <si>
    <t>d27</t>
  </si>
  <si>
    <t>d28</t>
  </si>
  <si>
    <t>בסה"כ לדעתך, על מה היו הבחירות האחרונות בעיקר?</t>
  </si>
  <si>
    <t>האם לדעתך ניתן או לא ניתן לראות בבחירות שהיו, משאל עם על תוכניתו של אולמרט להתנתקות נוספת ביו"ש שאמורה לקבוע את גבולות הפלסטינים?</t>
  </si>
  <si>
    <t>d29</t>
  </si>
  <si>
    <t>d30</t>
  </si>
  <si>
    <t>id1</t>
  </si>
  <si>
    <r>
      <t xml:space="preserve">באיזו מידה אתה מסכים או לא מסכים: </t>
    </r>
    <r>
      <rPr>
        <b/>
        <sz val="11"/>
        <color theme="1"/>
        <rFont val="Calibri"/>
        <family val="2"/>
        <scheme val="minor"/>
      </rPr>
      <t>לבנות גדר הפרדה ביננו לבין הפלסטינים</t>
    </r>
  </si>
  <si>
    <r>
      <t xml:space="preserve">באיזו מידה אתה מסכים או לא מסכים: </t>
    </r>
    <r>
      <rPr>
        <b/>
        <sz val="11"/>
        <color theme="1"/>
        <rFont val="Calibri"/>
        <family val="2"/>
        <scheme val="minor"/>
      </rPr>
      <t>לנהל מו"מ עם הפלסטינים גם אם הטרור ממשיך</t>
    </r>
  </si>
  <si>
    <r>
      <t xml:space="preserve">באיזו מידה אתה מסכים או לא מסכים: </t>
    </r>
    <r>
      <rPr>
        <b/>
        <sz val="11"/>
        <color theme="1"/>
        <rFont val="Calibri"/>
        <family val="2"/>
        <scheme val="minor"/>
      </rPr>
      <t>שישראל תחליט על הגבולות רצויים לה ביו"ש ועזה, ושצה"ל יסוג באופן חד צדדי מגבולות אלו</t>
    </r>
  </si>
  <si>
    <r>
      <t xml:space="preserve">באיזו מידה אתה מסכים או לא מסכים: </t>
    </r>
    <r>
      <rPr>
        <b/>
        <sz val="11"/>
        <color theme="1"/>
        <rFont val="Calibri"/>
        <family val="2"/>
        <scheme val="minor"/>
      </rPr>
      <t>לפנות התנחלויות במסגרת הסדר קבע, פרט לגושי ההתיישבות הגדולים</t>
    </r>
  </si>
  <si>
    <r>
      <t xml:space="preserve">באיזו מידה אתה מסכים או לא מסכים: </t>
    </r>
    <r>
      <rPr>
        <b/>
        <sz val="11"/>
        <color theme="1"/>
        <rFont val="Calibri"/>
        <family val="2"/>
        <scheme val="minor"/>
      </rPr>
      <t>לטרנספר של ערביי השטחים</t>
    </r>
  </si>
  <si>
    <r>
      <t xml:space="preserve">באיזו מידה אתה מסכים או לא מסכים: </t>
    </r>
    <r>
      <rPr>
        <b/>
        <sz val="11"/>
        <color theme="1"/>
        <rFont val="Calibri"/>
        <family val="2"/>
        <scheme val="minor"/>
      </rPr>
      <t>לטרנספר של ערבים אזרחי ישראל</t>
    </r>
  </si>
  <si>
    <r>
      <t xml:space="preserve">מה יחסך לכל אחת מהמפלגות הבאות? </t>
    </r>
    <r>
      <rPr>
        <b/>
        <sz val="11"/>
        <color theme="1"/>
        <rFont val="Calibri"/>
        <family val="2"/>
        <scheme val="minor"/>
      </rPr>
      <t>הבית היהודי/מפד"ל</t>
    </r>
  </si>
  <si>
    <r>
      <t xml:space="preserve">מה יחסך לכל אחת מן המפלגות הבאות? </t>
    </r>
    <r>
      <rPr>
        <b/>
        <sz val="11"/>
        <color theme="1"/>
        <rFont val="Calibri"/>
        <family val="2"/>
        <scheme val="minor"/>
      </rPr>
      <t>שינוי</t>
    </r>
  </si>
  <si>
    <r>
      <t xml:space="preserve">מה יחסך לכל אחת מן המפלגות הבאות? </t>
    </r>
    <r>
      <rPr>
        <b/>
        <sz val="11"/>
        <color theme="1"/>
        <rFont val="Calibri"/>
        <family val="2"/>
        <scheme val="minor"/>
      </rPr>
      <t>ישראל בעליה</t>
    </r>
  </si>
  <si>
    <r>
      <t xml:space="preserve">ועל אותו סולם, מה יחסך לאישים הבאים? </t>
    </r>
    <r>
      <rPr>
        <b/>
        <sz val="11"/>
        <color theme="1"/>
        <rFont val="Calibri"/>
        <family val="2"/>
        <scheme val="minor"/>
      </rPr>
      <t>עמרם מצנע</t>
    </r>
  </si>
  <si>
    <r>
      <t xml:space="preserve">על סולם 1-10, עד כמה אתה קרוב או רחוק בנושאי שלום ובטחון מהמפלגה הבאה: </t>
    </r>
    <r>
      <rPr>
        <b/>
        <sz val="11"/>
        <color theme="1"/>
        <rFont val="Calibri"/>
        <family val="2"/>
        <scheme val="minor"/>
      </rPr>
      <t>העבודה</t>
    </r>
  </si>
  <si>
    <r>
      <t xml:space="preserve">על סולם 1-10, עד כמה אתה קרוב או רחוק בנושאי שלום ובטחון מהמפלגה הבאה: </t>
    </r>
    <r>
      <rPr>
        <b/>
        <sz val="11"/>
        <color theme="1"/>
        <rFont val="Calibri"/>
        <family val="2"/>
        <scheme val="minor"/>
      </rPr>
      <t>הליכוד</t>
    </r>
  </si>
  <si>
    <r>
      <t xml:space="preserve">על סולם 1-10, עד כמה אתה קרוב או רחוק בנושאי שלום ובטחון מהמפלגה הבאה: </t>
    </r>
    <r>
      <rPr>
        <b/>
        <sz val="11"/>
        <color theme="1"/>
        <rFont val="Calibri"/>
        <family val="2"/>
        <scheme val="minor"/>
      </rPr>
      <t>שינוי</t>
    </r>
  </si>
  <si>
    <r>
      <t xml:space="preserve">על סולם 1-10, עד כמה את קרוב או רחוק בנושאי כלכלה-חברה מהמפלגות הבאות: </t>
    </r>
    <r>
      <rPr>
        <b/>
        <sz val="11"/>
        <color theme="1"/>
        <rFont val="Calibri"/>
        <family val="2"/>
        <scheme val="minor"/>
      </rPr>
      <t>העבודה</t>
    </r>
  </si>
  <si>
    <r>
      <t xml:space="preserve">על סולם 1-10, עד כמה את קרוב או רחוק בנושאי כלכלה-חברה מהמפלגות הבאות: </t>
    </r>
    <r>
      <rPr>
        <b/>
        <sz val="11"/>
        <color theme="1"/>
        <rFont val="Calibri"/>
        <family val="2"/>
        <scheme val="minor"/>
      </rPr>
      <t>הליכוד</t>
    </r>
  </si>
  <si>
    <r>
      <t xml:space="preserve">על סולם 1-10, עד כמה את קרוב או רחוק בנושאי כלכלה-חברה מהמפלגות הבאות: </t>
    </r>
    <r>
      <rPr>
        <b/>
        <sz val="11"/>
        <color theme="1"/>
        <rFont val="Calibri"/>
        <family val="2"/>
        <scheme val="minor"/>
      </rPr>
      <t>שינוי</t>
    </r>
  </si>
  <si>
    <r>
      <t xml:space="preserve">על סולם 1-10, כד כמה אתה קרוב או רחוק בנושאי דת ומדינה מהמפלגות הבאות: </t>
    </r>
    <r>
      <rPr>
        <b/>
        <sz val="11"/>
        <color theme="1"/>
        <rFont val="Calibri"/>
        <family val="2"/>
        <scheme val="minor"/>
      </rPr>
      <t>העבודה</t>
    </r>
  </si>
  <si>
    <r>
      <t xml:space="preserve">על סולם 1-10, כד כמה אתה קרוב או רחוק בנושאי דת ומדינה מהמפלגות הבאות: </t>
    </r>
    <r>
      <rPr>
        <b/>
        <sz val="11"/>
        <color theme="1"/>
        <rFont val="Calibri"/>
        <family val="2"/>
        <scheme val="minor"/>
      </rPr>
      <t>הליכוד</t>
    </r>
  </si>
  <si>
    <r>
      <t xml:space="preserve">על סולם 1-10, כד כמה אתה קרוב או רחוק בנושאי דת ומדינה מהמפלגות הבאות: </t>
    </r>
    <r>
      <rPr>
        <b/>
        <sz val="11"/>
        <color theme="1"/>
        <rFont val="Calibri"/>
        <family val="2"/>
        <scheme val="minor"/>
      </rPr>
      <t>שינוי</t>
    </r>
  </si>
  <si>
    <t>a52</t>
  </si>
  <si>
    <t>a67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</si>
  <si>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שתוכל להביא להפרדה בין ישראל והפלסטינים</t>
    </r>
  </si>
  <si>
    <t>b10</t>
  </si>
  <si>
    <r>
      <t xml:space="preserve">לדעתך, מה הסיכוי שהמפלגה הבאה תהיה בקואליציה: </t>
    </r>
    <r>
      <rPr>
        <b/>
        <sz val="11"/>
        <color theme="1"/>
        <rFont val="Calibri"/>
        <family val="2"/>
        <scheme val="minor"/>
      </rPr>
      <t>מרצ</t>
    </r>
  </si>
  <si>
    <r>
      <t xml:space="preserve">לדעתך, מה הסיכוי שהמפלגה הבאה תהיה בקואליציה: </t>
    </r>
    <r>
      <rPr>
        <b/>
        <sz val="11"/>
        <color theme="1"/>
        <rFont val="Calibri"/>
        <family val="2"/>
        <scheme val="minor"/>
      </rPr>
      <t>מפד"ל</t>
    </r>
  </si>
  <si>
    <r>
      <t xml:space="preserve">לדעתך, מה הסיכוי שהמפלגה הבאה תהיה בקואליציה: </t>
    </r>
    <r>
      <rPr>
        <b/>
        <sz val="11"/>
        <color theme="1"/>
        <rFont val="Calibri"/>
        <family val="2"/>
        <scheme val="minor"/>
      </rPr>
      <t>שינוי</t>
    </r>
  </si>
  <si>
    <r>
      <t xml:space="preserve">לדעתך, מה הסיכוי שהמפלגה הבאה תהיה בקואליציה: </t>
    </r>
    <r>
      <rPr>
        <b/>
        <sz val="11"/>
        <color theme="1"/>
        <rFont val="Calibri"/>
        <family val="2"/>
        <scheme val="minor"/>
      </rPr>
      <t>איחוד לאומי</t>
    </r>
  </si>
  <si>
    <r>
      <t xml:space="preserve">לדעתך, מה הסיכוי שהמפלגה הבאה תהיה בקואליציה: </t>
    </r>
    <r>
      <rPr>
        <b/>
        <sz val="11"/>
        <color theme="1"/>
        <rFont val="Calibri"/>
        <family val="2"/>
        <scheme val="minor"/>
      </rPr>
      <t>ש"ס</t>
    </r>
  </si>
  <si>
    <r>
      <t xml:space="preserve">לדעתך, מה הסיכוי שהמפלגה הבאה תהיה בקואליציה: </t>
    </r>
    <r>
      <rPr>
        <b/>
        <sz val="11"/>
        <color theme="1"/>
        <rFont val="Calibri"/>
        <family val="2"/>
        <scheme val="minor"/>
      </rPr>
      <t>ישראל בעליה</t>
    </r>
  </si>
  <si>
    <t>b16</t>
  </si>
  <si>
    <t>b22</t>
  </si>
  <si>
    <r>
      <t xml:space="preserve">לדעתך, כמה חברי כנסת יהיו למפלגה הבאה: </t>
    </r>
    <r>
      <rPr>
        <b/>
        <sz val="11"/>
        <color theme="1"/>
        <rFont val="Calibri"/>
        <family val="2"/>
        <scheme val="minor"/>
      </rPr>
      <t>מרצ</t>
    </r>
  </si>
  <si>
    <r>
      <t xml:space="preserve">לדעתך, כמה חברי כנסת יהיו למפלגה הבאה: </t>
    </r>
    <r>
      <rPr>
        <b/>
        <sz val="11"/>
        <color theme="1"/>
        <rFont val="Calibri"/>
        <family val="2"/>
        <scheme val="minor"/>
      </rPr>
      <t>מפד"ל</t>
    </r>
  </si>
  <si>
    <r>
      <t xml:space="preserve">לדעתך, כמה חברי כנסת יהיו למפלגה הבאה: </t>
    </r>
    <r>
      <rPr>
        <b/>
        <sz val="11"/>
        <color theme="1"/>
        <rFont val="Calibri"/>
        <family val="2"/>
        <scheme val="minor"/>
      </rPr>
      <t>שינוי</t>
    </r>
  </si>
  <si>
    <r>
      <t xml:space="preserve">לדעתך, כמה חברי כנסת יהיו למפלגה הבאה: </t>
    </r>
    <r>
      <rPr>
        <b/>
        <sz val="11"/>
        <color theme="1"/>
        <rFont val="Calibri"/>
        <family val="2"/>
        <scheme val="minor"/>
      </rPr>
      <t>איחוד לאומי</t>
    </r>
  </si>
  <si>
    <r>
      <t xml:space="preserve">לדעתך, כמה חברי כנסת יהיו למפלגה הבאה: </t>
    </r>
    <r>
      <rPr>
        <b/>
        <sz val="11"/>
        <color theme="1"/>
        <rFont val="Calibri"/>
        <family val="2"/>
        <scheme val="minor"/>
      </rPr>
      <t>ש"ס</t>
    </r>
  </si>
  <si>
    <r>
      <t xml:space="preserve">לדעתך, כמה חברי כנסת יהיו למפלגה הבאה: </t>
    </r>
    <r>
      <rPr>
        <b/>
        <sz val="11"/>
        <color theme="1"/>
        <rFont val="Calibri"/>
        <family val="2"/>
        <scheme val="minor"/>
      </rPr>
      <t>ישראל בעליה</t>
    </r>
  </si>
  <si>
    <r>
      <t xml:space="preserve">הסיכויים לקואליציות שונות לאחר הבחירות: </t>
    </r>
    <r>
      <rPr>
        <b/>
        <sz val="11"/>
        <color theme="1"/>
        <rFont val="Calibri"/>
        <family val="2"/>
        <scheme val="minor"/>
      </rPr>
      <t>ליכוד-ימין-דתיים</t>
    </r>
  </si>
  <si>
    <r>
      <t xml:space="preserve">הסיכויים לקואליציות שונות לאחר הבחירות: </t>
    </r>
    <r>
      <rPr>
        <b/>
        <sz val="11"/>
        <color theme="1"/>
        <rFont val="Calibri"/>
        <family val="2"/>
        <scheme val="minor"/>
      </rPr>
      <t>ליכוד-עבודה-שינוי (בלי חרדים)</t>
    </r>
  </si>
  <si>
    <r>
      <t xml:space="preserve">הסיכויים לקואליציות שונות לאחר הבחירות: </t>
    </r>
    <r>
      <rPr>
        <b/>
        <sz val="11"/>
        <color theme="1"/>
        <rFont val="Calibri"/>
        <family val="2"/>
        <scheme val="minor"/>
      </rPr>
      <t>עבודה-מרצ-ערבים</t>
    </r>
  </si>
  <si>
    <t>b50</t>
  </si>
  <si>
    <r>
      <t xml:space="preserve">מה מידת התמיכה שלך בכל אחת מן הקואליציות הבאות: </t>
    </r>
    <r>
      <rPr>
        <b/>
        <sz val="11"/>
        <color theme="1"/>
        <rFont val="Calibri"/>
        <family val="2"/>
        <scheme val="minor"/>
      </rPr>
      <t>ליכוד-ימין-דתיים</t>
    </r>
  </si>
  <si>
    <r>
      <t xml:space="preserve">מה מידת התמיכה שלך בכל אחת מן הקואליציות הבאות: </t>
    </r>
    <r>
      <rPr>
        <b/>
        <sz val="11"/>
        <color theme="1"/>
        <rFont val="Calibri"/>
        <family val="2"/>
        <scheme val="minor"/>
      </rPr>
      <t>ליכוד-עבודה-שינוי</t>
    </r>
  </si>
  <si>
    <r>
      <t xml:space="preserve">מה מידת התמיכה שלך בכל אחת מן הקואליציות הבאות: </t>
    </r>
    <r>
      <rPr>
        <b/>
        <sz val="11"/>
        <color theme="1"/>
        <rFont val="Calibri"/>
        <family val="2"/>
        <scheme val="minor"/>
      </rPr>
      <t>עבודה-מרצ-ערבים</t>
    </r>
  </si>
  <si>
    <t>b65</t>
  </si>
  <si>
    <t>עבור מי הצבעת לראשות הממשלה ב-1999?</t>
  </si>
  <si>
    <t>b68</t>
  </si>
  <si>
    <t>b74</t>
  </si>
  <si>
    <t>b76</t>
  </si>
  <si>
    <t>b77</t>
  </si>
  <si>
    <t>b79</t>
  </si>
  <si>
    <t>b82</t>
  </si>
  <si>
    <t>b85</t>
  </si>
  <si>
    <t>b86</t>
  </si>
  <si>
    <t>b88</t>
  </si>
  <si>
    <t>b90</t>
  </si>
  <si>
    <t>b99</t>
  </si>
  <si>
    <t>a1</t>
  </si>
  <si>
    <t>האם לדעתך מצב הבטחון האישי של תושבי ישראל הוא היום טוב יותר או רע יותר מאשר לפני שהתחיל תהליך השלום?</t>
  </si>
  <si>
    <r>
      <t xml:space="preserve">באיזוד מידה אתה תומך או מתנגד לוויתורים הישראלים הבאים, במסגרת הסכם השלום עם הפלסטינים שהציע הנשיא קלינטון: </t>
    </r>
    <r>
      <rPr>
        <b/>
        <sz val="11"/>
        <color theme="1"/>
        <rFont val="Calibri"/>
        <family val="2"/>
        <scheme val="minor"/>
      </rPr>
      <t>תקום מדינה פלסטינית על 95% מהגדה והרצועה, וישראל תשמור על גושי ההתנחלויות</t>
    </r>
  </si>
  <si>
    <t>ישראל תעביר לפלסטינים את השכונות הערביות בירושלים</t>
  </si>
  <si>
    <t>הר הבית יימסר לשליטה פלסטינית והכותל ישאר בידי ישראל</t>
  </si>
  <si>
    <t>מספר מוגבל של פליטים פלסטינים יוכלו לחזור לישראל</t>
  </si>
  <si>
    <t>ישראל תוותר על השליטה בבקעת הירדן תומך מספר שנים</t>
  </si>
  <si>
    <t>בסופו של דבר, האם אתה תומך או מתנגד להסכם עם הפלסטינים שיכלול הקמת מדינה פלסטינית על 95% מהשטחים, כאשר גושי ההתנחלויות נשארים בידי ישראל; העברת שכונות ערביות בירושלים לפלסטינים,ויתור על הריבונות בהר הבית, לא כולל הכותל, חזרה של מספר מוגבל של פליטים פלסטינים לישראל, והכרזה על סיום התביעות בין הצדדים?</t>
  </si>
  <si>
    <t>איזו דעה תתחזק בקרב הציבור לדעתך? האם בשבועות הקרובים יגדל מספר האנשים המוכנים לתמוך בהסכם, או שיגדל מספר האנשים שאינם מוכנים לתמוך בהסכם?</t>
  </si>
  <si>
    <r>
      <t xml:space="preserve">בתקופה האחרונה נשמעות בתקשרות סיבות שונות מדוע צריך לתמוך או לא לתמוך בהסדר שהציע קלינטון. אשאל קודם על הסיבות לתמוך בהסדר, עד כמה כל אחת מהסיבות הבאות מדוע יש לתמוך בהסדר נשמעת לך משכנעת: </t>
    </r>
    <r>
      <rPr>
        <b/>
        <sz val="11"/>
        <color theme="1"/>
        <rFont val="Calibri"/>
        <family val="2"/>
        <scheme val="minor"/>
      </rPr>
      <t>אם לא נגיע כעת להסכם שלום עם הפלסטינים תפרוץ מלחמה</t>
    </r>
  </si>
  <si>
    <t>הסכם שלום יתן יותר בטחון מאשר החזקת השטחים</t>
  </si>
  <si>
    <t>שלום יחזק את מעמדה הבינ"ל של ישראל</t>
  </si>
  <si>
    <t>שלום יחזק את ישראל מבחינה כלכלית</t>
  </si>
  <si>
    <t>ההסכם יביא לסיום הסכסוך והתביעות של הפלסטינים והעולם הערבי מאיתנו</t>
  </si>
  <si>
    <r>
      <t xml:space="preserve">ועד כמה כל אחת מהסיבות הבאות מדוע אסור לתמוך בהסדר נשמעת לך משכנעת: </t>
    </r>
    <r>
      <rPr>
        <b/>
        <sz val="11"/>
        <color theme="1"/>
        <rFont val="Calibri"/>
        <family val="2"/>
        <scheme val="minor"/>
      </rPr>
      <t>השטחים הם נכס בטחוני שאסור לוותר עליו בשום מצב</t>
    </r>
  </si>
  <si>
    <t>ערבים לא מקיימים הסכמים</t>
  </si>
  <si>
    <t>אסור לעקור את המתנחלים מביתם אחרי שהמדינה שלחה אותם לשם</t>
  </si>
  <si>
    <t>אפשר להשיג הסכם טוב יותר</t>
  </si>
  <si>
    <t>ירושלים והר הבית קדושים לעם היהודי ואין לוותר עליה</t>
  </si>
  <si>
    <t>ומבין כל הסיבות הללו, איזו נשמעת לך הכי משכנעת?</t>
  </si>
  <si>
    <r>
      <t xml:space="preserve">ועל אותו סולם, מה יחסך לאישים הבאים? </t>
    </r>
    <r>
      <rPr>
        <b/>
        <sz val="11"/>
        <color theme="1"/>
        <rFont val="Calibri"/>
        <family val="2"/>
        <scheme val="minor"/>
      </rPr>
      <t>ערפאת</t>
    </r>
  </si>
  <si>
    <t>האם אתה חושב שבהחלטות גורליות למדינה כמו החזרת שטחים צריכים להשתתף רק יהודים או גם ערבים אזרחי ישראל?</t>
  </si>
  <si>
    <r>
      <t xml:space="preserve">האם </t>
    </r>
    <r>
      <rPr>
        <b/>
        <sz val="11"/>
        <color theme="1"/>
        <rFont val="Calibri"/>
        <family val="2"/>
        <scheme val="minor"/>
      </rPr>
      <t>שרון</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</si>
  <si>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</si>
  <si>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</si>
  <si>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שרון</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</si>
  <si>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ברק</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</si>
  <si>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</si>
  <si>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</si>
  <si>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ברק</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</si>
  <si>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פרס</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</si>
  <si>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</si>
  <si>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</si>
  <si>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פרס</t>
    </r>
    <r>
      <rPr>
        <sz val="11"/>
        <color theme="1"/>
        <rFont val="Calibri"/>
        <family val="2"/>
        <charset val="177"/>
        <scheme val="minor"/>
      </rPr>
      <t xml:space="preserve"> גורם לך להרגיש </t>
    </r>
    <r>
      <rPr>
        <b/>
        <sz val="11"/>
        <color theme="1"/>
        <rFont val="Calibri"/>
        <family val="2"/>
        <scheme val="minor"/>
      </rPr>
      <t>תקווה</t>
    </r>
  </si>
  <si>
    <t>יש אנשים שאומרים שלא חושב עבור מי מצביעים כי זה לא משנה את המצב. מה דעתך?</t>
  </si>
  <si>
    <r>
      <t xml:space="preserve">האם </t>
    </r>
    <r>
      <rPr>
        <b/>
        <sz val="11"/>
        <color theme="1"/>
        <rFont val="Calibri"/>
        <family val="2"/>
        <scheme val="minor"/>
      </rPr>
      <t>"יעמוד במצבי לחץ"</t>
    </r>
    <r>
      <rPr>
        <sz val="11"/>
        <color theme="1"/>
        <rFont val="Calibri"/>
        <family val="2"/>
        <charset val="177"/>
        <scheme val="minor"/>
      </rPr>
      <t xml:space="preserve"> מתאים יותר ל:</t>
    </r>
  </si>
  <si>
    <t>אילו היה עוצר אותך ברחוב עיתנואי של הטלוויזיה עם מצלמה ומיקרופון כדי לראיין אותך לכתבה על ההסכם בין ישראל לפלסטינים - כתבה שתשודר בחדשות הערב בטלוויזיה, האם היית מוכן לפרט לו את דעותיך בנושא זה או לא?</t>
  </si>
  <si>
    <t>b8</t>
  </si>
  <si>
    <t>b83</t>
  </si>
  <si>
    <t>האם אתה עוקב אחרי הסקרים המתפרסמים לגבי הבחירות?</t>
  </si>
  <si>
    <t>b9</t>
  </si>
  <si>
    <t>באיזו מידה אתה מאמין לסקרים אלו?</t>
  </si>
  <si>
    <t>האם לדעתך הבחירה הישירה לראש הממשלה מביאה לשיטת ממשל טובה יותר או גרועה יותר למדינה?</t>
  </si>
  <si>
    <t>b12</t>
  </si>
  <si>
    <t>באיזו מידה אתה תומך או מתנגד לצירוף של שרים מטעם מפלגות ערביות לממשלה?</t>
  </si>
  <si>
    <t>b14</t>
  </si>
  <si>
    <t>חוק בחירה ישירה - לו הבחירות לראשות הממשלה היו נערכות היום, עבור מי היית מצביע?</t>
  </si>
  <si>
    <t>מי לדעתך ינצח?</t>
  </si>
  <si>
    <t>אם ברק לא יתמודד לראשות הממשלה, והמתמודדים יהיו שרון ופרס, במי היית בוחר?</t>
  </si>
  <si>
    <t>b20</t>
  </si>
  <si>
    <t>עבור מי הצבעת לראשות הממשלה בבחירות הקודמות?</t>
  </si>
  <si>
    <t>b24</t>
  </si>
  <si>
    <t>האם נולדת באחת מארצות ברה"מ ועלית ארצה אחרי 1988?</t>
  </si>
  <si>
    <t>האם במהלך שירות סדיר או מילואים שירתת בשטחים?</t>
  </si>
  <si>
    <t>שפה</t>
  </si>
  <si>
    <t>v1</t>
  </si>
  <si>
    <t>v3</t>
  </si>
  <si>
    <t>v4</t>
  </si>
  <si>
    <t>מי מהמועמדים לראשות הממשלה יוכל לטפל טוב יותר בבעיה?</t>
  </si>
  <si>
    <t>האם לדעתך הסכנה של עימות עם העולם הערבי גדלה או קטנה לעומת התקופה לפני תהליך השלום?</t>
  </si>
  <si>
    <t>מאז שהממשלה בראשותו של בנימין נתניהו בשלטון, האם הסכנה של עימות עם העולם הערבי גדלה או קטנה בהשוואה לתקופת הממשלות של רבין ופרס אחרי חתימת הסכמי אוסלו?</t>
  </si>
  <si>
    <r>
      <t xml:space="preserve">באיזו מידה אתה מסכים או לא מסכים עם המשפטים הבאים: </t>
    </r>
    <r>
      <rPr>
        <b/>
        <sz val="11"/>
        <color theme="1"/>
        <rFont val="Calibri"/>
        <family val="2"/>
        <scheme val="minor"/>
      </rPr>
      <t>יש להפריד את הדת מהמדינה</t>
    </r>
  </si>
  <si>
    <t>האם אתה תומך או מתנגד בהסכמי אוסלו?</t>
  </si>
  <si>
    <t>מאז שהממשלה בראשותו של בנימין נתניהו בשלטון, האם לדעתך מצב הבטחון האישי של תושבי ישראל הוא טוב יותר או רע יותר מאשר בתקופת הממשלות של רבין ופרס אחרי חתימת הסכמי אוסלו?</t>
  </si>
  <si>
    <t>מבלי להתחשב בדעתך האישית, האם להערכתך במשך 10 השנים הבאות תקום או לא תקום מדינה פלסטינית ביו"ש?</t>
  </si>
  <si>
    <r>
      <t xml:space="preserve">מה מידת האמון שיש לך ב: </t>
    </r>
    <r>
      <rPr>
        <b/>
        <sz val="11"/>
        <color theme="1"/>
        <rFont val="Calibri"/>
        <family val="2"/>
        <scheme val="minor"/>
      </rPr>
      <t>המפלגות</t>
    </r>
  </si>
  <si>
    <r>
      <t xml:space="preserve">מה מידת האמון שיש לך ב: </t>
    </r>
    <r>
      <rPr>
        <b/>
        <sz val="11"/>
        <color theme="1"/>
        <rFont val="Calibri"/>
        <family val="2"/>
        <scheme val="minor"/>
      </rPr>
      <t>ראש הממשלה</t>
    </r>
  </si>
  <si>
    <r>
      <t xml:space="preserve">מה מידת האמון שיש לך ב: </t>
    </r>
    <r>
      <rPr>
        <b/>
        <sz val="11"/>
        <color theme="1"/>
        <rFont val="Calibri"/>
        <family val="2"/>
        <scheme val="minor"/>
      </rPr>
      <t>התקשורת</t>
    </r>
  </si>
  <si>
    <r>
      <t xml:space="preserve">מה מידת האמון שיש לך ב: </t>
    </r>
    <r>
      <rPr>
        <b/>
        <sz val="11"/>
        <color theme="1"/>
        <rFont val="Calibri"/>
        <family val="2"/>
        <scheme val="minor"/>
      </rPr>
      <t>פרקליטות המדינה</t>
    </r>
  </si>
  <si>
    <r>
      <t xml:space="preserve">מה מידת האמון שיש לך ב: </t>
    </r>
    <r>
      <rPr>
        <b/>
        <sz val="11"/>
        <color theme="1"/>
        <rFont val="Calibri"/>
        <family val="2"/>
        <scheme val="minor"/>
      </rPr>
      <t>המשטרה</t>
    </r>
  </si>
  <si>
    <t>מה לגבי אופי הדיון הציבורי בימים אלה? באיזו מידה אתה מרוצה או לא מרוצה ממנו</t>
  </si>
  <si>
    <t>ומה הרביעי בחשיבותו?</t>
  </si>
  <si>
    <r>
      <t xml:space="preserve">מה יחסך לכל אחת מן המפלגות הבאות? </t>
    </r>
    <r>
      <rPr>
        <b/>
        <sz val="11"/>
        <color theme="1"/>
        <rFont val="Calibri"/>
        <family val="2"/>
        <scheme val="minor"/>
      </rPr>
      <t>מפלגת המרכז</t>
    </r>
  </si>
  <si>
    <r>
      <t xml:space="preserve">ועל אותו סולם, מה יחסך לאישים הבאים? </t>
    </r>
    <r>
      <rPr>
        <b/>
        <sz val="11"/>
        <color theme="1"/>
        <rFont val="Calibri"/>
        <family val="2"/>
        <scheme val="minor"/>
      </rPr>
      <t>בני בגין</t>
    </r>
  </si>
  <si>
    <r>
      <t xml:space="preserve">ועל אותו סולם, מה יחסך לאישים הבאים? </t>
    </r>
    <r>
      <rPr>
        <b/>
        <sz val="11"/>
        <color theme="1"/>
        <rFont val="Calibri"/>
        <family val="2"/>
        <scheme val="minor"/>
      </rPr>
      <t>איציק מרדכי</t>
    </r>
  </si>
  <si>
    <r>
      <t xml:space="preserve">ועל אותו סולם, מה יחסך לאישים הבאים? </t>
    </r>
    <r>
      <rPr>
        <b/>
        <sz val="11"/>
        <color theme="1"/>
        <rFont val="Calibri"/>
        <family val="2"/>
        <scheme val="minor"/>
      </rPr>
      <t>עזמי בשארה</t>
    </r>
  </si>
  <si>
    <r>
      <t xml:space="preserve">מה יחסך לכל אחת מן המפלגות הבאות? </t>
    </r>
    <r>
      <rPr>
        <b/>
        <sz val="11"/>
        <color theme="1"/>
        <rFont val="Calibri"/>
        <family val="2"/>
        <scheme val="minor"/>
      </rPr>
      <t>ישראל אחת</t>
    </r>
  </si>
  <si>
    <r>
      <t>מה יחסך ל</t>
    </r>
    <r>
      <rPr>
        <b/>
        <sz val="11"/>
        <color theme="1"/>
        <rFont val="Calibri"/>
        <family val="2"/>
        <scheme val="minor"/>
      </rPr>
      <t>חרדים</t>
    </r>
    <r>
      <rPr>
        <sz val="11"/>
        <color theme="1"/>
        <rFont val="Calibri"/>
        <family val="2"/>
        <charset val="177"/>
        <scheme val="minor"/>
      </rPr>
      <t>?</t>
    </r>
  </si>
  <si>
    <r>
      <t>מה יחסך ל</t>
    </r>
    <r>
      <rPr>
        <b/>
        <sz val="11"/>
        <color theme="1"/>
        <rFont val="Calibri"/>
        <family val="2"/>
        <scheme val="minor"/>
      </rPr>
      <t>דתיים</t>
    </r>
    <r>
      <rPr>
        <sz val="11"/>
        <color theme="1"/>
        <rFont val="Calibri"/>
        <family val="2"/>
        <charset val="177"/>
        <scheme val="minor"/>
      </rPr>
      <t>?</t>
    </r>
  </si>
  <si>
    <r>
      <t>מה יחסך ל</t>
    </r>
    <r>
      <rPr>
        <b/>
        <sz val="11"/>
        <color theme="1"/>
        <rFont val="Calibri"/>
        <family val="2"/>
        <scheme val="minor"/>
      </rPr>
      <t>ערבים</t>
    </r>
    <r>
      <rPr>
        <sz val="11"/>
        <color theme="1"/>
        <rFont val="Calibri"/>
        <family val="2"/>
        <charset val="177"/>
        <scheme val="minor"/>
      </rPr>
      <t>?</t>
    </r>
  </si>
  <si>
    <t>יש גורמים שונים בגללם אנשים מצביעים למועמד מסויים לראשות הממשלה ולא לאחר. מבין הגורמים הבאים, מהו הגורם העיקרי המשפיע עליך להצביע למועמד שלך?</t>
  </si>
  <si>
    <t>אם סמוך לבחירות יתברר לך כי המועמד למועדף עליך לראשות הממשלה אין סיכוי לנצח, האם תשנה את הצבעתך?</t>
  </si>
  <si>
    <t>מי לדעתך יעלה לסיבוב השני?</t>
  </si>
  <si>
    <r>
      <t xml:space="preserve">על סולם 1-10, עד כמה אתה קרוב או רחוק בנושאי שלום ובטחון מ: </t>
    </r>
    <r>
      <rPr>
        <b/>
        <sz val="11"/>
        <color theme="1"/>
        <rFont val="Calibri"/>
        <family val="2"/>
        <scheme val="minor"/>
      </rPr>
      <t>בנימין נתניהו</t>
    </r>
  </si>
  <si>
    <r>
      <t xml:space="preserve">על סולם 1-10, עד כמה אתה קרוב או רחוק בנושאי שלום ובטחון מ: </t>
    </r>
    <r>
      <rPr>
        <b/>
        <sz val="11"/>
        <color theme="1"/>
        <rFont val="Calibri"/>
        <family val="2"/>
        <scheme val="minor"/>
      </rPr>
      <t>אהוד ברק</t>
    </r>
  </si>
  <si>
    <r>
      <t xml:space="preserve">על סולם 1-10, עד כמה אתה קרוב או רחוק בנושאי שלום ובטחון מ: </t>
    </r>
    <r>
      <rPr>
        <b/>
        <sz val="11"/>
        <color theme="1"/>
        <rFont val="Calibri"/>
        <family val="2"/>
        <scheme val="minor"/>
      </rPr>
      <t>איציק מרדכי</t>
    </r>
  </si>
  <si>
    <r>
      <t xml:space="preserve">על סולם 1-10, עד כמה אתה קרוב או רחוק בנושאי שלום ובטחון מ: </t>
    </r>
    <r>
      <rPr>
        <b/>
        <sz val="11"/>
        <color theme="1"/>
        <rFont val="Calibri"/>
        <family val="2"/>
        <scheme val="minor"/>
      </rPr>
      <t>בני בגין</t>
    </r>
  </si>
  <si>
    <r>
      <t xml:space="preserve">על סולם 1-10, עד כמה אתה קרוב או רחוק בנושאי שלום ובטחון מ: </t>
    </r>
    <r>
      <rPr>
        <b/>
        <sz val="11"/>
        <color theme="1"/>
        <rFont val="Calibri"/>
        <family val="2"/>
        <scheme val="minor"/>
      </rPr>
      <t>עזמי בשארה</t>
    </r>
  </si>
  <si>
    <r>
      <t xml:space="preserve">על סולם 1-10, עד כמה אתה קרוב או רחוק בנושאי כלכלה-חברה מ: </t>
    </r>
    <r>
      <rPr>
        <b/>
        <sz val="11"/>
        <color theme="1"/>
        <rFont val="Calibri"/>
        <family val="2"/>
        <scheme val="minor"/>
      </rPr>
      <t>בנימין נתניהו</t>
    </r>
  </si>
  <si>
    <r>
      <t xml:space="preserve">על סולם 1-10, עד כמה אתה קרוב או רחוק בנושאי כלכלה-חברה מ: </t>
    </r>
    <r>
      <rPr>
        <b/>
        <sz val="11"/>
        <color theme="1"/>
        <rFont val="Calibri"/>
        <family val="2"/>
        <scheme val="minor"/>
      </rPr>
      <t>אהוד ברק</t>
    </r>
  </si>
  <si>
    <r>
      <t xml:space="preserve">על סולם 1-10, עד כמה אתה קרוב או רחוק בנושאי כלכלה-חברה מ: </t>
    </r>
    <r>
      <rPr>
        <b/>
        <sz val="11"/>
        <color theme="1"/>
        <rFont val="Calibri"/>
        <family val="2"/>
        <scheme val="minor"/>
      </rPr>
      <t>איציק מרדכי</t>
    </r>
  </si>
  <si>
    <r>
      <t xml:space="preserve">על סולם 1-10, עד כמה אתה קרוב או רחוק בנושאי כלכלה-חברה מ: </t>
    </r>
    <r>
      <rPr>
        <b/>
        <sz val="11"/>
        <color theme="1"/>
        <rFont val="Calibri"/>
        <family val="2"/>
        <scheme val="minor"/>
      </rPr>
      <t>בני בגין</t>
    </r>
  </si>
  <si>
    <r>
      <t xml:space="preserve">על סולם 1-10, עד כמה אתה קרוב או רחוק בנושאי כלכלה-חברה מ: </t>
    </r>
    <r>
      <rPr>
        <b/>
        <sz val="11"/>
        <color theme="1"/>
        <rFont val="Calibri"/>
        <family val="2"/>
        <scheme val="minor"/>
      </rPr>
      <t>עזמי בשארה</t>
    </r>
  </si>
  <si>
    <t>i3</t>
  </si>
  <si>
    <t>i4</t>
  </si>
  <si>
    <t>i5</t>
  </si>
  <si>
    <t>i6</t>
  </si>
  <si>
    <r>
      <t xml:space="preserve">האם </t>
    </r>
    <r>
      <rPr>
        <b/>
        <sz val="11"/>
        <color theme="1"/>
        <rFont val="Calibri"/>
        <family val="2"/>
        <scheme val="minor"/>
      </rPr>
      <t>נתניהו</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</si>
  <si>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</si>
  <si>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</si>
  <si>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נתניהו</t>
    </r>
    <r>
      <rPr>
        <sz val="11"/>
        <color theme="1"/>
        <rFont val="Calibri"/>
        <family val="2"/>
        <charset val="177"/>
        <scheme val="minor"/>
      </rPr>
      <t xml:space="preserve"> גורם לך להרגיש </t>
    </r>
    <r>
      <rPr>
        <b/>
        <sz val="11"/>
        <color theme="1"/>
        <rFont val="Calibri"/>
        <family val="2"/>
        <scheme val="minor"/>
      </rPr>
      <t>תקווה</t>
    </r>
  </si>
  <si>
    <r>
      <t xml:space="preserve">האם </t>
    </r>
    <r>
      <rPr>
        <b/>
        <sz val="11"/>
        <color theme="1"/>
        <rFont val="Calibri"/>
        <family val="2"/>
        <scheme val="minor"/>
      </rPr>
      <t>מרדכי</t>
    </r>
    <r>
      <rPr>
        <sz val="11"/>
        <color theme="1"/>
        <rFont val="Calibri"/>
        <family val="2"/>
        <charset val="177"/>
        <scheme val="minor"/>
      </rPr>
      <t xml:space="preserve"> - בגלל אישיותו או בגלל מעשיו - גורם לך להרגיש </t>
    </r>
    <r>
      <rPr>
        <b/>
        <sz val="11"/>
        <color theme="1"/>
        <rFont val="Calibri"/>
        <family val="2"/>
        <scheme val="minor"/>
      </rPr>
      <t>כעס</t>
    </r>
    <r>
      <rPr>
        <sz val="11"/>
        <color theme="1"/>
        <rFont val="Calibri"/>
        <family val="2"/>
        <charset val="177"/>
        <scheme val="minor"/>
      </rPr>
      <t>?</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</si>
  <si>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פחד</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</si>
  <si>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גאווה</t>
    </r>
  </si>
  <si>
    <r>
      <t xml:space="preserve">האם </t>
    </r>
    <r>
      <rPr>
        <b/>
        <sz val="11"/>
        <color theme="1"/>
        <rFont val="Calibri"/>
        <family val="2"/>
        <scheme val="minor"/>
      </rPr>
      <t>מרדכי</t>
    </r>
    <r>
      <rPr>
        <sz val="11"/>
        <color theme="1"/>
        <rFont val="Calibri"/>
        <family val="2"/>
        <charset val="177"/>
        <scheme val="minor"/>
      </rPr>
      <t xml:space="preserve"> גורם לך להרגיש </t>
    </r>
    <r>
      <rPr>
        <b/>
        <sz val="11"/>
        <color theme="1"/>
        <rFont val="Calibri"/>
        <family val="2"/>
        <scheme val="minor"/>
      </rPr>
      <t>תקווה</t>
    </r>
  </si>
  <si>
    <t>i7</t>
  </si>
  <si>
    <t>i8</t>
  </si>
  <si>
    <t>i9</t>
  </si>
  <si>
    <t>i10</t>
  </si>
  <si>
    <t>i11</t>
  </si>
  <si>
    <t>i12</t>
  </si>
  <si>
    <t>i13</t>
  </si>
  <si>
    <t>i14</t>
  </si>
  <si>
    <t>i15</t>
  </si>
  <si>
    <t>i16</t>
  </si>
  <si>
    <t>i17</t>
  </si>
  <si>
    <t>i18</t>
  </si>
  <si>
    <t>i19</t>
  </si>
  <si>
    <t>i20</t>
  </si>
  <si>
    <t>דירגת את עצמך יותר לכיוון מחנה השמאל/ימין. האם אתה יכול לראות את עצמך בתנאים מסוימים עובר למחנה האחר?</t>
  </si>
  <si>
    <t>האם אתה יכול לראות את עצמך בתנאים מסוימים עובר למחנה השמאל או למחנה הימין?</t>
  </si>
  <si>
    <t>i21</t>
  </si>
  <si>
    <t>האם אתה חושב שאנשים כמוך יכולים באמת להתקבל ולהרגיש בבית במחנה השני?</t>
  </si>
  <si>
    <t>i22</t>
  </si>
  <si>
    <r>
      <t xml:space="preserve">באיזו מידה ישפיע או לא ישפיע כל אחד מהנושאים הבאים על ההצבעה שלך לכנסת? </t>
    </r>
    <r>
      <rPr>
        <b/>
        <sz val="11"/>
        <color theme="1"/>
        <rFont val="Calibri"/>
        <family val="2"/>
        <scheme val="minor"/>
      </rPr>
      <t>מדיניות כלכלית-חברתית</t>
    </r>
  </si>
  <si>
    <r>
      <t xml:space="preserve">באיזו מידה ישפיע או לא ישפיע כל אחד מהנושאים הבאים על ההצבעה שלך לכנסת? </t>
    </r>
    <r>
      <rPr>
        <b/>
        <sz val="11"/>
        <color theme="1"/>
        <rFont val="Calibri"/>
        <family val="2"/>
        <scheme val="minor"/>
      </rPr>
      <t>כלכלה</t>
    </r>
  </si>
  <si>
    <r>
      <t xml:space="preserve">באיזו מידה ישפיע או לא ישפיע כל אחד מהנושאים הבאים על ההצבעה שלך לכנסת? </t>
    </r>
    <r>
      <rPr>
        <b/>
        <sz val="11"/>
        <color theme="1"/>
        <rFont val="Calibri"/>
        <family val="2"/>
        <scheme val="minor"/>
      </rPr>
      <t>מדיניות חברתית</t>
    </r>
  </si>
  <si>
    <r>
      <t xml:space="preserve">באיזו מידה ישפיע או לא ישפיע כל אחד מהנושאים הבאים על ההצבעה שלך לכנסת? </t>
    </r>
    <r>
      <rPr>
        <b/>
        <sz val="11"/>
        <color theme="1"/>
        <rFont val="Calibri"/>
        <family val="2"/>
        <scheme val="minor"/>
      </rPr>
      <t>דת ומדינה</t>
    </r>
  </si>
  <si>
    <r>
      <t xml:space="preserve">באיזו מידה ישפיע או לא ישפיע כל אחד מהנושאים הבאים על ההצבעה שלך לכנסת? </t>
    </r>
    <r>
      <rPr>
        <b/>
        <sz val="11"/>
        <color theme="1"/>
        <rFont val="Calibri"/>
        <family val="2"/>
        <scheme val="minor"/>
      </rPr>
      <t>שלום ושטחים</t>
    </r>
  </si>
  <si>
    <r>
      <t xml:space="preserve">באיזו מידה ישפיע או לא ישפיע כל אחד מהנושאים הבאים על ההצבעה שלך לכנסת? </t>
    </r>
    <r>
      <rPr>
        <b/>
        <sz val="11"/>
        <color theme="1"/>
        <rFont val="Calibri"/>
        <family val="2"/>
        <scheme val="minor"/>
      </rPr>
      <t>בטחון וטרור</t>
    </r>
  </si>
  <si>
    <r>
      <t xml:space="preserve">באיזו מידה ישפיע או לא ישפיע כל אחד מהנושאים הבאים על ההצבעה שלך לכנסת? </t>
    </r>
    <r>
      <rPr>
        <b/>
        <sz val="11"/>
        <color theme="1"/>
        <rFont val="Calibri"/>
        <family val="2"/>
        <scheme val="minor"/>
      </rPr>
      <t>שחיתות</t>
    </r>
  </si>
  <si>
    <r>
      <t xml:space="preserve">באיזו מידה ישפיע או לא ישפיע כל אחד מהנושאים הבאים על ההצבעה שלך לכנסת? </t>
    </r>
    <r>
      <rPr>
        <b/>
        <sz val="11"/>
        <color theme="1"/>
        <rFont val="Calibri"/>
        <family val="2"/>
        <scheme val="minor"/>
      </rPr>
      <t>היחס לדמוקרטיה</t>
    </r>
  </si>
  <si>
    <r>
      <t xml:space="preserve">באיזו מידה ישפיע או לא ישפיע כל אחד מהנושאים הבאים על ההצבעה שלך לכנסת? </t>
    </r>
    <r>
      <rPr>
        <b/>
        <sz val="11"/>
        <color theme="1"/>
        <rFont val="Calibri"/>
        <family val="2"/>
        <scheme val="minor"/>
      </rPr>
      <t>השיקול למנוע בחירות נוספות</t>
    </r>
  </si>
  <si>
    <r>
      <t xml:space="preserve">באיזו מידה ישפיע או לא ישפיע כל אחד מהנושאים הבאים על ההצבעה שלך לכנסת? </t>
    </r>
    <r>
      <rPr>
        <b/>
        <sz val="11"/>
        <color theme="1"/>
        <rFont val="Calibri"/>
        <family val="2"/>
        <scheme val="minor"/>
      </rPr>
      <t>האיום האיראני</t>
    </r>
  </si>
  <si>
    <r>
      <t xml:space="preserve">באיזו מידה ישפיע או לא ישפיע כל אחד מהנושאים הבאים על ההצבעה שלך לכנסת? </t>
    </r>
    <r>
      <rPr>
        <b/>
        <sz val="11"/>
        <color theme="1"/>
        <rFont val="Calibri"/>
        <family val="2"/>
        <scheme val="minor"/>
      </rPr>
      <t>ירושלים</t>
    </r>
  </si>
  <si>
    <r>
      <t xml:space="preserve">באיזו מידה ישפיע או לא ישפיע כל אחד מהנושאים הבאים על ההצבעה שלך לכנסת? </t>
    </r>
    <r>
      <rPr>
        <b/>
        <sz val="11"/>
        <color theme="1"/>
        <rFont val="Calibri"/>
        <family val="2"/>
        <scheme val="minor"/>
      </rPr>
      <t>לבנון</t>
    </r>
  </si>
  <si>
    <r>
      <t xml:space="preserve">באיזו מידה ישפיע או לא ישפיע כל אחד מהנושאים הבאים על ההצבעה שלך לראש הממשלה? </t>
    </r>
    <r>
      <rPr>
        <b/>
        <sz val="11"/>
        <color theme="1"/>
        <rFont val="Calibri"/>
        <family val="2"/>
        <scheme val="minor"/>
      </rPr>
      <t>כלכלה</t>
    </r>
  </si>
  <si>
    <r>
      <t xml:space="preserve">באיזו מידה ישפיע או לא ישפיע כל אחד מהנושאים הבאים על ההצבעה שלך לראש הממשלה? </t>
    </r>
    <r>
      <rPr>
        <b/>
        <sz val="11"/>
        <color theme="1"/>
        <rFont val="Calibri"/>
        <family val="2"/>
        <scheme val="minor"/>
      </rPr>
      <t>מדיניות חברתית</t>
    </r>
  </si>
  <si>
    <r>
      <t xml:space="preserve">באיזו מידה ישפיע או לא ישפיע כל אחד מהנושאים הבאים על ההצבעה שלך לראש הממשלה? </t>
    </r>
    <r>
      <rPr>
        <b/>
        <sz val="11"/>
        <color theme="1"/>
        <rFont val="Calibri"/>
        <family val="2"/>
        <scheme val="minor"/>
      </rPr>
      <t>דת ומדינה</t>
    </r>
  </si>
  <si>
    <r>
      <t xml:space="preserve">באיזו מידה ישפיע או לא ישפיע כל אחד מהנושאים הבאים על ההצבעה שלך לראש הממשלה? </t>
    </r>
    <r>
      <rPr>
        <b/>
        <sz val="11"/>
        <color theme="1"/>
        <rFont val="Calibri"/>
        <family val="2"/>
        <scheme val="minor"/>
      </rPr>
      <t>שלום ושטחים</t>
    </r>
  </si>
  <si>
    <r>
      <t xml:space="preserve">באיזו מידה ישפיע או לא ישפיע כל אחד מהנושאים הבאים על ההצבעה שלך לראש הממשלה? </t>
    </r>
    <r>
      <rPr>
        <b/>
        <sz val="11"/>
        <color theme="1"/>
        <rFont val="Calibri"/>
        <family val="2"/>
        <scheme val="minor"/>
      </rPr>
      <t>בטחון וטרור</t>
    </r>
  </si>
  <si>
    <r>
      <t xml:space="preserve">באיזו מידה ישפיע או לא ישפיע כל אחד מהנושאים הבאים על ההצבעה שלך לראש הממשלה? </t>
    </r>
    <r>
      <rPr>
        <b/>
        <sz val="11"/>
        <color theme="1"/>
        <rFont val="Calibri"/>
        <family val="2"/>
        <scheme val="minor"/>
      </rPr>
      <t>ירושלים</t>
    </r>
  </si>
  <si>
    <r>
      <t xml:space="preserve">באיזו מידה ישפיע או לא ישפיע כל אחד מהנושאים הבאים על ההצבעה שלך לראש הממשלה? </t>
    </r>
    <r>
      <rPr>
        <b/>
        <sz val="11"/>
        <color theme="1"/>
        <rFont val="Calibri"/>
        <family val="2"/>
        <scheme val="minor"/>
      </rPr>
      <t>לבנון</t>
    </r>
  </si>
  <si>
    <t>i23</t>
  </si>
  <si>
    <t>i24</t>
  </si>
  <si>
    <t>i25</t>
  </si>
  <si>
    <t>i26</t>
  </si>
  <si>
    <t>i27</t>
  </si>
  <si>
    <t>i28</t>
  </si>
  <si>
    <t>i29</t>
  </si>
  <si>
    <r>
      <t xml:space="preserve">באיזו מידה ישפיע או לא ישפיע כל אחד מהנושאים הבאים על ההצבעה שלך לכנסת? </t>
    </r>
    <r>
      <rPr>
        <b/>
        <sz val="11"/>
        <color theme="1"/>
        <rFont val="Calibri"/>
        <family val="2"/>
        <scheme val="minor"/>
      </rPr>
      <t>משפט דרעי</t>
    </r>
  </si>
  <si>
    <t>i31</t>
  </si>
  <si>
    <t>i32</t>
  </si>
  <si>
    <t>i33</t>
  </si>
  <si>
    <t>i34</t>
  </si>
  <si>
    <t>i35</t>
  </si>
  <si>
    <r>
      <t xml:space="preserve">האם לדעתך קיימים או לא קיימים הבדלים בעמדותיהן של המפלגות העיקריות בארץ בנושאים הבאים: </t>
    </r>
    <r>
      <rPr>
        <b/>
        <sz val="11"/>
        <color theme="1"/>
        <rFont val="Calibri"/>
        <family val="2"/>
        <scheme val="minor"/>
      </rPr>
      <t>לבנון</t>
    </r>
  </si>
  <si>
    <t>i36</t>
  </si>
  <si>
    <t>i37</t>
  </si>
  <si>
    <t>i38</t>
  </si>
  <si>
    <t>i39</t>
  </si>
  <si>
    <t>i40</t>
  </si>
  <si>
    <t>i41</t>
  </si>
  <si>
    <t>i42</t>
  </si>
  <si>
    <t>i43</t>
  </si>
  <si>
    <t>i44</t>
  </si>
  <si>
    <t>i45</t>
  </si>
  <si>
    <t>קליטת עליה</t>
  </si>
  <si>
    <t>i46</t>
  </si>
  <si>
    <t>i47</t>
  </si>
  <si>
    <t>i48</t>
  </si>
  <si>
    <t>i49</t>
  </si>
  <si>
    <t>i50</t>
  </si>
  <si>
    <t>i51</t>
  </si>
  <si>
    <t>יש הטוענים שאין מספיק שוויון חברתי וכלכלי בארץ. באיזו מידה אתה מסכים או לא מסכים עם דעה זו?</t>
  </si>
  <si>
    <t>i52</t>
  </si>
  <si>
    <t>באיזו מידה יש לדעתך אפליה עדתית בישראל?</t>
  </si>
  <si>
    <t>i54</t>
  </si>
  <si>
    <t>i53</t>
  </si>
  <si>
    <t>באיזו מידה נפגעת באופן אישי מאפליה עדתית?</t>
  </si>
  <si>
    <t>מה צריך להיות יותר חשוב לאזרחי המדינה, האינטרסים האישיים שלהם או האינטרסים של המדינה כולה?</t>
  </si>
  <si>
    <t>i55</t>
  </si>
  <si>
    <t>i56</t>
  </si>
  <si>
    <t>i57</t>
  </si>
  <si>
    <t>i58</t>
  </si>
  <si>
    <t>i59</t>
  </si>
  <si>
    <t>i60</t>
  </si>
  <si>
    <t>i61</t>
  </si>
  <si>
    <t>i62</t>
  </si>
  <si>
    <t>i63</t>
  </si>
  <si>
    <r>
      <t xml:space="preserve">לפניך רשימה של תכונות שונות של מפלגות. לגבי כל אחת מהן, ציין לאיזו מפלגה היא מתאימה ביותר: </t>
    </r>
    <r>
      <rPr>
        <b/>
        <sz val="11"/>
        <color theme="1"/>
        <rFont val="Calibri"/>
        <family val="2"/>
        <scheme val="minor"/>
      </rPr>
      <t>תקטין את הפיצול בעם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</si>
  <si>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שתצמצם את הפער העדתי</t>
    </r>
  </si>
  <si>
    <t>i64</t>
  </si>
  <si>
    <t>i65</t>
  </si>
  <si>
    <t>i66</t>
  </si>
  <si>
    <t>i68</t>
  </si>
  <si>
    <t>i69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</si>
  <si>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היחסים עם ארה"ב</t>
    </r>
  </si>
  <si>
    <t>i67</t>
  </si>
  <si>
    <t>i70</t>
  </si>
  <si>
    <t>i71</t>
  </si>
  <si>
    <t>i72</t>
  </si>
  <si>
    <r>
      <t xml:space="preserve">האם </t>
    </r>
    <r>
      <rPr>
        <b/>
        <sz val="11"/>
        <color theme="1"/>
        <rFont val="Calibri"/>
        <family val="2"/>
        <scheme val="minor"/>
      </rPr>
      <t>"בעל ניסיון"</t>
    </r>
    <r>
      <rPr>
        <sz val="11"/>
        <color theme="1"/>
        <rFont val="Calibri"/>
        <family val="2"/>
        <charset val="177"/>
        <scheme val="minor"/>
      </rPr>
      <t xml:space="preserve"> מתאים יותר ל:</t>
    </r>
  </si>
  <si>
    <t>i73</t>
  </si>
  <si>
    <t>i74</t>
  </si>
  <si>
    <t>i75</t>
  </si>
  <si>
    <r>
      <t xml:space="preserve">האם </t>
    </r>
    <r>
      <rPr>
        <b/>
        <sz val="11"/>
        <color theme="1"/>
        <rFont val="Calibri"/>
        <family val="2"/>
        <scheme val="minor"/>
      </rPr>
      <t>"יוריד את המתח בין דתיים לחילונים"</t>
    </r>
    <r>
      <rPr>
        <sz val="11"/>
        <color theme="1"/>
        <rFont val="Calibri"/>
        <family val="2"/>
        <charset val="177"/>
        <scheme val="minor"/>
      </rPr>
      <t xml:space="preserve"> מתאים יותר ל:</t>
    </r>
  </si>
  <si>
    <t>i76</t>
  </si>
  <si>
    <t>i77</t>
  </si>
  <si>
    <r>
      <t xml:space="preserve">האם </t>
    </r>
    <r>
      <rPr>
        <b/>
        <sz val="11"/>
        <color theme="1"/>
        <rFont val="Calibri"/>
        <family val="2"/>
        <scheme val="minor"/>
      </rPr>
      <t>"בעל כושר החלטה"</t>
    </r>
    <r>
      <rPr>
        <sz val="11"/>
        <color theme="1"/>
        <rFont val="Calibri"/>
        <family val="2"/>
        <charset val="177"/>
        <scheme val="minor"/>
      </rPr>
      <t xml:space="preserve"> מתאים יותר ל:</t>
    </r>
  </si>
  <si>
    <t>i78</t>
  </si>
  <si>
    <t>i79</t>
  </si>
  <si>
    <t>i80</t>
  </si>
  <si>
    <t>i81</t>
  </si>
  <si>
    <r>
      <t xml:space="preserve">האם </t>
    </r>
    <r>
      <rPr>
        <b/>
        <sz val="11"/>
        <color theme="1"/>
        <rFont val="Calibri"/>
        <family val="2"/>
        <scheme val="minor"/>
      </rPr>
      <t>"יוזמה ומעוף"</t>
    </r>
    <r>
      <rPr>
        <sz val="11"/>
        <color theme="1"/>
        <rFont val="Calibri"/>
        <family val="2"/>
        <charset val="177"/>
        <scheme val="minor"/>
      </rPr>
      <t xml:space="preserve"> מתאים יותר ל:</t>
    </r>
  </si>
  <si>
    <t>i82</t>
  </si>
  <si>
    <t>i83</t>
  </si>
  <si>
    <t>i84</t>
  </si>
  <si>
    <t>i85</t>
  </si>
  <si>
    <t>i86</t>
  </si>
  <si>
    <t>i87</t>
  </si>
  <si>
    <t>i88</t>
  </si>
  <si>
    <t>i89</t>
  </si>
  <si>
    <t>i90</t>
  </si>
  <si>
    <t>i91</t>
  </si>
  <si>
    <t>c3</t>
  </si>
  <si>
    <t>c4</t>
  </si>
  <si>
    <t>c5</t>
  </si>
  <si>
    <t>באיזו מידה אתה חושב שאנשים מושפעים בהחלטה עבור מי להצביע מסקרים אלו?</t>
  </si>
  <si>
    <t>c7</t>
  </si>
  <si>
    <t>c8</t>
  </si>
  <si>
    <t>האם היית רוצה שאחרי הבחירות תקום ממשלת אחדות לאומית?</t>
  </si>
  <si>
    <t>c10</t>
  </si>
  <si>
    <t>c11</t>
  </si>
  <si>
    <t>c13</t>
  </si>
  <si>
    <t>אם לסיבוב השני יעלו נתניהו וברק, עבור מי היית מצביע?</t>
  </si>
  <si>
    <t>c14</t>
  </si>
  <si>
    <t>c16</t>
  </si>
  <si>
    <t>c17</t>
  </si>
  <si>
    <t>גיל</t>
  </si>
  <si>
    <t>c22</t>
  </si>
  <si>
    <t>c23</t>
  </si>
  <si>
    <t>c26</t>
  </si>
  <si>
    <t>כיצד היית מגדיר את עצמך? (עדה)</t>
  </si>
  <si>
    <t>האם אתה עובד מחוץ למשק הבית?</t>
  </si>
  <si>
    <t>c31</t>
  </si>
  <si>
    <t>c35</t>
  </si>
  <si>
    <t>c37</t>
  </si>
  <si>
    <t>c39</t>
  </si>
  <si>
    <t>c41</t>
  </si>
  <si>
    <r>
      <t xml:space="preserve">מהי לדעתך הבעיה החשובה ביותר שעל הממשלה לטפל בה? </t>
    </r>
    <r>
      <rPr>
        <b/>
        <sz val="11"/>
        <color theme="1"/>
        <rFont val="Calibri"/>
        <family val="2"/>
        <scheme val="minor"/>
      </rPr>
      <t>(אחרי הבחירות)</t>
    </r>
  </si>
  <si>
    <t>d2</t>
  </si>
  <si>
    <t>עבור מי הצבעת לראשות הממשלה בבחירות האחרונות לכנסת?</t>
  </si>
  <si>
    <t>d3</t>
  </si>
  <si>
    <t>כאשר היו עדין חמישה מועמדים לראש הממשלה, עבור מי מהם חשבת להצביע?</t>
  </si>
  <si>
    <t>d4</t>
  </si>
  <si>
    <t>האם התלבטת למי מהם להצביע?</t>
  </si>
  <si>
    <t>בין מי למי התלבטת?</t>
  </si>
  <si>
    <t>d9</t>
  </si>
  <si>
    <t>האם התלבטת עבור איזו מפלגה להצביע?</t>
  </si>
  <si>
    <t>הבחירות היו בעיקר על היחסים בין דתיים וחילונים במדינה</t>
  </si>
  <si>
    <t>הנצחון של ברק מראה שהציבור חושב שהוא ישמור יותר טוב על שלטון החוק במדינה</t>
  </si>
  <si>
    <t>הבחירות היו בעיקר על מי ינהל טוב יותר את המו"מ עם הפלסטינים על ירושלים ועל הסדר קבע</t>
  </si>
  <si>
    <t>נתניהו הפסיד בעיקר בגלל האבטלה והמצב הכלכלי</t>
  </si>
  <si>
    <t>הנצחון של ברק על נתניהו מראה שהציבור רוצה בהמשך תהליך השלום ומוכן לפשרה עם הפלסטינים</t>
  </si>
  <si>
    <r>
      <t xml:space="preserve">מה מידת האמון שיש לך ב: </t>
    </r>
    <r>
      <rPr>
        <b/>
        <sz val="11"/>
        <color theme="1"/>
        <rFont val="Calibri"/>
        <family val="2"/>
        <scheme val="minor"/>
      </rPr>
      <t>המפלגות</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</si>
  <si>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התקשורת (אחרי בחירות)</t>
    </r>
  </si>
  <si>
    <r>
      <t xml:space="preserve">מה מידת האמון שיש לך ב: </t>
    </r>
    <r>
      <rPr>
        <b/>
        <sz val="11"/>
        <color theme="1"/>
        <rFont val="Calibri"/>
        <family val="2"/>
        <scheme val="minor"/>
      </rPr>
      <t>פרקליטות המדינה</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</si>
  <si>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בית המשפט העליון</t>
    </r>
    <r>
      <rPr>
        <sz val="11"/>
        <color theme="1"/>
        <rFont val="Calibri"/>
        <family val="2"/>
        <charset val="177"/>
        <scheme val="minor"/>
      </rPr>
      <t xml:space="preserve"> </t>
    </r>
    <r>
      <rPr>
        <b/>
        <sz val="11"/>
        <color theme="1"/>
        <rFont val="Calibri"/>
        <family val="2"/>
        <scheme val="minor"/>
      </rPr>
      <t>(אחרי בחירות)</t>
    </r>
  </si>
  <si>
    <r>
      <t xml:space="preserve">מה מידת האמון שיש לך ב: </t>
    </r>
    <r>
      <rPr>
        <b/>
        <sz val="11"/>
        <color theme="1"/>
        <rFont val="Calibri"/>
        <family val="2"/>
        <scheme val="minor"/>
      </rPr>
      <t>המשטרה</t>
    </r>
    <r>
      <rPr>
        <sz val="11"/>
        <color theme="1"/>
        <rFont val="Calibri"/>
        <family val="2"/>
        <charset val="177"/>
        <scheme val="minor"/>
      </rPr>
      <t xml:space="preserve"> </t>
    </r>
    <r>
      <rPr>
        <b/>
        <sz val="11"/>
        <color theme="1"/>
        <rFont val="Calibri"/>
        <family val="2"/>
        <scheme val="minor"/>
      </rPr>
      <t>(אחרי בחירות)</t>
    </r>
  </si>
  <si>
    <t>d22</t>
  </si>
  <si>
    <r>
      <t xml:space="preserve">באיזו מידה אתה מרוצה או לא מרוצה מהדמוקרטיה בישראל? </t>
    </r>
    <r>
      <rPr>
        <b/>
        <sz val="11"/>
        <color theme="1"/>
        <rFont val="Calibri"/>
        <family val="2"/>
        <scheme val="minor"/>
      </rPr>
      <t>(אחרי בחירות)</t>
    </r>
  </si>
  <si>
    <r>
      <t xml:space="preserve">כמה אחוזים לפי דעתך מהציבור מסכימים להקמת מדינה פלסטינית </t>
    </r>
    <r>
      <rPr>
        <b/>
        <sz val="11"/>
        <color theme="1"/>
        <rFont val="Calibri"/>
        <family val="2"/>
        <scheme val="minor"/>
      </rPr>
      <t>(אחרי בחירות)</t>
    </r>
  </si>
  <si>
    <r>
      <t xml:space="preserve">מבלי להתחשב בדעתך האישית, האם להערכתך במשך 10 השנים הבאות תקום או לא תקום מדינה פלסטינית ביו"ש? </t>
    </r>
    <r>
      <rPr>
        <b/>
        <sz val="11"/>
        <color theme="1"/>
        <rFont val="Calibri"/>
        <family val="2"/>
        <scheme val="minor"/>
      </rPr>
      <t>(אחרי הבחירות)</t>
    </r>
  </si>
  <si>
    <r>
      <t xml:space="preserve">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t>
    </r>
    <r>
      <rPr>
        <b/>
        <sz val="11"/>
        <color theme="1"/>
        <rFont val="Calibri"/>
        <family val="2"/>
        <scheme val="minor"/>
      </rPr>
      <t>איזה החשוב לך ביותר</t>
    </r>
    <r>
      <rPr>
        <sz val="11"/>
        <color theme="1"/>
        <rFont val="Calibri"/>
        <family val="2"/>
        <charset val="177"/>
        <scheme val="minor"/>
      </rPr>
      <t xml:space="preserve">? </t>
    </r>
    <r>
      <rPr>
        <b/>
        <sz val="11"/>
        <color theme="1"/>
        <rFont val="Calibri"/>
        <family val="2"/>
        <scheme val="minor"/>
      </rPr>
      <t>(אחרי הבחירות)</t>
    </r>
  </si>
  <si>
    <r>
      <t xml:space="preserve">ואיזה שני בחשיבותו? </t>
    </r>
    <r>
      <rPr>
        <b/>
        <sz val="11"/>
        <color theme="1"/>
        <rFont val="Calibri"/>
        <family val="2"/>
        <scheme val="minor"/>
      </rPr>
      <t>(אחרי הבחירות)</t>
    </r>
  </si>
  <si>
    <r>
      <t xml:space="preserve">ומה השלישי בחשיבותו? </t>
    </r>
    <r>
      <rPr>
        <b/>
        <sz val="11"/>
        <color theme="1"/>
        <rFont val="Calibri"/>
        <family val="2"/>
        <scheme val="minor"/>
      </rPr>
      <t>(אחרי הבחירות)</t>
    </r>
  </si>
  <si>
    <r>
      <t xml:space="preserve">ומה הרביעי בחשיבותו? </t>
    </r>
    <r>
      <rPr>
        <b/>
        <sz val="11"/>
        <color theme="1"/>
        <rFont val="Calibri"/>
        <family val="2"/>
        <scheme val="minor"/>
      </rPr>
      <t>(אחרי הבחירות)</t>
    </r>
  </si>
  <si>
    <t>d31</t>
  </si>
  <si>
    <t>d32</t>
  </si>
  <si>
    <t>d33</t>
  </si>
  <si>
    <t>d34</t>
  </si>
  <si>
    <t>איזו מפלגה תוכל לטפל טוב יותר בבעיה שציינת?</t>
  </si>
  <si>
    <t>האם אתה מסכים או מתנגד להגבלת זכויות האזרח במדינת ישראל כדי שכוחות הבטחון יוכלו למנוע פעילות מסוכנת מבית?</t>
  </si>
  <si>
    <t>מדברים הרבה על הפרדה בין ישראל לבין הפלסטינים בשטחים. האם אתה תומך או לא תומך בהפרדה כזו?</t>
  </si>
  <si>
    <t>האם לדעתך אש"ף מסוגל להשתלט על המצב ולבלום את הטרור?</t>
  </si>
  <si>
    <t>האם הסכם אוסלו ב'. כלומר: פינוי צה"ל מהערים הגדולות בגדה, תורם או פוגע בבטחון המדינה?</t>
  </si>
  <si>
    <t>יש הטוענים שבגלל המשך הטרור אין להמשיך את המו"מ עם אש"ף ואילו אחרים טוענים שרק סיום מוצלח של המו"מ יביא להפסקת הטרור. מה דעתך?</t>
  </si>
  <si>
    <t>מה דעתך על המשפט הבא: "רוב הפלסטינים רוצים שלום"?</t>
  </si>
  <si>
    <t>כמה אחוזים לפי דעתך בציבור הרחב תומכים בהקמת מדינה פלסטינית?</t>
  </si>
  <si>
    <t>כמה אחוזים לפי דעתך בציבור הרחב מוכנים החזרת שטחים תמורת שלום?</t>
  </si>
  <si>
    <t>איזו דעה תתחזק בקרב הציבור לדעתך? האם בשבועות הקרובים יגדל מספר האנשים המוכנים לתמוך בהקמת מדינה פלסטינית או יגדל מס' האנשים המתנגדים לכך?</t>
  </si>
  <si>
    <r>
      <t xml:space="preserve">איזו דעה תתחזק בקרב הציבור לדעתך? האם בשבועות הקרובים יגדל מספר האנשים המוכנים לתמוך בהקמת מדינה פלסטינית או יגדל מס' האנשים המתנגדים לכך? </t>
    </r>
    <r>
      <rPr>
        <b/>
        <sz val="11"/>
        <color theme="1"/>
        <rFont val="Calibri"/>
        <family val="2"/>
        <scheme val="minor"/>
      </rPr>
      <t>(אחרי הבחירות)</t>
    </r>
  </si>
  <si>
    <t>ישנן הצעות שונות באשר לפתרונות קבע אפשריים עבור שטחי יו"ש ועזה. לפניך רשימה של הצעות שכאלה. ציין את זו הקרובה ביותר לעמדתך:</t>
  </si>
  <si>
    <t>ובלי קשר להעדפות שלך, איזה הסדר יתקיים לדעתך בשטחי יו"ש ועזה בעתיד הרחוק?</t>
  </si>
  <si>
    <t>מבלי להתחשב בדעתך האישית, האם להערכתך במשך 10 השנים הבאות תחזיר ישראל את רמת הגולן לסוריה תמורת הסכם שלום?</t>
  </si>
  <si>
    <t>c61</t>
  </si>
  <si>
    <t>האם לפי הערכתך עלולה להתפתח מלחמת אזרחים בארץ בעקבות ההסדרים לגבי עתיד השטחים?</t>
  </si>
  <si>
    <t>c58</t>
  </si>
  <si>
    <t>c59</t>
  </si>
  <si>
    <r>
      <t>מה יחסך ל</t>
    </r>
    <r>
      <rPr>
        <b/>
        <sz val="11"/>
        <color theme="1"/>
        <rFont val="Calibri"/>
        <family val="2"/>
        <scheme val="minor"/>
      </rPr>
      <t>מועצת יש"ע</t>
    </r>
    <r>
      <rPr>
        <sz val="11"/>
        <color theme="1"/>
        <rFont val="Calibri"/>
        <family val="2"/>
        <charset val="177"/>
        <scheme val="minor"/>
      </rPr>
      <t>?</t>
    </r>
  </si>
  <si>
    <r>
      <t>מה יחסך ל</t>
    </r>
    <r>
      <rPr>
        <b/>
        <sz val="11"/>
        <color theme="1"/>
        <rFont val="Calibri"/>
        <family val="2"/>
        <scheme val="minor"/>
      </rPr>
      <t>תנועה האסלאמית</t>
    </r>
    <r>
      <rPr>
        <sz val="11"/>
        <color theme="1"/>
        <rFont val="Calibri"/>
        <family val="2"/>
        <charset val="177"/>
        <scheme val="minor"/>
      </rPr>
      <t>?</t>
    </r>
  </si>
  <si>
    <t>c64</t>
  </si>
  <si>
    <t>c62</t>
  </si>
  <si>
    <r>
      <t xml:space="preserve">ועל אותו סולם, מה יחסך לאישים הבאים? </t>
    </r>
    <r>
      <rPr>
        <b/>
        <sz val="11"/>
        <color theme="1"/>
        <rFont val="Calibri"/>
        <family val="2"/>
        <scheme val="minor"/>
      </rPr>
      <t>יצחק רבין</t>
    </r>
  </si>
  <si>
    <t>c66</t>
  </si>
  <si>
    <t>c70</t>
  </si>
  <si>
    <t>c71</t>
  </si>
  <si>
    <t>c74</t>
  </si>
  <si>
    <t>c73</t>
  </si>
  <si>
    <t>c76</t>
  </si>
  <si>
    <t>cc7</t>
  </si>
  <si>
    <t>cc6</t>
  </si>
  <si>
    <t>cc8</t>
  </si>
  <si>
    <t>cc9</t>
  </si>
  <si>
    <r>
      <t xml:space="preserve">באיזו מידה ישפיע או לא ישפיע כל אחד מהנושאים הבאים על ההצבעה שלך לראש הממשלה? </t>
    </r>
    <r>
      <rPr>
        <b/>
        <sz val="11"/>
        <color theme="1"/>
        <rFont val="Calibri"/>
        <family val="2"/>
        <scheme val="minor"/>
      </rPr>
      <t>רצח רבין</t>
    </r>
  </si>
  <si>
    <t>cc10</t>
  </si>
  <si>
    <t>cc11</t>
  </si>
  <si>
    <t>cc12</t>
  </si>
  <si>
    <t>cc13</t>
  </si>
  <si>
    <t>cc14</t>
  </si>
  <si>
    <t>cc15</t>
  </si>
  <si>
    <t>cc17</t>
  </si>
  <si>
    <r>
      <t xml:space="preserve">באיזו מידה ישפיע או לא ישפיע כל אחד מהנושאים הבאים על ההצבעה שלך לכנסת? </t>
    </r>
    <r>
      <rPr>
        <b/>
        <sz val="11"/>
        <color theme="1"/>
        <rFont val="Calibri"/>
        <family val="2"/>
        <scheme val="minor"/>
      </rPr>
      <t>רצח רבין</t>
    </r>
  </si>
  <si>
    <t>cc16</t>
  </si>
  <si>
    <r>
      <t xml:space="preserve">לעמדה של מי אתה קרוב יותר בכל אחד מהנושאים הבאים: </t>
    </r>
    <r>
      <rPr>
        <b/>
        <sz val="11"/>
        <color theme="1"/>
        <rFont val="Calibri"/>
        <family val="2"/>
        <scheme val="minor"/>
      </rPr>
      <t>ירושלים</t>
    </r>
  </si>
  <si>
    <r>
      <t xml:space="preserve">לעמדה של מי אתה קרוב יותר בכל אחד מהנושאים הבאים: </t>
    </r>
    <r>
      <rPr>
        <b/>
        <sz val="11"/>
        <color theme="1"/>
        <rFont val="Calibri"/>
        <family val="2"/>
        <scheme val="minor"/>
      </rPr>
      <t>כלכלה</t>
    </r>
  </si>
  <si>
    <r>
      <t xml:space="preserve">לעמדה של מי אתה קרוב יותר בכל אחד מהנושאים הבאים: </t>
    </r>
    <r>
      <rPr>
        <b/>
        <sz val="11"/>
        <color theme="1"/>
        <rFont val="Calibri"/>
        <family val="2"/>
        <scheme val="minor"/>
      </rPr>
      <t>שלום ושטחים</t>
    </r>
  </si>
  <si>
    <t>cc19</t>
  </si>
  <si>
    <t>cc20</t>
  </si>
  <si>
    <t>cc21</t>
  </si>
  <si>
    <t>cc22</t>
  </si>
  <si>
    <t>cc23</t>
  </si>
  <si>
    <t>cc24</t>
  </si>
  <si>
    <t>cc25</t>
  </si>
  <si>
    <t>cc27</t>
  </si>
  <si>
    <t>cc28</t>
  </si>
  <si>
    <t>cc29</t>
  </si>
  <si>
    <t>cc30</t>
  </si>
  <si>
    <t>cc31</t>
  </si>
  <si>
    <t>cc32</t>
  </si>
  <si>
    <t>cc33</t>
  </si>
  <si>
    <t>cc34</t>
  </si>
  <si>
    <t>cc35</t>
  </si>
  <si>
    <t>cc36</t>
  </si>
  <si>
    <t>cc37</t>
  </si>
  <si>
    <t>cc38</t>
  </si>
  <si>
    <t>cc39</t>
  </si>
  <si>
    <t>cc40</t>
  </si>
  <si>
    <t>cc41</t>
  </si>
  <si>
    <t>cc44</t>
  </si>
  <si>
    <t>cc45</t>
  </si>
  <si>
    <t>cc46</t>
  </si>
  <si>
    <t>cc48</t>
  </si>
  <si>
    <t>האם בני משפחתך מצביעים כמוך?</t>
  </si>
  <si>
    <t>cc49</t>
  </si>
  <si>
    <t>cc50</t>
  </si>
  <si>
    <t>cc51</t>
  </si>
  <si>
    <t>cc52</t>
  </si>
  <si>
    <t>cc53</t>
  </si>
  <si>
    <t>cc54</t>
  </si>
  <si>
    <t>cc55</t>
  </si>
  <si>
    <t>cc56</t>
  </si>
  <si>
    <t>cc57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</si>
  <si>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עם מנהיגים מנוסים</t>
    </r>
  </si>
  <si>
    <t>cc58</t>
  </si>
  <si>
    <t>cc59</t>
  </si>
  <si>
    <t>cc60</t>
  </si>
  <si>
    <t>cc61</t>
  </si>
  <si>
    <t>cc62</t>
  </si>
  <si>
    <t>cc63</t>
  </si>
  <si>
    <t>cc64</t>
  </si>
  <si>
    <r>
      <t xml:space="preserve">האם </t>
    </r>
    <r>
      <rPr>
        <b/>
        <sz val="11"/>
        <color theme="1"/>
        <rFont val="Calibri"/>
        <family val="2"/>
        <scheme val="minor"/>
      </rPr>
      <t>"יצמצם פערים חברתיים"</t>
    </r>
    <r>
      <rPr>
        <sz val="11"/>
        <color theme="1"/>
        <rFont val="Calibri"/>
        <family val="2"/>
        <charset val="177"/>
        <scheme val="minor"/>
      </rPr>
      <t xml:space="preserve"> מתאים יותר ל:</t>
    </r>
  </si>
  <si>
    <r>
      <t xml:space="preserve">האם </t>
    </r>
    <r>
      <rPr>
        <b/>
        <sz val="11"/>
        <color theme="1"/>
        <rFont val="Calibri"/>
        <family val="2"/>
        <scheme val="minor"/>
      </rPr>
      <t>"חזק"</t>
    </r>
    <r>
      <rPr>
        <sz val="11"/>
        <color theme="1"/>
        <rFont val="Calibri"/>
        <family val="2"/>
        <charset val="177"/>
        <scheme val="minor"/>
      </rPr>
      <t xml:space="preserve"> מתאים יותר ל:</t>
    </r>
  </si>
  <si>
    <t>cc65</t>
  </si>
  <si>
    <t>cc66</t>
  </si>
  <si>
    <t>cc67</t>
  </si>
  <si>
    <t>cc68</t>
  </si>
  <si>
    <t>cc69</t>
  </si>
  <si>
    <t>cc70</t>
  </si>
  <si>
    <t>cc71</t>
  </si>
  <si>
    <t>cc72</t>
  </si>
  <si>
    <t>יש החושבים שישראל יכולה להשיג את כל היעדים החשובים לה: שלום, א"י השלמה, שמירה על רוב יהודי, שמירה על משטר דמוקרטי מבלי לוותר על אף דבר. אחרים חושבים שאי אפשר להשיג את כל היעדים הללו בו זמנית, וכדי להשיג יעדים מסויימים צריך להתפשר על יעדים אחרים. מה דעתך?</t>
  </si>
  <si>
    <t>cc73</t>
  </si>
  <si>
    <t>cc74</t>
  </si>
  <si>
    <t>cc76</t>
  </si>
  <si>
    <t>ccc6</t>
  </si>
  <si>
    <t>ccc7</t>
  </si>
  <si>
    <t>יש המציעים לאסור פרסום סקרים בחודש שלפני הבחירות, ואילו אחרים מתנגדים לכך. מה דעתך?</t>
  </si>
  <si>
    <t>ccc8</t>
  </si>
  <si>
    <t>ccc9</t>
  </si>
  <si>
    <t>ccc10</t>
  </si>
  <si>
    <t>אם ישראל תגיע לטיוטת שלום עם סוריה שתכלול נסיגה מלאה מרמת הגולן והסדרי בטחון נאותים ויערך משאל עם, כיצד תצביע?</t>
  </si>
  <si>
    <t>ccc11</t>
  </si>
  <si>
    <t>כמה אחוזים לפי דעתך בציבור הרחב מסכימים להחזיר את רמת הגולן?</t>
  </si>
  <si>
    <t>ccc12</t>
  </si>
  <si>
    <t>ואיזו דעה תתחזק בקרב הציבור לדעתך? האם בעוד שנה שנתיים יגדל מס' האנשים המוכנים להחזיר לסוריה את רמת הגולן לעומת היום, או שיגדל מס' אלה שאינם מוכנים להחזיר?</t>
  </si>
  <si>
    <t>ccc14</t>
  </si>
  <si>
    <t>ccc15</t>
  </si>
  <si>
    <r>
      <t xml:space="preserve">האם השתתפת בשנה שנתיים האחרונות בהפגנה? </t>
    </r>
    <r>
      <rPr>
        <b/>
        <sz val="11"/>
        <color theme="1"/>
        <rFont val="Calibri"/>
        <family val="2"/>
        <scheme val="minor"/>
      </rPr>
      <t>בנושא תהליך השלום</t>
    </r>
  </si>
  <si>
    <r>
      <t xml:space="preserve">האם השתתפת בשנה שנתיים האחרונות בהפגנה? </t>
    </r>
    <r>
      <rPr>
        <b/>
        <sz val="11"/>
        <color theme="1"/>
        <rFont val="Calibri"/>
        <family val="2"/>
        <scheme val="minor"/>
      </rPr>
      <t>בעקבות רצח רבין</t>
    </r>
  </si>
  <si>
    <t>ccc16</t>
  </si>
  <si>
    <t>ccc17</t>
  </si>
  <si>
    <t>ccc19</t>
  </si>
  <si>
    <t>ccc20</t>
  </si>
  <si>
    <t>האם לדעתך הבחירות המקדימות (פריימריז) מביאות לשיטת ממשל טובה יותר או גרועה יותר במדינה?</t>
  </si>
  <si>
    <t>ccc21</t>
  </si>
  <si>
    <t>האם השתתפת בפריימריז (בחירות מקדימות)?</t>
  </si>
  <si>
    <t>ccc22</t>
  </si>
  <si>
    <t>ccc23</t>
  </si>
  <si>
    <t>אם צומת וגשר היו רצות כמפלגות נפרדות ולא יחד עם הליכוד, עבור איזו רשימה היית מצביע?</t>
  </si>
  <si>
    <t>ccc27</t>
  </si>
  <si>
    <t>ccc28</t>
  </si>
  <si>
    <t>ccc29</t>
  </si>
  <si>
    <t>אילו הייתה השיטה הישנה, כלומר מצביעים רק בפתק אחד לכנסת, עבור איזו מפלגה היית מצביע?</t>
  </si>
  <si>
    <t>ccc33</t>
  </si>
  <si>
    <t>ccc35</t>
  </si>
  <si>
    <t>איזו מפלגה למיטב הערכתך תהיה המפלגה הגדולה ביותר בכנסת הבאה?</t>
  </si>
  <si>
    <t>ccc36</t>
  </si>
  <si>
    <t>ccc37</t>
  </si>
  <si>
    <t>עבור איזו רשימה הצבעת במערכת הבחירות הלפני אחרונה? (שתי מערכות אחורה)</t>
  </si>
  <si>
    <t>עבור איזו רשימה הצבעת במערכת הבחירות הלפני לפני אחרונה? (שלוש מערכות אחורה)</t>
  </si>
  <si>
    <t>ccc39</t>
  </si>
  <si>
    <t>עבור מי הצבעת בבחירות האחרונות להסתדרות?</t>
  </si>
  <si>
    <t>ccc41</t>
  </si>
  <si>
    <t>האם יש לך קשרים עם ערבים?</t>
  </si>
  <si>
    <t>ccc42</t>
  </si>
  <si>
    <t>ccc44</t>
  </si>
  <si>
    <t>ccc45</t>
  </si>
  <si>
    <t>ccc46</t>
  </si>
  <si>
    <t>ccc47</t>
  </si>
  <si>
    <t>ccc48</t>
  </si>
  <si>
    <t>ccc49</t>
  </si>
  <si>
    <t>ccc50</t>
  </si>
  <si>
    <t>ccc55</t>
  </si>
  <si>
    <t>ccc56</t>
  </si>
  <si>
    <t>ccc57</t>
  </si>
  <si>
    <t>ccc59</t>
  </si>
  <si>
    <t>ccc61</t>
  </si>
  <si>
    <t>ccc63</t>
  </si>
  <si>
    <t>כמה שנים למדת במסגרת מסודרת?</t>
  </si>
  <si>
    <t>ccc65</t>
  </si>
  <si>
    <t>ccc67</t>
  </si>
  <si>
    <t>ccc69</t>
  </si>
  <si>
    <t>ccc70</t>
  </si>
  <si>
    <t>ccc71</t>
  </si>
  <si>
    <t>ccc72</t>
  </si>
  <si>
    <t>ccc73</t>
  </si>
  <si>
    <t>ccc74</t>
  </si>
  <si>
    <t>ccc75</t>
  </si>
  <si>
    <t>אילו יכולת להצביע בבחירות לכנסת עבור יותר ממפלגה אחת, ללא הגבלה, עבור אילו מפלגות היית מצביע?</t>
  </si>
  <si>
    <t>cccc6</t>
  </si>
  <si>
    <t>מהי המפלגה המועדפת עליך?</t>
  </si>
  <si>
    <t>ובמקום השני?</t>
  </si>
  <si>
    <t>ובמקום השלישי?</t>
  </si>
  <si>
    <t>מהי המפלגה הכי פחות מועדפת עליך?</t>
  </si>
  <si>
    <t>cccc14</t>
  </si>
  <si>
    <t>cccc16</t>
  </si>
  <si>
    <t>cccc18</t>
  </si>
  <si>
    <t>cccc20</t>
  </si>
  <si>
    <t>cccc22</t>
  </si>
  <si>
    <t>cccc24</t>
  </si>
  <si>
    <t>cccc26</t>
  </si>
  <si>
    <t>cccc28</t>
  </si>
  <si>
    <t>cccc41</t>
  </si>
  <si>
    <t>עדה</t>
  </si>
  <si>
    <t>sephashk</t>
  </si>
  <si>
    <t>a2</t>
  </si>
  <si>
    <t>a3</t>
  </si>
  <si>
    <t>a4</t>
  </si>
  <si>
    <t>a5</t>
  </si>
  <si>
    <t>a9</t>
  </si>
  <si>
    <t>אם ישראל תצטרך להכריע בין שתי האפשרויות הבאות, מה לדעתך עליה לעשות?</t>
  </si>
  <si>
    <t>אם יחול שינוי יסודי באש"ף והארגון יודיע שהוא מכיר במדינת ישראל ויפסיק לחלוטין את פעילות הטרור, האם אז ישראל צריכה או לא צריכה להיות מוכנה לנהל מו"מ עם אש"ף?</t>
  </si>
  <si>
    <t>אם יו"ש ועזה יסופחו למדינת ישראל, אילו זכויות יש לתת לתושבים אלו?</t>
  </si>
  <si>
    <t>כיצד אתה מעריך את מדיניות הממשלה לשמירת השקט בשטחים - רכה מדי, מתאימה או קשה מדי?</t>
  </si>
  <si>
    <t>האם אפשרי או לא אפשרי להגיע לשלום ביננו לבין מדינות ערב בעתיד הנראה לעין?</t>
  </si>
  <si>
    <t>האם לדעתך ישראל יכולה או לא יכולה להשפיע בהתנהגותה ובמדיניותה על נכונות הערבים לשלום אמת איתה?</t>
  </si>
  <si>
    <t>מה לדעתך הסיכויים שיחתם הסכם על אוטונומיה לפלסטינים בשטחים?</t>
  </si>
  <si>
    <r>
      <t xml:space="preserve">לגבי כל אחת מהאופשרויות הבאות, מהו לדעתך הסיכוי שהיא תביא למלחמה ישראלית-ערבית נוספת? </t>
    </r>
    <r>
      <rPr>
        <b/>
        <sz val="11"/>
        <color theme="1"/>
        <rFont val="Calibri"/>
        <family val="2"/>
        <scheme val="minor"/>
      </rPr>
      <t>החזרת שטחים לירדן</t>
    </r>
  </si>
  <si>
    <t>מדינה פלסטינית</t>
  </si>
  <si>
    <t>אוטונומיה</t>
  </si>
  <si>
    <t>סיפוח וריבונות ישראלית מלאה</t>
  </si>
  <si>
    <t>המשך המצב הקיים</t>
  </si>
  <si>
    <r>
      <t xml:space="preserve">האם תוכל או לא תוכל מדינת ישראל להתמודד עם כל אחד מהדברים הבאים: </t>
    </r>
    <r>
      <rPr>
        <b/>
        <sz val="11"/>
        <color theme="1"/>
        <rFont val="Calibri"/>
        <family val="2"/>
        <scheme val="minor"/>
      </rPr>
      <t>מלחמה כוללת של כל מדינות ערב נגדנו</t>
    </r>
  </si>
  <si>
    <t>מלחמה שתפתח סוריה לבדה נגדנו</t>
  </si>
  <si>
    <t>מרד של הערבים אזרחי מדינת ישראל</t>
  </si>
  <si>
    <t>נקיטת סנקציות כלכליות ע"י האו"ם בהשתתפות האמריקאים</t>
  </si>
  <si>
    <t>שארה"ב תחליש את התמיכה בנו</t>
  </si>
  <si>
    <t>שארה"ב תפסיק את התמיכה בנו</t>
  </si>
  <si>
    <t>מלחמה של מדינות "החזית המזרחית" (סוריה, ירדן ועיראק) נגדנו</t>
  </si>
  <si>
    <t>אם הדרגה "1" מייצגת את הדיעה האומרת שלנוכחותנו בשטחי יו"ש ועזה יש השפעה לרעה על מוסר הלחימה של צה"ל ודרגה "7" מייצגת את הדיעה כי לנוכחותנו בשטחים אלו יש השפעה טובה על מוסר הלחימה של צה"ל, באיזו דרגה היית ממקם את עמדתך?</t>
  </si>
  <si>
    <t>באיזו מידה אתה תומך או מתנגד להמשך השתתפותה של ישראל בועידת השלום?</t>
  </si>
  <si>
    <t>האם אתה תומך או מתנגד להתיישבות בשטחים?</t>
  </si>
  <si>
    <t>ישנן שלוש הצעות לגבי פתרונות לטווח הרחוק של בעיית יו"ש ועזה. עם איזה אתה מסכים ביותר?</t>
  </si>
  <si>
    <t>a471</t>
  </si>
  <si>
    <r>
      <t xml:space="preserve">לעמדה של מי אתה קרוב יותר בכל אחד מהנושאים הבאים: </t>
    </r>
    <r>
      <rPr>
        <b/>
        <sz val="11"/>
        <color theme="1"/>
        <rFont val="Calibri"/>
        <family val="2"/>
        <scheme val="minor"/>
      </rPr>
      <t>בטחון וטרור</t>
    </r>
  </si>
  <si>
    <t>כיצד יש לקבוע את סידורי הרחצה בבריכות עירוניות בישובים מעורבים של חילונים ודתיים?</t>
  </si>
  <si>
    <t>באיזו מידה אתה מסכים או לא מסכים לכך שכל גבר יהודי בארץ צריך לשרת שירות פעיל בצה"ל?</t>
  </si>
  <si>
    <t>באיזו מידה אתה מסכים או לא מסכים לכך שבחורי ישיבות בגיל גיוס יקבלו פטור משירות פעיל בצה"ל?</t>
  </si>
  <si>
    <t>באיזו מידה אתה מסכים או לא מסכים לכך שתהיה תחבורה ציבורית בשבת?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</si>
  <si>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שתדאג לשכבות החלשות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</si>
  <si>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שתרמה לבנין הארץ</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</si>
  <si>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שמטפחת את הכבוד העצמי של בני עדות המזרח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</si>
  <si>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לקלוט עליה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</si>
  <si>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לצמצם את האבטלה</t>
    </r>
  </si>
  <si>
    <t>a98</t>
  </si>
  <si>
    <t>a99</t>
  </si>
  <si>
    <t>a102</t>
  </si>
  <si>
    <t>a101</t>
  </si>
  <si>
    <r>
      <t xml:space="preserve">ועל אותו סולם, מה יחסך לאישים הבאים? </t>
    </r>
    <r>
      <rPr>
        <b/>
        <sz val="11"/>
        <color theme="1"/>
        <rFont val="Calibri"/>
        <family val="2"/>
        <scheme val="minor"/>
      </rPr>
      <t>יצחק שמיר</t>
    </r>
  </si>
  <si>
    <t>a103</t>
  </si>
  <si>
    <t>a104</t>
  </si>
  <si>
    <t>a105</t>
  </si>
  <si>
    <t>a106</t>
  </si>
  <si>
    <t>a107</t>
  </si>
  <si>
    <r>
      <t>מה יחסך ל</t>
    </r>
    <r>
      <rPr>
        <b/>
        <sz val="11"/>
        <color theme="1"/>
        <rFont val="Calibri"/>
        <family val="2"/>
        <scheme val="minor"/>
      </rPr>
      <t>תנועת גוש אמונים</t>
    </r>
    <r>
      <rPr>
        <sz val="11"/>
        <color theme="1"/>
        <rFont val="Calibri"/>
        <family val="2"/>
        <charset val="177"/>
        <scheme val="minor"/>
      </rPr>
      <t>?</t>
    </r>
  </si>
  <si>
    <r>
      <t>מה יחסך ל</t>
    </r>
    <r>
      <rPr>
        <b/>
        <sz val="11"/>
        <color theme="1"/>
        <rFont val="Calibri"/>
        <family val="2"/>
        <scheme val="minor"/>
      </rPr>
      <t>תנועת שלום עכשיו</t>
    </r>
    <r>
      <rPr>
        <sz val="11"/>
        <color theme="1"/>
        <rFont val="Calibri"/>
        <family val="2"/>
        <charset val="177"/>
        <scheme val="minor"/>
      </rPr>
      <t>?</t>
    </r>
  </si>
  <si>
    <t>a108</t>
  </si>
  <si>
    <t>a109</t>
  </si>
  <si>
    <t>a110</t>
  </si>
  <si>
    <t>a112</t>
  </si>
  <si>
    <t>a113</t>
  </si>
  <si>
    <t>a114</t>
  </si>
  <si>
    <t>a115</t>
  </si>
  <si>
    <t>a116</t>
  </si>
  <si>
    <t>a117</t>
  </si>
  <si>
    <t>a118</t>
  </si>
  <si>
    <t>a119</t>
  </si>
  <si>
    <t>מבין שני המנהיגים, עמדותיו של מי משקפות בצורה הטובה ביותר את דעותיך בנושא השטחים?</t>
  </si>
  <si>
    <t>a120</t>
  </si>
  <si>
    <r>
      <t xml:space="preserve">הגורמים הבאים משפיע או לא משפיע על החלטתך עבור מי להצביע? </t>
    </r>
    <r>
      <rPr>
        <b/>
        <sz val="11"/>
        <color theme="1"/>
        <rFont val="Calibri"/>
        <family val="2"/>
        <scheme val="minor"/>
      </rPr>
      <t>העמדת יצחק שמיר בראש הליכוד</t>
    </r>
  </si>
  <si>
    <r>
      <t xml:space="preserve">הגורמים הבאים משפיע או לא משפיע על החלטתך עבור מי להצביע? </t>
    </r>
    <r>
      <rPr>
        <b/>
        <sz val="11"/>
        <color theme="1"/>
        <rFont val="Calibri"/>
        <family val="2"/>
        <scheme val="minor"/>
      </rPr>
      <t>הפריימריז בעבודה</t>
    </r>
  </si>
  <si>
    <r>
      <t xml:space="preserve">הגורמים הבאים משפיע או לא משפיע על החלטתך עבור מי להצביע? </t>
    </r>
    <r>
      <rPr>
        <b/>
        <sz val="11"/>
        <color theme="1"/>
        <rFont val="Calibri"/>
        <family val="2"/>
        <scheme val="minor"/>
      </rPr>
      <t>הרכב רשימת העבודה</t>
    </r>
  </si>
  <si>
    <r>
      <t xml:space="preserve">הגורמים הבאים משפיע או לא משפיע על החלטתך עבור מי להצביע? </t>
    </r>
    <r>
      <rPr>
        <b/>
        <sz val="11"/>
        <color theme="1"/>
        <rFont val="Calibri"/>
        <family val="2"/>
        <scheme val="minor"/>
      </rPr>
      <t>הרכב רשימת הליכוד</t>
    </r>
  </si>
  <si>
    <r>
      <t xml:space="preserve">הגורמים הבאים משפיע או לא משפיע על החלטתך עבור מי להצביע? </t>
    </r>
    <r>
      <rPr>
        <b/>
        <sz val="11"/>
        <color theme="1"/>
        <rFont val="Calibri"/>
        <family val="2"/>
        <scheme val="minor"/>
      </rPr>
      <t>הליך בחירת השביעיות בליכוד</t>
    </r>
  </si>
  <si>
    <r>
      <t xml:space="preserve">הגורמים הבאים משפיע או לא משפיע על החלטתך עבור מי להצביע? </t>
    </r>
    <r>
      <rPr>
        <b/>
        <sz val="11"/>
        <color theme="1"/>
        <rFont val="Calibri"/>
        <family val="2"/>
        <scheme val="minor"/>
      </rPr>
      <t>העמדת יצחק רבין בראש העבודה</t>
    </r>
  </si>
  <si>
    <t>a122</t>
  </si>
  <si>
    <t>a123</t>
  </si>
  <si>
    <t>a124</t>
  </si>
  <si>
    <t>a125</t>
  </si>
  <si>
    <t>a126</t>
  </si>
  <si>
    <t>a127</t>
  </si>
  <si>
    <r>
      <t xml:space="preserve">הגורמים הבאים משפיע או לא משפיע על החלטתך עבור מי להצביע? </t>
    </r>
    <r>
      <rPr>
        <b/>
        <sz val="11"/>
        <color theme="1"/>
        <rFont val="Calibri"/>
        <family val="2"/>
        <scheme val="minor"/>
      </rPr>
      <t>הסיכוי שתהיה ממשלת אחדות לאומית</t>
    </r>
  </si>
  <si>
    <r>
      <t xml:space="preserve">הגורמים הבאים משפיע או לא משפיע על החלטתך עבור מי להצביע? </t>
    </r>
    <r>
      <rPr>
        <b/>
        <sz val="11"/>
        <color theme="1"/>
        <rFont val="Calibri"/>
        <family val="2"/>
        <scheme val="minor"/>
      </rPr>
      <t>מצב היחסים עם ארה"ב</t>
    </r>
  </si>
  <si>
    <r>
      <t xml:space="preserve">הגורמים הבאים משפיע או לא משפיע על החלטתך עבור מי להצביע? </t>
    </r>
    <r>
      <rPr>
        <b/>
        <sz val="11"/>
        <color theme="1"/>
        <rFont val="Calibri"/>
        <family val="2"/>
        <scheme val="minor"/>
      </rPr>
      <t>מצב קליטת העליה</t>
    </r>
  </si>
  <si>
    <r>
      <t xml:space="preserve">הגורמים הבאים משפיע או לא משפיע על החלטתך עבור מי להצביע? </t>
    </r>
    <r>
      <rPr>
        <b/>
        <sz val="11"/>
        <color theme="1"/>
        <rFont val="Calibri"/>
        <family val="2"/>
        <scheme val="minor"/>
      </rPr>
      <t>האבטלה</t>
    </r>
  </si>
  <si>
    <r>
      <t xml:space="preserve">הגורמים הבאים משפיע או לא משפיע על החלטתך עבור מי להצביע? </t>
    </r>
    <r>
      <rPr>
        <b/>
        <sz val="11"/>
        <color theme="1"/>
        <rFont val="Calibri"/>
        <family val="2"/>
        <scheme val="minor"/>
      </rPr>
      <t>השחיתויות בשלטון ודוח מבקר המדינה</t>
    </r>
  </si>
  <si>
    <r>
      <t xml:space="preserve">הגורמים הבאים משפיע או לא משפיע על החלטתך עבור מי להצביע? </t>
    </r>
    <r>
      <rPr>
        <b/>
        <sz val="11"/>
        <color theme="1"/>
        <rFont val="Calibri"/>
        <family val="2"/>
        <scheme val="minor"/>
      </rPr>
      <t>האינתיפאדה</t>
    </r>
  </si>
  <si>
    <r>
      <t xml:space="preserve">הגורמים הבאים משפיע או לא משפיע על החלטתך עבור מי להצביע? </t>
    </r>
    <r>
      <rPr>
        <b/>
        <sz val="11"/>
        <color theme="1"/>
        <rFont val="Calibri"/>
        <family val="2"/>
        <scheme val="minor"/>
      </rPr>
      <t>התחלת שיחות השלום</t>
    </r>
  </si>
  <si>
    <r>
      <t xml:space="preserve">הגורמים הבאים משפיע או לא משפיע על החלטתך עבור מי להצביע? </t>
    </r>
    <r>
      <rPr>
        <b/>
        <sz val="11"/>
        <color theme="1"/>
        <rFont val="Calibri"/>
        <family val="2"/>
        <scheme val="minor"/>
      </rPr>
      <t>טיפול הממשלה בשיחות השלום</t>
    </r>
  </si>
  <si>
    <r>
      <t xml:space="preserve">הגורמים הבאים משפיע או לא משפיע על החלטתך עבור מי להצביע? </t>
    </r>
    <r>
      <rPr>
        <b/>
        <sz val="11"/>
        <color theme="1"/>
        <rFont val="Calibri"/>
        <family val="2"/>
        <scheme val="minor"/>
      </rPr>
      <t>המצב בתחום דתיים-חילונים</t>
    </r>
  </si>
  <si>
    <r>
      <t xml:space="preserve">הגורמים הבאים משפיע או לא משפיע על החלטתך עבור מי להצביע? </t>
    </r>
    <r>
      <rPr>
        <b/>
        <sz val="11"/>
        <color theme="1"/>
        <rFont val="Calibri"/>
        <family val="2"/>
        <scheme val="minor"/>
      </rPr>
      <t>מדינות ההתנחלויות של הליכוד</t>
    </r>
  </si>
  <si>
    <r>
      <t xml:space="preserve">הגורמים הבאים משפיע או לא משפיע על החלטתך עבור מי להצביע? </t>
    </r>
    <r>
      <rPr>
        <b/>
        <sz val="11"/>
        <color theme="1"/>
        <rFont val="Calibri"/>
        <family val="2"/>
        <scheme val="minor"/>
      </rPr>
      <t>מצבך האישי כיום</t>
    </r>
  </si>
  <si>
    <t>i2</t>
  </si>
  <si>
    <r>
      <t xml:space="preserve">באיזו מידה כל אחד מהמצבים הבאים מהווה איום בעיניך: </t>
    </r>
    <r>
      <rPr>
        <b/>
        <sz val="11"/>
        <color theme="1"/>
        <rFont val="Calibri"/>
        <family val="2"/>
        <scheme val="minor"/>
      </rPr>
      <t>מדינת הלכה</t>
    </r>
  </si>
  <si>
    <r>
      <t xml:space="preserve">באיזו מידה כל אחד מהמצבים הבאים מהווה איום בעיניך: </t>
    </r>
    <r>
      <rPr>
        <b/>
        <sz val="11"/>
        <color theme="1"/>
        <rFont val="Calibri"/>
        <family val="2"/>
        <scheme val="minor"/>
      </rPr>
      <t>מספר שווה של יהודים וערבים במדינה</t>
    </r>
  </si>
  <si>
    <r>
      <t xml:space="preserve">באיזו מידה כל אחד מהמצבים הבאים מהווה איום בעיניך: </t>
    </r>
    <r>
      <rPr>
        <b/>
        <sz val="11"/>
        <color theme="1"/>
        <rFont val="Calibri"/>
        <family val="2"/>
        <scheme val="minor"/>
      </rPr>
      <t>הפרדת דת ומדינה</t>
    </r>
  </si>
  <si>
    <r>
      <t xml:space="preserve">באיזו מידה כל אחד מהמצבים הבאים מהווה איום בעיניך: </t>
    </r>
    <r>
      <rPr>
        <b/>
        <sz val="11"/>
        <color theme="1"/>
        <rFont val="Calibri"/>
        <family val="2"/>
        <scheme val="minor"/>
      </rPr>
      <t>הפסקת הסיוע מארה"ב</t>
    </r>
  </si>
  <si>
    <r>
      <t xml:space="preserve">מהם הסיכויים שיתקיים כל אחד מהמצבים הבאים בעתיד הנראה לעין: </t>
    </r>
    <r>
      <rPr>
        <b/>
        <sz val="11"/>
        <color theme="1"/>
        <rFont val="Calibri"/>
        <family val="2"/>
        <scheme val="minor"/>
      </rPr>
      <t>מדינת הלכה</t>
    </r>
  </si>
  <si>
    <r>
      <t xml:space="preserve">מהם הסיכויים שיתקיים כל אחד מהמצבים הבאים בעתיד הנראה לעין: </t>
    </r>
    <r>
      <rPr>
        <b/>
        <sz val="11"/>
        <color theme="1"/>
        <rFont val="Calibri"/>
        <family val="2"/>
        <scheme val="minor"/>
      </rPr>
      <t>הפרדת דת ומדינה</t>
    </r>
  </si>
  <si>
    <r>
      <t xml:space="preserve">מהם הסיכויים שיתקיים כל אחד מהמצבים הבאים בעתיד הנראה לעין: </t>
    </r>
    <r>
      <rPr>
        <b/>
        <sz val="11"/>
        <color theme="1"/>
        <rFont val="Calibri"/>
        <family val="2"/>
        <scheme val="minor"/>
      </rPr>
      <t>החזרת שטחים</t>
    </r>
  </si>
  <si>
    <r>
      <t xml:space="preserve">מהם הסיכויים שיתקיים כל אחד מהמצבים הבאים בעתיד הנראה לעין: </t>
    </r>
    <r>
      <rPr>
        <b/>
        <sz val="11"/>
        <color theme="1"/>
        <rFont val="Calibri"/>
        <family val="2"/>
        <scheme val="minor"/>
      </rPr>
      <t>מספר שווה של יהודים וערבים במדינה</t>
    </r>
  </si>
  <si>
    <r>
      <t xml:space="preserve">מהם הסיכויים שיתקיים כל אחד מהמצבים הבאים בעתיד הנראה לעין: </t>
    </r>
    <r>
      <rPr>
        <b/>
        <sz val="11"/>
        <color theme="1"/>
        <rFont val="Calibri"/>
        <family val="2"/>
        <scheme val="minor"/>
      </rPr>
      <t>הפסקת הסיוע של ארה"ב</t>
    </r>
  </si>
  <si>
    <r>
      <t xml:space="preserve">מהם הסיכויים שיתקיים כל אחד מהמצבים הבאים בעתיד הנראה לעין: </t>
    </r>
    <r>
      <rPr>
        <b/>
        <sz val="11"/>
        <color theme="1"/>
        <rFont val="Calibri"/>
        <family val="2"/>
        <scheme val="minor"/>
      </rPr>
      <t>משטר לא דמוקרטי בישראל</t>
    </r>
  </si>
  <si>
    <t>i30</t>
  </si>
  <si>
    <t>איזו מפלגה היית רוצה שתקים את ההממשלה הבאה?</t>
  </si>
  <si>
    <t>האם אתה מחובר לטלוויזיה בכבלים?</t>
  </si>
  <si>
    <t>האם אתה קולט את ערוץ 2?</t>
  </si>
  <si>
    <t>האם יש לך מכשיר וידאו בביתך?</t>
  </si>
  <si>
    <t>האם אתה חבר הסתדרות?</t>
  </si>
  <si>
    <t>האם שירתת בצה"ל או שהינך משרת בצה"ל?</t>
  </si>
  <si>
    <t>v2</t>
  </si>
  <si>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זוכי זכותנו על הארץ</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</si>
  <si>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מונעת הקמת מדינה פלסטינית שתסכן את ביטחוננו</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</si>
  <si>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מעניקה עומק אסטרטגי במקרה של מלחמה בחזית המזרחית</t>
    </r>
  </si>
  <si>
    <r>
      <t xml:space="preserve">להלן מספר סיבות בגללן אנשים חושבים שישראל צריכה להמשיך ולהחזיק ביו"ש ועזה. דרג אותן לפי סדר חשיבותן: </t>
    </r>
    <r>
      <rPr>
        <b/>
        <sz val="11"/>
        <color theme="1"/>
        <rFont val="Calibri"/>
        <family val="2"/>
        <scheme val="minor"/>
      </rPr>
      <t>מאפשרת מטבע למיקוח במו"מ לשלום עם ירדן</t>
    </r>
  </si>
  <si>
    <t>לפניך סולם בן 7 דרגות. דרגה "1" מייצגת את הדעה האומרת שההתיישבות ביו"ש ועזה תורמת לבטחון המדינה בעצם הנוכחות והפעילות של האנשים, ואילו דרגה "7" מייצגת את הדעה הטוענת שההתיישבות ביו"ש פוגעת בבטחון, כי היא מחייבת את צה"ל להגן על היישובים. באיזה סולם היית מדרג את עמדתך?</t>
  </si>
  <si>
    <t>את דעתו של מי צריכים לשמוע לגבי עתיד השטחים? מבין הגורמים הבאים ציין את הגורם העיקרי אשר את דעתו צריך לשמוע</t>
  </si>
  <si>
    <t xml:space="preserve">האם לדעתך אוטונומיה לפלסטינים בשטחים תביא בסופו של דבר: </t>
  </si>
  <si>
    <t>איזה חלק מההכנסה של משק הבית מהווה ההכנסה שלך?</t>
  </si>
  <si>
    <t>1987*</t>
  </si>
  <si>
    <t>האם לפי דעתך יש או אין להקים להקים אוטונומיה פלסטינית ביו"ש ועזה?</t>
  </si>
  <si>
    <t xml:space="preserve">האם לדעתך אפשר או אי אפשר לחסל את הטרור הערבי ע"י פעילות צבאית בלבד? </t>
  </si>
  <si>
    <t>למלחמה בטרור יש כיוונים שונים. מה מבין הדברים הבאים צריך להיות לדעתך הכיוון העיקרי?</t>
  </si>
  <si>
    <t>אם המחבלים ישובו לבפגיז את ישובי הצפון בקטיושות, מה לדעתך תהיה תגובה המתאימה?</t>
  </si>
  <si>
    <t>בהתחשב בכל הגורמים הקשורים למלחמת לבנון - המחיר שישראל שילמה והתוצאות שהיא השיגה. האם בסה"כ היה כדאי או לא כדאי לצאת למלחמת לבנון כפי שהיא בוצעה?</t>
  </si>
  <si>
    <t>האם באופן עקרוני אתה בעד או נגד עונש מוות למחבלים?</t>
  </si>
  <si>
    <r>
      <t xml:space="preserve">במלחמה נגד הטרור אפשר לנקוט במספר פעולות, באיזו מידה אתה תומך בכל אחת מהפעולות הבאות או מתנגד להן: </t>
    </r>
    <r>
      <rPr>
        <b/>
        <sz val="11"/>
        <color theme="1"/>
        <rFont val="Calibri"/>
        <family val="2"/>
        <scheme val="minor"/>
      </rPr>
      <t>הריסת בתים שבעליהם איכסנו מחבלים וידעו שהם מחבלים</t>
    </r>
  </si>
  <si>
    <t>גירוש אנשים שקיימו קשרים עם אירגוני מחבלים</t>
  </si>
  <si>
    <t>פעולות תגמול נגד בסיסי מחבלים רק בתנאי שהן לא מסכנות אזרחים ערבים</t>
  </si>
  <si>
    <t>הפצצת בסיסי מחבלים מעבר לגבול גם אם במהלכן יפגעו אזרחים</t>
  </si>
  <si>
    <t>פעולות טרור נגדי המיועדות לפגיעה במנהיגי המחבלים</t>
  </si>
  <si>
    <t>פעולות גמול נגד מדינות הנותנות חסות למבצעי פעולות טרור</t>
  </si>
  <si>
    <t>האם בדר"כ היית מסכים או מתנגד שישראל תשחרר מחבלים שנידונו למאסר עולם כדי להציל את חיי אזרחים ישראלים שמוחזקים כבני ערובה?</t>
  </si>
  <si>
    <t>האם בדר"כ היית מסכים או מתנגד שישראל תשחרר מחבלים שנידונו למאסר עולם כדי לשחרר חיילי צה"ל המוחזקים ע"י ארגונים עוינים?</t>
  </si>
  <si>
    <r>
      <t xml:space="preserve">האם מוצדק או לא מוצדק לצאת למלחמה יזומה בכל אחד מהמצבים/תנאים הבאים: </t>
    </r>
    <r>
      <rPr>
        <b/>
        <sz val="11"/>
        <color theme="1"/>
        <rFont val="Calibri"/>
        <family val="2"/>
        <scheme val="minor"/>
      </rPr>
      <t>כפועל התגוננות כדי למנוע נסיון להשמיד את המדינה</t>
    </r>
  </si>
  <si>
    <t>כדי למנוע נסיון כיבוש בחזרה של שטחים שנלקחו על ידינו</t>
  </si>
  <si>
    <t>כדי למנוע או להפסיק מלחמת התשה המנוהלת נגדנו</t>
  </si>
  <si>
    <t>כדי להרוס את כוחו הצבאי של אויב מתעצם בהתמדה וכך למנוע ממנו יכולת לאיים על ישראל בעתיד</t>
  </si>
  <si>
    <t>כדי להפיל משטר עוין ולסייע להקמת משטר אוהד שיחתום הסכם שלום איתנו</t>
  </si>
  <si>
    <t>כדי לכבוש שטחים חשובים שיסייעו לנו מבחינה בטחונית</t>
  </si>
  <si>
    <t>בעקבות ידיעות על כוונות המדינות השכנות לפתוח בתקריות גבול</t>
  </si>
  <si>
    <t>בעקבות בקשה מצד ארה"ב לסייע לה להגן על האינטרסים שלה באזור</t>
  </si>
  <si>
    <t xml:space="preserve">כדי לסייע לגורמים ידידותיים באזור </t>
  </si>
  <si>
    <t>כדי לחסל תשתית של טרור המכוון נגדנו</t>
  </si>
  <si>
    <t>האם ישראל צריכה או לא צריכה לדעתך לפתח נשק גרעיני?</t>
  </si>
  <si>
    <t>האם יש תנאים בהם יהיה מוצדק שישראל תשתמש בנשק גרעיני, אם אכן יהיה לה נשק כזה, או שבשום תנאי אסור לישראל להשתמש בנשק גרעיני?</t>
  </si>
  <si>
    <r>
      <t xml:space="preserve">האם מוצדק או לא מוצדק שישראל תשתמש בנשק גרעיני בכל אחד מהתנאים הבאים: </t>
    </r>
    <r>
      <rPr>
        <b/>
        <sz val="11"/>
        <color theme="1"/>
        <rFont val="Calibri"/>
        <family val="2"/>
        <scheme val="minor"/>
      </rPr>
      <t>כתגובה על התקפה גרעינית מצד מדינה אחרת</t>
    </r>
  </si>
  <si>
    <t>במצאי יאוש - כדי למנוע תבוסה במלחמה קונבנציונלית</t>
  </si>
  <si>
    <t>כדי לחסוך חיים של אנשים רבים</t>
  </si>
  <si>
    <t>כדי לחסוך חיים של מספר קטן של אנשים</t>
  </si>
  <si>
    <t>כאמצעי לחימה במקום להפעיל צבא רגיל</t>
  </si>
  <si>
    <t>האם אתה חושב שלישראל יש או אין נשק גרעיני?</t>
  </si>
  <si>
    <t>בהנחה שיש בידי ישראל נשק גרעיני, מה עדיף: להמשיך ולשמור על קיומו בסוד או להצהיר על כך בגלוי לצורך הרתעת האויב?</t>
  </si>
  <si>
    <r>
      <t>באיזו מידה אתה מסכים או לא מסכים:</t>
    </r>
    <r>
      <rPr>
        <b/>
        <sz val="11"/>
        <color theme="1"/>
        <rFont val="Calibri"/>
        <family val="2"/>
        <scheme val="minor"/>
      </rPr>
      <t xml:space="preserve"> צריך להיכנס לתהליך מדיני של הסכמי שלום מיד, אפילו במחיר של ויתורים טריטוריאליים</t>
    </r>
  </si>
  <si>
    <r>
      <t xml:space="preserve">באיזה מידה אתה מסכים או לא מסכים עם כל אחת מהדעות הבאות: </t>
    </r>
    <r>
      <rPr>
        <b/>
        <sz val="11"/>
        <color theme="1"/>
        <rFont val="Calibri"/>
        <family val="2"/>
        <scheme val="minor"/>
      </rPr>
      <t>צריך להקריב קורבנות בתחום האישי, הכלכלי והחברתי כדי לשמור על עצמתנו, במידה שתספיק לקיום ביטחוננו</t>
    </r>
  </si>
  <si>
    <r>
      <t xml:space="preserve">באיזה מידה אתה מסכים או לא מסכים עם כל אחת מהדעות הבאות: </t>
    </r>
    <r>
      <rPr>
        <b/>
        <sz val="11"/>
        <color theme="1"/>
        <rFont val="Calibri"/>
        <family val="2"/>
        <scheme val="minor"/>
      </rPr>
      <t>צריך לעבור לפיתוח נשק גרעיני כדי להרתיע את הערבים</t>
    </r>
  </si>
  <si>
    <r>
      <t xml:space="preserve">באיזה מידה אתה מסכים או לא מסכים עם כל אחת מהדעות הבאות: </t>
    </r>
    <r>
      <rPr>
        <b/>
        <sz val="11"/>
        <color theme="1"/>
        <rFont val="Calibri"/>
        <family val="2"/>
        <scheme val="minor"/>
      </rPr>
      <t>צריך לכרות ברית הגנה עם ארה"ב כדי שהערבים לא יתקיפו אותנו</t>
    </r>
  </si>
  <si>
    <r>
      <t xml:space="preserve">מבין המדינות והקבוצות הבאות, ציין את השתיים שהן האויב המסוכן ביותר לישראל ודרג אותן לפי סדר חשיבותן: </t>
    </r>
    <r>
      <rPr>
        <b/>
        <sz val="11"/>
        <color theme="1"/>
        <rFont val="Calibri"/>
        <family val="2"/>
        <scheme val="minor"/>
      </rPr>
      <t>האויב המסוכן ביותר</t>
    </r>
  </si>
  <si>
    <t>v701</t>
  </si>
  <si>
    <t>האם היום, שמונה שנים מאז חתימת הסכם השלום עם מצרים, אתה מחייב או שולל את חתימתו?</t>
  </si>
  <si>
    <t>האם בעת שנחתם הסכם השלום (עם מצרים) היית בעד או נגד חתימתו?</t>
  </si>
  <si>
    <r>
      <t xml:space="preserve">לפניך רשימת דעות בנושאים שונים. ציין באיזו מידה אתה מסכים או מתנגד לכל אחת מהן: </t>
    </r>
    <r>
      <rPr>
        <b/>
        <sz val="11"/>
        <color theme="1"/>
        <rFont val="Calibri"/>
        <family val="2"/>
        <scheme val="minor"/>
      </rPr>
      <t>מבין כל ההשקפות הקיימות בעולם כנראה שיש רק אחת בלבד שהיא נכונה</t>
    </r>
  </si>
  <si>
    <t>אין אף מצב בו נראה כי עדיף שאנשים יקחו בעצם את החוק לידיים</t>
  </si>
  <si>
    <t>במצבים בהם יש ניגוד אינטרסים בין טובת הכלל וטובת הפרט במדינה יש בדר"כ להעדיף את טובת הפרט</t>
  </si>
  <si>
    <t>לא להחזיר שטחים מא"י הוא בחזקת יהרג ובל יעבור</t>
  </si>
  <si>
    <t>אלוהים ישמור עלינו אם נהיה ראויים לכך אפילו אם לא נהיה מוכנים למלחמה הבאה</t>
  </si>
  <si>
    <t>באיזו מידה אתה מאמין או לא מאמין בעתיד קיומנו בארץ לטווח ארוך?</t>
  </si>
  <si>
    <t>התגברות פעולות הטרור של ארגוני המחבלים</t>
  </si>
  <si>
    <t>מרד של הערביי השטחים (יו"ש ועזה)</t>
  </si>
  <si>
    <t>שברה"מ תסייע מאסיבית למדינות ערב במלחמה נגדנו</t>
  </si>
  <si>
    <t>כיצד אתה מעריך את גודל הסכנה הממשית שמדינת ישראל תושמד?</t>
  </si>
  <si>
    <t>מי לדעתך יטפל טוב יותר בבעיית החוץ והביטחון של המדינה?</t>
  </si>
  <si>
    <t>האם מדיניות החוץ והבטחון של ישראל היא מדיניות רציונאלית (מונחית בעיקר ע"פ שיקולים הגיוניים) או לא רציונאלית (מונחית בעיקר ע"פ רגש ואמונה)?</t>
  </si>
  <si>
    <t>האם מדיניות החוץ והבטחון של מדינות ערב היא רציונאלית או לא רציונאלית?</t>
  </si>
  <si>
    <r>
      <t xml:space="preserve">באיזו מידה מהווים כל אחד מהגורמים הבאים סיבה להתנגדות הערבים למדינת ישראל: </t>
    </r>
    <r>
      <rPr>
        <b/>
        <sz val="11"/>
        <color theme="1"/>
        <rFont val="Calibri"/>
        <family val="2"/>
        <scheme val="minor"/>
      </rPr>
      <t>קיימת בקרבם שנאת יהודים</t>
    </r>
  </si>
  <si>
    <t>מדינת ישראל נתפשת אצלם כנטע זר במזרח התיכון וכ"עצם בגרון"</t>
  </si>
  <si>
    <t>היתרונות הטכנולוגיים והאיכותיים שלנו מפחידים אותם</t>
  </si>
  <si>
    <t>הם רואים בכל אדמות ישראל אדמות ערביות שיש להחזירן לבעליהן</t>
  </si>
  <si>
    <t>הם רוצים רק לשחרר את השטחים שנכבשו ב-67</t>
  </si>
  <si>
    <t>הם פוחדים מתוקפנות ישראלית כלפיהם בעתיד</t>
  </si>
  <si>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הגורם העיקרי</t>
    </r>
  </si>
  <si>
    <r>
      <t xml:space="preserve">מבין כל הגורמים הנ"ל, ציין את שני הגורמים העיקריים להתנגדות הערבים למדינת ישראל ודרג אותם לפי סדר חשיבותם: </t>
    </r>
    <r>
      <rPr>
        <b/>
        <sz val="11"/>
        <color theme="1"/>
        <rFont val="Calibri"/>
        <family val="2"/>
        <scheme val="minor"/>
      </rPr>
      <t>גורם משני</t>
    </r>
  </si>
  <si>
    <t>v991</t>
  </si>
  <si>
    <t>האם אתה מוכן או לא מוכן שיאריכו את שרות החובה בצבא כך שגם אתה או ילדיך או ילדי משפחתך הקרובה יצטרכו לשרת יותר?</t>
  </si>
  <si>
    <t>האם אתה מוכן או לא מוכן שיאריכו את שרות המילואים כך שגם אתה או בני משפחתך הקרובים תשרתו יותר ימי מילואים?</t>
  </si>
  <si>
    <t>האם נטל השירות הצבאי מתחלק באופן צודק או לא צודק?</t>
  </si>
  <si>
    <t>ממה שאתה שומע או מתרשם, האם שרות המילואים מנוצל ביעילות או מבוזבז?</t>
  </si>
  <si>
    <t>האם משך שרות החובה בצה"ל ארוך מדי, במידה הנכונה או קצר מדי?</t>
  </si>
  <si>
    <t>האם לדעתך יש לקצץ את תקציב הבטחון, להשאירו כמו שהוא או להגדיל אותו?</t>
  </si>
  <si>
    <t>אם המצב הכלכלי יחמיר ביותר והמשק יהיה בשפל, האם אז יש לקצץ את תקציב הבטחון, להשאירו כמו שהוא או להגדילו?</t>
  </si>
  <si>
    <t>האם מוצדק או לא מוצדק לדעתך לקצץ בשירותים חברתיים כדי להגדיל את תקציב הבטחון?</t>
  </si>
  <si>
    <t>האם בחמש השנים האחרונות חלה לדעתך שחיקה בעוצמתו של צה"ל או שצה"ל דווקא התחזק?</t>
  </si>
  <si>
    <t>מי צריך מהגופים הבאים להיות הקובע העיקרי, מה תהיינה מערכות הנשק העתידיות של צה"ל?</t>
  </si>
  <si>
    <t>באופן עקרוני, האם אתה בעד או נגד המשך פרויקט הלביא?</t>
  </si>
  <si>
    <t>האם לדעתך ההחלטות של פיקוד צה"ל בעניינים צבאיים מושפעות רק משיקולים עניינים אובייקטיביים או גם משיקולים אחרים?</t>
  </si>
  <si>
    <t>מי מבין הגופים הבאים קובע בפועל את מדיניות הבטחון של ישראל במידה הרבה ביותר?</t>
  </si>
  <si>
    <t>יש הטוענים כי יש להתייחס לבטחון הלאומי כאל מטרה העומדת מעל כל נושא אחר ולהעדיף שיקולים בטחוניים על פני שיקולים כלכליים או חברתיים. לעומתם יש אחרים הטוענים כי נושא הבטחון או אמנם חשוב אך העדפתו בכל תנאי על פני כל עניין אחר אינה רצויה ועלולה להזיק יותר מאשר להועיל. להלן סולם בן 7 דרגות, שבקצוותיו שתי עמדות אלו, והדרגות האחרות הן דרגות ביניים. היכן על הסולם היית ממקם את עמדתך?</t>
  </si>
  <si>
    <t>באיזו מידה לדעתך ההנהגה הפוליטית הנוכחית שלנו מעדיפה שיקולים בטחוניים על פני השמירה על עקרון שלטון החוק או להפך, שיקולים של שלטון החוק על פני האינטרס הבטחוני?</t>
  </si>
  <si>
    <t>ומה באשר להנהגה הפוליטית שהקימה את המדינה, אילו שיקולים היא נטתה להעדיף?</t>
  </si>
  <si>
    <t>האם לדעתך יש כיום פיקוח מספיק על שרותי הבטחון (שב"כ ומוסד)?</t>
  </si>
  <si>
    <r>
      <t xml:space="preserve">לפניך רשימה של אמרות וביטויים שגורים המתייחסים למצב העם והמדינה. ציין לגבי כל אחד מהם באיזו מידה אתה מסכים או מתנגד לו: </t>
    </r>
    <r>
      <rPr>
        <b/>
        <sz val="11"/>
        <color theme="1"/>
        <rFont val="Calibri"/>
        <family val="2"/>
        <scheme val="minor"/>
      </rPr>
      <t>לא ינום ולא יישן שומר ישראל</t>
    </r>
  </si>
  <si>
    <t>שנית מצדה לא תיפול</t>
  </si>
  <si>
    <t>העולם כולו נגדנו</t>
  </si>
  <si>
    <t>נצח ישראל לא ישקר</t>
  </si>
  <si>
    <t>ישראל הינה ותמשיך להיות בחזקת "עם לבדד ישכון"</t>
  </si>
  <si>
    <t>טוב למות בעד ארצנו</t>
  </si>
  <si>
    <t>הקם להורגך השכם להורגו</t>
  </si>
  <si>
    <t>ההגנה הטובה ביותר היא ההתקפה</t>
  </si>
  <si>
    <t>נצחון צבאי תורם לקידום השלום</t>
  </si>
  <si>
    <t>ישנו פתגם האומר "לא ינום ולא יישן שומר ישראל". אל מי אתה מתייחס כאל "שומר ישראל"? על מי עם ישראל יכול לסמוך לדעתך?</t>
  </si>
  <si>
    <t>ישראל ידועה כספקית נשק למדינות רבות בעולם, כולל מדינות לא דמוקרטיות ואף מדינות עוינות לנו, כמו איראן. מה לדעתך המדיניות הרצויה לישראל בתחום זה?</t>
  </si>
  <si>
    <t>חשוב על מצב בו הממשלה יושבת להחליט על יציאה למלחמה, האם לדעתך היא צריכה או אינה צריכה להתחשב בדעתו של הציבור בנושא זה?</t>
  </si>
  <si>
    <t>האם לדעתך הכרחי או לא הכרחי לתמוך בממשלה בזמן משבר בטחוני, כמו מלחמה, גם כאשר לא מסכימים עם דרכה?</t>
  </si>
  <si>
    <r>
      <t xml:space="preserve">נתייחס עתה לאיש צבא בכיר שלא מסכים עם המדיניות הננקטת ע"י הממשלה - מה מבין הדברים הבאים מותר לו לעשות ומה אסור לו לעשות לדעתך: </t>
    </r>
    <r>
      <rPr>
        <b/>
        <sz val="11"/>
        <color theme="1"/>
        <rFont val="Calibri"/>
        <family val="2"/>
        <scheme val="minor"/>
      </rPr>
      <t>האם מותר או אסור לו לדבר עם הממונים עליו בצבא על כך שאינו מסכים עם מדיניות הממשלה?</t>
    </r>
  </si>
  <si>
    <t>לשלוח מכתבים בעילום שם לעיתונות?</t>
  </si>
  <si>
    <t>להתבטא בעניין בגלוי באמצעי התקשורת?</t>
  </si>
  <si>
    <t>לבקש שחרור מתפקידו עקב כך?</t>
  </si>
  <si>
    <t>לסרב למלא אחר צווים המוצאים עקב המדיניות?</t>
  </si>
  <si>
    <t>האם לדעתך אמצעי התקשורת עוסקים בנושא הבטחון בצורה אחראית או בלתי אחראית?</t>
  </si>
  <si>
    <t>האם אמצעי התקשורת עוסקים בנושא הבטחון במידה מתאימה, פחות מדי או יותר מדי?</t>
  </si>
  <si>
    <t>עד כמה אתה סומך או לא סומך על הצהרותיהם של מנהיגי המדינה בנושאי בטחון?</t>
  </si>
  <si>
    <t>האם לדעתך ההחלטות של המנהיגים הפוליטיים בענייני בטחון מושפעות משיקולים עניינים או גם משיקולים אחרים?</t>
  </si>
  <si>
    <t>באיזו מידה הציבור מבין או לא מבין מספיק בענייני בטחון כדי לחוות דעה בנושאים אלו?</t>
  </si>
  <si>
    <t>באיזו מידה אתה נוהג או לא נוהג להביע את דעתך בנושאי בטחון בדרכים שונות, כגון שיחות עם בני משפחה וחברים, כתיבת מכתבים למערכת העיתונים, חתומה על עצומות ועוד?</t>
  </si>
  <si>
    <t>באיזו מידה אתה מבין או לא מבין בנושאי בטחון כדי לחוות דעה?</t>
  </si>
  <si>
    <t>לפניך רשימת טיעונים בנושאים שונים. ציין באיזו מידה אתה מסכים או מתנגד לכל אחת מהן: בחיי היומיום שלי מטרות שחשובות לי מאד מקדשות את האמצעים</t>
  </si>
  <si>
    <t>הביקורות הנשמעות בעולם על ישראל נובעות בעיקר מאנטישמיות</t>
  </si>
  <si>
    <t>בניהול מדיניותה צריכה ישראל להתחשב בדעות הגויים</t>
  </si>
  <si>
    <t>מספר מנהיגים חזקים יכולים להועיל למדינה יותר מכל הדיונים והחוקים</t>
  </si>
  <si>
    <t>למיטב ידיעתך, איזו מדינה מייצרת את מטוס ה-F-16?</t>
  </si>
  <si>
    <t>מהו גודל הסיוע הצבאי השוטף של ארה"ב לישראל כיום?</t>
  </si>
  <si>
    <t>האם יש לצה"ל צוללות?</t>
  </si>
  <si>
    <t>כמה מחבלים שוחררו ע"י ישראל במסגרת עסקת חילופי שבויים עם ארגונו של ג'יבריל ב-1985?</t>
  </si>
  <si>
    <t xml:space="preserve">האם לערביי יו"ש ועזה יש זכות לפנות לבג"ץ? </t>
  </si>
  <si>
    <t>האם לערביי יו"ש ועזה יש זכות הצבעה לכנסת?</t>
  </si>
  <si>
    <t>יש האומרים שאפשר לתת אמון ברוב האנשים ואילו יש האומרים שצריכים להיות זהירים מאוד במגע עם אנשים. כיצד אתה מרגיש?</t>
  </si>
  <si>
    <t>האם לדעתך רוב האנשים נוטים יותר לעזור לאחרים או לדאוג לעצמם?</t>
  </si>
  <si>
    <t>לפניך רשימה של ערכים. עבור על כל הרשימה וציין מביניהם את הערך החשוב לך ביותר.</t>
  </si>
  <si>
    <t>איזה מהמשפטים הבאים משקף בצורה הטובה ביותר את עמדתך לגבי החברה בה אנו חיים?</t>
  </si>
  <si>
    <r>
      <t xml:space="preserve">באיזו מידה אתה מסכים או מתנגד לכל אחד מהמשפטים הבאים: </t>
    </r>
    <r>
      <rPr>
        <b/>
        <sz val="11"/>
        <color theme="1"/>
        <rFont val="Calibri"/>
        <family val="2"/>
        <scheme val="minor"/>
      </rPr>
      <t>אם אדם לא דואג לעצמו, אף אחד לא ידאג לו</t>
    </r>
  </si>
  <si>
    <t>החיים הם בעיקרם מאבק להמשיך ולהתקיים</t>
  </si>
  <si>
    <t>פשרה עם יריבים פוליטיים מסוכנת כי בדר"כ היא מביאה לבגידה בעקרונות</t>
  </si>
  <si>
    <t>קבוצה המאפשרת הבדלי דעות מרובים מדי בין חבריה איננה יכולה להתקיים זמן רב</t>
  </si>
  <si>
    <t>ההשקפות בעולם נחלקות לשתי קבוצות: אלו שהן נכונות ואלו שאינן נכונות. בהתאם לכך נחלקים גם האנשים לשתי קבוצות: אלו התומכים בהשקפות נכונות ואלו התומכים בהשקפות לא נכונות</t>
  </si>
  <si>
    <t>רוב הרעיונות הנכתבים כיום אינם שווים את הנייר עליו הם מודפסים</t>
  </si>
  <si>
    <t>לטווח הארוך, הדרך הטובה ביותר היא לבחור חברים ושותפים שדעותיהם וטעמיהם זהים לשלך</t>
  </si>
  <si>
    <t>רוב האנשים לא יודעים מה טוב בשבילם</t>
  </si>
  <si>
    <t>מהי הרגשתך לגבי ארה"ב? האם יש לך דעה טובה או רעה עליה?</t>
  </si>
  <si>
    <t>לאן, בכל זאת נוטה דעתך לגבי ארה"ב, לכיוון דעה טובה או לכיוון דעה רעה?</t>
  </si>
  <si>
    <t>כיצד היית מתאר את היחסים הנוכחיים בין ישראל לארה"ב?</t>
  </si>
  <si>
    <t>באיזו מידה ישראל יכולה לסמוך לדעתך על ארה"ב כספקית נשק?</t>
  </si>
  <si>
    <t>האם מוצדק או לא מוצדק לדעתך שישראל תרגל בארה"ב לשם השגת מידע החיוני לבטחוננו?</t>
  </si>
  <si>
    <t>האם מוצדק או לא מוצדק לדעתך שארה"ב תרגל בישראל לשם השגת מידע החיוני לבטחונה?</t>
  </si>
  <si>
    <t>לפניך סולם בן 7 דרגות המתאר את הסיכויים לפריצת מלחמת עולם במהלך 10 השנים הקרובות. מהי הערכתך שלך?</t>
  </si>
  <si>
    <t>באיזו מידה אתה מרוצה או לא מרוצה מהחיים שאתה מנהל?</t>
  </si>
  <si>
    <t>באיזו שנה השתתפת לראשונה בבחירות לכנסת?</t>
  </si>
  <si>
    <t>עבור איזו מפלגה הצבעת בפעם הראשונה שבה השתתפת בבחירות לכנסת?</t>
  </si>
  <si>
    <t>עבור איזו מפלגה הצביע אביך בבחירות האחרונות לכנסת?</t>
  </si>
  <si>
    <t>עבור איזו מפלגה הצביעה אימך בבחירות האחרונות לכנסת?</t>
  </si>
  <si>
    <t>עבור איזו מפלגה הצביע/ה בן/בת זוגך בבחירות האחרונות לכנסת?</t>
  </si>
  <si>
    <t>האם אתה חושב שאתה מושפע מהדרך שבה בני משפחתך האחרים מצביעים?</t>
  </si>
  <si>
    <t>מי מבני משפחתך השפיע במידה הרבה ביותר לדעתך על דרך הצבעתך?</t>
  </si>
  <si>
    <t>מי מבין הקבוצות החברתיות הבאות משפיעה לדעתך במידה הרבה ביותר על דרך הצבעתך?</t>
  </si>
  <si>
    <t>באיזו מידה חשוב או לא חשוב לך שלא להחשב חריג בקרב בני משפחתך באשר לעמדותיך הפוליטיות?</t>
  </si>
  <si>
    <t>עם מי מבני משפחתך הינך משוחח כיום על עניינים פוליטיים במידה הרבה ביותר?</t>
  </si>
  <si>
    <t>בתקופה בה התגוררת בבית הוריך, עם מי נהגת לשוחח על עניינים פוליטיים במידה הרבה ביותר?</t>
  </si>
  <si>
    <t>כאשר יש לך עמדה ברורה בנושא מסויים, האם אתה מנסה לשכנע את בני משפחתך, חבריך ועמיתך לעבודה בצדקת עמדתך?</t>
  </si>
  <si>
    <t>האם אתה רוצה או לא רוצה לחיות בארץ לטווח הארוך?</t>
  </si>
  <si>
    <t>מה מבין הדברים הבאים הוא הגורם העיקרי לדעתך המעורר ספיקות בקשר לרצון לחיות בארץ אצל אותם אנשים בהם מתעוררים ספיקות אלה?</t>
  </si>
  <si>
    <t>סה"כ איך היית מתאר את הרגשתך כיום - האם היית אומר שאתה מאושר מאוד, די מאושר, או לא כ"כ מאושר?</t>
  </si>
  <si>
    <t>האם אתה משרת כיום במילואים?</t>
  </si>
  <si>
    <t>כמה ימי מילואים שירתת בשנה האחרונה?</t>
  </si>
  <si>
    <t>האם במילואים אתה משרת/שירתת בתפקיד קרבי או לא קרבי?</t>
  </si>
  <si>
    <t>כמה שנים שיררת בשירות סדיר?</t>
  </si>
  <si>
    <t>האם בשירות הסדיר היית בתפקיד קרבי או לא קרבי?</t>
  </si>
  <si>
    <t>מהי דרגתך הצבאית כיום או באיזו דרגה השתחררת משירות מילואים?</t>
  </si>
  <si>
    <t>האם נלחמת באחת או יותר ממלחמות ישראל?</t>
  </si>
  <si>
    <t>באיזו מידה היית מרוצה או לא מרוצה משרותך הצבאי?</t>
  </si>
  <si>
    <t>מאיזו סיבה לא שירתת בצה"ל?</t>
  </si>
  <si>
    <t>האם בן משפחה קרוב שלך משרת כיום בצה"ל?</t>
  </si>
  <si>
    <t>a100</t>
  </si>
  <si>
    <r>
      <t xml:space="preserve">האם יש לך ילדים בקבוצת הגיל הבאה: </t>
    </r>
    <r>
      <rPr>
        <b/>
        <sz val="11"/>
        <color theme="1"/>
        <rFont val="Calibri"/>
        <family val="2"/>
        <scheme val="minor"/>
      </rPr>
      <t>עד גיל 16</t>
    </r>
  </si>
  <si>
    <r>
      <t xml:space="preserve">האם יש לך ילדים בקבוצת הגיל הבאה: </t>
    </r>
    <r>
      <rPr>
        <b/>
        <sz val="11"/>
        <color theme="1"/>
        <rFont val="Calibri"/>
        <family val="2"/>
        <scheme val="minor"/>
      </rPr>
      <t>16-18</t>
    </r>
  </si>
  <si>
    <r>
      <t xml:space="preserve">האם יש לך ילדים בקבוצת הגיל הבאה: </t>
    </r>
    <r>
      <rPr>
        <b/>
        <sz val="11"/>
        <color theme="1"/>
        <rFont val="Calibri"/>
        <family val="2"/>
        <scheme val="minor"/>
      </rPr>
      <t>19-23</t>
    </r>
  </si>
  <si>
    <t>a111</t>
  </si>
  <si>
    <t>האם אתה קורא ספרות בנושאים בטחוניים?</t>
  </si>
  <si>
    <t>כאשר אתה נפגש עם חבריך, האם אתם דנים על עניינים פוליטיים?</t>
  </si>
  <si>
    <t>האם תקופות מלחמת העולם ה-2 היית באחת מארצות אירופה שהיו תחת כיבוש נאצי?</t>
  </si>
  <si>
    <t>האם מישהו מבני משפחתך הקרובה עבר חלילה את השואה בארץ שהייתה תחת כיבוש נאצי?</t>
  </si>
  <si>
    <t>האם מישהו מבני משפחתך הקרובה נפטר או נפגע קשה חלילה בשואה?</t>
  </si>
  <si>
    <t>האם אתה או מישהו מבני משפחתך נפצע חלילה בשירות בצה"ל?</t>
  </si>
  <si>
    <t>האם מישהו מבני משפחתך נהרג חלילה בשירות בצה"ל?</t>
  </si>
  <si>
    <t>1988*</t>
  </si>
  <si>
    <t>b2</t>
  </si>
  <si>
    <t>f6</t>
  </si>
  <si>
    <t>b3</t>
  </si>
  <si>
    <t>f7</t>
  </si>
  <si>
    <t>b5</t>
  </si>
  <si>
    <t>f8</t>
  </si>
  <si>
    <t>f9</t>
  </si>
  <si>
    <t>f10</t>
  </si>
  <si>
    <t>f11</t>
  </si>
  <si>
    <t>f13</t>
  </si>
  <si>
    <t>f15</t>
  </si>
  <si>
    <t>f16</t>
  </si>
  <si>
    <t>האם לדעתך יש או אין לעשות ויתור טריטוריאלי כלשהו ביו"ש כדי להגיע להסכם שלום; אם כן, מהו הויתור הגדול ביותר שיש לעשות לדעתך?</t>
  </si>
  <si>
    <t>f17</t>
  </si>
  <si>
    <t>f19</t>
  </si>
  <si>
    <t>f20</t>
  </si>
  <si>
    <t>f18</t>
  </si>
  <si>
    <t>f21</t>
  </si>
  <si>
    <t>f22</t>
  </si>
  <si>
    <t>f23</t>
  </si>
  <si>
    <t>f41</t>
  </si>
  <si>
    <t>f43</t>
  </si>
  <si>
    <t>f29</t>
  </si>
  <si>
    <t>f34</t>
  </si>
  <si>
    <t>f35</t>
  </si>
  <si>
    <t>f32</t>
  </si>
  <si>
    <t>b18</t>
  </si>
  <si>
    <t>f24</t>
  </si>
  <si>
    <t>f25</t>
  </si>
  <si>
    <t>f26</t>
  </si>
  <si>
    <t>f27</t>
  </si>
  <si>
    <t>f28</t>
  </si>
  <si>
    <t>f30</t>
  </si>
  <si>
    <t>f31</t>
  </si>
  <si>
    <t>f33</t>
  </si>
  <si>
    <t>f36</t>
  </si>
  <si>
    <t>f37</t>
  </si>
  <si>
    <t>f38</t>
  </si>
  <si>
    <t>f39</t>
  </si>
  <si>
    <t>f40</t>
  </si>
  <si>
    <t>f42</t>
  </si>
  <si>
    <t>f44</t>
  </si>
  <si>
    <t>f45</t>
  </si>
  <si>
    <t>f46</t>
  </si>
  <si>
    <t>f47</t>
  </si>
  <si>
    <t>האם ההתקוממות בשטחים (האינתיפאדה) שינתה או לא שינתה את עמדותייך לגבי המצב הבטחוני והפוליטי?</t>
  </si>
  <si>
    <t>f48</t>
  </si>
  <si>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שלך?</t>
    </r>
  </si>
  <si>
    <r>
      <t xml:space="preserve">האם בגלל ההתקוממות בשטחים (האינתיפאדה) השתנו או לא השתנו לגביך כל אחד מן הדברים הבאים: </t>
    </r>
    <r>
      <rPr>
        <b/>
        <sz val="11"/>
        <color theme="1"/>
        <rFont val="Calibri"/>
        <family val="2"/>
        <scheme val="minor"/>
      </rPr>
      <t>מצב הרוח הלאומי?</t>
    </r>
  </si>
  <si>
    <r>
      <t xml:space="preserve">האם בגלל ההתקוממות בשטחים (האינתיפאדה) השתנו או לא השתנו לגביך כל אחד מן הדברים הבאים: </t>
    </r>
    <r>
      <rPr>
        <b/>
        <sz val="11"/>
        <color theme="1"/>
        <rFont val="Calibri"/>
        <family val="2"/>
        <scheme val="minor"/>
      </rPr>
      <t>הפעילות הפוליטית שלך?</t>
    </r>
  </si>
  <si>
    <r>
      <t xml:space="preserve">האם בגלל ההתקוממות בשטחים (האינתיפאדה) השתנו או לא השתנו לגביך כל אחד מן הדברים הבאים: </t>
    </r>
    <r>
      <rPr>
        <b/>
        <sz val="11"/>
        <color theme="1"/>
        <rFont val="Calibri"/>
        <family val="2"/>
        <scheme val="minor"/>
      </rPr>
      <t>רצונך לחיות בארץ?</t>
    </r>
  </si>
  <si>
    <t>f49</t>
  </si>
  <si>
    <t>f50</t>
  </si>
  <si>
    <t>f52</t>
  </si>
  <si>
    <t>f53</t>
  </si>
  <si>
    <r>
      <t xml:space="preserve">האם בגלל ההתקוממות בשטחים (האינתיפאדה) השתנו או לא השתנו לגביך כל אחד מן הדברים הבאים: </t>
    </r>
    <r>
      <rPr>
        <b/>
        <sz val="11"/>
        <color theme="1"/>
        <rFont val="Calibri"/>
        <family val="2"/>
        <scheme val="minor"/>
      </rPr>
      <t>הערכתך לגבי תוצאות הבחירות?</t>
    </r>
  </si>
  <si>
    <t>f51</t>
  </si>
  <si>
    <r>
      <t xml:space="preserve">האם בגלל ההתקוממות בשטחים (האינתיפאדה) השתנו או לא השתנו לגביך כל אחד מן הדברים הבאים: </t>
    </r>
    <r>
      <rPr>
        <b/>
        <sz val="11"/>
        <color theme="1"/>
        <rFont val="Calibri"/>
        <family val="2"/>
        <scheme val="minor"/>
      </rPr>
      <t>ההצבעה שלך?</t>
    </r>
  </si>
  <si>
    <t>f54</t>
  </si>
  <si>
    <r>
      <t xml:space="preserve">האם בגלל ההתקוממות בשטחים (האינתיפאדה) השתנו או לא השתנו לגביך כל אחד מן הדברים הבאים: </t>
    </r>
    <r>
      <rPr>
        <b/>
        <sz val="11"/>
        <color theme="1"/>
        <rFont val="Calibri"/>
        <family val="2"/>
        <scheme val="minor"/>
      </rPr>
      <t>היחס שלך לערבים?</t>
    </r>
  </si>
  <si>
    <t>f55</t>
  </si>
  <si>
    <t>f56</t>
  </si>
  <si>
    <t>f57</t>
  </si>
  <si>
    <t>f58</t>
  </si>
  <si>
    <t>f60</t>
  </si>
  <si>
    <t>באיזו מידה הדעות של בני משפחתך בנושאי השטחים ומדיניות הבטחון דומות לדעות שלך?</t>
  </si>
  <si>
    <t>f61</t>
  </si>
  <si>
    <t>f62</t>
  </si>
  <si>
    <t>f63</t>
  </si>
  <si>
    <t>f64</t>
  </si>
  <si>
    <t>להסתדרות (באמצעות חברת עובדים) יש מפעלים כלכליים כמו כור, סולל-בונה, סופרמרקטים וכו'. האם לדעתך זה בסדר או לא בסדר שיש להסתדרות מפעלים כלכליים?</t>
  </si>
  <si>
    <t>f65</t>
  </si>
  <si>
    <t>f66</t>
  </si>
  <si>
    <t>f67</t>
  </si>
  <si>
    <t>f68</t>
  </si>
  <si>
    <t>f69</t>
  </si>
  <si>
    <t>f70</t>
  </si>
  <si>
    <t>f71</t>
  </si>
  <si>
    <t>f72</t>
  </si>
  <si>
    <t>f73</t>
  </si>
  <si>
    <t>f74</t>
  </si>
  <si>
    <t>f75</t>
  </si>
  <si>
    <t>f76</t>
  </si>
  <si>
    <t>לפניך רשימת קבוצות פוליטיות שונות, אשר אהודות על חלקים מסויימים בציבור ואינן אהודות על חלקים אחרים. אנא סמן איזו מבין הקבוצות האלו אהודה עליך פחות מכל</t>
  </si>
  <si>
    <t>f77</t>
  </si>
  <si>
    <r>
      <t xml:space="preserve">באיזו מידה אתה מסכים או לא מסכים לכל אחד מהדברים הבאים בהקשר לקבוצה שאתה מתנגד לה ביותר: </t>
    </r>
    <r>
      <rPr>
        <b/>
        <sz val="11"/>
        <color theme="1"/>
        <rFont val="Calibri"/>
        <family val="2"/>
        <scheme val="minor"/>
      </rPr>
      <t>יש לאסור על חבר הקבוצה להיות ראש ממשלה</t>
    </r>
  </si>
  <si>
    <t>f79</t>
  </si>
  <si>
    <t>f80</t>
  </si>
  <si>
    <t>f81</t>
  </si>
  <si>
    <t>f82</t>
  </si>
  <si>
    <t>f83</t>
  </si>
  <si>
    <t>b80</t>
  </si>
  <si>
    <t>יש להוציא את הקבוצה מחוץ לחוק</t>
  </si>
  <si>
    <t>יש להרשות לחברי הקבוצה להופיע בטלוויזיה</t>
  </si>
  <si>
    <t>יש לצוטט לשיחות טלפון של חברי הקבוצה</t>
  </si>
  <si>
    <t>יש להרשות לקבוצה לקיים הפגנות</t>
  </si>
  <si>
    <r>
      <t xml:space="preserve">לגבי כל אחת מהקבוצות הבאות אתה מתבקש לציין באיזו מידה אתה בעד או נגד הוצאתה מחוץ לחוק: </t>
    </r>
    <r>
      <rPr>
        <b/>
        <sz val="11"/>
        <color theme="1"/>
        <rFont val="Calibri"/>
        <family val="2"/>
        <scheme val="minor"/>
      </rPr>
      <t>הרשימה המתקדמת לשלום</t>
    </r>
  </si>
  <si>
    <r>
      <t xml:space="preserve">לגבי כל אחת מהקבוצות הבאות אתה מתבקש לציין באיזו מידה אתה בעד או נגד הוצאתה מחוץ לחוק: </t>
    </r>
    <r>
      <rPr>
        <b/>
        <sz val="11"/>
        <color theme="1"/>
        <rFont val="Calibri"/>
        <family val="2"/>
        <scheme val="minor"/>
      </rPr>
      <t>כ"ך (כהנא)</t>
    </r>
  </si>
  <si>
    <r>
      <t xml:space="preserve">לגבי כל אחת מהקבוצות הבאות אתה מתבקש לציין באיזו מידה אתה בעד או נגד הוצאתה מחוץ לחוק: </t>
    </r>
    <r>
      <rPr>
        <b/>
        <sz val="11"/>
        <color theme="1"/>
        <rFont val="Calibri"/>
        <family val="2"/>
        <scheme val="minor"/>
      </rPr>
      <t>רק"ח</t>
    </r>
  </si>
  <si>
    <r>
      <t xml:space="preserve">לגבי כל אחת מהקבוצות הבאות אתה מתבקש לציין באיזו מידה אתה בעד או נגד הוצאתה מחוץ לחוק: </t>
    </r>
    <r>
      <rPr>
        <b/>
        <sz val="11"/>
        <color theme="1"/>
        <rFont val="Calibri"/>
        <family val="2"/>
        <scheme val="minor"/>
      </rPr>
      <t>גוש אמונים</t>
    </r>
  </si>
  <si>
    <r>
      <t xml:space="preserve">לגבי כל אחת מהקבוצות הבאות אתה מתבקש לציין באיזו מידה אתה בעד או נגד הוצאתה מחוץ לחוק: </t>
    </r>
    <r>
      <rPr>
        <b/>
        <sz val="11"/>
        <color theme="1"/>
        <rFont val="Calibri"/>
        <family val="2"/>
        <scheme val="minor"/>
      </rPr>
      <t>שלום עכשיו</t>
    </r>
  </si>
  <si>
    <t>f84</t>
  </si>
  <si>
    <t>f85</t>
  </si>
  <si>
    <t>f86</t>
  </si>
  <si>
    <t>f87</t>
  </si>
  <si>
    <t>f88</t>
  </si>
  <si>
    <r>
      <t xml:space="preserve">להלן מספר משפטים שנאמרו ע"י אנשים ביחס לערבים אזרחי ישראל. לגבי כל אחד מהם אתה מתבקש לציין באיזו מידה אתה מסכים או לא מסכים עימו: </t>
    </r>
    <r>
      <rPr>
        <b/>
        <sz val="11"/>
        <color theme="1"/>
        <rFont val="Calibri"/>
        <family val="2"/>
        <scheme val="minor"/>
      </rPr>
      <t>יש לאסור על ערבי להיות ראש ממשלה</t>
    </r>
  </si>
  <si>
    <t>יש להרשות לערבים לנאום באסיפות ציבוריות ולהופיע בטלוויזיה</t>
  </si>
  <si>
    <t>יש לצוטט לשיחות טלפון של ערבים</t>
  </si>
  <si>
    <t>יש לעודד הגירת ערבים מן הארץ</t>
  </si>
  <si>
    <t>יש להרשות לערבים לקיים הפגנות</t>
  </si>
  <si>
    <t>b92</t>
  </si>
  <si>
    <t>f89</t>
  </si>
  <si>
    <t>f90</t>
  </si>
  <si>
    <t>f91</t>
  </si>
  <si>
    <t>f92</t>
  </si>
  <si>
    <t>f93</t>
  </si>
  <si>
    <t>b94</t>
  </si>
  <si>
    <t>f94</t>
  </si>
  <si>
    <t>b95</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</si>
  <si>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שמבטיחה את עתיד המדינה</t>
    </r>
  </si>
  <si>
    <t>b96</t>
  </si>
  <si>
    <t>f96</t>
  </si>
  <si>
    <t>b97</t>
  </si>
  <si>
    <t>f97</t>
  </si>
  <si>
    <t>b98</t>
  </si>
  <si>
    <t>f98</t>
  </si>
  <si>
    <t>f99</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</si>
  <si>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שנותנת ייצוג הולם לעדות המזרח</t>
    </r>
  </si>
  <si>
    <t>f100</t>
  </si>
  <si>
    <t>b100</t>
  </si>
  <si>
    <t>b101</t>
  </si>
  <si>
    <t>b111</t>
  </si>
  <si>
    <t>b121</t>
  </si>
  <si>
    <t>f101</t>
  </si>
  <si>
    <t>b102</t>
  </si>
  <si>
    <t>f102</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</si>
  <si>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עדתית</t>
    </r>
  </si>
  <si>
    <t>b103</t>
  </si>
  <si>
    <t>f103</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</si>
  <si>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לשמור על כמות השטחים הנחוצה למדינה</t>
    </r>
  </si>
  <si>
    <t>b104</t>
  </si>
  <si>
    <t>f104</t>
  </si>
  <si>
    <t>b105</t>
  </si>
  <si>
    <t>f105</t>
  </si>
  <si>
    <t>b106</t>
  </si>
  <si>
    <t>f106</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</si>
  <si>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איך ומתי להוביל למלחמה מוצלחת</t>
    </r>
  </si>
  <si>
    <t>b107</t>
  </si>
  <si>
    <t>f107</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</si>
  <si>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לאומית</t>
    </r>
  </si>
  <si>
    <t>b108</t>
  </si>
  <si>
    <t>f108</t>
  </si>
  <si>
    <t>b110</t>
  </si>
  <si>
    <t>f109</t>
  </si>
  <si>
    <t>f110</t>
  </si>
  <si>
    <t>b112</t>
  </si>
  <si>
    <t>f111</t>
  </si>
  <si>
    <t>b113</t>
  </si>
  <si>
    <t>f112</t>
  </si>
  <si>
    <t>b114</t>
  </si>
  <si>
    <t>f113</t>
  </si>
  <si>
    <t>b115</t>
  </si>
  <si>
    <t>f114</t>
  </si>
  <si>
    <t>b116</t>
  </si>
  <si>
    <t>f115</t>
  </si>
  <si>
    <r>
      <t>מה יחסך ל</t>
    </r>
    <r>
      <rPr>
        <b/>
        <sz val="11"/>
        <color theme="1"/>
        <rFont val="Calibri"/>
        <family val="2"/>
        <scheme val="minor"/>
      </rPr>
      <t>אשכנזים</t>
    </r>
    <r>
      <rPr>
        <sz val="11"/>
        <color theme="1"/>
        <rFont val="Calibri"/>
        <family val="2"/>
        <charset val="177"/>
        <scheme val="minor"/>
      </rPr>
      <t>?</t>
    </r>
  </si>
  <si>
    <t>b117</t>
  </si>
  <si>
    <t>f116</t>
  </si>
  <si>
    <r>
      <t xml:space="preserve">ועל אותו סולם, מה יחסך לאישים הבאים? </t>
    </r>
    <r>
      <rPr>
        <b/>
        <sz val="11"/>
        <color theme="1"/>
        <rFont val="Calibri"/>
        <family val="2"/>
        <scheme val="minor"/>
      </rPr>
      <t>דוד לוי</t>
    </r>
  </si>
  <si>
    <t>b118</t>
  </si>
  <si>
    <t>f117</t>
  </si>
  <si>
    <r>
      <t xml:space="preserve">ועל אותו סולם, מה יחסך לאישים הבאים? </t>
    </r>
    <r>
      <rPr>
        <b/>
        <sz val="11"/>
        <color theme="1"/>
        <rFont val="Calibri"/>
        <family val="2"/>
        <scheme val="minor"/>
      </rPr>
      <t>יצחק נבון</t>
    </r>
  </si>
  <si>
    <t>b119</t>
  </si>
  <si>
    <t>f118</t>
  </si>
  <si>
    <r>
      <t>מה יחסך ל</t>
    </r>
    <r>
      <rPr>
        <b/>
        <sz val="11"/>
        <color theme="1"/>
        <rFont val="Calibri"/>
        <family val="2"/>
        <scheme val="minor"/>
      </rPr>
      <t>ספרדים</t>
    </r>
    <r>
      <rPr>
        <sz val="11"/>
        <color theme="1"/>
        <rFont val="Calibri"/>
        <family val="2"/>
        <charset val="177"/>
        <scheme val="minor"/>
      </rPr>
      <t>?</t>
    </r>
  </si>
  <si>
    <t>b120</t>
  </si>
  <si>
    <t>f119</t>
  </si>
  <si>
    <t>f120</t>
  </si>
  <si>
    <r>
      <t xml:space="preserve">ועל אותו סולם, מה יחסך לאישים הבאים? </t>
    </r>
    <r>
      <rPr>
        <b/>
        <sz val="11"/>
        <color theme="1"/>
        <rFont val="Calibri"/>
        <family val="2"/>
        <scheme val="minor"/>
      </rPr>
      <t>מנחם בגין</t>
    </r>
  </si>
  <si>
    <t>b122</t>
  </si>
  <si>
    <t>f121</t>
  </si>
  <si>
    <t>b123</t>
  </si>
  <si>
    <t>f122</t>
  </si>
  <si>
    <t>f123</t>
  </si>
  <si>
    <t>b124</t>
  </si>
  <si>
    <r>
      <t xml:space="preserve">ועל אותו סולם, מה יחסך לאישים הבאים? </t>
    </r>
    <r>
      <rPr>
        <b/>
        <sz val="11"/>
        <color theme="1"/>
        <rFont val="Calibri"/>
        <family val="2"/>
        <scheme val="minor"/>
      </rPr>
      <t>הרב כהנא</t>
    </r>
  </si>
  <si>
    <t>f124</t>
  </si>
  <si>
    <t>b125</t>
  </si>
  <si>
    <t>b126</t>
  </si>
  <si>
    <t>f125</t>
  </si>
  <si>
    <t>g6</t>
  </si>
  <si>
    <t>g7</t>
  </si>
  <si>
    <r>
      <t xml:space="preserve">באיזו מידה אתה מסכים או לא מסכים עם המשפטים הבאים: </t>
    </r>
    <r>
      <rPr>
        <b/>
        <sz val="11"/>
        <color theme="1"/>
        <rFont val="Calibri"/>
        <family val="2"/>
        <scheme val="minor"/>
      </rPr>
      <t>ליהודים שמבצעים פעולות לא חוקיות נגד ערבים יש לתת עונשים קלים יותר מאשר לערבים שמבצעים פעולות דומות נגד יהודים</t>
    </r>
  </si>
  <si>
    <t>g8</t>
  </si>
  <si>
    <r>
      <t xml:space="preserve">באיזו מידה אתה מסכים או לא מסכים עם המשפטים הבאים: </t>
    </r>
    <r>
      <rPr>
        <b/>
        <sz val="11"/>
        <color theme="1"/>
        <rFont val="Calibri"/>
        <family val="2"/>
        <scheme val="minor"/>
      </rPr>
      <t>מספר מנהיגים חזקים יכולים להועיל למדינה יותר מכל הדיונים והחוקים</t>
    </r>
  </si>
  <si>
    <t>g9</t>
  </si>
  <si>
    <r>
      <t xml:space="preserve">באיזו מידה אתה מסכים או לא מסכים עם המשפטים הבאים: </t>
    </r>
    <r>
      <rPr>
        <b/>
        <sz val="11"/>
        <color theme="1"/>
        <rFont val="Calibri"/>
        <family val="2"/>
        <scheme val="minor"/>
      </rPr>
      <t xml:space="preserve">לכל אדם צריכות להיות אותן זכויות בפני החוק ללא קשר עם עמדותיו הפוליטיות </t>
    </r>
  </si>
  <si>
    <t>g10</t>
  </si>
  <si>
    <t>g11</t>
  </si>
  <si>
    <r>
      <t xml:space="preserve">באיזו מידה אתה מסכים או לא מסכים עם המשפטים הבאים: </t>
    </r>
    <r>
      <rPr>
        <b/>
        <sz val="11"/>
        <color theme="1"/>
        <rFont val="Calibri"/>
        <family val="2"/>
        <scheme val="minor"/>
      </rPr>
      <t xml:space="preserve">יש לאפשר לקבוצות או אנשים שבמיעוט לפעול כדי להשיג את תמיכת הרוב לעמדותיהם </t>
    </r>
  </si>
  <si>
    <r>
      <t xml:space="preserve">באיזו מידה אתה מסכים או לא מסכים עם המשפטים הבאים: </t>
    </r>
    <r>
      <rPr>
        <b/>
        <sz val="11"/>
        <color theme="1"/>
        <rFont val="Calibri"/>
        <family val="2"/>
        <scheme val="minor"/>
      </rPr>
      <t>אני מאמין בחופש ביטוי לכל האנשים ללא קשר לעמדותיהם</t>
    </r>
  </si>
  <si>
    <t>g12</t>
  </si>
  <si>
    <r>
      <t xml:space="preserve">באיזו מידה אתה מסכים או לא מסכים עם המשפטים הבאים: </t>
    </r>
    <r>
      <rPr>
        <b/>
        <sz val="11"/>
        <color theme="1"/>
        <rFont val="Calibri"/>
        <family val="2"/>
        <scheme val="minor"/>
      </rPr>
      <t>יש מצבים בהם נראה כי עדיף שאנשים יקחו בעצמם את החוק לידיהם</t>
    </r>
  </si>
  <si>
    <t>g13</t>
  </si>
  <si>
    <t>g14</t>
  </si>
  <si>
    <t>g15</t>
  </si>
  <si>
    <t>g16</t>
  </si>
  <si>
    <t>כידוע לך נבחרים כעת חברי כנסת בבחירות כלל ארציות. יש הצעה להנהיג שיטה לפיה חלק מהם ייבחרו בבחירות אזוריות. האם אתה חושב שצריך להמשיך בשיטה הקיימת או לשנות את השיטה?</t>
  </si>
  <si>
    <t>g17</t>
  </si>
  <si>
    <t>g18</t>
  </si>
  <si>
    <t>g20</t>
  </si>
  <si>
    <t>g22</t>
  </si>
  <si>
    <t>g24</t>
  </si>
  <si>
    <t>g26</t>
  </si>
  <si>
    <t>במידה ואביך מתכונן להצביע בבחירות הקרובות, לאיזו מפלגה בכוונתו להצביע?</t>
  </si>
  <si>
    <t>g30</t>
  </si>
  <si>
    <t>g32</t>
  </si>
  <si>
    <t>במידה ואימך מתכונן להצביע בבחירות הקרובות, לאיזו מפלגה בכוונתו להצביע?</t>
  </si>
  <si>
    <t>g35</t>
  </si>
  <si>
    <t>g34</t>
  </si>
  <si>
    <t>האם אתה בעד או נגד לבטל את משחקי הכדורגל בשבת?</t>
  </si>
  <si>
    <t>כמה אחוזים לדעתך בציבור הרחב הם בעד ביטול משחקי הכדורגל בשבת?</t>
  </si>
  <si>
    <t>g37</t>
  </si>
  <si>
    <t>g38</t>
  </si>
  <si>
    <t>לפי מה נתת את הערכה הזו? איך ידעת להגיד לי את האחוז הזה? האם היה משהו שחשבת עליו שעזר לך לתת את הערכה?</t>
  </si>
  <si>
    <t>g40</t>
  </si>
  <si>
    <t>האם אתה בעד או נגד שינוי הסטטוס של ישובים ערבים גדולים בארץ ממועצות מקומיות לערים?</t>
  </si>
  <si>
    <t>כמה אחוזים לדעתך בציבור היהודי מתנגדים לשינוי הסטטוס של ישובים ערבים גדולים לערים?</t>
  </si>
  <si>
    <t>g42</t>
  </si>
  <si>
    <t>g43</t>
  </si>
  <si>
    <t>g45</t>
  </si>
  <si>
    <t>כמה אחוזים בציבור חושבים שבשום תנאי אסור לישראל להשתמש בנשק גרעיני?</t>
  </si>
  <si>
    <t>g47</t>
  </si>
  <si>
    <t>g48</t>
  </si>
  <si>
    <t>g50</t>
  </si>
  <si>
    <t>האם אתה בעד או נגד ניתוק היחסים עם דרום אפריקה?</t>
  </si>
  <si>
    <t>כמה אחוזים בציבור לדעתך הם בעד ניתוק היחסים עם דרום אפריקה?</t>
  </si>
  <si>
    <t>g52</t>
  </si>
  <si>
    <t>g53</t>
  </si>
  <si>
    <t>g55</t>
  </si>
  <si>
    <t>האם לדעתך נטל השירות הצבאי במילואים מתחלק באופן צודק או לא צודק בין אנשי המילואים?</t>
  </si>
  <si>
    <t>כמה אחוזים בציבור חושבים שנטל השירות הצבאי במילואים מתחלק באופן לא צודק?</t>
  </si>
  <si>
    <t>g57</t>
  </si>
  <si>
    <t>g58</t>
  </si>
  <si>
    <t>g60</t>
  </si>
  <si>
    <t>g62</t>
  </si>
  <si>
    <t>g63</t>
  </si>
  <si>
    <t>g64</t>
  </si>
  <si>
    <t>g65</t>
  </si>
  <si>
    <t>g66</t>
  </si>
  <si>
    <t>g67</t>
  </si>
  <si>
    <t>g68</t>
  </si>
  <si>
    <t>g70</t>
  </si>
  <si>
    <t>g71</t>
  </si>
  <si>
    <t>g72</t>
  </si>
  <si>
    <t>עם איזה זרם פוליטי אתה מזדהה?</t>
  </si>
  <si>
    <t>g73</t>
  </si>
  <si>
    <t>g74</t>
  </si>
  <si>
    <t>g75</t>
  </si>
  <si>
    <t>g76</t>
  </si>
  <si>
    <t>c55</t>
  </si>
  <si>
    <t>האם יצא לך לשרת בשטחים מאז פרוץ המהומות שם? (האינתיפאדה)</t>
  </si>
  <si>
    <t>g77</t>
  </si>
  <si>
    <t>g78</t>
  </si>
  <si>
    <t>g80</t>
  </si>
  <si>
    <t>g82</t>
  </si>
  <si>
    <t>g83</t>
  </si>
  <si>
    <t>g84</t>
  </si>
  <si>
    <t>g85</t>
  </si>
  <si>
    <t>g86</t>
  </si>
  <si>
    <t>g87</t>
  </si>
  <si>
    <t>g91</t>
  </si>
  <si>
    <t>g93</t>
  </si>
  <si>
    <t>האם לדעתך קיימים הבדלים בעמדותיהן של המפלגות לגבי הבעיה שציינת?</t>
  </si>
  <si>
    <t>כל עוד לא מושגים פתרונות ביו"ש ועזה, האם אתה בעד תוספת זכויות אזרח לתושבי השטחים יותר ממה שיש להם היום, או דווקא בעד הפחתת הזכויות, או שיש להשאיר המצב כמו שהוא?</t>
  </si>
  <si>
    <t>באיזו מידה ישפיע או לא ישפיע לדעתך הנושא של פשרה טריטוריאלית על תוצאות הבחירות הקרובות לכנסת?</t>
  </si>
  <si>
    <t>מהי דעתך על הדרך בה מטפלת הממשלה בבעיות הכלכליות של המדינה?</t>
  </si>
  <si>
    <t>לאחרונה שמענו הרבה על אינפלציה בארץ. באיזו מידה אתה חושב שנושא זה ישפיע על תוצאות הבחירות הקורובת לכנסת?</t>
  </si>
  <si>
    <t>באיזו מידה ישפיע או לא ישפיע נושא האינפלציה על הצבעתך שלך בבחירות הקרובות לכנסת?</t>
  </si>
  <si>
    <t>איזו מפלגה משקפת בצורה הטובה ביותר את עמדותיך בנושא כלכלה?</t>
  </si>
  <si>
    <t>איזו מפלגה משקפת בצורה הטובה ביותר את עמדותיך בנושא חוץ ובטחון?</t>
  </si>
  <si>
    <t>בסך הכל, מי יטפל טוב יותר בכלל בעיות המדינה - הצוות של המערך או הצוות של הליכוד?</t>
  </si>
  <si>
    <r>
      <t xml:space="preserve">באיזו מידה אתה מסכים או לא מסכים עם המשפטים הבאים: </t>
    </r>
    <r>
      <rPr>
        <b/>
        <sz val="11"/>
        <color theme="1"/>
        <rFont val="Calibri"/>
        <family val="2"/>
        <scheme val="minor"/>
      </rPr>
      <t>הכי טוב היה להרוס את כל המוסדות ולהתחיל מחדש</t>
    </r>
  </si>
  <si>
    <t>האם חבריך מצביעים כמוך?</t>
  </si>
  <si>
    <t>האם חבריך לעבודה מצביעים כמוך?</t>
  </si>
  <si>
    <t>ממילא לא משנה עבור מי מצביעים כי זה לא משנה את המצב</t>
  </si>
  <si>
    <t>יש הטוענים שקולותיהם של הבוחרים אינם משנים מעשית את המדיניות של המדינה, האם לדעתך?</t>
  </si>
  <si>
    <r>
      <t xml:space="preserve">הרבה מדברים על שמאל וימין </t>
    </r>
    <r>
      <rPr>
        <b/>
        <sz val="11"/>
        <color theme="1"/>
        <rFont val="Calibri"/>
        <family val="2"/>
        <scheme val="minor"/>
      </rPr>
      <t>בתחום המדיני-ביטחוני</t>
    </r>
    <r>
      <rPr>
        <sz val="11"/>
        <color theme="1"/>
        <rFont val="Calibri"/>
        <family val="2"/>
        <charset val="177"/>
        <scheme val="minor"/>
      </rPr>
      <t>. כיצד היית מדרג את עצמך על רצף זה?</t>
    </r>
  </si>
  <si>
    <r>
      <t xml:space="preserve">הרבה מדברים על שמאל וימין </t>
    </r>
    <r>
      <rPr>
        <b/>
        <sz val="11"/>
        <color theme="1"/>
        <rFont val="Calibri"/>
        <family val="2"/>
        <scheme val="minor"/>
      </rPr>
      <t>בתחום הכלכלי</t>
    </r>
    <r>
      <rPr>
        <sz val="11"/>
        <color theme="1"/>
        <rFont val="Calibri"/>
        <family val="2"/>
        <charset val="177"/>
        <scheme val="minor"/>
      </rPr>
      <t>. כיצד היית מדרג את עצמך על רצף זה?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</si>
  <si>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צעירה-זקנה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</si>
  <si>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חזקה-חלשה</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</si>
  <si>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ימנית-שמאלית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</si>
  <si>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מיושנת-חדשנית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</si>
  <si>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מעמד בינוני-מעמד פועלים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</si>
  <si>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ספרדית-אשכנזית</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</si>
  <si>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דואגת בעיקר לעצמה-דואגת בעיקר לאזרחים</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</si>
  <si>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חסרת ניסיון-בעלת ניסיון</t>
    </r>
  </si>
  <si>
    <r>
      <t xml:space="preserve">לפניך סולמות בני 7 דרגות המתארים תכונות שונות של מפלגות. חשוב בבקשה על </t>
    </r>
    <r>
      <rPr>
        <u/>
        <sz val="11"/>
        <color theme="1"/>
        <rFont val="Calibri"/>
        <family val="2"/>
        <scheme val="minor"/>
      </rPr>
      <t>המפלגה האידיאלית</t>
    </r>
    <r>
      <rPr>
        <sz val="11"/>
        <color theme="1"/>
        <rFont val="Calibri"/>
        <family val="2"/>
        <charset val="177"/>
        <scheme val="minor"/>
      </rPr>
      <t xml:space="preserve"> אותה היית רוצה לראות בשלטון ודרג אותה על סולמות אלו: </t>
    </r>
    <r>
      <rPr>
        <b/>
        <sz val="11"/>
        <color theme="1"/>
        <rFont val="Calibri"/>
        <family val="2"/>
        <scheme val="minor"/>
      </rPr>
      <t>יונית-ניצית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</si>
  <si>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</si>
  <si>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</si>
  <si>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</si>
  <si>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</si>
  <si>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</si>
  <si>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</si>
  <si>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</si>
  <si>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</si>
  <si>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</si>
  <si>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</si>
  <si>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המערך</t>
    </r>
    <r>
      <rPr>
        <sz val="11"/>
        <color theme="1"/>
        <rFont val="Calibri"/>
        <family val="2"/>
        <charset val="177"/>
        <scheme val="minor"/>
      </rPr>
      <t xml:space="preserve"> על סולמות אלה: </t>
    </r>
    <r>
      <rPr>
        <b/>
        <sz val="11"/>
        <color theme="1"/>
        <rFont val="Calibri"/>
        <family val="2"/>
        <scheme val="minor"/>
      </rPr>
      <t>יונית-ניצית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</si>
  <si>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צעירה-זקנה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</si>
  <si>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חזקה-חלשה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</si>
  <si>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ימנית-שמאלית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</si>
  <si>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מיושנת-חדשנית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</si>
  <si>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מעמד ביניים-מעמד פועלים</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</si>
  <si>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ספרדית-אשכנזית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</si>
  <si>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דואגת בעיקר לעצמה-דואגת בעיקר לאזרח</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</si>
  <si>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ישרה-מושחתת</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</si>
  <si>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חסרת ניסיון-בעלת ניסיון</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</si>
  <si>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בלתי אמינה-אמינה</t>
    </r>
  </si>
  <si>
    <r>
      <t xml:space="preserve">עכשיו אתה מתבקש לדרג את </t>
    </r>
    <r>
      <rPr>
        <u/>
        <sz val="11"/>
        <color theme="1"/>
        <rFont val="Calibri"/>
        <family val="2"/>
        <scheme val="minor"/>
      </rPr>
      <t>הליכוד</t>
    </r>
    <r>
      <rPr>
        <sz val="11"/>
        <color theme="1"/>
        <rFont val="Calibri"/>
        <family val="2"/>
        <charset val="177"/>
        <scheme val="minor"/>
      </rPr>
      <t xml:space="preserve"> על סולמות אלה: </t>
    </r>
    <r>
      <rPr>
        <b/>
        <sz val="11"/>
        <color theme="1"/>
        <rFont val="Calibri"/>
        <family val="2"/>
        <scheme val="minor"/>
      </rPr>
      <t>יונית-ניצית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</si>
  <si>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שממנה אנשים מתאימים לתפקידים מרכזיים מבלי להתחשב ברקע העדתי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</si>
  <si>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שתדע לצאת מלבנון ולהבטיח את הגבול הצפוני</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</si>
  <si>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שמנצלת את עדות המזרח לצרכים פוליטיים</t>
    </r>
  </si>
  <si>
    <r>
      <t xml:space="preserve">איזו משתי המפלגות הגדולות אחראית יותר לדעתך לכל אחת מהתופעות הבאות בארץ: </t>
    </r>
    <r>
      <rPr>
        <b/>
        <sz val="11"/>
        <color theme="1"/>
        <rFont val="Calibri"/>
        <family val="2"/>
        <scheme val="minor"/>
      </rPr>
      <t>אלימות</t>
    </r>
  </si>
  <si>
    <r>
      <t xml:space="preserve">איזו משתי המפלגות הגדולות אחראית יותר לדעתך לכל אחת מהתופעות הבאות בארץ: </t>
    </r>
    <r>
      <rPr>
        <b/>
        <sz val="11"/>
        <color theme="1"/>
        <rFont val="Calibri"/>
        <family val="2"/>
        <scheme val="minor"/>
      </rPr>
      <t>ירידה מהארץ</t>
    </r>
  </si>
  <si>
    <r>
      <t xml:space="preserve">איזו משתי המפלגות הגדולות אחראית יותר לדעתך לכל אחת מהתופעות הבאות בארץ: </t>
    </r>
    <r>
      <rPr>
        <b/>
        <sz val="11"/>
        <color theme="1"/>
        <rFont val="Calibri"/>
        <family val="2"/>
        <scheme val="minor"/>
      </rPr>
      <t>אינפלציה גבוהה</t>
    </r>
  </si>
  <si>
    <r>
      <t xml:space="preserve">איזו משתי המפלגות הגדולות אחראית יותר לדעתך לכל אחת מהתופעות הבאות בארץ: </t>
    </r>
    <r>
      <rPr>
        <b/>
        <sz val="11"/>
        <color theme="1"/>
        <rFont val="Calibri"/>
        <family val="2"/>
        <scheme val="minor"/>
      </rPr>
      <t>מוסר ירוד (שחיתות)</t>
    </r>
  </si>
  <si>
    <r>
      <t xml:space="preserve">איזו משתי המפלגות הגדולות אחראית יותר לדעתך לכל אחת מהתופעות הבאות בארץ: </t>
    </r>
    <r>
      <rPr>
        <b/>
        <sz val="11"/>
        <color theme="1"/>
        <rFont val="Calibri"/>
        <family val="2"/>
        <scheme val="minor"/>
      </rPr>
      <t>פשע במדינה</t>
    </r>
  </si>
  <si>
    <r>
      <t xml:space="preserve">איזו משתי המפלגות הגדולות אחראית יותר לדעתך לכל אחת מהתופעות הבאות בארץ: </t>
    </r>
    <r>
      <rPr>
        <b/>
        <sz val="11"/>
        <color theme="1"/>
        <rFont val="Calibri"/>
        <family val="2"/>
        <scheme val="minor"/>
      </rPr>
      <t>פער עדתי</t>
    </r>
  </si>
  <si>
    <r>
      <t xml:space="preserve">מה יחסך לכל אחת מן המפלגות הבאות? </t>
    </r>
    <r>
      <rPr>
        <b/>
        <sz val="11"/>
        <color theme="1"/>
        <rFont val="Calibri"/>
        <family val="2"/>
        <scheme val="minor"/>
      </rPr>
      <t>העבודה/המערך</t>
    </r>
  </si>
  <si>
    <t>עד כמה אתה בטוח שתצביע כך (הרשימה שציין) בבחירות הקרובות?</t>
  </si>
  <si>
    <t>אם לא תצביע עבור רשימה זו (הרשימה שציין) עבור איזו רשימה תצביע אז?</t>
  </si>
  <si>
    <t>ארץ לידה/מוצא אב</t>
  </si>
  <si>
    <t>באיזו מידה לדעתך מקום עבודתך בסך הכל טוב יותר או פחות טוב ממקומות עבודה אחרים באותו ענף?</t>
  </si>
  <si>
    <t>באיזו מידה ההנהלה המקומית במקום עבודתך מתחשבת או לא מתחשבת בעובדים?</t>
  </si>
  <si>
    <t>אם יש הנהלה ארצית, באיזו מידה ההנהלה הארצית של החברה מתחשבת או לא מחשבת בעובדים?</t>
  </si>
  <si>
    <t>באיזו מידה תנאי העבודה והשכר במקום עבודתך טובים יותר או פחות ממקומות עבודה דומים באותו ענף?</t>
  </si>
  <si>
    <t>1981 - 3</t>
  </si>
  <si>
    <t>b4</t>
  </si>
  <si>
    <t>באיזו מידה חשוב או לא חשוב לך שבמדינת ישראל יהיה רוב של יהודים?</t>
  </si>
  <si>
    <t>יש כאלו שאומרים, שכדי שנוכל לשמור על רוב של יהודים במדינה, נצטרך להיות מוכנים לוותרים על שטחים ביו"ש. האם אתה מסכים או מתנגד לעמדה זו?</t>
  </si>
  <si>
    <t>אם נספח את יו"ש, נספח גם אוכלוסייה ערבית גדולה (כמיליון ורבע ערבים) ואז יש חשש כי בעוד כמה זמן יהיה במדינה רוב ערבי. בהתחשב בזה, האם אתה בעד או נגד ויתור על שטחים?</t>
  </si>
  <si>
    <t>עד כמה ברורה לך התכנית של שר האוצר הנוכחי, יורם ארידור?</t>
  </si>
  <si>
    <t>עד כמה ברורה לך התכנית הכלכלית של מועמד המערך לתפקיד שר האוצר, פרופ' חיים בן שחר?</t>
  </si>
  <si>
    <t>עד כמה התכנית הכלכלית של יורם ארידור עוזרת לאנשים כמוך?</t>
  </si>
  <si>
    <t>עד כמה התכנית הכלכלית של פרופ' חיים בן שחר עוזרת לאנשים כמוך?</t>
  </si>
  <si>
    <t>עד כמה התכנית הכלכלית של יורם ארידור עוזרת לכלכלה ולמשק של מדינת ישראל?</t>
  </si>
  <si>
    <t>עד כמה התכנית הכלכלית של פרופ' חיים בן שחר עוזרת לכלכלה ולמשק של מדינת ישראל?</t>
  </si>
  <si>
    <t>לאחרונה שמענו הרבה על תכנית ארידור. באיזו מידה אתה חושב שנושא זה ישפיע על תוצאות הבחירות הקרובות לכנסת?</t>
  </si>
  <si>
    <t>באיזו מידה תשפיע או לא תשפיע תכנית ארידור על הצבעתך שלך בבחירות הקרובות לכנסת?</t>
  </si>
  <si>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חזקה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</si>
  <si>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בעלת ניסיון</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</si>
  <si>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חדשנית</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</si>
  <si>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צעירה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</si>
  <si>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מייצגת אשכזים ומזרחים</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</si>
  <si>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דואגת בעיקר לאינטרסים של האזרח</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</si>
  <si>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ישרה</t>
    </r>
  </si>
  <si>
    <r>
      <t xml:space="preserve">לפניך רשימה של תכונות שונות של מפלגות. לגבי כל אחת מהן, ציין לאיזו מפלגה היא מתאימה ביותר: </t>
    </r>
    <r>
      <rPr>
        <b/>
        <sz val="11"/>
        <color theme="1"/>
        <rFont val="Calibri"/>
        <family val="2"/>
        <scheme val="minor"/>
      </rPr>
      <t>מפלגה אמינה</t>
    </r>
  </si>
  <si>
    <t>האם לדעתך הליכוד הינה רשימה ניצית או יונית?</t>
  </si>
  <si>
    <t>האם לדעתך המערך הינה רשימה ניצית או יונית?</t>
  </si>
  <si>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מביא תועלת למדינה-מביא נזק למדינה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</si>
  <si>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שקול בהתבטאויותיו-לא שקול בהיתבטאויותיו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</si>
  <si>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יציב-לא יציב</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</si>
  <si>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מנהיג שעבר זמנו-מנהיג שלא עבר זמנו</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</si>
  <si>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רה"מ גרוע-רה"מ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</si>
  <si>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שר בטחון גרוע-שר בטחון מצוין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</si>
  <si>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נתון למצבי רוח-לא נתון למצבי רוח</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</si>
  <si>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בריאותו אינו מאפשרת לו להמשיך בתפקיד-בריאותו מאפשרת לו להמשיך בתפקיד</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</si>
  <si>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הרפתקן-שקול ונבון</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</si>
  <si>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מקומו באופוזיציה-מקומו בשלטון</t>
    </r>
  </si>
  <si>
    <t>האם לדעתך חובה על כל יהודי העולם לעלות לישראל או לא?</t>
  </si>
  <si>
    <t>האם לדעתך יש להפריד את הדת מהמדינה או שאין להפריד בין הדת למדינה?</t>
  </si>
  <si>
    <t>לדעתך, מהו מצב מדיניות החוץ של המדינה כיום?</t>
  </si>
  <si>
    <t>ולפני ארבע שנים, מה היה מצב מדיניות החוץ של המדינה?</t>
  </si>
  <si>
    <t>ובעוד ארבע שנים, מה יהיה מצב מדיניות החוץ של המדינה?</t>
  </si>
  <si>
    <t>איפה עומדת המדינה, לדעתך מבחינה כלכלית היום?</t>
  </si>
  <si>
    <t>ולפני ארבע שנים, מה היה מצב המדינה מבחינה כלכלית?</t>
  </si>
  <si>
    <t>ובעוד ארבע שנים, מה יהיה מצב המדינה במבחינה כלכלית?</t>
  </si>
  <si>
    <t>האם לדעתך ההגדרות של שמאל וימין בפוליטיקה, הן בעלות משמעות כיום בישראל או לא?</t>
  </si>
  <si>
    <r>
      <t xml:space="preserve">הרבה מדברים על שמאל וימין </t>
    </r>
    <r>
      <rPr>
        <b/>
        <sz val="11"/>
        <color theme="1"/>
        <rFont val="Calibri"/>
        <family val="2"/>
        <scheme val="minor"/>
      </rPr>
      <t>בתחום מדיניות החוץ</t>
    </r>
    <r>
      <rPr>
        <sz val="11"/>
        <color theme="1"/>
        <rFont val="Calibri"/>
        <family val="2"/>
        <charset val="177"/>
        <scheme val="minor"/>
      </rPr>
      <t>. כיצד היית מדרג את עצמך על רצף זה?</t>
    </r>
  </si>
  <si>
    <t>האם לדעתך, לסקרים אלה יש או אין השפעה על הפוליטיקאים?</t>
  </si>
  <si>
    <t>האם אתה מתכנן נסיעה לחו"ל בקיץ הזה ואם כן, האם תהיה בארץ ביום הבחירות לכנסת?</t>
  </si>
  <si>
    <t>באיזו מידה אתה בטוח או שאינך בטוח בעד מי תצביע בבחירות לכנסת?</t>
  </si>
  <si>
    <t>מתי אתה מתכנן להחליט עבור איזו רשימה להצביע?</t>
  </si>
  <si>
    <t>לפני חודשיים בערך, ז"א לפני המשבר בלבנון ואחרי שהשר יורם ארידור פרסם את תכניתו הכלכלית, בעד מי חשבת להצביע?</t>
  </si>
  <si>
    <t>בהשוואה למצב לפני חודש, האם היית אומר כי היום אתה יודע יותר או פחות בעד מי להצביע?</t>
  </si>
  <si>
    <t>בעד אילו רשימות לא היית מצביע בשום תנאי?</t>
  </si>
  <si>
    <t>את מי היית רוצה לראות כשר הבטחון לאחר הבחירות לכנסת?</t>
  </si>
  <si>
    <t>את מי היית רוצה לראות כשר האוצר לאחר הבחירות לכנסת?</t>
  </si>
  <si>
    <t>את מי היית רוצה לראות כשר החוץ לאחר הבחירות לכנסת?</t>
  </si>
  <si>
    <t>איזו מפלגה אתה מעריך שתקים את הממשלה לאחר הבחירות?</t>
  </si>
  <si>
    <t>באיזו מידה אתה רוצה או לא רוצה לראות את המפד"ל בממשלה הבאה?</t>
  </si>
  <si>
    <t>איזו משתי הרשימות הגדולות היית רוצה שתקים את הממשלה הבאה - המערך או הליכוד?</t>
  </si>
  <si>
    <t>באיזו מידה המודעות בעיתונים משפיעות על החלטתך עבור מי להצביע?</t>
  </si>
  <si>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חיובית-שלילית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</si>
  <si>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קצרה-ארוכה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</si>
  <si>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להחליט בעד מי להצביע-לא עוזרת להחליט</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</si>
  <si>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להבין את בעיות המדינה-לא עוזרת להבין</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</si>
  <si>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ההבדלים בין המפלגות-לא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</si>
  <si>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מאחדת את העם-מפוררת את העם</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</si>
  <si>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עוזרת להכיר את המנהיגים-לא עוזרת להכיר</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</si>
  <si>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נותנת תחושה של שייכות למדינה-לא נותנת תחושה של שייכות למדינה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</si>
  <si>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בזבזנית-שווה את ההשקעה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</si>
  <si>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גורלית-לא משנה הרבה</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</si>
  <si>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חינוכית-בלתי חינוכית</t>
    </r>
  </si>
  <si>
    <r>
      <t>לפניך רשימת של תכונות והיפוכן. לגבי כל אחת מהן ציין מה מתאים ל</t>
    </r>
    <r>
      <rPr>
        <u/>
        <sz val="11"/>
        <color theme="1"/>
        <rFont val="Calibri"/>
        <family val="2"/>
        <scheme val="minor"/>
      </rPr>
      <t>מערכת הבחירות המתנהלת</t>
    </r>
    <r>
      <rPr>
        <sz val="11"/>
        <color theme="1"/>
        <rFont val="Calibri"/>
        <family val="2"/>
        <charset val="177"/>
        <scheme val="minor"/>
      </rPr>
      <t xml:space="preserve">: </t>
    </r>
    <r>
      <rPr>
        <b/>
        <sz val="11"/>
        <color theme="1"/>
        <rFont val="Calibri"/>
        <family val="2"/>
        <scheme val="minor"/>
      </rPr>
      <t>חשובה-לא חשובה</t>
    </r>
  </si>
  <si>
    <t>מי משתי המפלגות ניצחה לדעתך, בבחירות להסתדרות - המערך או הליכוד?</t>
  </si>
  <si>
    <t>b127</t>
  </si>
  <si>
    <t>b128</t>
  </si>
  <si>
    <t>b129</t>
  </si>
  <si>
    <t>b130</t>
  </si>
  <si>
    <t>b131</t>
  </si>
  <si>
    <t>b132</t>
  </si>
  <si>
    <t>b133</t>
  </si>
  <si>
    <t>b134</t>
  </si>
  <si>
    <t>b135</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</si>
  <si>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חזקה-חלשה</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</si>
  <si>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נותנת תקווה-נותנת ייאוש</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</si>
  <si>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המקום שאני רוצה לחיות בו-המקום שאין אני רוצה לחיות בו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</si>
  <si>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מקום שכל היהודים חייבים לעלות אליו-לא מקום שכל היהודים חייבים לעלות אליו</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</si>
  <si>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דמוקרטית-לא דמוקרטית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</si>
  <si>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יש בה צדק חברתי-אין בה צדק חברתי</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</si>
  <si>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מוכנה לחיות בשכנות טובה עם ארצות ערב-לא מוכנה לחיות בשכנות טובה עם ארצות ערב</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</si>
  <si>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צודקת-לא צודקת</t>
    </r>
  </si>
  <si>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שוחרת שלום-מחרחרת מלחמה</t>
    </r>
  </si>
  <si>
    <t>b137</t>
  </si>
  <si>
    <t>b138</t>
  </si>
  <si>
    <t>b139</t>
  </si>
  <si>
    <t>b140</t>
  </si>
  <si>
    <t>b141</t>
  </si>
  <si>
    <t>b142</t>
  </si>
  <si>
    <t>b143</t>
  </si>
  <si>
    <t>b144</t>
  </si>
  <si>
    <t>b145</t>
  </si>
  <si>
    <t>האם אתה נוסע בשבת?</t>
  </si>
  <si>
    <t>האם אתה אוכל רק אוכל כשר?</t>
  </si>
  <si>
    <t>b146</t>
  </si>
  <si>
    <t>b147</t>
  </si>
  <si>
    <t>כמה פעמים בשנה אתה נוהג לבקר בבית כנסת?</t>
  </si>
  <si>
    <t>b148</t>
  </si>
  <si>
    <t>b149</t>
  </si>
  <si>
    <t>b151</t>
  </si>
  <si>
    <t>b152</t>
  </si>
  <si>
    <t>לאיזו תחנת רדיו אתה מאזין במיוחד?</t>
  </si>
  <si>
    <t>b155</t>
  </si>
  <si>
    <t>b156</t>
  </si>
  <si>
    <t>b157</t>
  </si>
  <si>
    <t>כמה כסף מוציאה המשפחה שלכם בממוצע בחודש?</t>
  </si>
  <si>
    <t>b158</t>
  </si>
  <si>
    <t>b159</t>
  </si>
  <si>
    <t>1981 - 2</t>
  </si>
  <si>
    <t>באיזו מידה מדיניות הממשלה מקדמת את עניין השלום?</t>
  </si>
  <si>
    <t>מה דעתך על הדרך שבה מטפל כיום שר הבטחון בבעיות הבטחון של המדינה?</t>
  </si>
  <si>
    <t>שמעת בוודאי על הדיונים בעניין תקציב הבטחון. האם לדעתך בהתחשב עם מצבנו הנוכחי, יש או אין מקום לקצץ בתקציב הבטחון?</t>
  </si>
  <si>
    <t>האם ענייני הבטחון צריכים או לא צריכים להיות נושא במערכת הבחירות לכנסת?</t>
  </si>
  <si>
    <r>
      <t>באיזו מידה אתה מסכים או לא מסכים עם המשפטים הבאים:</t>
    </r>
    <r>
      <rPr>
        <b/>
        <sz val="11"/>
        <color theme="1"/>
        <rFont val="Calibri"/>
        <family val="2"/>
        <scheme val="minor"/>
      </rPr>
      <t xml:space="preserve"> דמוקרטיה היא צורת השלטון הטובה ביותר</t>
    </r>
  </si>
  <si>
    <r>
      <t xml:space="preserve">באיזו מידה אתה מסכים או לא מסכים עם המשפטים הבאים: </t>
    </r>
    <r>
      <rPr>
        <b/>
        <sz val="11"/>
        <color theme="1"/>
        <rFont val="Calibri"/>
        <family val="2"/>
        <scheme val="minor"/>
      </rPr>
      <t>היום רק מי שהולך בכוח מצליח להשיג את שלו במדינה</t>
    </r>
  </si>
  <si>
    <r>
      <t xml:space="preserve">לפניך שורה של מעשים. לגבי כל אחד מהם קבע באיזו מידה הוא מתאים או לא מתאים לאזרחות טובה: </t>
    </r>
    <r>
      <rPr>
        <b/>
        <sz val="11"/>
        <color theme="1"/>
        <rFont val="Calibri"/>
        <family val="2"/>
        <scheme val="minor"/>
      </rPr>
      <t>משלם מס אמת</t>
    </r>
  </si>
  <si>
    <r>
      <t xml:space="preserve">לפניך שורה של מעשים. לגבי כל אחד מהם קבע באיזו מידה הוא מתאים או לא מתאים לאזרחות טובה: </t>
    </r>
    <r>
      <rPr>
        <b/>
        <sz val="11"/>
        <color theme="1"/>
        <rFont val="Calibri"/>
        <family val="2"/>
        <scheme val="minor"/>
      </rPr>
      <t>לא מצביע ביום הבחירות</t>
    </r>
  </si>
  <si>
    <r>
      <t xml:space="preserve">לפניך שורה של מעשים. לגבי כל אחד מהם קבע באיזו מידה הוא מתאים או לא מתאים לאזרחות טובה: </t>
    </r>
    <r>
      <rPr>
        <b/>
        <sz val="11"/>
        <color theme="1"/>
        <rFont val="Calibri"/>
        <family val="2"/>
        <scheme val="minor"/>
      </rPr>
      <t>מתכנן ללמוד בחו"ל</t>
    </r>
  </si>
  <si>
    <r>
      <t xml:space="preserve">לפניך שורה של מעשים. לגבי כל אחד מהם קבע באיזו מידה הוא מתאים או לא מתאים לאזרחות טובה: </t>
    </r>
    <r>
      <rPr>
        <b/>
        <sz val="11"/>
        <color theme="1"/>
        <rFont val="Calibri"/>
        <family val="2"/>
        <scheme val="minor"/>
      </rPr>
      <t>מרשה לעצמו לעבור על החוק אם אין שוטר במקום</t>
    </r>
  </si>
  <si>
    <r>
      <t xml:space="preserve">לפניך שורה של מעשים. לגבי כל אחד מהם קבע באיזו מידה הוא מתאים או לא מתאים לאזרחות טובה: </t>
    </r>
    <r>
      <rPr>
        <b/>
        <sz val="11"/>
        <color theme="1"/>
        <rFont val="Calibri"/>
        <family val="2"/>
        <scheme val="minor"/>
      </rPr>
      <t>לא מתכנן עתידו בהתאם לצרכי הכלל</t>
    </r>
  </si>
  <si>
    <r>
      <t xml:space="preserve">לפניך שורה של מעשים. לגבי כל אחד מהם קבע באיזו מידה הוא מתאים או לא מתאים לאזרחות טובה: </t>
    </r>
    <r>
      <rPr>
        <b/>
        <sz val="11"/>
        <color theme="1"/>
        <rFont val="Calibri"/>
        <family val="2"/>
        <scheme val="minor"/>
      </rPr>
      <t>יורד מן הארץ כדי לשפר את מצבו</t>
    </r>
  </si>
  <si>
    <r>
      <t xml:space="preserve">לפניך שורה של מעשים. לגבי כל אחד מהם קבע באיזו מידה הוא מתאים או לא מתאים לאזרחות טובה: </t>
    </r>
    <r>
      <rPr>
        <b/>
        <sz val="11"/>
        <color theme="1"/>
        <rFont val="Calibri"/>
        <family val="2"/>
        <scheme val="minor"/>
      </rPr>
      <t>דואג לעצמו לפני דאגה לכלל</t>
    </r>
  </si>
  <si>
    <t>יש אנשים שמחליטים מוקדם בעד מי להצביע ויש הנוהגים לדחות את החלטתם ליותר מאוחר. מה לדעתך הסיבה העיקרית שאנשים נוהגים לדחות את החלטתם?</t>
  </si>
  <si>
    <t>לגבי אנשים המתלבטים בהצבעתם מה ניראת לך הדרך הטובה ביותר שתעזור להם לקבל החלטה בעד מי להצביע?</t>
  </si>
  <si>
    <t>ומה הדבר הנוסף העשוי לעזור?</t>
  </si>
  <si>
    <t>ומה עשוי לעזור להם להחליט מתוך הרשימה הבאה. מה הדבר העיקרי שעשוי לעזור?</t>
  </si>
  <si>
    <t>ומתוך אותה רשימה, מה עוד עשוי לעזור?</t>
  </si>
  <si>
    <r>
      <t>לפניך רשימת של תכונות והיפוכן. לגבי כל אחת מהן ציין מה מתאים ל</t>
    </r>
    <r>
      <rPr>
        <u/>
        <sz val="11"/>
        <color theme="1"/>
        <rFont val="Calibri"/>
        <family val="2"/>
        <scheme val="minor"/>
      </rPr>
      <t>מדינת ישראל</t>
    </r>
    <r>
      <rPr>
        <sz val="11"/>
        <color theme="1"/>
        <rFont val="Calibri"/>
        <family val="2"/>
        <charset val="177"/>
        <scheme val="minor"/>
      </rPr>
      <t xml:space="preserve">: </t>
    </r>
    <r>
      <rPr>
        <b/>
        <sz val="11"/>
        <color theme="1"/>
        <rFont val="Calibri"/>
        <family val="2"/>
        <scheme val="minor"/>
      </rPr>
      <t>התגשמות החלום הציוני-לא התגשמות החלום הציוני</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</si>
  <si>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</si>
  <si>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</si>
  <si>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</si>
  <si>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</si>
  <si>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</si>
  <si>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</si>
  <si>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ידע לעמוד בתוקף במו"מ על שטחים ושלום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</si>
  <si>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</si>
  <si>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</si>
  <si>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</si>
  <si>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</si>
  <si>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</si>
  <si>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</si>
  <si>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</si>
  <si>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נימוקים. באיזו מידה משכנע כל אחד מהנימוקים אלה כדי לתמוך הצבעה</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מציע מנהיגים חזקים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</si>
  <si>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שלפרט יהיה טוב מבחינה כלכלית</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</si>
  <si>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מבטיח את עתיד הילדים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</si>
  <si>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ישמור על האופי היהודי של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</si>
  <si>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יבטיח את בטחון המדינה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</si>
  <si>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יעשה את המדינה למקום שהיהודים ירצו לחיות בו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</si>
  <si>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ידע לעמוד בתוקף במו"מ על שטחים ושלום</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</si>
  <si>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</si>
  <si>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</si>
  <si>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</si>
  <si>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</si>
  <si>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מנחם בגין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</si>
  <si>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</si>
  <si>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</si>
  <si>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</si>
  <si>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</si>
  <si>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יכול לעמוד בלחצים-לא יכול לעמוד בלחצים</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</si>
  <si>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אמין בהופעתו בטלוויזיה-בלתי אמין בהופעתו בטלוויזיה</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</si>
  <si>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חלקלק-דוגרי</t>
    </r>
  </si>
  <si>
    <r>
      <t>לפניך רשימה של תכונות והיפוכן. לגבי כל אחת ציין מה מתאים ל</t>
    </r>
    <r>
      <rPr>
        <u/>
        <sz val="11"/>
        <color theme="1"/>
        <rFont val="Calibri"/>
        <family val="2"/>
        <scheme val="minor"/>
      </rPr>
      <t>שמעון פרס</t>
    </r>
    <r>
      <rPr>
        <sz val="11"/>
        <color theme="1"/>
        <rFont val="Calibri"/>
        <family val="2"/>
        <charset val="177"/>
        <scheme val="minor"/>
      </rPr>
      <t xml:space="preserve">: </t>
    </r>
    <r>
      <rPr>
        <b/>
        <sz val="11"/>
        <color theme="1"/>
        <rFont val="Calibri"/>
        <family val="2"/>
        <scheme val="minor"/>
      </rPr>
      <t>עייף-רענן</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</si>
  <si>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חזק-חלש</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</si>
  <si>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לעבוד בצוות-לא יכול לעבוד בצוות</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</si>
  <si>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ישר-לא ישר</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</si>
  <si>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בעל כושר החלטה-חסר כושר החלטה</t>
    </r>
  </si>
  <si>
    <r>
      <t>לפניך רשימה של תכונות והיפוכן. לגבי כל אחת ציין מה מתאים ל</t>
    </r>
    <r>
      <rPr>
        <u/>
        <sz val="11"/>
        <color theme="1"/>
        <rFont val="Calibri"/>
        <family val="2"/>
        <scheme val="minor"/>
      </rPr>
      <t>משה דיין</t>
    </r>
    <r>
      <rPr>
        <sz val="11"/>
        <color theme="1"/>
        <rFont val="Calibri"/>
        <family val="2"/>
        <charset val="177"/>
        <scheme val="minor"/>
      </rPr>
      <t xml:space="preserve">: </t>
    </r>
    <r>
      <rPr>
        <b/>
        <sz val="11"/>
        <color theme="1"/>
        <rFont val="Calibri"/>
        <family val="2"/>
        <scheme val="minor"/>
      </rPr>
      <t>יכול לעמוד בלחצים-לא יכול לעמוד בלחצים</t>
    </r>
  </si>
  <si>
    <t>מי לדעתך המתחרה הרציני ביותר של המערך בבחירות לכנסת?</t>
  </si>
  <si>
    <t>באיזו מידה הוכיח הליכוד כי הוא מסוגל או שאינו מסוגל להיות תחליף למערך בשלטון?</t>
  </si>
  <si>
    <t>a121</t>
  </si>
  <si>
    <t>יש אנשים ששינו את דעתם בעד מי להצביע בתקופה שלאחר פירסום תכנית ארידור. מה לדעתך הסיבה העיקרית לשינוי?</t>
  </si>
  <si>
    <t>a128</t>
  </si>
  <si>
    <t>a129</t>
  </si>
  <si>
    <t>a130</t>
  </si>
  <si>
    <t>a131</t>
  </si>
  <si>
    <t>a132</t>
  </si>
  <si>
    <t>a133</t>
  </si>
  <si>
    <t>a134</t>
  </si>
  <si>
    <t>a135</t>
  </si>
  <si>
    <t>מה הסיבה העיקרית שהצבעת עבור רשימה זו?</t>
  </si>
  <si>
    <t>וסיבה נוספת בגללה הצבעת עבור רשימה זו?</t>
  </si>
  <si>
    <t>a137</t>
  </si>
  <si>
    <t>a138</t>
  </si>
  <si>
    <t>מה הסיבה העיקרית שבגלל לא השתתפת בבחירות להסתדרות?</t>
  </si>
  <si>
    <t>a139</t>
  </si>
  <si>
    <t>a140</t>
  </si>
  <si>
    <t>a141</t>
  </si>
  <si>
    <t>a142</t>
  </si>
  <si>
    <t>a143</t>
  </si>
  <si>
    <t>לפני חודשיים בערך, ז"א לפני שהשר ארידור פירסם את תכניתו ואחרי התמודדות פרס-רבין בועידת מפלגת העבודה, בעד מי חשבת אז להצביע?</t>
  </si>
  <si>
    <t>a144</t>
  </si>
  <si>
    <t>a145</t>
  </si>
  <si>
    <t>a146</t>
  </si>
  <si>
    <t>a147</t>
  </si>
  <si>
    <t>a148</t>
  </si>
  <si>
    <t>a149</t>
  </si>
  <si>
    <t>a151</t>
  </si>
  <si>
    <t>a152</t>
  </si>
  <si>
    <t>a153</t>
  </si>
  <si>
    <t>a154</t>
  </si>
  <si>
    <t>a155</t>
  </si>
  <si>
    <t>a156</t>
  </si>
  <si>
    <t>a157</t>
  </si>
  <si>
    <t>a158</t>
  </si>
  <si>
    <t>האם יש לכם טלפון בבית?</t>
  </si>
  <si>
    <t>a159</t>
  </si>
  <si>
    <t>a161</t>
  </si>
  <si>
    <t>a160</t>
  </si>
  <si>
    <t>1981 - 1</t>
  </si>
  <si>
    <t>איזו מפלגה משקפת בצורה הטובה ביותר את עמדתך בנושא השלום והשטחים?</t>
  </si>
  <si>
    <t>האם בתקופה שלפני הבחירות אתה נוהג להשתתף באסיפות המאורגנות ע"י המפלגות ואם כן באיזו תדירות?</t>
  </si>
  <si>
    <t>האם אתה נוהג להשתתף בחוגי בית של המפלגות ואם כן באיזו תדירות?</t>
  </si>
  <si>
    <t>באיזו מידה אתה חושב שהשידורים ברדיו יעזרו לך או לא להחליט בעד מי להצביע?</t>
  </si>
  <si>
    <t>באיזו מידה אתה חושב שהעיתונות תעזור לך או לא להחליט בעד מי להצביע?</t>
  </si>
  <si>
    <t>לפניך כרטיס ובו סיבות שונות שצויינו ע"י אנשים שנשאלו מדוע הם מסתכלים בשידורי בחירות בטלוויזיה, אנא ציין איזו מבין סיבות אלה נראת לך כעיקרית?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</si>
  <si>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ארבע שנים אינן מספיקות כדי לבנות מה שהמערך הרס ב-30 שנה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</si>
  <si>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מדיניות הליכוד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</si>
  <si>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</si>
  <si>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אי אפשר להאמין למנהיגי המערך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</si>
  <si>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</si>
  <si>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הביאו את המדינה למצבה הקשה ביותר וכן אין לתת להם לחזור לשלטון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</si>
  <si>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למערך ולדיין אין מדיניות ברורה בענייני חוץ ובטחון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</si>
  <si>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האופציה הירדנית של של המערך והרעיונות של דיין יביאו למדינה פלשתינאית ולכן יש לתמוך בליכוד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</si>
  <si>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בעל נסיון בשלטון</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</si>
  <si>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אנשים חדשים ורעיונות טובים לפתור את הבעיות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</si>
  <si>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מדיניות המערך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</si>
  <si>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יוכל לטפל טוב יותר בבעיות משק וחברה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</si>
  <si>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מתחדש ושוב ניתן להאמין בו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</si>
  <si>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הוא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</si>
  <si>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אחרי ד"ש אין להצביע בשביל מפלגות חדשות ויש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</si>
  <si>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אין מנהיגים טובים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</si>
  <si>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האוטונומיה של בגין והרעיונות של דיין יביאו למדינה פלשתינאית ולכן יש לתמוך במערך</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</si>
  <si>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המדיניות של דיין תגביר את סיכויי השלום</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</si>
  <si>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</si>
  <si>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רשימת דיין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</si>
  <si>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המערך והליכוד שניהם גרועים באותה מידה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</si>
  <si>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לדיין היכולת להביא לשינוי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</si>
  <si>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המנהיגים של המערך והליכוד הוכיחו שהם לא יכולים לנהל את העניינים ולכן יש לתמוך בדיין</t>
    </r>
  </si>
  <si>
    <r>
      <t xml:space="preserve">לפניך רשימה של נימוקים. באיזו מידה משכנע כל אחד מהנימוקים אלה כדי לתמוך הצבעה </t>
    </r>
    <r>
      <rPr>
        <u/>
        <sz val="11"/>
        <color theme="1"/>
        <rFont val="Calibri"/>
        <family val="2"/>
        <scheme val="minor"/>
      </rPr>
      <t xml:space="preserve"> בתל"ם (משה דיין)</t>
    </r>
    <r>
      <rPr>
        <sz val="11"/>
        <color theme="1"/>
        <rFont val="Calibri"/>
        <family val="2"/>
        <charset val="177"/>
        <scheme val="minor"/>
      </rPr>
      <t xml:space="preserve">: </t>
    </r>
    <r>
      <rPr>
        <b/>
        <sz val="11"/>
        <color theme="1"/>
        <rFont val="Calibri"/>
        <family val="2"/>
        <scheme val="minor"/>
      </rPr>
      <t>האוטונומיה של בגין והאופוציה הירדנית של המערך יובילו למדינה פלשתינאית ולכן יש לתמוך בדיין</t>
    </r>
  </si>
  <si>
    <t>באיזו מידה לדעתך יש או אין לבחירות השפעה על המדיניות הננקטת ע"י הממשלה?</t>
  </si>
  <si>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הראשונה</t>
    </r>
  </si>
  <si>
    <r>
      <t xml:space="preserve">מתוך רשימה של קבוצות זו אתה מתבקש לבחור את שתי הקבוצות שהיית רוצה שתקבלנה יצוג יותר גדול במפלגה עבורה אתה מתכוון להצביע: </t>
    </r>
    <r>
      <rPr>
        <b/>
        <sz val="11"/>
        <color theme="1"/>
        <rFont val="Calibri"/>
        <family val="2"/>
        <scheme val="minor"/>
      </rPr>
      <t>הקבוצה השנייה</t>
    </r>
  </si>
  <si>
    <t>באיזו מידה תצליח או לא תצליח מדיניותו של השר ארידור לשפר את המצב הכלכלי של המדינה?</t>
  </si>
  <si>
    <t>אם הליכוד יהיו בשלטון לאחר הבחירות, מהם לדעתך הסיכויים לכך שהמדיניות הכלכלית שהנהיג השר ארידור תמשך או לא תמשך?</t>
  </si>
  <si>
    <t>לאיזו שכבה בציבור עוזרת ביותר לדעתך המדיניות הכלכלית החדשה של השר ארידור?</t>
  </si>
  <si>
    <t>האם קנית לאחרונה או שיש בכוונתך לקנות בזמן הקרוב מכונית, ריהוט לבית, טלוויזיה צבעונית או מכשירי חשמל אחרים שהוזלו במסגרת מדיניות האוצר?</t>
  </si>
  <si>
    <t>מה מושך אותך יותר - מפלגה שאומרת שהיא חזקה ומסוגלת למשול או מפלגה שמזהירה מפני תקופות קשות?</t>
  </si>
  <si>
    <t>יש כאלה האומרים שהדמוקרטיה שלנו היום זקוקה לממשלה חזקה המבוססת על מפלגה אחת שקיבלה רוב מוחלט (יותר מ-60 מנדטים) בבחירות לכנסת ואחרים האומרים שמפלגה אחת המקבלת רוב מוחלט בבחירות מסכנת את הדמוקרטיה שלנו. מה דעתך?</t>
  </si>
  <si>
    <t>באיזו מידה אתה תומך או מתנגד לרעיון להקים מדינה פלשתינאית?</t>
  </si>
  <si>
    <t>האם אתה בעד המשך הסטטוס-קוו בענייני דת, בעד יישום יתר של ההלכה או בעד יתר ליברליזציה בנושאי דת?</t>
  </si>
  <si>
    <t>יש האומרים שדיין הוא מנהיג זקן שטעה יותר מדי (יום כיפור) ואין לתת לו לחזור לשלטון ויש כאלה האומרים שיש לדיין רעיונות טובים והוא סוג המנהיג שחסר לנו כעת, מה דעתך בנושא זה?</t>
  </si>
  <si>
    <t>יש כאלה האומרים שבבחירות האלה לא יצביעו בעד מפלגה כלשהי אלא יותר נכון להגיד שיצביעו נגד מפלגה אחרת. מה איתך? האם אתה חושב שבסופו של דבר תחליט להצביע למפלגה מסויימת כדי לתמוך באותה מפלגה או שתצביע כדי למחות נגד מפלגה אחרת?</t>
  </si>
  <si>
    <t>האם תצביע בבחירות הקרובות לכנסת כמו שאתה נוהג להצביע בדר"כ או לא?</t>
  </si>
  <si>
    <t>בין מי למי אתה מתלבט?</t>
  </si>
  <si>
    <t>אם משה דיין יקים רשימה עצמאית. עבור איזו רשימה תצביע אז?</t>
  </si>
  <si>
    <t>אם יתברר שהמערך יזכה ברוב קולות בבחירות להסתדרות, עבור איזו מפלגה תצביע אז?</t>
  </si>
  <si>
    <t>האם אתה מסכים או שאינך מסכים שההסתדרות תהיה גם בעלת מפעלים וגם נציגת העובדים?</t>
  </si>
  <si>
    <t>באיזו מידה ישפיעו או שלא ישפיעו תוצאות הבחירות להסתדרות על החלטתך איך להצביע לכנסת?</t>
  </si>
  <si>
    <t>אילו היו מתקיימות היום הבחירות להסתדרות עבור איזו רשימה היית מצביע?</t>
  </si>
  <si>
    <t>האם תצביע בבחירות להתסדרות ולכנסת בעד אותה רשימה או לא?</t>
  </si>
  <si>
    <t>מגדר</t>
  </si>
  <si>
    <t>מהו המצב התעסוקתי של בן/בת זוגך?</t>
  </si>
  <si>
    <t>1977 - 4</t>
  </si>
  <si>
    <t xml:space="preserve">האם לדעתך תעמולת הבחירות של הליכוד הייתה: </t>
  </si>
  <si>
    <t xml:space="preserve">האם לדעתך תעמולת הבחירות של המערך הייתה: </t>
  </si>
  <si>
    <t>c2</t>
  </si>
  <si>
    <t>באיזו מידה ממשלה בראשות הליכוד תחזק או תחליש את המצב הכלכלי והחברתי במדינה?</t>
  </si>
  <si>
    <t>באיזו מידה ממשלה בראשות הליכוד תקרב או תרחיק את השלום?</t>
  </si>
  <si>
    <t>בבחירות האחרונות אמרו שאנשים הצביעו בגלל יחסם למפלגה ולממשלה. איזה מהגורמים הבאים היה הגורם העיקרי אשר השפיע על הצבעתך בבחירות לכנסת?</t>
  </si>
  <si>
    <t>האם יצרו עמך קשר ממפלגה או מקבוצה כלשהי במהלך מערכת הבחירות בניסיון להשפיע על אופי הצבעתך?</t>
  </si>
  <si>
    <t>מבין הבעיות העומדות בפני המדינה - איזו מהן היא בשבילך החשובה ביותר בהחלטתך איך להצביע בבחירות האחרונות לכנסת?</t>
  </si>
  <si>
    <t>באיזו מידה אתה בטוח שבעתיד תמשיך לתמוך באותה מפלגה בה תמכת הפעם בבחירות לכנסת?</t>
  </si>
  <si>
    <t>ולמי הצבעת בבחירות להסתדרות במערכת הקודמת לזו האחרונה?</t>
  </si>
  <si>
    <t>מהי ההכנסה החודשית ברוטו שלך בלבד?</t>
  </si>
  <si>
    <t>1977 - 3</t>
  </si>
  <si>
    <t>יש שטוענים שאם הסכם שלום יהיה גרוך בוויתורים טריטוריאליים ביו"ש צריך לקיים בחירות חדשות לפני ביצוע ההסכם. לעותם יש שטוענים שהממשלה מוסמכת להחליט גם בנושא זה מבלי לקיים בחירות חדשות. מה דעתך?</t>
  </si>
  <si>
    <t>1977 - 2</t>
  </si>
  <si>
    <t>יש גישות שונות לטיפול במצב הכלכלי. יש הטוענים שחשוב יותר למנוע אבטלה אפילו אם היא מלווה באינפלציה, ויש כאלה שחושבים שעדיף להפסיק את האינפלציה אפילו אם יהיה אבטלה. מה דעתך?</t>
  </si>
  <si>
    <t>כידוע לך בעיות הכלכלה העומדות בפני המדינה הינן בעיות קשות מאוד. באיזו מידה לדעתך מתאימים השרים המופקדים על ענייני הכלכלה לטיפול בבעיות אלה?</t>
  </si>
  <si>
    <t>האם אתה קורא בדר"כ מודעות בחירות של המפלגות השונות?</t>
  </si>
  <si>
    <t>האם בגלל פרישתו של רבין וקבלת המועמדות לראשות הממשלה של פרס אתה מתלבט כיום יותר או פחות בעד איזו מפלגה להצביע?</t>
  </si>
  <si>
    <t>1977 - 1</t>
  </si>
  <si>
    <t>האם ברור לך מה ההבדלים בעמדותיהן של המפלגות לגבי בעיה זו?</t>
  </si>
  <si>
    <t>באיזו מידה, לדעתך, ישראל צריכה או שאינה צריכה להיות מוכנה לנהל מו"מ עם אש"ף?</t>
  </si>
  <si>
    <t>לאחרונה שמענו הרבה על שחיתות בקרב אנשי ציבור. באיזו מידה אתה חושב שנושא זה ישפיע על תוצאות הבחירות?</t>
  </si>
  <si>
    <r>
      <t xml:space="preserve">באיזו מידה ישפיע או לא ישפיע לדעתך </t>
    </r>
    <r>
      <rPr>
        <b/>
        <sz val="11"/>
        <color theme="1"/>
        <rFont val="Calibri"/>
        <family val="2"/>
        <scheme val="minor"/>
      </rPr>
      <t>הנושא הכלכלי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</si>
  <si>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הנושא הבטחוני</t>
    </r>
    <r>
      <rPr>
        <sz val="11"/>
        <color theme="1"/>
        <rFont val="Calibri"/>
        <family val="2"/>
        <charset val="177"/>
        <scheme val="minor"/>
      </rPr>
      <t xml:space="preserve"> על תוצאות הבחירות הקרובות לכנסת?</t>
    </r>
  </si>
  <si>
    <r>
      <t xml:space="preserve">באיזו מידה ישפיע או לא ישפיע לדעתך </t>
    </r>
    <r>
      <rPr>
        <b/>
        <sz val="11"/>
        <color theme="1"/>
        <rFont val="Calibri"/>
        <family val="2"/>
        <scheme val="minor"/>
      </rPr>
      <t>נושא השטחים</t>
    </r>
    <r>
      <rPr>
        <sz val="11"/>
        <color theme="1"/>
        <rFont val="Calibri"/>
        <family val="2"/>
        <charset val="177"/>
        <scheme val="minor"/>
      </rPr>
      <t xml:space="preserve"> על תוצאות הבחירות הקרובות לכנסת?</t>
    </r>
  </si>
  <si>
    <t>לאחרונה נידונו בכנסת הצעה לשינוי שיטת הבחירות, עד כמה ידוע לך מהי הצעה זו?</t>
  </si>
  <si>
    <t>כידוע לך, נבחרים כעת ח"כים בבחירות כלל ארציות. לפי ההצעה צריכים חלק מהם להיבחר בבחירות אזוריות. האם אתה חושב שצריך להמשיך בשיטה הקיימת או לשנות את השיטה לפי ההצעה?</t>
  </si>
  <si>
    <t>יש אנשים שרוצים להשפיע על מדיניות הממשלה ויש כאלה שאינם רוצים להשפיע. באיזו מידה אתה מעוניין להשפיע על המדיניות?</t>
  </si>
  <si>
    <t>האם לדעתך שיטת בחירות אזוריות תגביר או תקטין את יכולתך להשפיע על המדיניות?</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</si>
  <si>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</si>
  <si>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</si>
  <si>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יפעל ביד תקיפה להפסיק את השחיתות</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</si>
  <si>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מוסדות הליכוד דמוקרטיים</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</si>
  <si>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המנהיגים של המערך נתנו יד לשחיתות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</si>
  <si>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</si>
  <si>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</si>
  <si>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הנהגה רעננה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</si>
  <si>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גמישות המערך בענייני שטחים עשוייה להביא לשלום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</si>
  <si>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</si>
  <si>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</si>
  <si>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פחד מפני קיצוניות הליכוד</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</si>
  <si>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ד"ש היא כמו המערך, אז למה לנסות משהו שהוא חדש</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</si>
  <si>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לליכוד ולד"ש אין מנהיגים מנוסים</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</si>
  <si>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</si>
  <si>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יעזור לי בבעיות אישיות שלי, כגון: דיור, עזרה ממשלתית ועוד</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</si>
  <si>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מנהיגים טובים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</si>
  <si>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חשוב לתת לגורם חדש לנסות את כוחו בשלטון</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</si>
  <si>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מציעה הנהגה רעננה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</si>
  <si>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תגביר את הסיכויים לשלום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</si>
  <si>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המדיניות של ד"ש בענייני שטחים עשוייה להביא את השלום</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</si>
  <si>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תוכל לטפל טוב יותר בבעיות המשק והחברה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</si>
  <si>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תפעל ביד תקיפה להפסיק את השחיתות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</si>
  <si>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בעד שינוי שיטת הבחירות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</si>
  <si>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תנועה דמוקרטית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</si>
  <si>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היא הרע במיעוטו</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</si>
  <si>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המערך והליכוד אותו הדבר</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</si>
  <si>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לד"ש היכולת להביא שינוי אמיתי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</si>
  <si>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המנהיגים של המערך והליכוד נתנו יד לשחיתות</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</si>
  <si>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הליכוד והמערך לא יכולים לשפר את החיים במדינה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</si>
  <si>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לקבל עבודה טובה יותר או קידום בעבודה</t>
    </r>
  </si>
  <si>
    <r>
      <t xml:space="preserve">לפניך רשימה של נימוקים. באיזו מידה משכנע כל אחד מהנימוקים אלה כדי לתמוך הצבעה </t>
    </r>
    <r>
      <rPr>
        <u/>
        <sz val="11"/>
        <color theme="1"/>
        <rFont val="Calibri"/>
        <family val="2"/>
        <scheme val="minor"/>
      </rPr>
      <t>בד"ש</t>
    </r>
    <r>
      <rPr>
        <sz val="11"/>
        <color theme="1"/>
        <rFont val="Calibri"/>
        <family val="2"/>
        <charset val="177"/>
        <scheme val="minor"/>
      </rPr>
      <t xml:space="preserve">: </t>
    </r>
    <r>
      <rPr>
        <b/>
        <sz val="11"/>
        <color theme="1"/>
        <rFont val="Calibri"/>
        <family val="2"/>
        <scheme val="minor"/>
      </rPr>
      <t>ד"ש תעזור לי בבעיות אישיות כגון: דיור, עזרה ממשלתית ועוד</t>
    </r>
  </si>
  <si>
    <t>אם המפלגה שאתה תומך בה תשנה את עמדתה בנושא הנראה לך חשוב, האם תשנה את הצבעתך?</t>
  </si>
  <si>
    <t>אם המועמד בו אתה תומך לא יכלל ברשימת המפלגה או לא ייכלל במקום ריאלי, האם בכל זאת תצביע עבור אותה מפלגה?</t>
  </si>
  <si>
    <t>יש הטוענים שפרישת מפ"ם תשפיע על תוצאות הבחירות, ויש הטוענים שלא תשפיע. מה דעתך?</t>
  </si>
  <si>
    <t>האם ההתמודדות הפנימית במפלגת העבודה חיזקה או החלישה את המפלגה?</t>
  </si>
  <si>
    <t>האם ההתמודדות הפנימית במפלגת העבודה חיזקה את הדמוקרטיה במפלגה או פגעה בדמוקרטיה?</t>
  </si>
  <si>
    <t>את מי מבין האישים הבאים היית רוצה לראות כראש ממשלה לאחר הבחירות לכנסת?</t>
  </si>
  <si>
    <t>אם המערך יתפרק, האם היית מצביע בעד מפ"ם או בעד מפלגת העבודה?</t>
  </si>
  <si>
    <t>1973 - 5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</si>
  <si>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נכשל בתחום החברה והכלכלה</t>
    </r>
  </si>
  <si>
    <t>h3</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</si>
  <si>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לא יוותר על שטחים</t>
    </r>
  </si>
  <si>
    <t>h4</t>
  </si>
  <si>
    <t>h5</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</si>
  <si>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המערך אחראי למחדלי המלחמה</t>
    </r>
  </si>
  <si>
    <t>h6</t>
  </si>
  <si>
    <t>h7</t>
  </si>
  <si>
    <t>h8</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</si>
  <si>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מציע מנהיגים טובים</t>
    </r>
  </si>
  <si>
    <t>h9</t>
  </si>
  <si>
    <r>
      <t xml:space="preserve">לפניך רשימה של נימוקים. באיזו מידה משכנע כל אחד מהנימוקים אלה כדי לתמוך הצבעה </t>
    </r>
    <r>
      <rPr>
        <u/>
        <sz val="11"/>
        <color theme="1"/>
        <rFont val="Calibri"/>
        <family val="2"/>
        <scheme val="minor"/>
      </rPr>
      <t>בליכוד</t>
    </r>
    <r>
      <rPr>
        <sz val="11"/>
        <color theme="1"/>
        <rFont val="Calibri"/>
        <family val="2"/>
        <charset val="177"/>
        <scheme val="minor"/>
      </rPr>
      <t xml:space="preserve">: </t>
    </r>
    <r>
      <rPr>
        <b/>
        <sz val="11"/>
        <color theme="1"/>
        <rFont val="Calibri"/>
        <family val="2"/>
        <scheme val="minor"/>
      </rPr>
      <t>הליכוד הציע הקמת ממשלת ליכוד לאומית</t>
    </r>
  </si>
  <si>
    <t>h10</t>
  </si>
  <si>
    <t>h12</t>
  </si>
  <si>
    <t>h13</t>
  </si>
  <si>
    <t>h14</t>
  </si>
  <si>
    <t>h15</t>
  </si>
  <si>
    <t>h16</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</si>
  <si>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המערך מציע מנהיגים טובים</t>
    </r>
  </si>
  <si>
    <t>h17</t>
  </si>
  <si>
    <r>
      <t xml:space="preserve">לפניך רשימה של נימוקים. באיזו מידה משכנע כל אחד מהנימוקים אלה כדי לתמוך הצבעה </t>
    </r>
    <r>
      <rPr>
        <u/>
        <sz val="11"/>
        <color theme="1"/>
        <rFont val="Calibri"/>
        <family val="2"/>
        <scheme val="minor"/>
      </rPr>
      <t>במערך</t>
    </r>
    <r>
      <rPr>
        <sz val="11"/>
        <color theme="1"/>
        <rFont val="Calibri"/>
        <family val="2"/>
        <charset val="177"/>
        <scheme val="minor"/>
      </rPr>
      <t xml:space="preserve">: </t>
    </r>
    <r>
      <rPr>
        <b/>
        <sz val="11"/>
        <color theme="1"/>
        <rFont val="Calibri"/>
        <family val="2"/>
        <scheme val="minor"/>
      </rPr>
      <t>חשש מפני זעזועים במדינה</t>
    </r>
  </si>
  <si>
    <t>h18</t>
  </si>
  <si>
    <r>
      <t xml:space="preserve">לפניך רשימה של מנהיגים. מה יחסך אל כל אחד מהם, והאם יחס זה היה גורם חשוב מאד בהצבעתך? </t>
    </r>
    <r>
      <rPr>
        <b/>
        <sz val="11"/>
        <color theme="1"/>
        <rFont val="Calibri"/>
        <family val="2"/>
        <scheme val="minor"/>
      </rPr>
      <t>גולדה מאיר</t>
    </r>
  </si>
  <si>
    <t>h20</t>
  </si>
  <si>
    <t>h21</t>
  </si>
  <si>
    <t>h22</t>
  </si>
  <si>
    <t>h23</t>
  </si>
  <si>
    <t>h24</t>
  </si>
  <si>
    <t>h25</t>
  </si>
  <si>
    <r>
      <t xml:space="preserve">לפניך רשימה של מנהיגים. מה יחסך אל כל אחד מהם, והאם יחס זה היה גורם חשוב מאד בהצבעתך? </t>
    </r>
    <r>
      <rPr>
        <b/>
        <sz val="11"/>
        <color theme="1"/>
        <rFont val="Calibri"/>
        <family val="2"/>
        <scheme val="minor"/>
      </rPr>
      <t>מנחם בגין</t>
    </r>
  </si>
  <si>
    <r>
      <t xml:space="preserve">לפניך רשימה של מנהיגים. מה יחסך אל כל אחד מהם, והאם יחס זה היה גורם חשוב מאד בהצבעתך? </t>
    </r>
    <r>
      <rPr>
        <b/>
        <sz val="11"/>
        <color theme="1"/>
        <rFont val="Calibri"/>
        <family val="2"/>
        <scheme val="minor"/>
      </rPr>
      <t>משה דיין</t>
    </r>
  </si>
  <si>
    <r>
      <t xml:space="preserve">לפניך רשימה של מנהיגים. מה יחסך אל כל אחד מהם, והאם יחס זה היה גורם חשוב מאד בהצבעתך? </t>
    </r>
    <r>
      <rPr>
        <b/>
        <sz val="11"/>
        <color theme="1"/>
        <rFont val="Calibri"/>
        <family val="2"/>
        <scheme val="minor"/>
      </rPr>
      <t>פנחס ספיר</t>
    </r>
  </si>
  <si>
    <r>
      <t xml:space="preserve">לפניך רשימה של מנהיגים. מה יחסך אל כל אחד מהם, והאם יחס זה היה גורם חשוב מאד בהצבעתך? </t>
    </r>
    <r>
      <rPr>
        <b/>
        <sz val="11"/>
        <color theme="1"/>
        <rFont val="Calibri"/>
        <family val="2"/>
        <scheme val="minor"/>
      </rPr>
      <t>אריק שרון</t>
    </r>
  </si>
  <si>
    <r>
      <t xml:space="preserve">לפניך רשימה של מנהיגים. מה יחסך אל כל אחד מהם, והאם יחס זה היה גורם חשוב מאד בהצבעתך? </t>
    </r>
    <r>
      <rPr>
        <b/>
        <sz val="11"/>
        <color theme="1"/>
        <rFont val="Calibri"/>
        <family val="2"/>
        <scheme val="minor"/>
      </rPr>
      <t>יגאל אלון</t>
    </r>
  </si>
  <si>
    <t>האם הצבעת הפעם בעד אותה המפלגה עבורה הצבעת בבחירות לכנסת ב-1969?</t>
  </si>
  <si>
    <t>h26</t>
  </si>
  <si>
    <t>האם שינית את החלטתך בעד איזו מפלגה להצביע בעקבות מלחמת יום כיפור?</t>
  </si>
  <si>
    <t>h27</t>
  </si>
  <si>
    <t>h28</t>
  </si>
  <si>
    <t>h29</t>
  </si>
  <si>
    <t>באיזו מידה היה לך קשה להחליט בעד מי להצביע?</t>
  </si>
  <si>
    <t>h30</t>
  </si>
  <si>
    <t>באיזו מידה לדעתך זו חובה להשתתף בבחירות לכנסת?</t>
  </si>
  <si>
    <t>h31</t>
  </si>
  <si>
    <t>h32</t>
  </si>
  <si>
    <t>ביום הבחירות הולכים רוב האנשים להצביע בקלפי. שהם נשאלים מהי הסיבה לכך שהם משתתפים בבחירות משיבים אנשים שונים תשובות שונות. אנא ציין איזו סיבה מבין אלה ניראת לך כסיבה העיקרית שבגללה אתה הולך להצביע?</t>
  </si>
  <si>
    <t>אם הממשלה תתמוך בהסדר שלום הכרוך בויתור על רוב השטחים, והאופוזיציה תתנגד, מה תהיה עמדתך?</t>
  </si>
  <si>
    <t>h33</t>
  </si>
  <si>
    <t>אם תעלה הצעה להסדר שלום הכרוכה בויתור על רוב השטחים, והממשלה תתנגד לכך, מה תהיה עמדתך?</t>
  </si>
  <si>
    <t>h34</t>
  </si>
  <si>
    <t>האם תתמוך בהסדר שלום הכרוך בוויתור על רוב השטחים?</t>
  </si>
  <si>
    <t>h35</t>
  </si>
  <si>
    <t>האם תתמוך בהחזרת רוב השטחים, גם אם דבר זה ימנע סיכוי להסדר שלום?</t>
  </si>
  <si>
    <t>h36</t>
  </si>
  <si>
    <t>באיזו מידה אתה מאמין שהסדר שלום עם הערבים אפשרי תוך השנים הקרובות?</t>
  </si>
  <si>
    <t>h37</t>
  </si>
  <si>
    <t>אם ההרכב הקואליציוני של הממשלה יהיה דומה לזה של הממשלה היוצאת, האם צריך לחול שינוי בהרכב האישי של חברי הממשלה מטעם המערך?</t>
  </si>
  <si>
    <t>h38</t>
  </si>
  <si>
    <t>h39</t>
  </si>
  <si>
    <t>h40</t>
  </si>
  <si>
    <t>h41</t>
  </si>
  <si>
    <t>h42</t>
  </si>
  <si>
    <t>באיזו מידה שיחות עם אנשים אחרים עזרו לך להחליט בעד מי להצביע?</t>
  </si>
  <si>
    <t>h43</t>
  </si>
  <si>
    <t>h44</t>
  </si>
  <si>
    <t>h45</t>
  </si>
  <si>
    <t>האם לדעתך מטפלות המפלגות בתעמולת הבחירות שלהן בבעיות החשובות ביותר במדינה?</t>
  </si>
  <si>
    <t>h47</t>
  </si>
  <si>
    <t>האם אתה מאמין למה שהמפלגות אומרות במערכת הבחירות?</t>
  </si>
  <si>
    <t>h48</t>
  </si>
  <si>
    <t>האם הייתה דרושה תעמולת בחירות לפני הבחירות?</t>
  </si>
  <si>
    <t>h49</t>
  </si>
  <si>
    <t>h50</t>
  </si>
  <si>
    <t>h51</t>
  </si>
  <si>
    <t>h52</t>
  </si>
  <si>
    <t>h53</t>
  </si>
  <si>
    <t>h54</t>
  </si>
  <si>
    <t>האם הצבעת לעירייה בעד אותה רשימה עבורה הצבעת לכנסת?</t>
  </si>
  <si>
    <t>h57</t>
  </si>
  <si>
    <t>לאחר שפורסמו תוצאות הבחירות, אילו היו נערכות שוב בחירות, עבור מי היית מצביע?</t>
  </si>
  <si>
    <t>h58</t>
  </si>
  <si>
    <t>h55</t>
  </si>
  <si>
    <t>h56</t>
  </si>
  <si>
    <t>האם שירתת במילואים, בזמן או בעקבות מלחמת יום כיפור?</t>
  </si>
  <si>
    <t>h59</t>
  </si>
  <si>
    <t>h60</t>
  </si>
  <si>
    <t>h61</t>
  </si>
  <si>
    <t>h62</t>
  </si>
  <si>
    <t>h63</t>
  </si>
  <si>
    <t>h64</t>
  </si>
  <si>
    <t>h65</t>
  </si>
  <si>
    <t>h66</t>
  </si>
  <si>
    <t>1973 - 4</t>
  </si>
  <si>
    <t>g2</t>
  </si>
  <si>
    <t>והבעיה השנייה הכי חשובה?</t>
  </si>
  <si>
    <t>g3</t>
  </si>
  <si>
    <t>g5</t>
  </si>
  <si>
    <t>באיזו מידה אתה מרוצה מהצורה בה מתנהלת מערכת הבחירות לכנסת?</t>
  </si>
  <si>
    <t>g4</t>
  </si>
  <si>
    <t>באיזו מידה מערכת הבחירות עוזרת לך להבין יותר את הבעיות הפוליטיות בארץ?</t>
  </si>
  <si>
    <t>באיזו מידה מערכת הבחירות הנוכחית עוזרת לך להכיר יותר טוב את עמדות המפלגות לגבי הבעיות הפוליטיות?</t>
  </si>
  <si>
    <t>באיזו מידה מערכת הבחירות הנוכחית עוזרת לך להכיר יותר טוב את המנהיגים הפוליטיים?</t>
  </si>
  <si>
    <t>באיזו מידה מערכת הבחירות הנוכחית עוזרת לך לדעת איזו מפלגה קרובה ביותר לדעותיך?</t>
  </si>
  <si>
    <t>באיזו מידה מערכת הבחירות הנוכחית עוזרת לך להבין טוב יותר איך פועלת הדמוקרטיה?</t>
  </si>
  <si>
    <t>באיזו מידה מערכת הבחירות הנוכחית עוזרת לך לחנך את ילדיך חינוך פוליטי?</t>
  </si>
  <si>
    <t>האם אתה בדר"כ בתקופת הבחירות קורא יותר על עניינים פוליטיים?</t>
  </si>
  <si>
    <t>האם אתה קורא או לא קורא מודוות בחירות המופיעות בעיתון?</t>
  </si>
  <si>
    <t>האם אתה קורא מודעות של המפלגה/ות הקרובה/ות לדעותיך?</t>
  </si>
  <si>
    <t>האם אתה קורא מודעות של המפלגות שאינן קרובות לדעותיך?</t>
  </si>
  <si>
    <t>האם שמעת ברדיו שידורי תעמולת בחירות של המפלגות?</t>
  </si>
  <si>
    <t>אם כן, של איזו מפלגות בעיקר שמעת?</t>
  </si>
  <si>
    <t>g19</t>
  </si>
  <si>
    <t>אם כן, של איזו מפלגות בעיקר ראית?</t>
  </si>
  <si>
    <t>g21</t>
  </si>
  <si>
    <t>באיזו מידה תשדירי הבחירות בטלוויזיה יעזרו לך להחליט עבור מי להצביע?</t>
  </si>
  <si>
    <t>g23</t>
  </si>
  <si>
    <t>g25</t>
  </si>
  <si>
    <t>יש אנשים שמתעניינים במערכת הבחירות מכיוון שיש לה אופי של התמודדות ספורטיבית. באיזו מידה גם אתה מתעניין מסיבה זו?</t>
  </si>
  <si>
    <t>האם אתה פעיל במערכת הבחירות הנוכחית? (עובד למען אחת המפלגות בהתנדבות או בשכר)</t>
  </si>
  <si>
    <t>g27</t>
  </si>
  <si>
    <t>באיזו מידה אתה נוהג להתיעץ עם בן/בת זוגך או עם חברך/חברתך בדבר המפלגה עבורה יש להצביע בבחירות?</t>
  </si>
  <si>
    <t>g28</t>
  </si>
  <si>
    <t>האם יש לך הרגשה כי כיום קשה לך למצוא אדם קרוב להתיעץ איתו לגבי המפלגה עבורה יש להצביע בבחירות, יותר מאשר לפני המלחמה?</t>
  </si>
  <si>
    <t>g29</t>
  </si>
  <si>
    <t>האם את מתחשבת ברצונו של בעלך בהחלטתך בעד מי להצביע?</t>
  </si>
  <si>
    <t>g31</t>
  </si>
  <si>
    <t>האם בן/בת זוגך תצביע כמוך?</t>
  </si>
  <si>
    <t>g33</t>
  </si>
  <si>
    <t>האם אתה חושב שהצבעתך לכנסת משפיעה על תוצאות הבחירות?</t>
  </si>
  <si>
    <t>g36</t>
  </si>
  <si>
    <t>g39</t>
  </si>
  <si>
    <t>g41</t>
  </si>
  <si>
    <t>יש הטוענים שאם לבוחר אין מפלגה שהוא תומך בה במיוחד, מוטב שלא יצביע בכלל, מה דעתך?</t>
  </si>
  <si>
    <t>האם לך אישית חשוב להצביע בבחירות לכנסת?</t>
  </si>
  <si>
    <t>g44</t>
  </si>
  <si>
    <t>יש אנשים שהעיקר בשבילם זה להצביע ופחות חשוב להם בעד איזו מפלגה הם מצביעים, ויש אנשים שהעיקר בשבילם היא המפלגה בעדה הם מצביעים. לאיזו מן העמדות אתה קרוב יותר?</t>
  </si>
  <si>
    <t>האם אתה מסכים עם הטענה שדרך הטיפול של הממשלה תסייע בהשגת שלום של אמת?</t>
  </si>
  <si>
    <t>g46</t>
  </si>
  <si>
    <t>האם אתה מסכים עם הטענה שדרך הטיפול של הממשלה מוליכה את המדינה לכניעה?</t>
  </si>
  <si>
    <t>כידוע לך, מונתה מונתה ועדת חקירה לבדוק את מה שאירע לפני ובזמן המלחמה; האם אתה חושב שלמסקנות הועדה הזו תהיינה השלכות מעשיות על פעולות הממשלה בעתיד בתחומי חוץ וביטחון?</t>
  </si>
  <si>
    <t>g49</t>
  </si>
  <si>
    <t>יש הטוענים שצריך להחליף את המפלגה שבשלטון אפילו אם היא עושה עבודה טובה. מה דעתך?</t>
  </si>
  <si>
    <t>g51</t>
  </si>
  <si>
    <t>מיהו לדעתך המועמד המתאים ביותר לכהונת ראש ממשלה?</t>
  </si>
  <si>
    <t>g54</t>
  </si>
  <si>
    <t>g56</t>
  </si>
  <si>
    <t>g59</t>
  </si>
  <si>
    <t>האם בעלך מגוייס?</t>
  </si>
  <si>
    <t>g61</t>
  </si>
  <si>
    <t>מקום הראיון</t>
  </si>
  <si>
    <t>1973 - 3</t>
  </si>
  <si>
    <t>באיזו מידה הוטב או הורע מצבה של ישראל, באופן כללי, בעקבות מלחמת יום כיפור?</t>
  </si>
  <si>
    <r>
      <t xml:space="preserve">באיזו מידה אחראי כל אחד מן הגורמים הבאים לשינוי שחל במצבנו: </t>
    </r>
    <r>
      <rPr>
        <b/>
        <sz val="11"/>
        <color theme="1"/>
        <rFont val="Calibri"/>
        <family val="2"/>
        <scheme val="minor"/>
      </rPr>
      <t>הממשלה</t>
    </r>
  </si>
  <si>
    <r>
      <t xml:space="preserve">באיזו מידה אחראי כל אחד מן הגורמים הבאים לשינוי שחל במצבנו: </t>
    </r>
    <r>
      <rPr>
        <b/>
        <sz val="11"/>
        <color theme="1"/>
        <rFont val="Calibri"/>
        <family val="2"/>
        <scheme val="minor"/>
      </rPr>
      <t>הפיקוד הבכיר של צה"ל</t>
    </r>
  </si>
  <si>
    <r>
      <t xml:space="preserve">באיזו מידה אחראי כל אחד מן הגורמים הבאים לשינוי שחל במצבנו: </t>
    </r>
    <r>
      <rPr>
        <b/>
        <sz val="11"/>
        <color theme="1"/>
        <rFont val="Calibri"/>
        <family val="2"/>
        <scheme val="minor"/>
      </rPr>
      <t>ארצות ערב</t>
    </r>
  </si>
  <si>
    <r>
      <t xml:space="preserve">באיזו מידה אחראי כל אחד מן הגורמים הבאים לשינוי שחל במצבנו: </t>
    </r>
    <r>
      <rPr>
        <b/>
        <sz val="11"/>
        <color theme="1"/>
        <rFont val="Calibri"/>
        <family val="2"/>
        <scheme val="minor"/>
      </rPr>
      <t>המעצמות הגדולות</t>
    </r>
  </si>
  <si>
    <t>באיזו מידה אתה חושב שהמדיניות של הממשלה בנושאי חוץ, בטחון ושלום (מאז מלחמת ששת הימים ועד מלחמת יום כיפור) הייתה מוצדקת?</t>
  </si>
  <si>
    <t>האם לדעתך בתקופה הנ"ל הראתה הממשלה נכונות גבוהה או נמוכה לפשרות?</t>
  </si>
  <si>
    <t>האם יש להקים היום ממשלת אחדות לאומית?</t>
  </si>
  <si>
    <t>באיזו מידה מזיקה פוליטיזציה של צה"ל לדמוקרטיה במדינה?</t>
  </si>
  <si>
    <t>f12</t>
  </si>
  <si>
    <t>באיזו מידה אתה מעריך את הראיון שנתן חיים בר-לב לעיתונות חוץ כמעשה חיובי או שלילי?</t>
  </si>
  <si>
    <t>האם לדעתך יש לקיים את הבחירות לכנסת ב-31 לדצמבר או לדחות אותן למועד מאוחר יותר?</t>
  </si>
  <si>
    <t>לכמה זמן, לדעתך, צריך לדחות את הבחירות?</t>
  </si>
  <si>
    <t>f14</t>
  </si>
  <si>
    <t>מה הסיבה שאינך מתכוון ללכת להצביע בבחירות הקרובות לכנסת?</t>
  </si>
  <si>
    <t>באיזו מידה אתה חושב שחוגי בית יעזרו לך להחליט בעד מי להצביע?</t>
  </si>
  <si>
    <t>באיזו מידה אתה חושב שאסיפות יעזרו לך להחליט בעד מי להצביע?</t>
  </si>
  <si>
    <t>לקראת הבחירות לכנסת יהיו שידורים בטלוויזיה מטעם המפלגות. מי הוא המנהיג שהיית רוצה לראות ביותר בשידורים האלו?</t>
  </si>
  <si>
    <t>איזה משתי הצורות הבאות של שידורי תעמולת הבחירות היית מעדיף?</t>
  </si>
  <si>
    <t>האם אתה מתכונן להצביע בעד אותה מפלגה שבשבילה הצבעת בבחירות הקודמות לכנסת?</t>
  </si>
  <si>
    <r>
      <t xml:space="preserve">האם מלחמת יום כיפור גרמה, באופן כללי, לשינוי דעתך על האישים הבאים: </t>
    </r>
    <r>
      <rPr>
        <b/>
        <sz val="11"/>
        <color theme="1"/>
        <rFont val="Calibri"/>
        <family val="2"/>
        <scheme val="minor"/>
      </rPr>
      <t>גולדה מאיר</t>
    </r>
  </si>
  <si>
    <r>
      <t xml:space="preserve">האם מלחמת יום כיפור גרמה, באופן כללי, לשינוי דעתך על האישים הבאים: </t>
    </r>
    <r>
      <rPr>
        <b/>
        <sz val="11"/>
        <color theme="1"/>
        <rFont val="Calibri"/>
        <family val="2"/>
        <scheme val="minor"/>
      </rPr>
      <t>משה דיין</t>
    </r>
  </si>
  <si>
    <r>
      <t xml:space="preserve">האם מלחמת יום כיפור גרמה, באופן כללי, לשינוי דעתך על האישים הבאים: </t>
    </r>
    <r>
      <rPr>
        <b/>
        <sz val="11"/>
        <color theme="1"/>
        <rFont val="Calibri"/>
        <family val="2"/>
        <scheme val="minor"/>
      </rPr>
      <t>מנחם בגין</t>
    </r>
  </si>
  <si>
    <r>
      <t xml:space="preserve">האם מלחמת יום כיפור גרמה, באופן כללי, לשינוי דעתך על האישים הבאים: </t>
    </r>
    <r>
      <rPr>
        <b/>
        <sz val="11"/>
        <color theme="1"/>
        <rFont val="Calibri"/>
        <family val="2"/>
        <scheme val="minor"/>
      </rPr>
      <t>פנחס ספיר</t>
    </r>
  </si>
  <si>
    <r>
      <t xml:space="preserve">האם מלחמת יום כיפור גרמה, באופן כללי, לשינוי דעתך על האישים הבאים: </t>
    </r>
    <r>
      <rPr>
        <b/>
        <sz val="11"/>
        <color theme="1"/>
        <rFont val="Calibri"/>
        <family val="2"/>
        <scheme val="minor"/>
      </rPr>
      <t>אריק שרון</t>
    </r>
  </si>
  <si>
    <r>
      <t xml:space="preserve">האם מלחמת יום כיפור גרמה, באופן כללי, לשינוי דעתך על האישים הבאים: </t>
    </r>
    <r>
      <rPr>
        <b/>
        <sz val="11"/>
        <color theme="1"/>
        <rFont val="Calibri"/>
        <family val="2"/>
        <scheme val="minor"/>
      </rPr>
      <t>חיים בר-לב</t>
    </r>
  </si>
  <si>
    <r>
      <t xml:space="preserve">האם מלחמת יום כיפור גרמה, באופן כללי, לשינוי דעתך על האישים הבאים: </t>
    </r>
    <r>
      <rPr>
        <b/>
        <sz val="11"/>
        <color theme="1"/>
        <rFont val="Calibri"/>
        <family val="2"/>
        <scheme val="minor"/>
      </rPr>
      <t>אריה אליאב</t>
    </r>
  </si>
  <si>
    <r>
      <t xml:space="preserve">האם מלחמת יום כיפור גרמה, באופן כללי, לשינוי דעתך על האישים הבאים: </t>
    </r>
    <r>
      <rPr>
        <b/>
        <sz val="11"/>
        <color theme="1"/>
        <rFont val="Calibri"/>
        <family val="2"/>
        <scheme val="minor"/>
      </rPr>
      <t>מאיר פעיל</t>
    </r>
  </si>
  <si>
    <r>
      <t xml:space="preserve">האם לדעתך מלחמת יום כיפור שינתה את סיכויי </t>
    </r>
    <r>
      <rPr>
        <b/>
        <sz val="11"/>
        <color theme="1"/>
        <rFont val="Calibri"/>
        <family val="2"/>
        <scheme val="minor"/>
      </rPr>
      <t>הליכוד</t>
    </r>
    <r>
      <rPr>
        <sz val="11"/>
        <color theme="1"/>
        <rFont val="Calibri"/>
        <family val="2"/>
        <charset val="177"/>
        <scheme val="minor"/>
      </rPr>
      <t xml:space="preserve"> בבחירות לכנסת לעומת אלו שהיו לפני המלחמה?</t>
    </r>
  </si>
  <si>
    <r>
      <t xml:space="preserve">האם לדעתך מלחמת יום כיפור שינתה את סיכויי </t>
    </r>
    <r>
      <rPr>
        <b/>
        <sz val="11"/>
        <color theme="1"/>
        <rFont val="Calibri"/>
        <family val="2"/>
        <scheme val="minor"/>
      </rPr>
      <t>המערך</t>
    </r>
    <r>
      <rPr>
        <sz val="11"/>
        <color theme="1"/>
        <rFont val="Calibri"/>
        <family val="2"/>
        <charset val="177"/>
        <scheme val="minor"/>
      </rPr>
      <t xml:space="preserve"> בבחירות לכנסת לעומת אלו שהיו לפני המלחמה?</t>
    </r>
  </si>
  <si>
    <t>האם לדעתך מלחמת יום כיפור שינתה את סיכויי הרשימות הבאות: מוקד, מר"י, העולם הזה, שולמית אלוני, הפנתרים השחורים; לעומת אלו שהיו לפני המלחמה?</t>
  </si>
  <si>
    <t>מיהו לדעתך המועמד המתאים ביותר לכהונת שר הבטחון?</t>
  </si>
  <si>
    <t>מיהו לדעתך המועמד המתאים ביותר לכהונת שר החוץ?</t>
  </si>
  <si>
    <t>באיזו מידה אתה מאמין וסומך על עבודת הממשלה תחת מנהיגותה של הגב' גולדה מאיר במשך 4 השנים האחרונות?</t>
  </si>
  <si>
    <t>f2</t>
  </si>
  <si>
    <t>f3</t>
  </si>
  <si>
    <t>f4</t>
  </si>
  <si>
    <t>f5</t>
  </si>
  <si>
    <t>האם לדעתך צריך להצביע לאופוזיציה, גם אם לא מסכימים עם כל דעותיה, כי חשוב שתהיה במדינה אופוזיציה חזקה?</t>
  </si>
  <si>
    <t>1973 - 2</t>
  </si>
  <si>
    <t>האם בתקופת הבחירות אתה מתעניין בפוליטיקה יותר מאשר בדר"כ?</t>
  </si>
  <si>
    <r>
      <t xml:space="preserve">באיזו מידה אתה מתעניין במערכת הבחירות: </t>
    </r>
    <r>
      <rPr>
        <b/>
        <sz val="11"/>
        <color theme="1"/>
        <rFont val="Calibri"/>
        <family val="2"/>
        <scheme val="minor"/>
      </rPr>
      <t>לכנסת</t>
    </r>
  </si>
  <si>
    <r>
      <t xml:space="preserve">באיזו מידה אתה מתעניין במערכת הבחירות: </t>
    </r>
    <r>
      <rPr>
        <b/>
        <sz val="11"/>
        <color theme="1"/>
        <rFont val="Calibri"/>
        <family val="2"/>
        <scheme val="minor"/>
      </rPr>
      <t>לעירייה</t>
    </r>
  </si>
  <si>
    <r>
      <t xml:space="preserve">באיזו מידה אתה מתעניין במערכת הבחירות: </t>
    </r>
    <r>
      <rPr>
        <b/>
        <sz val="11"/>
        <color theme="1"/>
        <rFont val="Calibri"/>
        <family val="2"/>
        <scheme val="minor"/>
      </rPr>
      <t>להסתדרות</t>
    </r>
  </si>
  <si>
    <t>מדוע?</t>
  </si>
  <si>
    <t>איזה נושאים פוליטיים מעניינים אותך בעיקר?</t>
  </si>
  <si>
    <t>האם אתה קורא את מדור הבחירות בעיתונים?</t>
  </si>
  <si>
    <t>אם כן, של איזו מפלגה בעיקר?</t>
  </si>
  <si>
    <t>ומי השני?</t>
  </si>
  <si>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ראשון</t>
    </r>
    <r>
      <rPr>
        <sz val="11"/>
        <color theme="1"/>
        <rFont val="Calibri"/>
        <family val="2"/>
        <charset val="177"/>
        <scheme val="minor"/>
      </rPr>
      <t xml:space="preserve"> ?</t>
    </r>
  </si>
  <si>
    <r>
      <t xml:space="preserve">יש כאלה הרוצים לראות את המנהיג בפעילותו הפוליטית וציבורית ויש כאלה המעדיפים לראותו בשידור הטלוויזיה כאדם פרטי בחייו היום-יומיים. איך היית רוצה לראות את המנהיג שציינת </t>
    </r>
    <r>
      <rPr>
        <b/>
        <sz val="11"/>
        <color theme="1"/>
        <rFont val="Calibri"/>
        <family val="2"/>
        <scheme val="minor"/>
      </rPr>
      <t>שני</t>
    </r>
    <r>
      <rPr>
        <sz val="11"/>
        <color theme="1"/>
        <rFont val="Calibri"/>
        <family val="2"/>
        <charset val="177"/>
        <scheme val="minor"/>
      </rPr>
      <t xml:space="preserve"> ?</t>
    </r>
  </si>
  <si>
    <t>באיזו מידה אתה מתעניין בפוליטיקה בדר"כ?</t>
  </si>
  <si>
    <t>איך אתה רואה את הפוליטיקה בישראל?</t>
  </si>
  <si>
    <t>האם אתה חושב שהאופוזיציה משרתת את המדינה כמו המפלגות בשלטון?</t>
  </si>
  <si>
    <t>האם היית אומר שיום הבחירות הוא יום חג למדינה ולעם?</t>
  </si>
  <si>
    <t>האם חשוב שכל אחד ישתתף בבחירות?</t>
  </si>
  <si>
    <t>האם הצבעת בבחירות בארץ אחרת?</t>
  </si>
  <si>
    <t>אם כן, מה ההבדלים מה ההבדלים בין הבחירות בארץ לבחירות בחו"ל?</t>
  </si>
  <si>
    <t>האם לדעתך קיימים הבדלים בין רוב המפלגות בישראל?</t>
  </si>
  <si>
    <t>יש האומרים שההבדלים בין המפלגות הם "במה שהם אומרים" ולא "במה שהם עושים", ויש האומרים את ההפך. מה דעתך?</t>
  </si>
  <si>
    <t>באיזו מידה חשוב לך להבין יותר טוב את הבעיות הפוליטיות בארץ?</t>
  </si>
  <si>
    <t>באיזו מידה חשוב לך להכיר יותר טוב את העמדות את עמדות המפלגות לגבי הבעיות הפוליטיות?</t>
  </si>
  <si>
    <t>באיזו מידה חשוב לך להכיר יותר טוב את המנהיגים הפוליטיים?</t>
  </si>
  <si>
    <t>באיזו מידה חשוב לך להבין יותר טוב איך פועלת הדמוקרטיה?</t>
  </si>
  <si>
    <t>באיו מידה חשוב לך לחנך את ילדיך חינוך פוליטי?</t>
  </si>
  <si>
    <t>באיזו מידה חשוב לך לדעת איזו מפלגה קרובה ביותר לעמדותיך?</t>
  </si>
  <si>
    <t>באיזו מידה חשוב לך להרגיש שאתה חלק מהמדינה והעם?</t>
  </si>
  <si>
    <t>באיזו מידה חשוב לך להביע את דעותיך בעניינים פוליטיים?</t>
  </si>
  <si>
    <t>באיזו מידה חשוב לך להזדהות עם אישיים פוליטיים?</t>
  </si>
  <si>
    <t>באיזו מידה חשוב לך להתנהג כמו החברים שלך?</t>
  </si>
  <si>
    <t>באיזו מידה חשוב לך להזדהות עם המפלגה שאתה תומך בה?</t>
  </si>
  <si>
    <t>באיזו מידה חשוב לך להשפיע איזה מפלגה תהיה בשלטון?</t>
  </si>
  <si>
    <t>האם אתה מאמין שהממשלה תפתור בקרוב את שתי הבעיות שציינת?</t>
  </si>
  <si>
    <r>
      <t xml:space="preserve">האם אתה מזדהה עם עמדה של מפלגה מסויימת לגבי הבעיה </t>
    </r>
    <r>
      <rPr>
        <b/>
        <sz val="11"/>
        <color theme="1"/>
        <rFont val="Calibri"/>
        <family val="2"/>
        <scheme val="minor"/>
      </rPr>
      <t>הראשונה</t>
    </r>
    <r>
      <rPr>
        <sz val="11"/>
        <color theme="1"/>
        <rFont val="Calibri"/>
        <family val="2"/>
        <charset val="177"/>
        <scheme val="minor"/>
      </rPr>
      <t xml:space="preserve"> שציינת? האם הזדהות זו משפיעה על הצבעתך?</t>
    </r>
  </si>
  <si>
    <r>
      <t xml:space="preserve">האם אתה מזדהה עם עמדה של מפלגה מסויימת לגבי הבעיה </t>
    </r>
    <r>
      <rPr>
        <b/>
        <sz val="11"/>
        <color theme="1"/>
        <rFont val="Calibri"/>
        <family val="2"/>
        <scheme val="minor"/>
      </rPr>
      <t>השנייה</t>
    </r>
    <r>
      <rPr>
        <sz val="11"/>
        <color theme="1"/>
        <rFont val="Calibri"/>
        <family val="2"/>
        <charset val="177"/>
        <scheme val="minor"/>
      </rPr>
      <t xml:space="preserve"> שציינת? האם הזדהות זו משפיעה על הצבעתך?</t>
    </r>
  </si>
  <si>
    <t>באיזו מידה אתה מסכים כי יש במדינה פער כלכל וחברתי גדול מדי?</t>
  </si>
  <si>
    <t>באיזו מידה אתה מסכים או אינך מסכים עם המשפט הבא: היו גילויים של בזבוז במשק ושחיתות. אין להמנע ממקרים כאלה כי בכל חברה קיימים גילויי שחיתות ואנחנו איננו מקרה יוצא דופן</t>
  </si>
  <si>
    <t>מפלגות האופוזיציה מוחות נגד מפלגת השלטון על השחיתות במשק. האם אתה חושב ש:</t>
  </si>
  <si>
    <r>
      <t xml:space="preserve">האם לדעתך קיימים או לא קיימים הבדלים בעמדותיהן של המפלגות העיקריות בארץ בנושאים הבאים: </t>
    </r>
    <r>
      <rPr>
        <b/>
        <sz val="11"/>
        <color theme="1"/>
        <rFont val="Calibri"/>
        <family val="2"/>
        <scheme val="minor"/>
      </rPr>
      <t>שחיתות</t>
    </r>
  </si>
  <si>
    <t>איזו מפלגה משקפת ביותר את עמדתך בנושא השחיתות במשק?</t>
  </si>
  <si>
    <t>d7</t>
  </si>
  <si>
    <t>באיזו מידה הפעילות במערכת הבחירות מוסיפה לך יוקרה בקרב חבריך?</t>
  </si>
  <si>
    <t>באיזו מידה מועילה לך הפעילות במערכת הבחירות ליצירת קשרים, לקידום בעבודה, להנאה חומרות וכו'?</t>
  </si>
  <si>
    <t>d12</t>
  </si>
  <si>
    <t>הבחירות גורמות לכך שאנשים מצביעים עבור מפלגות שונות. יש טוענים שהדבר פוגע בליכוד העם ועל כן מוטב שתהיה מפלגה אחת ויש הטוענים שהדבר אינו פוגע בליכוד העם ועל כן מוטב שתהיינה מספר מפלגות. מה דעתך?</t>
  </si>
  <si>
    <t>באיזו מידה ההשתתפות בבחירות מאפשרות לך להרגיש שאתה חלק מהמדינה והעם?</t>
  </si>
  <si>
    <t>באיזו מידה השתתפות בבחירות מאפשרת לך להביע את דעותיך בעניינים פוליטיים?</t>
  </si>
  <si>
    <t>באיזו מידה השתתפות בבחירות מאפשרת לך להזדהות עם אישיים פוליטיים?</t>
  </si>
  <si>
    <t>באיזו מידה השתתפות בבחירות מאפשרת לך להזדהות עם המפלגה שאתה תומך בה?</t>
  </si>
  <si>
    <t>באיזו מידה ההשתתפות בבחירות מאפשרת לך להתנהג כמו חבריך?</t>
  </si>
  <si>
    <t>באיזו מידה השתתפות בבחירות מאפשרת לך להשפיע איזה מפלגה תהיה בשלטון?</t>
  </si>
  <si>
    <t>באיזו מידה השתתפות בבחירות גורמת לך הנאה בגלל שאתה משתתף במאורע חגיגי?</t>
  </si>
  <si>
    <t>באיזו מידה השתתפות בבחירות מאפשרת לך למלא את חובתך למדינה?</t>
  </si>
  <si>
    <t>באיזו מידה השתתפות בבחירות מאפשרת לך להביע מחאה נגד השלטון?</t>
  </si>
  <si>
    <t>האם שמעת על הליכוד החדש?</t>
  </si>
  <si>
    <t>האם ידוע לך מי הן המפלגות המרכיבות את הליכוד הזה?</t>
  </si>
  <si>
    <t>d35</t>
  </si>
  <si>
    <t>האם לדעתך רצוי שהמפלגות אלה ירוצו לבחירות לכנסת ביחד?</t>
  </si>
  <si>
    <t>האם לדעתך הליכוד הזה הוא שמאלי, ימני או מרכזי?</t>
  </si>
  <si>
    <t>d36</t>
  </si>
  <si>
    <t>האם הקמת הליכוד תשפיע על הצבעתך לבחירות לכנסת?</t>
  </si>
  <si>
    <t>d37</t>
  </si>
  <si>
    <t>d38</t>
  </si>
  <si>
    <t>נניח שהליכוד יעלה לשלטון. האם בענייני הפער הכלכלי והחברתי, זה יביא לשינוי לטובה או לרעה?</t>
  </si>
  <si>
    <t>d39</t>
  </si>
  <si>
    <t>נניח שהליכוד יעלה לשלטון. האם בקשר למדיניות הבטחונית, זה יביא לשינוי לטובה או לרעה?</t>
  </si>
  <si>
    <t>d40</t>
  </si>
  <si>
    <t>נניח שהליכוד יעלה לשלטון. האם בקשר לשחיתות והבזבוז, זה יביא לשינוי לטובה או לרעה?</t>
  </si>
  <si>
    <t>d41</t>
  </si>
  <si>
    <t>d42</t>
  </si>
  <si>
    <t>האם אתה פעיל בארגון ציבורי כלשהו?</t>
  </si>
  <si>
    <t>d43</t>
  </si>
  <si>
    <t>האם החלפת המפלגה בשלטון תשנה את המצב האישי שלך?</t>
  </si>
  <si>
    <t>d44</t>
  </si>
  <si>
    <t>d45</t>
  </si>
  <si>
    <t>d46</t>
  </si>
  <si>
    <t>מדוע אתה לא בטוח בעד מי תצביע בבחירות לכנסת?</t>
  </si>
  <si>
    <t>d47</t>
  </si>
  <si>
    <t>d48</t>
  </si>
  <si>
    <t>d49</t>
  </si>
  <si>
    <t>מה יעזור לך לקבל את החלטת הסופית?</t>
  </si>
  <si>
    <t>האם תצביע בבחירות הקרובות להסתדרות?</t>
  </si>
  <si>
    <t>d50</t>
  </si>
  <si>
    <t>d51</t>
  </si>
  <si>
    <t>d52</t>
  </si>
  <si>
    <t>ראיינו אותך לפני מספר חודשים. האם יותר ברור לך היום או פחות ברור לך היום, בעד מי תצביע בבחירות לכנסת?</t>
  </si>
  <si>
    <t>d53</t>
  </si>
  <si>
    <t>d54</t>
  </si>
  <si>
    <t>d55</t>
  </si>
  <si>
    <t>d56</t>
  </si>
  <si>
    <t>d57</t>
  </si>
  <si>
    <r>
      <t xml:space="preserve">מהי המפלגה </t>
    </r>
    <r>
      <rPr>
        <b/>
        <sz val="11"/>
        <color theme="1"/>
        <rFont val="Calibri"/>
        <family val="2"/>
        <scheme val="minor"/>
      </rPr>
      <t>השנייה</t>
    </r>
    <r>
      <rPr>
        <sz val="11"/>
        <color theme="1"/>
        <rFont val="Calibri"/>
        <family val="2"/>
        <charset val="177"/>
        <scheme val="minor"/>
      </rPr>
      <t xml:space="preserve"> הכי קרובה אליך?</t>
    </r>
  </si>
  <si>
    <r>
      <t xml:space="preserve">מהי המפלגה </t>
    </r>
    <r>
      <rPr>
        <b/>
        <sz val="11"/>
        <color theme="1"/>
        <rFont val="Calibri"/>
        <family val="2"/>
        <scheme val="minor"/>
      </rPr>
      <t xml:space="preserve">השלישית </t>
    </r>
    <r>
      <rPr>
        <sz val="11"/>
        <color theme="1"/>
        <rFont val="Calibri"/>
        <family val="2"/>
        <charset val="177"/>
        <scheme val="minor"/>
      </rPr>
      <t>הכי קרובה אליך?</t>
    </r>
  </si>
  <si>
    <r>
      <t xml:space="preserve">מהי המפלגה </t>
    </r>
    <r>
      <rPr>
        <b/>
        <sz val="11"/>
        <color theme="1"/>
        <rFont val="Calibri"/>
        <family val="2"/>
        <scheme val="minor"/>
      </rPr>
      <t>השלישית</t>
    </r>
    <r>
      <rPr>
        <sz val="11"/>
        <color theme="1"/>
        <rFont val="Calibri"/>
        <family val="2"/>
        <charset val="177"/>
        <scheme val="minor"/>
      </rPr>
      <t xml:space="preserve"> הכי רחוקה ממך?</t>
    </r>
  </si>
  <si>
    <r>
      <t xml:space="preserve">מהי המפלגה </t>
    </r>
    <r>
      <rPr>
        <b/>
        <sz val="11"/>
        <color theme="1"/>
        <rFont val="Calibri"/>
        <family val="2"/>
        <scheme val="minor"/>
      </rPr>
      <t>השנייה</t>
    </r>
    <r>
      <rPr>
        <sz val="11"/>
        <color theme="1"/>
        <rFont val="Calibri"/>
        <family val="2"/>
        <charset val="177"/>
        <scheme val="minor"/>
      </rPr>
      <t xml:space="preserve"> הכי רחוקה ממך?</t>
    </r>
  </si>
  <si>
    <t>d58</t>
  </si>
  <si>
    <t>d59</t>
  </si>
  <si>
    <t>d60</t>
  </si>
  <si>
    <r>
      <t xml:space="preserve">מהמפלגות הנותרות, איך היית מדרג את מידת הקרבה אלייך: </t>
    </r>
    <r>
      <rPr>
        <b/>
        <sz val="11"/>
        <color theme="1"/>
        <rFont val="Calibri"/>
        <family val="2"/>
        <scheme val="minor"/>
      </rPr>
      <t>מי הראשונה?</t>
    </r>
  </si>
  <si>
    <r>
      <t xml:space="preserve">מהמפלגות הנותרות, איך היית מדרג את מידת הקרבה אלייך: </t>
    </r>
    <r>
      <rPr>
        <b/>
        <sz val="11"/>
        <color theme="1"/>
        <rFont val="Calibri"/>
        <family val="2"/>
        <scheme val="minor"/>
      </rPr>
      <t>מי השנייה?</t>
    </r>
  </si>
  <si>
    <r>
      <t xml:space="preserve">מהמפלגות הנותרות, איך היית מדרג את מידת הקרבה אלייך: </t>
    </r>
    <r>
      <rPr>
        <b/>
        <sz val="11"/>
        <color theme="1"/>
        <rFont val="Calibri"/>
        <family val="2"/>
        <scheme val="minor"/>
      </rPr>
      <t>מי השלישית?</t>
    </r>
  </si>
  <si>
    <r>
      <t xml:space="preserve">מהמפלגות הנותרות, איך היית מדרג את מידת הקרבה אלייך: </t>
    </r>
    <r>
      <rPr>
        <b/>
        <sz val="11"/>
        <color theme="1"/>
        <rFont val="Calibri"/>
        <family val="2"/>
        <scheme val="minor"/>
      </rPr>
      <t>מי הרביעית?</t>
    </r>
  </si>
  <si>
    <r>
      <t xml:space="preserve">מהי המפלגה </t>
    </r>
    <r>
      <rPr>
        <u/>
        <sz val="11"/>
        <color theme="1"/>
        <rFont val="Calibri"/>
        <family val="2"/>
        <scheme val="minor"/>
      </rPr>
      <t>הרחוקה</t>
    </r>
    <r>
      <rPr>
        <sz val="11"/>
        <color theme="1"/>
        <rFont val="Calibri"/>
        <family val="2"/>
        <charset val="177"/>
        <scheme val="minor"/>
      </rPr>
      <t xml:space="preserve"> ממך ביותר?</t>
    </r>
  </si>
  <si>
    <t>e3</t>
  </si>
  <si>
    <t>e4</t>
  </si>
  <si>
    <t>e5</t>
  </si>
  <si>
    <t>e6</t>
  </si>
  <si>
    <t>e7</t>
  </si>
  <si>
    <t>e8</t>
  </si>
  <si>
    <t>בין כל השיקולים שלך להצביע לאותה מפלגה, באיזו מידה לקחת בחשבון את הנאמנות שלך למפלגה עבורה הצבעת בעבר?</t>
  </si>
  <si>
    <t>e9</t>
  </si>
  <si>
    <t>e10</t>
  </si>
  <si>
    <t>מדוע שינית את דעתך ולא תצביע לאותה מפלגה שהצבעת לה פעם קודמת?</t>
  </si>
  <si>
    <t>מהי לדעתך הבעיה החשובה ביותר שעל העירייה שלך לטפל בה?</t>
  </si>
  <si>
    <t>e11</t>
  </si>
  <si>
    <t>e12</t>
  </si>
  <si>
    <t>איזו מפלגה מסוגלת לפתור את הבעיה החשובה ביותר של העיר שלך?</t>
  </si>
  <si>
    <t>באיזו מידה אתה מרוצה מהשירותים שאתה מקבל מהעירייה?</t>
  </si>
  <si>
    <t>e13</t>
  </si>
  <si>
    <t>האם לדעתך רצוי להחליף את ראש העיר שלך?</t>
  </si>
  <si>
    <t>e14</t>
  </si>
  <si>
    <t>עבור איזה שירות ציבורי שהעירייה שלך נותנת לאזרחים היית מוכן לשלם יותר מיסים?</t>
  </si>
  <si>
    <t>e15</t>
  </si>
  <si>
    <t>e16</t>
  </si>
  <si>
    <t>e17</t>
  </si>
  <si>
    <t>e18</t>
  </si>
  <si>
    <t>e19</t>
  </si>
  <si>
    <t>1973 - 1</t>
  </si>
  <si>
    <t>בדר"כ, האם אתה נוהג לבקר בהרצאות על נושאים פוליטיים?</t>
  </si>
  <si>
    <t>בין הרדיו, הטלוויזיה והעיתון, מה הם שני מקורות האינפורמציה העיקריים שלך בענייני פוליטיקה?</t>
  </si>
  <si>
    <t>הבחירות גורמות לכך שאנשים מצביעים עבור מפלגות שונות. האם לדעתך דבר זה פוגע בליכוד של העם?</t>
  </si>
  <si>
    <t>יש האומרים שדרך הבחירות הפוליטיקאים מנצלים את האזרחים למטרותיהם. האם אתה מסכים עם דעה זו?</t>
  </si>
  <si>
    <t>האם היית חבר בתנועת נוער?</t>
  </si>
  <si>
    <t>האם המפלגה שאתה תומך בה או נוטה לתמוך בה כיום זהה לתנועת הנוער שהיית חבר בה?</t>
  </si>
  <si>
    <t>האם אביך התעניין בפוליטיקה?</t>
  </si>
  <si>
    <t>האם נהגת לשוחח עם אביך בענייני פוליטיקה?</t>
  </si>
  <si>
    <t>ישנם אנשים שמחליטים די מוקדם עבור מי להצביע ואחרים שמחכים עד לרגע האחרון. האם היית אומר שאתה בין אלה שמחליטים מוקדם או בין אלה שמחכים?</t>
  </si>
  <si>
    <t>לאחרונה יש הטוענים שקיים פער כלכלי וחברתי במדינה. האם אתה מתעניין בנושאים אלו?</t>
  </si>
  <si>
    <t>האם יש מפלגה שרחוקה בהרבה מעמדתך בנושא הכלכלי-חברתי?</t>
  </si>
  <si>
    <r>
      <t xml:space="preserve">אם המפלגה שאתה תומך בה תשנה את עמדתה בנושא </t>
    </r>
    <r>
      <rPr>
        <b/>
        <sz val="11"/>
        <color theme="1"/>
        <rFont val="Calibri"/>
        <family val="2"/>
        <scheme val="minor"/>
      </rPr>
      <t>השטחים</t>
    </r>
    <r>
      <rPr>
        <sz val="11"/>
        <color theme="1"/>
        <rFont val="Calibri"/>
        <family val="2"/>
        <charset val="177"/>
        <scheme val="minor"/>
      </rPr>
      <t>, האם תשנה את הצבעתך?</t>
    </r>
  </si>
  <si>
    <r>
      <t xml:space="preserve">אם המפלגה שאתה תומך בה תשנה את עמדתה בנושא </t>
    </r>
    <r>
      <rPr>
        <b/>
        <sz val="11"/>
        <color theme="1"/>
        <rFont val="Calibri"/>
        <family val="2"/>
        <scheme val="minor"/>
      </rPr>
      <t>הכלכלי-חברתי</t>
    </r>
    <r>
      <rPr>
        <sz val="11"/>
        <color theme="1"/>
        <rFont val="Calibri"/>
        <family val="2"/>
        <charset val="177"/>
        <scheme val="minor"/>
      </rPr>
      <t>, האם תשנה את הצבעתך?</t>
    </r>
  </si>
  <si>
    <t>האם יש מפלגה שרחוקה בהרבה מעמדתך בנושא הויתור על השטחים? אם כן, איזו?</t>
  </si>
  <si>
    <r>
      <t xml:space="preserve">כשאתה חושב על </t>
    </r>
    <r>
      <rPr>
        <b/>
        <sz val="11"/>
        <color theme="1"/>
        <rFont val="Calibri"/>
        <family val="2"/>
        <scheme val="minor"/>
      </rPr>
      <t>מפד"ל</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</si>
  <si>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הליכוד</t>
    </r>
    <r>
      <rPr>
        <sz val="11"/>
        <color theme="1"/>
        <rFont val="Calibri"/>
        <family val="2"/>
        <charset val="177"/>
        <scheme val="minor"/>
      </rPr>
      <t>, מה נראה לך ביותר: המועמדים שלה, העמדות שלה, הציבור שהיא מייצגת, האם אפשר לסמוך עליה?</t>
    </r>
  </si>
  <si>
    <r>
      <t xml:space="preserve">כשאתה חושב על </t>
    </r>
    <r>
      <rPr>
        <b/>
        <sz val="11"/>
        <color theme="1"/>
        <rFont val="Calibri"/>
        <family val="2"/>
        <scheme val="minor"/>
      </rPr>
      <t>המערך</t>
    </r>
    <r>
      <rPr>
        <sz val="11"/>
        <color theme="1"/>
        <rFont val="Calibri"/>
        <family val="2"/>
        <charset val="177"/>
        <scheme val="minor"/>
      </rPr>
      <t>, מה נראה לך ביותר: המועמדים שלה, העמדות שלה, הציבור שהיא מייצגת, האם אפשר לסמוך עליה?</t>
    </r>
  </si>
  <si>
    <t>כמה שעות בשבוע בערך אתה צופה בטלוויזיה הישראלית?</t>
  </si>
  <si>
    <t>מי ראש המשפחה?</t>
  </si>
  <si>
    <t>כמה שנים אביך למד בבית ספר או בכל מסגרת אחרת?</t>
  </si>
  <si>
    <t>מה המקצוע של ראש המשפחה?</t>
  </si>
  <si>
    <t>מה מצבו התעסוקתי של ראש המשפחה?</t>
  </si>
  <si>
    <t>מי הם בעלי המפעל בו אתה עובד?</t>
  </si>
  <si>
    <t>האם המפעל בו אתה עובד הוא תעשייתי?</t>
  </si>
  <si>
    <t>האם יש לך ביטוח רפואי?</t>
  </si>
  <si>
    <t>1969 - 3</t>
  </si>
  <si>
    <t>האם ברצונך לראות יותר שידורי בחירות בטלוויזיה, כמו עכשיו או פחות?</t>
  </si>
  <si>
    <t>ובכרטיס זה שורת סיבות בגללן אנשים אינם מסתכלים בשידורי הבחירות בטלוויזיה, אנא ציין איזו נראת לך כסיבה העיקרית לאי הסתכלות בטלוויזיה?</t>
  </si>
  <si>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לשמוע נימוקים על מנת שישמשו לי נשק בוויכוח 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</si>
  <si>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המנהיגים הפוליטיים</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</si>
  <si>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להכיר את התוכניות הפוליטיות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</si>
  <si>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להבהיר לעצמי במי לבחור</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</si>
  <si>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לעמוד מחדש את עמדת המפלגה שאני תומך בה</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</si>
  <si>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לעזור לי להעריך את סיכויי ההצלחה של המפלגות</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</si>
  <si>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על מנת להיות מעודכן במצב הפוליטי הכללי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</si>
  <si>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אני נהנה מן המאבק והוויכוח הפוליטי</t>
    </r>
  </si>
  <si>
    <r>
      <t xml:space="preserve">נעבור עתה לחוד, סיבה אחר סיבה שבגללן </t>
    </r>
    <r>
      <rPr>
        <u/>
        <sz val="11"/>
        <color theme="1"/>
        <rFont val="Calibri"/>
        <family val="2"/>
        <scheme val="minor"/>
      </rPr>
      <t>מסתכלים</t>
    </r>
    <r>
      <rPr>
        <sz val="11"/>
        <color theme="1"/>
        <rFont val="Calibri"/>
        <family val="2"/>
        <charset val="177"/>
        <scheme val="minor"/>
      </rPr>
      <t xml:space="preserve"> בשידורי הבחירות ולגבי כל אחת נבקש ממך לציין עד כמה היא נראת חשובה בעיניך: </t>
    </r>
    <r>
      <rPr>
        <b/>
        <sz val="11"/>
        <color theme="1"/>
        <rFont val="Calibri"/>
        <family val="2"/>
        <scheme val="minor"/>
      </rPr>
      <t>כי זה השידור היחיד שאני יכול לקלוט בטלוויזיה באותו זמן</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</si>
  <si>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כי אינני אוהב שהפוליטיקאים יסדרו אותי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</si>
  <si>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שאין להם שום דבר חדש לומר לי</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</si>
  <si>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רוצה לפתוח את ביתי לתעמולה פוליטית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</si>
  <si>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שלעיתים קרובות קשה לי להבין מה שהמועמדים רוצים להגיד</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</si>
  <si>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כבר החלטתי במי לבחור ואין לי צורך להסתכל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</si>
  <si>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משום שחלק מהמועמדים אינם מתייחסים ברצינות לקהל</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</si>
  <si>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מאמין לטענות המפלגות</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</si>
  <si>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מעדיף בידור בטלוויזיה</t>
    </r>
  </si>
  <si>
    <r>
      <t xml:space="preserve">נעבור עתה לחוד, סיבה אחר סיבה שבגללן </t>
    </r>
    <r>
      <rPr>
        <u/>
        <sz val="11"/>
        <color theme="1"/>
        <rFont val="Calibri"/>
        <family val="2"/>
        <scheme val="minor"/>
      </rPr>
      <t>לא מסתכלים</t>
    </r>
    <r>
      <rPr>
        <sz val="11"/>
        <color theme="1"/>
        <rFont val="Calibri"/>
        <family val="2"/>
        <charset val="177"/>
        <scheme val="minor"/>
      </rPr>
      <t xml:space="preserve"> בשידורי הבחירות ולגבי כל אחת נבקש ממך לציין עד כמה היא נראת קובעת בעיניך: </t>
    </r>
    <r>
      <rPr>
        <b/>
        <sz val="11"/>
        <color theme="1"/>
        <rFont val="Calibri"/>
        <family val="2"/>
        <scheme val="minor"/>
      </rPr>
      <t>אינני מתעניין בפוליטיקה</t>
    </r>
  </si>
  <si>
    <t>איזה שידורי בחירות נראים לך מעניינים יותר?</t>
  </si>
  <si>
    <t>איזה שידורי בחירות נראים לך משכנעים יותר?</t>
  </si>
  <si>
    <t>האם לדעתך לסקרים אלה יש או אין השפעה על ציבור הבוחרים?</t>
  </si>
  <si>
    <t>ישנם גורמים שונים עיקריים המביאים אדם להצביע למפלגה מסויימת. האם לדעתך יש גורם אחד בולט, הנראה לך כחשוב מכולם בקביעת הצבעתך?</t>
  </si>
  <si>
    <t>מה לדעתך סיכויי הרשימה עבורה תצביע להיות בעלת השפעה ומשקל בכנסת הבאה?</t>
  </si>
  <si>
    <t>עבור איזו רשימה תצביע לעירייה?</t>
  </si>
  <si>
    <r>
      <t xml:space="preserve">ישנם מספר גורמים עיקריים המביאים אדם להצביע למפלגה מסויימת. האם בין הגורמים האלה יש אחד בולט, הנראה לך כחשוב מכולם בהצבעתך </t>
    </r>
    <r>
      <rPr>
        <u/>
        <sz val="11"/>
        <color theme="1"/>
        <rFont val="Calibri"/>
        <family val="2"/>
        <scheme val="minor"/>
      </rPr>
      <t>לעירייה</t>
    </r>
    <r>
      <rPr>
        <sz val="11"/>
        <color theme="1"/>
        <rFont val="Calibri"/>
        <family val="2"/>
        <charset val="177"/>
        <scheme val="minor"/>
      </rPr>
      <t>?</t>
    </r>
  </si>
  <si>
    <r>
      <t xml:space="preserve">איזה הוא הגורם שלדעתך חשיבותו הרבה ביותר משל האחרים בהצבעתך </t>
    </r>
    <r>
      <rPr>
        <u/>
        <sz val="11"/>
        <color theme="1"/>
        <rFont val="Calibri"/>
        <family val="2"/>
        <scheme val="minor"/>
      </rPr>
      <t>לעירייה</t>
    </r>
    <r>
      <rPr>
        <sz val="11"/>
        <color theme="1"/>
        <rFont val="Calibri"/>
        <family val="2"/>
        <charset val="177"/>
        <scheme val="minor"/>
      </rPr>
      <t>?</t>
    </r>
  </si>
  <si>
    <t>עבור איזו רשימה הצבעת לעירייה בבחירות הקודמות?</t>
  </si>
  <si>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לכנסת?</t>
    </r>
  </si>
  <si>
    <t>באיזו מידה אתה מתעניין בתוצאות הבחירות לכנסת?</t>
  </si>
  <si>
    <t>באיזו מידה היית תומך במדיניות תוקפנית מצד ישראל לגבי ארצות ערב?</t>
  </si>
  <si>
    <t>כמה שנים אימך למדה בבית ספר או בכל מסגרת אחרת?</t>
  </si>
  <si>
    <t>מהי השפה העיקרית המדוברת בביתך?</t>
  </si>
  <si>
    <t>צפיפות בבית</t>
  </si>
  <si>
    <t>באיזו ארץ נולד/ה בן/בת זוגך?</t>
  </si>
  <si>
    <t>מהי ההשכלה של בן/בת זוגך?</t>
  </si>
  <si>
    <t>1969 - 2</t>
  </si>
  <si>
    <t>באיזה אופן השפיעו תשדירי הבחירות על עמדתך הפוליטית?</t>
  </si>
  <si>
    <r>
      <t xml:space="preserve">באיזו מידה אתה מתעניין </t>
    </r>
    <r>
      <rPr>
        <u/>
        <sz val="11"/>
        <color theme="1"/>
        <rFont val="Calibri"/>
        <family val="2"/>
        <scheme val="minor"/>
      </rPr>
      <t>בבעיות הכלכליות</t>
    </r>
    <r>
      <rPr>
        <sz val="11"/>
        <color theme="1"/>
        <rFont val="Calibri"/>
        <family val="2"/>
        <charset val="177"/>
        <scheme val="minor"/>
      </rPr>
      <t xml:space="preserve"> של מדינת ישראל?</t>
    </r>
  </si>
  <si>
    <t>האם הינך שייך לאלה שחושבים שיש להפריד את הדת מהמדינה?</t>
  </si>
  <si>
    <t>עד כמה ברור לך מהן הבעיות היסודיות החשובות ביותר כיום בחיי מדינת ישראל?</t>
  </si>
  <si>
    <t>והבעיה השלישית הכי חשובה?</t>
  </si>
  <si>
    <t>איזה מן הנושאים הנ"ל הינו החשוב לך ביותר בקביעת עמדתך כלפי המפלגה אותה אתה אוהד?</t>
  </si>
  <si>
    <r>
      <t xml:space="preserve">האם ברור לך מה ההבדלים בעמדותיהן של המפלגות השונות בנושא </t>
    </r>
    <r>
      <rPr>
        <u/>
        <sz val="11"/>
        <color theme="1"/>
        <rFont val="Calibri"/>
        <family val="2"/>
        <scheme val="minor"/>
      </rPr>
      <t>הוויתורים הטריטוריאליים</t>
    </r>
    <r>
      <rPr>
        <sz val="11"/>
        <color theme="1"/>
        <rFont val="Calibri"/>
        <family val="2"/>
        <charset val="177"/>
        <scheme val="minor"/>
      </rPr>
      <t xml:space="preserve"> (ויתור על שטחים)?</t>
    </r>
  </si>
  <si>
    <r>
      <t xml:space="preserve">האם ברור לך מה ההבדלים בעמדותיהן של המפלגות השונות בנושא </t>
    </r>
    <r>
      <rPr>
        <u/>
        <sz val="11"/>
        <color theme="1"/>
        <rFont val="Calibri"/>
        <family val="2"/>
        <scheme val="minor"/>
      </rPr>
      <t>הכלכלה</t>
    </r>
    <r>
      <rPr>
        <sz val="11"/>
        <color theme="1"/>
        <rFont val="Calibri"/>
        <family val="2"/>
        <charset val="177"/>
        <scheme val="minor"/>
      </rPr>
      <t>?</t>
    </r>
  </si>
  <si>
    <r>
      <t xml:space="preserve">האם ברור לך מה ההבדלים בעמדותיהן של המפלגות השונות בנושא </t>
    </r>
    <r>
      <rPr>
        <u/>
        <sz val="11"/>
        <color theme="1"/>
        <rFont val="Calibri"/>
        <family val="2"/>
        <scheme val="minor"/>
      </rPr>
      <t>החברתי</t>
    </r>
    <r>
      <rPr>
        <sz val="11"/>
        <color theme="1"/>
        <rFont val="Calibri"/>
        <family val="2"/>
        <charset val="177"/>
        <scheme val="minor"/>
      </rPr>
      <t>?</t>
    </r>
  </si>
  <si>
    <t>ציין את שם המועמד המרכזי לגביך ברשמית המפלגה עבורה אתה עומד להצביע בכנסת?</t>
  </si>
  <si>
    <t>באיזו מפלגה אתה תומך יותר מכל היתר?</t>
  </si>
  <si>
    <t>האם אתה עומד להצביע לעירייה בבחירות הבאות?</t>
  </si>
  <si>
    <r>
      <t xml:space="preserve">לו יכלת להצביע עבור עוד שתי רשימות, מלבד לזו שאמרת, לאילו שתי רשימות היית מצביע: </t>
    </r>
    <r>
      <rPr>
        <b/>
        <sz val="11"/>
        <color theme="1"/>
        <rFont val="Calibri"/>
        <family val="2"/>
        <scheme val="minor"/>
      </rPr>
      <t>הראשונה</t>
    </r>
  </si>
  <si>
    <r>
      <t xml:space="preserve">לו יכלת להצביע עבור עוד שתי רשימות, מלבד לזו שאמרת, לאילו שתי רשימות היית מצביע: </t>
    </r>
    <r>
      <rPr>
        <b/>
        <sz val="11"/>
        <color theme="1"/>
        <rFont val="Calibri"/>
        <family val="2"/>
        <scheme val="minor"/>
      </rPr>
      <t>השנייה</t>
    </r>
  </si>
  <si>
    <t>האם הממונים עליך מצביעים כמוך?</t>
  </si>
  <si>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</si>
  <si>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</si>
  <si>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המערך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</si>
  <si>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</si>
  <si>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</si>
  <si>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חירות (מקצוע)</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</si>
  <si>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(גיל)</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</si>
  <si>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(עדה)</t>
    </r>
  </si>
  <si>
    <r>
      <t xml:space="preserve">לכל מפלגה יש חוגי תומכים משלה. מבין הקבוצות הבאות, מיהו לדעתך חוג התומכים העיקרי של המפלגות הבאות: </t>
    </r>
    <r>
      <rPr>
        <b/>
        <sz val="11"/>
        <color theme="1"/>
        <rFont val="Calibri"/>
        <family val="2"/>
        <scheme val="minor"/>
      </rPr>
      <t>העולם הזה (מקצוע)</t>
    </r>
  </si>
  <si>
    <r>
      <t xml:space="preserve">באיזה אופן </t>
    </r>
    <r>
      <rPr>
        <u/>
        <sz val="11"/>
        <color theme="1"/>
        <rFont val="Calibri"/>
        <family val="2"/>
        <scheme val="minor"/>
      </rPr>
      <t>מסע הבחירות</t>
    </r>
    <r>
      <rPr>
        <sz val="11"/>
        <color theme="1"/>
        <rFont val="Calibri"/>
        <family val="2"/>
        <charset val="177"/>
        <scheme val="minor"/>
      </rPr>
      <t xml:space="preserve"> השפיע על החלטתך איך להצביע בבחירות להסתדרות?</t>
    </r>
  </si>
  <si>
    <t>יש הטוענים שאם הבוחר אינו מייחס חשיבות לתוצאות הבחירות, מוטב שלא יצביע בכלל. מה דעתך?</t>
  </si>
  <si>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</si>
  <si>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הינך </t>
    </r>
    <r>
      <rPr>
        <u/>
        <sz val="11"/>
        <color theme="1"/>
        <rFont val="Calibri"/>
        <family val="2"/>
        <scheme val="minor"/>
      </rPr>
      <t>מעריך ביותר</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</si>
  <si>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</si>
  <si>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דעת הקהל</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</si>
  <si>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</si>
  <si>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מדיניות הממשלה</t>
    </r>
    <r>
      <rPr>
        <sz val="11"/>
        <color theme="1"/>
        <rFont val="Calibri"/>
        <family val="2"/>
        <charset val="177"/>
        <scheme val="minor"/>
      </rPr>
      <t xml:space="preserve">: </t>
    </r>
    <r>
      <rPr>
        <b/>
        <sz val="11"/>
        <color theme="1"/>
        <rFont val="Calibri"/>
        <family val="2"/>
        <scheme val="minor"/>
      </rPr>
      <t>השנייה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</si>
  <si>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הראשונה</t>
    </r>
  </si>
  <si>
    <r>
      <t xml:space="preserve">להלן רשימה של קבוצות של מקצועות חשובים בישראל. איזה שתי קבוצות </t>
    </r>
    <r>
      <rPr>
        <u/>
        <sz val="11"/>
        <color theme="1"/>
        <rFont val="Calibri"/>
        <family val="2"/>
        <scheme val="minor"/>
      </rPr>
      <t>המשפיעות ביותר על הלך רוחך לגבי הבעיות החברתיות והמדינתיות</t>
    </r>
    <r>
      <rPr>
        <sz val="11"/>
        <color theme="1"/>
        <rFont val="Calibri"/>
        <family val="2"/>
        <charset val="177"/>
        <scheme val="minor"/>
      </rPr>
      <t xml:space="preserve">: </t>
    </r>
    <r>
      <rPr>
        <b/>
        <sz val="11"/>
        <color theme="1"/>
        <rFont val="Calibri"/>
        <family val="2"/>
        <scheme val="minor"/>
      </rPr>
      <t>השנייה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</si>
  <si>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</si>
  <si>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</si>
  <si>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הראשון</t>
    </r>
    <r>
      <rPr>
        <sz val="11"/>
        <color theme="1"/>
        <rFont val="Calibri"/>
        <family val="2"/>
        <charset val="177"/>
        <scheme val="minor"/>
      </rPr>
      <t xml:space="preserve">: </t>
    </r>
    <r>
      <rPr>
        <b/>
        <sz val="11"/>
        <color theme="1"/>
        <rFont val="Calibri"/>
        <family val="2"/>
        <scheme val="minor"/>
      </rPr>
      <t>בן כמה הוא?</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</si>
  <si>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באיזה ארץ נולד אדם זה?</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</si>
  <si>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מה מקצועו?</t>
    </r>
  </si>
  <si>
    <r>
      <t xml:space="preserve">אבקשך לחשוב על שני אנשים שאתה מכיר, מחוץ לבני ביתך, אשר משפיעים ביותר על הלך רוחך לגבי בעיות חברתיות ומדינתיות חשובות. לגבי </t>
    </r>
    <r>
      <rPr>
        <u/>
        <sz val="11"/>
        <color theme="1"/>
        <rFont val="Calibri"/>
        <family val="2"/>
        <scheme val="minor"/>
      </rPr>
      <t>השני</t>
    </r>
    <r>
      <rPr>
        <sz val="11"/>
        <color theme="1"/>
        <rFont val="Calibri"/>
        <family val="2"/>
        <charset val="177"/>
        <scheme val="minor"/>
      </rPr>
      <t xml:space="preserve">: </t>
    </r>
    <r>
      <rPr>
        <b/>
        <sz val="11"/>
        <color theme="1"/>
        <rFont val="Calibri"/>
        <family val="2"/>
        <scheme val="minor"/>
      </rPr>
      <t>בן כמה הוא?</t>
    </r>
  </si>
  <si>
    <t>האם יש להגביל את שטחי הפעולה של ההסתדרות בחיים הכלכליים של הארץ?</t>
  </si>
  <si>
    <t>האם חשבת פעם אילו צעדים צריכים לעשות כדי לקרב את השלום עם ארצות ערב?</t>
  </si>
  <si>
    <t>באיזו מידה ברור לך מה צריך להיות היחס למיעוט הערבי במדינה?</t>
  </si>
  <si>
    <t>1969 - 1</t>
  </si>
  <si>
    <t>האם בתקופה שלפני הבחירות מתקיימים חוגי בית בביתך?</t>
  </si>
  <si>
    <t>האם אתה נוהג להאזין בכל יום לרדיו?</t>
  </si>
  <si>
    <t>מה אתה מחפש בעיקר ברדיו? נא דרג את הדברים לפי סדר חשיבות בעיניך</t>
  </si>
  <si>
    <r>
      <t xml:space="preserve">כמה פעמים בשבוע אתה קורא את העיתון הבא: </t>
    </r>
    <r>
      <rPr>
        <b/>
        <sz val="11"/>
        <color theme="1"/>
        <rFont val="Calibri"/>
        <family val="2"/>
        <scheme val="minor"/>
      </rPr>
      <t>הארץ</t>
    </r>
  </si>
  <si>
    <r>
      <t xml:space="preserve">כמה פעמים בשבוע אתה קורא את העיתון הבא: </t>
    </r>
    <r>
      <rPr>
        <b/>
        <sz val="11"/>
        <color theme="1"/>
        <rFont val="Calibri"/>
        <family val="2"/>
        <scheme val="minor"/>
      </rPr>
      <t>דבר</t>
    </r>
  </si>
  <si>
    <r>
      <t xml:space="preserve">כמה פעמים בשבוע אתה קורא את העיתון הבא: </t>
    </r>
    <r>
      <rPr>
        <b/>
        <sz val="11"/>
        <color theme="1"/>
        <rFont val="Calibri"/>
        <family val="2"/>
        <scheme val="minor"/>
      </rPr>
      <t>אומר</t>
    </r>
  </si>
  <si>
    <r>
      <t xml:space="preserve">כמה פעמים בשבוע אתה קורא את העיתון הבא: </t>
    </r>
    <r>
      <rPr>
        <b/>
        <sz val="11"/>
        <color theme="1"/>
        <rFont val="Calibri"/>
        <family val="2"/>
        <scheme val="minor"/>
      </rPr>
      <t>למרחב</t>
    </r>
  </si>
  <si>
    <r>
      <t xml:space="preserve">כמה פעמים בשבוע אתה קורא את העיתון הבא: </t>
    </r>
    <r>
      <rPr>
        <b/>
        <sz val="11"/>
        <color theme="1"/>
        <rFont val="Calibri"/>
        <family val="2"/>
        <scheme val="minor"/>
      </rPr>
      <t>על המשמר</t>
    </r>
  </si>
  <si>
    <r>
      <t xml:space="preserve">כמה פעמים בשבוע אתה קורא את העיתון הבא: </t>
    </r>
    <r>
      <rPr>
        <b/>
        <sz val="11"/>
        <color theme="1"/>
        <rFont val="Calibri"/>
        <family val="2"/>
        <scheme val="minor"/>
      </rPr>
      <t>היום</t>
    </r>
  </si>
  <si>
    <r>
      <t xml:space="preserve">כמה פעמים בשבוע אתה קורא את העיתון הבא: </t>
    </r>
    <r>
      <rPr>
        <b/>
        <sz val="11"/>
        <color theme="1"/>
        <rFont val="Calibri"/>
        <family val="2"/>
        <scheme val="minor"/>
      </rPr>
      <t>קול העם</t>
    </r>
  </si>
  <si>
    <r>
      <t xml:space="preserve">כמה פעמים בשבוע אתה קורא את העיתון הבא: </t>
    </r>
    <r>
      <rPr>
        <b/>
        <sz val="11"/>
        <color theme="1"/>
        <rFont val="Calibri"/>
        <family val="2"/>
        <scheme val="minor"/>
      </rPr>
      <t>הצופה</t>
    </r>
  </si>
  <si>
    <r>
      <t xml:space="preserve">כמה פעמים בשבוע אתה קורא את העיתון הבא: </t>
    </r>
    <r>
      <rPr>
        <b/>
        <sz val="11"/>
        <color theme="1"/>
        <rFont val="Calibri"/>
        <family val="2"/>
        <scheme val="minor"/>
      </rPr>
      <t>מעריב</t>
    </r>
  </si>
  <si>
    <r>
      <t xml:space="preserve">כמה פעמים בשבוע אתה קורא את העיתון הבא: </t>
    </r>
    <r>
      <rPr>
        <b/>
        <sz val="11"/>
        <color theme="1"/>
        <rFont val="Calibri"/>
        <family val="2"/>
        <scheme val="minor"/>
      </rPr>
      <t>ידיעות אחרונות</t>
    </r>
  </si>
  <si>
    <r>
      <t xml:space="preserve">כמה פעמים בשבוע אתה קורא את העיתון הבא: </t>
    </r>
    <r>
      <rPr>
        <b/>
        <sz val="11"/>
        <color theme="1"/>
        <rFont val="Calibri"/>
        <family val="2"/>
        <scheme val="minor"/>
      </rPr>
      <t>ג'רוזלם פוסט</t>
    </r>
  </si>
  <si>
    <r>
      <t xml:space="preserve">כמה פעמים בשבוע אתה קורא את העיתון הבא: </t>
    </r>
    <r>
      <rPr>
        <b/>
        <sz val="11"/>
        <color theme="1"/>
        <rFont val="Calibri"/>
        <family val="2"/>
        <scheme val="minor"/>
      </rPr>
      <t>עיתון לועזי</t>
    </r>
  </si>
  <si>
    <r>
      <t xml:space="preserve">כמה פעמים בשבוע אתה קורא את העיתון הבא: </t>
    </r>
    <r>
      <rPr>
        <b/>
        <sz val="11"/>
        <color theme="1"/>
        <rFont val="Calibri"/>
        <family val="2"/>
        <scheme val="minor"/>
      </rPr>
      <t>אחר</t>
    </r>
  </si>
  <si>
    <t>מה אתה מחפש בעיקר בטלוויזיה? נא דרך את הדברים הבאים לפי סדר חשיבותם בעיניך</t>
  </si>
  <si>
    <t>לדעתך, מהו מצב המדינה בימים אלו מבחינת בטחון לאומי?</t>
  </si>
  <si>
    <t>איפה עומדת המדינה לדעתך מבחינת המצב החברתי כיום?</t>
  </si>
  <si>
    <t>ובעוד ארבע שנים, מה יהיה מצב המדינה מבחינ המצב החברתי?</t>
  </si>
  <si>
    <t>ולפני ארבע שנים, מה היה מצב המדינה מבחינת המצב החברתי?</t>
  </si>
  <si>
    <r>
      <t xml:space="preserve">האם בדר"כ אתה מתעניין </t>
    </r>
    <r>
      <rPr>
        <u/>
        <sz val="11"/>
        <color theme="1"/>
        <rFont val="Calibri"/>
        <family val="2"/>
        <scheme val="minor"/>
      </rPr>
      <t>בבעיות חוץ וביטחון</t>
    </r>
    <r>
      <rPr>
        <sz val="11"/>
        <color theme="1"/>
        <rFont val="Calibri"/>
        <family val="2"/>
        <charset val="177"/>
        <scheme val="minor"/>
      </rPr>
      <t>?</t>
    </r>
  </si>
  <si>
    <r>
      <t xml:space="preserve">באיזו מידה לדעתך צריך האזרח הרגיל במדינת ישראל להתעניין </t>
    </r>
    <r>
      <rPr>
        <u/>
        <sz val="11"/>
        <color theme="1"/>
        <rFont val="Calibri"/>
        <family val="2"/>
        <scheme val="minor"/>
      </rPr>
      <t>בבעיות הכלכליות</t>
    </r>
    <r>
      <rPr>
        <sz val="11"/>
        <color theme="1"/>
        <rFont val="Calibri"/>
        <family val="2"/>
        <charset val="177"/>
        <scheme val="minor"/>
      </rPr>
      <t xml:space="preserve"> של המדינה?</t>
    </r>
  </si>
  <si>
    <r>
      <t xml:space="preserve">באיזו מידה לדעתך צריך האזרח הרגיל במדינת ישראל להתעניין </t>
    </r>
    <r>
      <rPr>
        <u/>
        <sz val="11"/>
        <color theme="1"/>
        <rFont val="Calibri"/>
        <family val="2"/>
        <scheme val="minor"/>
      </rPr>
      <t>בבעיות החוץ והביטחון</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</si>
  <si>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בבעיות החברתיות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</si>
  <si>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בבעיות החברתיות</t>
    </r>
    <r>
      <rPr>
        <sz val="11"/>
        <color theme="1"/>
        <rFont val="Calibri"/>
        <family val="2"/>
        <charset val="177"/>
        <scheme val="minor"/>
      </rPr>
      <t xml:space="preserve"> של המדינה?</t>
    </r>
  </si>
  <si>
    <r>
      <t xml:space="preserve">באיזו מידה אתה מתעניין </t>
    </r>
    <r>
      <rPr>
        <u/>
        <sz val="11"/>
        <color theme="1"/>
        <rFont val="Calibri"/>
        <family val="2"/>
        <scheme val="minor"/>
      </rPr>
      <t>בפוליטיקה מקומית</t>
    </r>
    <r>
      <rPr>
        <sz val="11"/>
        <color theme="1"/>
        <rFont val="Calibri"/>
        <family val="2"/>
        <charset val="177"/>
        <scheme val="minor"/>
      </rPr>
      <t xml:space="preserve"> של מדינת ישראל?</t>
    </r>
  </si>
  <si>
    <r>
      <t xml:space="preserve">באיזו מידה לדעתך צריך האזרח הרגיל במדינת ישראל להתעניין </t>
    </r>
    <r>
      <rPr>
        <u/>
        <sz val="11"/>
        <color theme="1"/>
        <rFont val="Calibri"/>
        <family val="2"/>
        <scheme val="minor"/>
      </rPr>
      <t>בפוליטיקה מקומית</t>
    </r>
    <r>
      <rPr>
        <sz val="11"/>
        <color theme="1"/>
        <rFont val="Calibri"/>
        <family val="2"/>
        <charset val="177"/>
        <scheme val="minor"/>
      </rPr>
      <t xml:space="preserve"> של המדינה?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</si>
  <si>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מדיניות חוץ וביטחון</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</si>
  <si>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כלכלה</t>
    </r>
  </si>
  <si>
    <r>
      <t xml:space="preserve">האם אתה משוחח עם מכרים, ידידים, חברים לעבודה או בני משפחה על נושאים אקטואליים הקשורים למדינת ישראל? אם כן - באיזו תכיפות אתה מנהל שיחות כאלה בנושא: </t>
    </r>
    <r>
      <rPr>
        <b/>
        <sz val="11"/>
        <color theme="1"/>
        <rFont val="Calibri"/>
        <family val="2"/>
        <scheme val="minor"/>
      </rPr>
      <t>בעיות חברתיות</t>
    </r>
  </si>
  <si>
    <t>באיזו מידה אתה נוטה לפנות לאחרים כדי לשמוע את דעתם בענייני פוליטיקה?</t>
  </si>
  <si>
    <t>באיזו מידה פונים אליך אחרים לשמוע את דעתך בענייני פוליטיקה?</t>
  </si>
  <si>
    <t>עד כמה ברור לך מהן הדרכים הטובות ביותר בהן צריכה הממשלה לנהל את ענייני המדינה?</t>
  </si>
  <si>
    <t>מה דעתך על הדרך שבה מנהלת העירייה את ענייני העיר?</t>
  </si>
  <si>
    <t>עד כמה ברור לך מהם הדרכים הטובות ביותר בהן צריכה העירייה לנהל את ענייני העיר?</t>
  </si>
  <si>
    <t>האם אתה נותן אמון באינפורמציה הפוליטית שאתה מקבל בשיחות עם חבריך?</t>
  </si>
  <si>
    <t>האם אתה נותן אמון באינפורמציה הפוליטית שאתה מקבל באמצעות העיתונות?</t>
  </si>
  <si>
    <t>האם אתה נותן אמון באינפורמציה הפוליטית שאתה מקבל ברדיו ובטלוויזיה?</t>
  </si>
  <si>
    <t>באיזו מידה הנך מסכים לדעה, שהמפלגה השלטת עושה מספיק על מנת להעלות כוחות צעירים להנהגה?</t>
  </si>
  <si>
    <t>יש אנשים שלדעתם יש לבחור חברי כנסת בבחירות אישיות. ואילו אחרים סבורים שיש לבחרם לפי רשימות מפלגתיות. מה דעתך?</t>
  </si>
  <si>
    <t>יש הסבורים שיש להתיר שיווק בשר לא כשר בארץ ואילו אחרים טוענים שיש לאסור זאת. מה דעתך?</t>
  </si>
  <si>
    <t>איזו מן ההגדרות הבאות קרובה ביותר לעמדתך?</t>
  </si>
  <si>
    <t>האם אתה מסכים לדעה שיש לבחור ראשי ערים בבחירות אישיות, או שהנך חושב שרצוי לבחרם לפי רשימות מפלגתיות?</t>
  </si>
  <si>
    <t>באיזו מידה אתה מסכים עם הדעה האומרת, שיש להכריז על נכונות להחזרת שטחים כבסיס לפתיחת מו"מ?</t>
  </si>
  <si>
    <t>באיזו מידה אתה מסכים ליוזמות תעשיתיות וניהול מפעלים ע"י ההסתדרות?</t>
  </si>
  <si>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הדואר</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</si>
  <si>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הרכבת</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</si>
  <si>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חברת החשמל</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</si>
  <si>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שיווק של מזון</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</si>
  <si>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רדיו וטלוויזיה</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</si>
  <si>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קופות החולים</t>
    </r>
  </si>
  <si>
    <r>
      <t xml:space="preserve">לפניך רשימה של ענפים. ציין בבקשה לגבי כל אחד מהם אם היית תומך בכך שיהיו בבעלות ממשלתית או מתנגד לכך: </t>
    </r>
    <r>
      <rPr>
        <b/>
        <sz val="11"/>
        <color theme="1"/>
        <rFont val="Calibri"/>
        <family val="2"/>
        <scheme val="minor"/>
      </rPr>
      <t>שירותי הטלפון</t>
    </r>
  </si>
  <si>
    <t>באיזו מידה הינך מסכים שישראל צריכה להיות מובטחת ע"י תמיכה של מעצמה כלשהי?</t>
  </si>
  <si>
    <t>באיזו מידה הינך סבור שדרושה מדיניות של תמיכה כלכלית ממשלתית (סובסידיות) בסקטור ההסתדרותי במשק?</t>
  </si>
  <si>
    <t>איזו שיטה כלכלית עדיפה לדעתך - זו של ברה"מ או זו של ארה"ב?</t>
  </si>
  <si>
    <t>האם הינך מסכים לכך שדיני אישות (נישואין וגירושין) צריכים להימצא בתחום סמכותה הבלעדית של הרבנות?</t>
  </si>
  <si>
    <t>האם לדעתך כדאי לעבוד להצטרף להסתדרות פועלים?</t>
  </si>
  <si>
    <t>באיזו מידה הינך סבור שדרושה מדיניות של תמיכה כלכלית ממשלתית (סובסידיות) במפעלים הפרטיים?</t>
  </si>
  <si>
    <t>באיזו מידה אתה מסכים לכך שיש לחוקק חוק בוררות חובה בענייני שביתות?</t>
  </si>
  <si>
    <t>האם היית מוכן לקשור קשרי ידידות עם בן עדה שונה משלך?</t>
  </si>
  <si>
    <t>האם היית מוכן לגור בבית שבו גרים גם בני עדה שונה משלך?</t>
  </si>
  <si>
    <t>האם יש בין חבריך הקרובים, המוזמנים לביתך, בני עדה שונה משלך?</t>
  </si>
  <si>
    <t>האם היית מוכן להינשא לבת עדה שונה משלך?</t>
  </si>
  <si>
    <t>האם היית מוכן לגור בבית שגרה בו משפחה ערבית?</t>
  </si>
  <si>
    <t>האם היית מוכן לקשור קשרי ידידות עם בן הלאום הערבי?</t>
  </si>
  <si>
    <t>יש אומרים שאפילו אם הערבים יכולים להתקדם הרבה - לא יגיעו לעולם לרמתם של היהודים. מה דעתך?</t>
  </si>
  <si>
    <t>האם לדעתך? 1</t>
  </si>
  <si>
    <t>האם לדעתך? 2</t>
  </si>
  <si>
    <t>האם אתה נמנה על אלה הסבורים שאין להחזיר אף שעל אדמה מן השטחים, או שהנך בעד החזרת שטחים?</t>
  </si>
  <si>
    <t>האם יש לך בבית מכונת כביסה?</t>
  </si>
  <si>
    <t>האם יש בביתך מכשיר טלוויזיה?</t>
  </si>
  <si>
    <t>האם יש בבעלותך מכונית?</t>
  </si>
  <si>
    <t>האם בזמן הבחירות האחרונות גרת באותו מקום שאתה גר כיום?</t>
  </si>
  <si>
    <t>האם היית חבר קיבוץ? מאיזה זרם?</t>
  </si>
  <si>
    <t>c79</t>
  </si>
  <si>
    <t>c85</t>
  </si>
  <si>
    <t>c91</t>
  </si>
  <si>
    <t>v8c</t>
  </si>
  <si>
    <t>ישראל הולכת לבחירות בפעם הרביעית בתוך פחות משנתיים. מבין הדברים הבאים, מהי לדעתך הסיבה המרכזית לכך?</t>
  </si>
  <si>
    <t>v601</t>
  </si>
  <si>
    <t>בהשוואה למצבך הכלכלי לפני שנה, כלומר לפני שפרצה מגפת הקורונה, האם כיום מצבך הכלכלי האישי:</t>
  </si>
  <si>
    <t>v602</t>
  </si>
  <si>
    <t>באיזו מידה אתה מודאג או לא מודאג מכך שאתה או בני משפחתך עלולים להיפגע מהקורונה?</t>
  </si>
  <si>
    <t>v603</t>
  </si>
  <si>
    <t>מה דעתך על הדרך שבה הממשלה מטפלת במשבר הקורונה?</t>
  </si>
  <si>
    <t>v604</t>
  </si>
  <si>
    <t>המפלגות הערביות (המשותפת ורע"ם)  צריכות לפעול להיכנס לקואליציה</t>
  </si>
  <si>
    <t>הפיצול ברשימה המשותפת מזיק לאינטרסים של האוכלוסייה הערבית</t>
  </si>
  <si>
    <t>v605</t>
  </si>
  <si>
    <t>האם השתתפת בהפגנה בשנה האחרונה?</t>
  </si>
  <si>
    <t>v606</t>
  </si>
  <si>
    <t>מי לדעתך יטפל יותר טוב במשבר הקורונה?</t>
  </si>
  <si>
    <t>v607</t>
  </si>
  <si>
    <t>v49_c</t>
  </si>
  <si>
    <t>v49Z</t>
  </si>
  <si>
    <r>
      <t xml:space="preserve">מה יחסך לכל אחת מן המפלגות הבאות? </t>
    </r>
    <r>
      <rPr>
        <b/>
        <sz val="11"/>
        <color theme="1"/>
        <rFont val="Calibri"/>
        <family val="2"/>
        <scheme val="minor"/>
      </rPr>
      <t>תקווה חדשה</t>
    </r>
  </si>
  <si>
    <t>v49X</t>
  </si>
  <si>
    <t>v49Y</t>
  </si>
  <si>
    <r>
      <t xml:space="preserve">ועל אותו סולם, מה יחסך לאישים הבאים? </t>
    </r>
    <r>
      <rPr>
        <b/>
        <sz val="11"/>
        <color theme="1"/>
        <rFont val="Calibri"/>
        <family val="2"/>
        <scheme val="minor"/>
      </rPr>
      <t>גדעון סער</t>
    </r>
  </si>
  <si>
    <t>v52Z</t>
  </si>
  <si>
    <r>
      <t xml:space="preserve">ועל אותו סולם, מה יחסך לאישים הבאים? </t>
    </r>
    <r>
      <rPr>
        <b/>
        <sz val="11"/>
        <color theme="1"/>
        <rFont val="Calibri"/>
        <family val="2"/>
        <scheme val="minor"/>
      </rPr>
      <t>מרב מיכאלי</t>
    </r>
  </si>
  <si>
    <r>
      <t xml:space="preserve">באיזו מידה ישפיע או לא ישפיע כל אחד מהנושאים הבאים על ההצבעה שלך לכנסת? </t>
    </r>
    <r>
      <rPr>
        <b/>
        <sz val="11"/>
        <color theme="1"/>
        <rFont val="Calibri"/>
        <family val="2"/>
        <scheme val="minor"/>
      </rPr>
      <t>משבר הקורונה</t>
    </r>
  </si>
  <si>
    <t>v608</t>
  </si>
  <si>
    <t>באיזו מידה השיקול אם המפלגה תשב או לא תשב תחת נתניהו כראש ממשלה, ישפיע או לא ישפיע על ההצבעה שלך?</t>
  </si>
  <si>
    <t>v609</t>
  </si>
  <si>
    <t>v610</t>
  </si>
  <si>
    <t>v611</t>
  </si>
  <si>
    <t>v612</t>
  </si>
  <si>
    <t>מי אתה מרגיש שיצג אותך יותר בשנה האחרונה, המפלגה/פוליטיקאי שהצבעת להם או פוליטיקאים ומפלגות אחרות?</t>
  </si>
  <si>
    <t>מי אתה מרגיש שיצג אותך יותר בשנה האחרונה, המפלגות/פוליטיקאים או גופים ואנשים מחוץ למערכת הפוליטית?</t>
  </si>
  <si>
    <t>אילו גופים ואנשים מחוץ למערכת הפוליטית יצגו אותך?</t>
  </si>
  <si>
    <t>לעומת דמוקרטיות אחרות, האם להערכתך המערכת הפוליטית בישראל יציבה או לא יציבה?</t>
  </si>
  <si>
    <t>v616</t>
  </si>
  <si>
    <t>האם להערכתך ממשלות בישראל שורדות בשלטון זמן קצר, משך זמן דומה, או זמן ארוך יותר לעומת דמוקרטיות אחרות?</t>
  </si>
  <si>
    <t>v617</t>
  </si>
  <si>
    <t>v618</t>
  </si>
  <si>
    <t>v620A</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</si>
  <si>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כחול-לבן</t>
    </r>
  </si>
  <si>
    <t>v620B</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</si>
  <si>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יש עתיד</t>
    </r>
  </si>
  <si>
    <t>v620Z</t>
  </si>
  <si>
    <t>v620C</t>
  </si>
  <si>
    <t>v620F</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</si>
  <si>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תקווה חדשה</t>
    </r>
  </si>
  <si>
    <t>v620X</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</si>
  <si>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ימינה</t>
    </r>
  </si>
  <si>
    <t>v620D</t>
  </si>
  <si>
    <t>v620S</t>
  </si>
  <si>
    <t>v620H</t>
  </si>
  <si>
    <t>v620I</t>
  </si>
  <si>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יהדות התורה</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</si>
  <si>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הרשימה המשותפת</t>
    </r>
  </si>
  <si>
    <r>
      <t xml:space="preserve">היכן היית מדרג את המפלגות הבאות על פני רצף "שמאל-ימין" כאשר 0 משמעו שמאל, 10 משמעו ימין ו-5 משמעו אמצע: </t>
    </r>
    <r>
      <rPr>
        <b/>
        <sz val="11"/>
        <color theme="1"/>
        <rFont val="Calibri"/>
        <family val="2"/>
        <scheme val="minor"/>
      </rPr>
      <t>רע"מ</t>
    </r>
  </si>
  <si>
    <t>v620K</t>
  </si>
  <si>
    <t>v620J</t>
  </si>
  <si>
    <t>v620Y</t>
  </si>
  <si>
    <t>v621</t>
  </si>
  <si>
    <t>v622</t>
  </si>
  <si>
    <t>v623</t>
  </si>
  <si>
    <t>v15A</t>
  </si>
  <si>
    <t>v15B</t>
  </si>
  <si>
    <t>F1</t>
  </si>
  <si>
    <t>F2</t>
  </si>
  <si>
    <t>F3</t>
  </si>
  <si>
    <t>F4</t>
  </si>
  <si>
    <t>F5</t>
  </si>
  <si>
    <t>F7</t>
  </si>
  <si>
    <t xml:space="preserve">לגבי שיתוף פעולה עם מפלגות ערביות בהקמת הממשלה, האם אתה: </t>
  </si>
  <si>
    <t>N1</t>
  </si>
  <si>
    <t>F9</t>
  </si>
  <si>
    <t>מבין שתי האפשרויות הבאות, מה אתה מעדיף?</t>
  </si>
  <si>
    <t>N2</t>
  </si>
  <si>
    <t>F10</t>
  </si>
  <si>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הציונות הדתית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</si>
  <si>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ימינה</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</si>
  <si>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הרשימה המשותפת</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</si>
  <si>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רע"מ</t>
    </r>
  </si>
  <si>
    <r>
      <rPr>
        <u/>
        <sz val="11"/>
        <color theme="1"/>
        <rFont val="Calibri"/>
        <family val="2"/>
        <scheme val="minor"/>
      </rPr>
      <t>לאחר הבחירות</t>
    </r>
    <r>
      <rPr>
        <sz val="11"/>
        <color theme="1"/>
        <rFont val="Calibri"/>
        <family val="2"/>
        <charset val="177"/>
        <scheme val="minor"/>
      </rPr>
      <t xml:space="preserve">, מה יחסך לכל אחת מן מפלגות הבאות: </t>
    </r>
    <r>
      <rPr>
        <b/>
        <sz val="11"/>
        <color theme="1"/>
        <rFont val="Calibri"/>
        <family val="2"/>
        <scheme val="minor"/>
      </rPr>
      <t>יהדות התורה</t>
    </r>
  </si>
  <si>
    <t>F49S_1</t>
  </si>
  <si>
    <t>F49D_1</t>
  </si>
  <si>
    <t>F49J_1</t>
  </si>
  <si>
    <t>F49Y_1</t>
  </si>
  <si>
    <t>F49K_1</t>
  </si>
  <si>
    <t>מספר חזרות</t>
  </si>
  <si>
    <t>ספירה 84-19</t>
  </si>
  <si>
    <t>סה"כ מעל שתי חזרות</t>
  </si>
  <si>
    <t>g104</t>
  </si>
  <si>
    <t>לעומת דמקרטיות אחרות, האם להערכתך, ממשלות בישראל מצליחות או לא מצליחות להעביר את המדיניות שהן רוצות?</t>
  </si>
  <si>
    <t>המפלגות הערביות עושות את כל שביכולתן כדי לקדם את האינטרסים של האוכלוסייה הערבית בישראל</t>
  </si>
  <si>
    <t>CITIZEN</t>
  </si>
  <si>
    <t>v8_code1</t>
  </si>
  <si>
    <t>v8_code2</t>
  </si>
  <si>
    <t>v8_code3</t>
  </si>
  <si>
    <t>מהי לדעתך שאיפת הפלסטינים בסופו של דבר?</t>
  </si>
  <si>
    <t>v700</t>
  </si>
  <si>
    <t>v15a</t>
  </si>
  <si>
    <t>v15b</t>
  </si>
  <si>
    <t>v15c</t>
  </si>
  <si>
    <t>מבין הפתרונות הבאים לסיום הסכסוך הישראלי-פלסטיני, איזה מועדף עליך ביותר?</t>
  </si>
  <si>
    <t>v702</t>
  </si>
  <si>
    <t>v703</t>
  </si>
  <si>
    <t>v704</t>
  </si>
  <si>
    <t>v49a</t>
  </si>
  <si>
    <t>v49z</t>
  </si>
  <si>
    <t>v49b</t>
  </si>
  <si>
    <t>v49c</t>
  </si>
  <si>
    <t>v49f</t>
  </si>
  <si>
    <t>v49s</t>
  </si>
  <si>
    <t>v49i</t>
  </si>
  <si>
    <t>v49k</t>
  </si>
  <si>
    <t>v49h</t>
  </si>
  <si>
    <t>v49y</t>
  </si>
  <si>
    <t>v49j</t>
  </si>
  <si>
    <t>v49t</t>
  </si>
  <si>
    <t>v52a</t>
  </si>
  <si>
    <t>v52b</t>
  </si>
  <si>
    <t>v52c</t>
  </si>
  <si>
    <t>v622a</t>
  </si>
  <si>
    <r>
      <t>מה יחסך ל</t>
    </r>
    <r>
      <rPr>
        <b/>
        <sz val="11"/>
        <color theme="1"/>
        <rFont val="Calibri"/>
        <family val="2"/>
        <scheme val="minor"/>
      </rPr>
      <t>חילונים</t>
    </r>
    <r>
      <rPr>
        <sz val="11"/>
        <color theme="1"/>
        <rFont val="Calibri"/>
        <family val="2"/>
        <charset val="177"/>
        <scheme val="minor"/>
      </rPr>
      <t>?</t>
    </r>
  </si>
  <si>
    <t>v622b</t>
  </si>
  <si>
    <t>(עבור מי שהשיב 'לא החליט', 'לא יודע', 'מסרב להשיב') האם הנטייה שלך היא להצביע למפלגת:</t>
  </si>
  <si>
    <t>v104a</t>
  </si>
  <si>
    <t>מה דעתך על השתתפולה של רע"מ בראשות מנסור עבאס בקואליציה האחרונה?</t>
  </si>
  <si>
    <t>v705</t>
  </si>
  <si>
    <t>v706</t>
  </si>
  <si>
    <t>v601b</t>
  </si>
  <si>
    <t>v707a</t>
  </si>
  <si>
    <t>v707b</t>
  </si>
  <si>
    <t>v707c</t>
  </si>
  <si>
    <r>
      <t xml:space="preserve">באיזו מידה אתה מסכים או לא מסכים, עם המשפטים הבאים: </t>
    </r>
    <r>
      <rPr>
        <b/>
        <sz val="11"/>
        <color theme="1"/>
        <rFont val="Calibri"/>
        <family val="2"/>
        <scheme val="minor"/>
      </rPr>
      <t>כדי לטפל בבעיות המיוחדות של ישראל עדיף שמומחים, ולא נציגים נבחרים, יקבלו החלטות על הבסיס הבנתם מה טוב למדינה</t>
    </r>
  </si>
  <si>
    <t>v619</t>
  </si>
  <si>
    <t>עם איזו משתי הטענות הבאות לגבי מהות הדמוקרטיה את/ה מסכים/ה יותר: הטענה האומרת שכל משטר הפועל על פי עקרון הכרעת הרוב הוא משטר דמוקרטי, או עם הטענה שאומרת שכדי שמשטר יהיה דמוקרטי באמת הוא צריך לשמור גם על עוד עקרונות, כמו למשל זכויות אדם וחופש ביטוי?</t>
  </si>
  <si>
    <t>v708</t>
  </si>
  <si>
    <t>v620a</t>
  </si>
  <si>
    <t>v620c</t>
  </si>
  <si>
    <t>v620i</t>
  </si>
  <si>
    <t>v620s</t>
  </si>
  <si>
    <t>v620h</t>
  </si>
  <si>
    <t>v620f</t>
  </si>
  <si>
    <t>v620b</t>
  </si>
  <si>
    <t>v620z</t>
  </si>
  <si>
    <t>v620k</t>
  </si>
  <si>
    <t>v620j</t>
  </si>
  <si>
    <t>v620y</t>
  </si>
  <si>
    <t>v620</t>
  </si>
  <si>
    <t>בחברה שלנו, יש אנשים שנוטים להיות בצמרת החברה ויש אנשים שנוטים להיות בתחתית. לפניך סולם הנע מהצמרת לתחתית. היכן היית ממקם/ת את עצמך בסולם זה כיום?</t>
  </si>
  <si>
    <t>v712</t>
  </si>
  <si>
    <t>VERSION</t>
  </si>
  <si>
    <t>LANGUAGE</t>
  </si>
  <si>
    <t>F110</t>
  </si>
  <si>
    <t>N11</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</si>
  <si>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לשמאלנים</t>
    </r>
    <r>
      <rPr>
        <sz val="11"/>
        <color theme="1"/>
        <rFont val="Calibri"/>
        <family val="2"/>
        <charset val="177"/>
        <scheme val="minor"/>
      </rPr>
      <t>?</t>
    </r>
  </si>
  <si>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לימנים</t>
    </r>
    <r>
      <rPr>
        <sz val="11"/>
        <color theme="1"/>
        <rFont val="Calibri"/>
        <family val="2"/>
        <charset val="177"/>
        <scheme val="minor"/>
      </rPr>
      <t>?</t>
    </r>
  </si>
  <si>
    <t>N50</t>
  </si>
  <si>
    <t>N51</t>
  </si>
  <si>
    <t>N622a</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</si>
  <si>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לחרדים</t>
    </r>
    <r>
      <rPr>
        <sz val="11"/>
        <color theme="1"/>
        <rFont val="Calibri"/>
        <family val="2"/>
        <charset val="177"/>
        <scheme val="minor"/>
      </rPr>
      <t>?</t>
    </r>
  </si>
  <si>
    <r>
      <t xml:space="preserve">לאחר הבחירות: </t>
    </r>
    <r>
      <rPr>
        <sz val="11"/>
        <color theme="1"/>
        <rFont val="Calibri"/>
        <family val="2"/>
        <scheme val="minor"/>
      </rPr>
      <t>מה יחסך</t>
    </r>
    <r>
      <rPr>
        <b/>
        <sz val="11"/>
        <color theme="1"/>
        <rFont val="Calibri"/>
        <family val="2"/>
        <scheme val="minor"/>
      </rPr>
      <t xml:space="preserve"> לחילונים</t>
    </r>
    <r>
      <rPr>
        <sz val="11"/>
        <color theme="1"/>
        <rFont val="Calibri"/>
        <family val="2"/>
        <scheme val="minor"/>
      </rPr>
      <t>?</t>
    </r>
  </si>
  <si>
    <t>N622b</t>
  </si>
  <si>
    <r>
      <rPr>
        <b/>
        <sz val="11"/>
        <color theme="1"/>
        <rFont val="Calibri"/>
        <family val="2"/>
        <scheme val="minor"/>
      </rPr>
      <t xml:space="preserve">לאחר הבחירות: </t>
    </r>
    <r>
      <rPr>
        <sz val="11"/>
        <color theme="1"/>
        <rFont val="Calibri"/>
        <family val="2"/>
        <charset val="177"/>
        <scheme val="minor"/>
      </rPr>
      <t xml:space="preserve">מה יחסך </t>
    </r>
    <r>
      <rPr>
        <b/>
        <sz val="11"/>
        <color theme="1"/>
        <rFont val="Calibri"/>
        <family val="2"/>
        <scheme val="minor"/>
      </rPr>
      <t>לערבים</t>
    </r>
    <r>
      <rPr>
        <sz val="11"/>
        <color theme="1"/>
        <rFont val="Calibri"/>
        <family val="2"/>
        <scheme val="minor"/>
      </rPr>
      <t xml:space="preserve"> (לערבים: מה יחסך </t>
    </r>
    <r>
      <rPr>
        <b/>
        <sz val="11"/>
        <color theme="1"/>
        <rFont val="Calibri"/>
        <family val="2"/>
        <scheme val="minor"/>
      </rPr>
      <t>ליהודים</t>
    </r>
    <r>
      <rPr>
        <sz val="11"/>
        <color theme="1"/>
        <rFont val="Calibri"/>
        <family val="2"/>
        <scheme val="minor"/>
      </rPr>
      <t>)</t>
    </r>
    <r>
      <rPr>
        <sz val="11"/>
        <color theme="1"/>
        <rFont val="Calibri"/>
        <family val="2"/>
        <charset val="177"/>
        <scheme val="minor"/>
      </rPr>
      <t>?</t>
    </r>
  </si>
  <si>
    <t>N623</t>
  </si>
  <si>
    <t xml:space="preserve"> </t>
  </si>
  <si>
    <t>ומבין כל הסיבות האלה, מה היתה לדעתך הסיבה העיקרית להשתתפות הנמוכה בבחירות?</t>
  </si>
  <si>
    <t>Sheet Name</t>
  </si>
  <si>
    <t>Cell Address</t>
  </si>
  <si>
    <t>Comment</t>
  </si>
  <si>
    <t>דמוגרפיה</t>
  </si>
  <si>
    <t>$L$3</t>
  </si>
  <si>
    <t>יניב שפירא:
1 = ינואר
2 = פברואר</t>
  </si>
  <si>
    <t>$A$5</t>
  </si>
  <si>
    <t>יניב שפירא:
שאלה 145
אין קידוד בstata
גם ב2020 וגם ב2019
גם ב2021</t>
  </si>
  <si>
    <t>$D$6</t>
  </si>
  <si>
    <t>יניב שפירא:
1 = יהודי
2 = ערבי</t>
  </si>
  <si>
    <t>$F$8</t>
  </si>
  <si>
    <t>יניב שפירא:
1 = גרסה A
2 = גרסה B</t>
  </si>
  <si>
    <t>$I$8</t>
  </si>
  <si>
    <t>יניב שפירא:
a , b, c</t>
  </si>
  <si>
    <t>$L$9</t>
  </si>
  <si>
    <t>יניב שפירא:
1 = עברית
2 = ערבית
3 = רוסית</t>
  </si>
  <si>
    <t>$W$10</t>
  </si>
  <si>
    <t>יניב שפירא:
1 = 20-25
2 = 25-29
3 = 30-34
4 = 35-39
5 = 40-44
6 = 45-49
7 = 50-54
8 = 55-64
9 = 65+</t>
  </si>
  <si>
    <t>$AB$10</t>
  </si>
  <si>
    <t>יניב שפירא:
1 = 20-24
2 = 25-29
3 = 30-34
4 = 35-39
5 = 40-44
6 = 45-49
7 = 50-54
8 = 55-64
9 = 65+</t>
  </si>
  <si>
    <t>$AH$10</t>
  </si>
  <si>
    <t>יניב שפירא:
1 = 18-24
2 = 25-29
3 = 30-34
4 = 35-39
5 = 40-44
6 = 45-49
7 = 50-54
8 = 55-64
9 = 65+</t>
  </si>
  <si>
    <t>$D$12</t>
  </si>
  <si>
    <t>יניב שפירא:
1 = 18-22
2 = 23-29
3 = 30-39
4 = 40-49
5 = 50-59
6 = 60-69
7 = 70-79
8 = 80 ומעלה</t>
  </si>
  <si>
    <t>$D$13</t>
  </si>
  <si>
    <t>יניב שפירא:
1 = male
2 = female</t>
  </si>
  <si>
    <t>$M$13</t>
  </si>
  <si>
    <t>יניב שפירא:
1 = אישה
2 = גבר</t>
  </si>
  <si>
    <t>$N$13</t>
  </si>
  <si>
    <t>יניב שפירא:
1 = זכר
2 = נקבה</t>
  </si>
  <si>
    <t>$O$13</t>
  </si>
  <si>
    <t>$T$13</t>
  </si>
  <si>
    <t>יניב שפירא:
1 = גבר
2 = אישה</t>
  </si>
  <si>
    <t>$D$14</t>
  </si>
  <si>
    <t>יניב שפירא:
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</si>
  <si>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$S$15</t>
  </si>
  <si>
    <t>יניב שפירא:
1 = לא למד בכלל
2 = עד 4 שנים
3 = 5-8
4 = 9-10
5 = 11
6 = 12
7 = 13 + (בלי תואר)
8 = בעל תואר</t>
  </si>
  <si>
    <t>$D$16</t>
  </si>
  <si>
    <t>יניב שפירא:
1 = yes
2 = no</t>
  </si>
  <si>
    <t>$A$17</t>
  </si>
  <si>
    <t>יניב שפירא:
שאלה פתוחה</t>
  </si>
  <si>
    <t>$I$17</t>
  </si>
  <si>
    <t>יניב שפירא:
קידוד לתשובות תחת
nv176</t>
  </si>
  <si>
    <t>$AF$17</t>
  </si>
  <si>
    <t>יניב שפירא:
1 = צבר
2 = אירופה התיכונית והמזרחית
3 = אירופה הדרומית
4 = אירופה המערבית
5 = ארצות דוברות אנגלית
6 = צפון אפריקה
7 = המזרח התיכון
8 = המזרח הרחוק
9 = דרום אמריקה</t>
  </si>
  <si>
    <t>$A$18</t>
  </si>
  <si>
    <t>יניב שפירא:
יהודים בלבד</t>
  </si>
  <si>
    <t>$D$18</t>
  </si>
  <si>
    <t>יניב שפירא:
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</si>
  <si>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$F$18</t>
  </si>
  <si>
    <t>יניב שפירא:
1 = ישראל
2 = אסיה או אפריקה
3 = אירופה או אמריקה
4 = בהר"מ/חבר העמים</t>
  </si>
  <si>
    <t>$L$18</t>
  </si>
  <si>
    <t>יניב שפירא:
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</si>
  <si>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$T$18</t>
  </si>
  <si>
    <t>יניב שפירא:
1 = ישראל-ישראל
2 = ישראל- אסיה/אפריקה
3 = ישראל- אירופה/אמריקה
4 = אסיה/אפריקה-אסיה/אפריקה
5 = אירופה/אמריקה- אירופה/אמריקה
6 = כל צירוף אחר</t>
  </si>
  <si>
    <t>$AF$18</t>
  </si>
  <si>
    <t>יניב שפירא:
1 = אסיה וצפון אפריקה
2 = אירופה ואנגלו-סכסיות
3 = ישראל והאב מאסיה צפון אפריקה
4 = ישראל והאב אירופה או האנגלו-סכסיות
5 = ישראל וגם האב ישראל</t>
  </si>
  <si>
    <t>$A$19</t>
  </si>
  <si>
    <t>$Q$19</t>
  </si>
  <si>
    <t>יניב שפירא:
1 = יליד הארץ
2 = לפני 1948
3 = 1948-1954
4 = 1955-1960
5 = 61-66
6 = 67-72
7 = 73-77
8 = 78-83
9 = 1984 ומעלה</t>
  </si>
  <si>
    <t>$T$19</t>
  </si>
  <si>
    <t>יניב שפירא:
1 = יליד הארץ
2 = לפני 1948
3 = 1948-1954
4 = 1955-1960
5 = 61-66
6 = 67-72
7 = 73-77
8 = 78-79
9 = 1980 ואלך</t>
  </si>
  <si>
    <t>$A$20</t>
  </si>
  <si>
    <t>$B$20</t>
  </si>
  <si>
    <t>adi:
1 = אשכנזי
2 = ספרדי
3 = מזרחי
4 = אחר (פרט):_____</t>
  </si>
  <si>
    <t>$D$20</t>
  </si>
  <si>
    <t>יניב שפירא:
1 = אשכנזי
2 = ספרדי
3 = מזרחי
4 = אחר
5 = מעורב
6 = לא זה ולא זה, לא מגדיר את עצמי לפי מוצא עדתי</t>
  </si>
  <si>
    <t>$N$20</t>
  </si>
  <si>
    <t>יניב שפירא:
1 = אשכנזי
2 = ספרדי
3 = לא זה ולא זה</t>
  </si>
  <si>
    <t>$O$20</t>
  </si>
  <si>
    <t>יניב שפירא:
1 = אשכנזי
2 = ספרדי
3 = לא זה ולא זה
4 = שניהם</t>
  </si>
  <si>
    <t>$P$20</t>
  </si>
  <si>
    <t>$Q$20</t>
  </si>
  <si>
    <t>$S$20</t>
  </si>
  <si>
    <t>$L$21</t>
  </si>
  <si>
    <t>יניב שפירא:
1 = כן
2 = לא</t>
  </si>
  <si>
    <t>$B$22</t>
  </si>
  <si>
    <t>adi:
1 = ישראלי
2 = יהודי (לערבים: פלסטיני)
3 = העדה שלי (לערבים: הדת שלי)
4 = החילוניות/דתיות שלי</t>
  </si>
  <si>
    <t>$I$22</t>
  </si>
  <si>
    <t>יניב שפירא:
רק יהודים
1 = ישראלי
2 = יהודי
3 = העדה שלי
4 = החילוניות/דתיות שלי</t>
  </si>
  <si>
    <t>$L$22</t>
  </si>
  <si>
    <t>יניב שפירא:
1 = ישראלי (ערבי)
2 = פלסטיני
3 = ערבי
4 = הדת שלי (מוסלמי/נוצרי/דרוזי)
5 = ישראלי (יהודי)
6 = יהודי
7 = העדה שלי
8 = החילוניות/דתיות שלי</t>
  </si>
  <si>
    <t>$M$22</t>
  </si>
  <si>
    <t>יניב שפירא:
1 = ישראלי
2 = יהודי
3 = העדה שלי
4 = חילוניות/דתיות שלי</t>
  </si>
  <si>
    <t>$A$26</t>
  </si>
  <si>
    <t>$D$26</t>
  </si>
  <si>
    <t>יניב שפירא:
1 = לא למד
2 = למד במסגרת דתית</t>
  </si>
  <si>
    <t>$A$27</t>
  </si>
  <si>
    <t xml:space="preserve">יניב שפירא:
ב2022 הוצאה עמדה על 16,000 ₪ 
ב2019 הוצאה עמדה על 15,000 ₪ 
ב2015 ההוצאה עמדה על 14,000 ₪ </t>
  </si>
  <si>
    <t>$D$27</t>
  </si>
  <si>
    <t>יניב שפירא:
1 = הרבה מתחת לממוצע
2 = מעט מתחת לממוצע
3 = כמו הממוצע
4 = מעט מעל הממוצע
5 = הרבה מעל הממוצע</t>
  </si>
  <si>
    <t>$I$27</t>
  </si>
  <si>
    <t>יניב שפירא:
1 = הרבה מעל הממוצע
2 = מעט מעל הממוצע
3 = כמו הממוצע
4 = מעט מתחת לממוצע
5 = הרבה מתחת לממוצע</t>
  </si>
  <si>
    <t>$S$27</t>
  </si>
  <si>
    <t>$T$28</t>
  </si>
  <si>
    <t>יניב שפירא:
1 = עד 1,000
2 = 1,001-1,500
3 = 1,501-2,000
4 = 2,001-2,500
5 = 2,501-3,000
6 = 3,001-4,000
7 = 4,001-5,000
8 = 5,001-6,000
9 = 6,001-7,000
10 = 7,001 +</t>
  </si>
  <si>
    <t>$T$29</t>
  </si>
  <si>
    <t>יניב שפירא:
1 = חדר אחד
2 = שני חדרים
3 = שלושה חדרים
4 = ארבעה חדרים
5 = חמישה חדרים
6 = שישה חדרים
7 = שבעה חדרים
8 = שמונה חדרים
9 = תשעה חדשים ויותר</t>
  </si>
  <si>
    <t>$T$30</t>
  </si>
  <si>
    <t>יניב שפירא:
1 = 1
2 = 2
3 = 3
4 = 4
5 = 5
6 = 6
7 = 7
8 = 8
9 = 9+</t>
  </si>
  <si>
    <t>$AF$30</t>
  </si>
  <si>
    <t>יניב שפירא:
מס' הילדים שגרים בבית</t>
  </si>
  <si>
    <t>$S$31</t>
  </si>
  <si>
    <t>יניב שפירא:
צפיפות
מדד אחד לחדרים\נפשות</t>
  </si>
  <si>
    <t>$AF$31</t>
  </si>
  <si>
    <t>יניב שפירא:
1 = עד ולא כולל 1
2 = 1-1.99
2 = 2-2.99
3 = 3-3.99
4 = 4+</t>
  </si>
  <si>
    <t>$D$32</t>
  </si>
  <si>
    <t>יניב שפירא:
1 = יהודי
2 = מוסלמי
3 = נוצרי
4 = דרוזי
5 = אחר</t>
  </si>
  <si>
    <t>$K$32</t>
  </si>
  <si>
    <t>יניב שפירא:
לא ליהודים
1 = מוסלמי
2 = נוצרי
3 = דרוזי</t>
  </si>
  <si>
    <t>$L$32</t>
  </si>
  <si>
    <t>יניב שפירא:
5 = מוסלמי
6 = נוצרי
7 = דרוזי</t>
  </si>
  <si>
    <t>$D$33</t>
  </si>
  <si>
    <t>יניב שפירא:
1 = דתי מאד, חרדי
2 = דתי
3 = מסורתי דתי
4 = מסורתי לא כ"כ דתי
5 = לא דתי, חילוני</t>
  </si>
  <si>
    <t>$H$33</t>
  </si>
  <si>
    <t>יניב שפירא:
1 = חילוני
2 = מסורתי
3 = דתי
4 = חרדי</t>
  </si>
  <si>
    <t>$F$34</t>
  </si>
  <si>
    <t>יניב שפירא:
1 = נשוי
2 = חי עם בן\בת זוג קבוע\ה
3 = גרוש
4 = פרוד 
5 = אלמן
6 = רווק, מעולם לא נישא</t>
  </si>
  <si>
    <t>$O$34</t>
  </si>
  <si>
    <t>יניב שפירא:
1 = רווק
2 = נשוי
3 = גרוש
4 = אלמן</t>
  </si>
  <si>
    <t>$T$34</t>
  </si>
  <si>
    <t>יניב שפירא:
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</si>
  <si>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$AD$34</t>
  </si>
  <si>
    <t>יניב שפירא:
1 = רווק
2 = אלמן/גרוש ללא
3 = נשוי ללא
4 = אלמן/גרוש + 1/2
5 = אלמן/גרוש + 3
6 = אלמן/גרוש + 4
7 = נשוי + 1/2
8 = נשוי + 3
9 = נשוי + 4</t>
  </si>
  <si>
    <t>$AF$34</t>
  </si>
  <si>
    <t>יניב שפירא:
1 = רווק/אלמן/גרוש
2 = נשוי</t>
  </si>
  <si>
    <t>$AH$34</t>
  </si>
  <si>
    <t>יניב שפירא:
1 = רווק
2 = נשוי בלי ילדים
3 = נשוי עם ילדים
4 = אלמן/גרוש בלי ילדים
5 = אלמן/גרוש עם ילדים</t>
  </si>
  <si>
    <t>$F$35</t>
  </si>
  <si>
    <t>יניב שפירא:
1 = אתה כלל לא שומר על המסורת
2 = אתה שומר במקצת על המסורת
3 = אתה שומר במידה רבה על המסורת
4 = אתה שומר על המסורת על כל דקדוקיה</t>
  </si>
  <si>
    <t>$M$35</t>
  </si>
  <si>
    <t>יניב שפירא:
1 = שומר על המסורת על כל דקדוקיה
2 = שומר במידה רבה
3 = שומר במקצת
4 = לא שומר כלל</t>
  </si>
  <si>
    <t>$T$36</t>
  </si>
  <si>
    <t>$T$37</t>
  </si>
  <si>
    <t>יניב שפירא:
1 = כן 
2 = לא</t>
  </si>
  <si>
    <t>$T$38</t>
  </si>
  <si>
    <t>יניב שפירא:
1 = כל יום
2 = כמעט כל שבת וחג
3 = פעמים אחדות בשנה
4 = רק ביום כיפור
5 = אף פעם</t>
  </si>
  <si>
    <t>$F$39</t>
  </si>
  <si>
    <t>יניב שפירא:
1 = ישראל
2 = אסיה או אפריקה
3 = אירופה או אמריקה
4 = ברה"מ/חבר העמים</t>
  </si>
  <si>
    <t>$I$39</t>
  </si>
  <si>
    <t>יניב שפירא:
שאלה פתוחה
קידוד תחת
nv179</t>
  </si>
  <si>
    <t>$J$39</t>
  </si>
  <si>
    <t>יניב שפירא:
שאלה פתוחה
לא לערבים</t>
  </si>
  <si>
    <t>$AF$39</t>
  </si>
  <si>
    <t>$I$40</t>
  </si>
  <si>
    <t xml:space="preserve">יניב שפירא:
שאלה פתוחה
קידוד תחת
 nv180
</t>
  </si>
  <si>
    <t>$J$40</t>
  </si>
  <si>
    <t>$AF$40</t>
  </si>
  <si>
    <t>$M$41</t>
  </si>
  <si>
    <t>$G$42</t>
  </si>
  <si>
    <t>יניב שפירא:
1 = שכיר
2 = עצמאי
3 = פנסיונר
4 = עקרת בית
5 = חייל/תלמיד/סטודנט
6 = מחפש עבודה
7 = אחר</t>
  </si>
  <si>
    <t>$M$42</t>
  </si>
  <si>
    <t>יניב שפירא:
1 = שכיר פועל
2 = שכיר פקיד
3 = שכיר מנהל
4 = עצמאי קטן
5 = עצמאי בעל חברה</t>
  </si>
  <si>
    <t>$O$42</t>
  </si>
  <si>
    <t>יניב שפירא:
1 = שכיר פועל
2 = שכיר פקיד
3 = שכיר מנהל
4 = עצמאי קטן
5 = עצמאי בעל חברה
6 = לא עובד</t>
  </si>
  <si>
    <t>$T$42</t>
  </si>
  <si>
    <t>יניב שפירא:
1 = שכיר
2 = עצמאי
3 = חבר קואופרטיב
4 = פנסיונר
5 = עקרת בית
6 = חייל/תלמיד/סטודנט
7 = אחר שלא מועסק</t>
  </si>
  <si>
    <t>$W$42</t>
  </si>
  <si>
    <t>יניב שפירא:
1 = שכיר
2 = עצמאי
3 = לא מועסק</t>
  </si>
  <si>
    <t>$AE$42</t>
  </si>
  <si>
    <t>יניב שפירא:
1 = שכיר
2 = עצמאי - מעביד
3 = עצמאי - לא מעסיק אחרים
4 = חבר קואופרטיב
5 = אחר
6 = מחפש עבודה
7 = עקרת בית
8 = פנסיונר</t>
  </si>
  <si>
    <t>$V$43</t>
  </si>
  <si>
    <t>$W$43</t>
  </si>
  <si>
    <t>יניב שפירא:
1 = שכיר
2 = עצמאי
3 = לא מועסק
4 = אין בן/בת זוג</t>
  </si>
  <si>
    <t>$AF$44</t>
  </si>
  <si>
    <t>$AF$45</t>
  </si>
  <si>
    <t>יניב שפירא:
1 = לא למד כלל
2 = עממי חלקי
3 = סיים עממי
4 = תיכון חלקי
5 = סיים תיכון
6 = גבוהה חלקית
7 = ב.א.
8 = תואר שני ומעלה</t>
  </si>
  <si>
    <t>$A$46</t>
  </si>
  <si>
    <t>יניב שפירא:
רק למי שענה שעובד</t>
  </si>
  <si>
    <t>$G$46</t>
  </si>
  <si>
    <t>יניב שפירא:
1 = משרה מלאה
2 = משרה חלקית</t>
  </si>
  <si>
    <t>$AA$47</t>
  </si>
  <si>
    <t>יניב שפירא:
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</si>
  <si>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$AG$47</t>
  </si>
  <si>
    <t>יניב שפירא:
1 = מקצוע חופשי
2 = מנהל/פקיד
3 = סוחר
4 = חקלאי
5 = עובד תחבורה
6 = בנייה
7 = בעל מלאכה
8 = ספורט/בידור
9 = לא עובד</t>
  </si>
  <si>
    <t>$G$48</t>
  </si>
  <si>
    <t>יניב שפירא:
1 = מגזר ציבורי
2 = מגזר פרטי/חברה פרטית</t>
  </si>
  <si>
    <t>$I$49</t>
  </si>
  <si>
    <t>יניב שפירא:
1 = כלל לא מודאג
2 = מודרג במקצת
3 = מודאג מאוד
4 = איבדתי את מקום העבודה שלי לאחרונה ואני מחפש עבודה
5 = אינני עובד ואינני מחפש עבודה</t>
  </si>
  <si>
    <t>$F$50</t>
  </si>
  <si>
    <t>יניב שפירא:
1 = גבוה
2 = בינוני-גבוה
3 = בינוני
4 = נמוך</t>
  </si>
  <si>
    <t>$Q$50</t>
  </si>
  <si>
    <t>יניב שפירא:
1 = גבוה
2 = בינוני-גבוה
3 = בינוני
4 = נמוך
5 = מעמד הפועלים
6 = לא משויך לשום מעמד</t>
  </si>
  <si>
    <t>$S$50</t>
  </si>
  <si>
    <t>יניב שפירא:
1 = מעמד גבוה
2 = מעמד בינוני
3 = מעמד פועלים
4 = מעמד נמוך
5 = לא שייף לאף מעמד</t>
  </si>
  <si>
    <t>$AF$50</t>
  </si>
  <si>
    <t>יניב שפירא:
1 = בינוני-עליון
2 = בינוני
3 = נמוך
4 = עליון
5 = פועלים
6 = אחר
7 = לא מסווג את עצמי לשום מעמד</t>
  </si>
  <si>
    <t>$G$51</t>
  </si>
  <si>
    <t>יניב שפירא:
0 = לא
1 = כן</t>
  </si>
  <si>
    <t>$H$51</t>
  </si>
  <si>
    <t>יניב שפירא:
1 = לא
2 = כן</t>
  </si>
  <si>
    <t>$P$53</t>
  </si>
  <si>
    <t>יניב שפירא:
1 = אין
2 = יש בן/בנים
3 = יש בת/בנות
4 = יש בן+בת</t>
  </si>
  <si>
    <t>$A$56</t>
  </si>
  <si>
    <t>יניב שפירא:
רק למי שענה שיש לו ילדים</t>
  </si>
  <si>
    <t>$G$56</t>
  </si>
  <si>
    <t>$H$57</t>
  </si>
  <si>
    <t>יניב שפירא:
1 = הכנסה מעבודה
2 = גמלאות
3 = דמי אבטלה, קצבאות או מענקי סעד
4 = הכנסה מהשקעות חסכונות ביטוח או רכוש
5 = הכנסה ממקורות אחרים</t>
  </si>
  <si>
    <t>$H$58</t>
  </si>
  <si>
    <t xml:space="preserve">יניב שפירא:
1 = עד 3,000 ₪
2 = 3,001-4,500 ₪
3 = 4,501-6,000 ₪
4 = 6,001-8,000 ₪
5 = 8,001-10,000 ₪
6 = 10,001-12,000 ₪
7 = 12,001-14,000 ₪
8 = 14,001-16,000 ₪
9 = 16,001-20,000 ₪
10 = יותר מ-20,001 ₪ </t>
  </si>
  <si>
    <t>$U$58</t>
  </si>
  <si>
    <t>יניב שפירא:
1 = עד 20,000 
2 = 20,001-30,000
3 = 30,001-40,000
4 = 40,001-50,000
5 = 50,001-60,000
6 = 60,001-75,000
7 = 75,001-85,000
8 = 85,001 +</t>
  </si>
  <si>
    <t>$H$59</t>
  </si>
  <si>
    <t>יניב שפירא:
1 = כלום
2 = חלק קטן מאוד
3 = פחות מחצי
4 = בערך חצי
5 = מעל לחצי
6 = חלק גדול מאוד
7 = הכל</t>
  </si>
  <si>
    <t>$I$61</t>
  </si>
  <si>
    <t>$I$62</t>
  </si>
  <si>
    <t xml:space="preserve">יניב שפירא:
1 = לא למד כלל
2 = ביה"ס יסודי וחטיבת בינים
3 = תיכון
4 = מוסד הנותן קורסים של הכשרה והשתלמות
5 = מוסד על תיכוני
6 = מוסד אקדמי
</t>
  </si>
  <si>
    <t>$A$63</t>
  </si>
  <si>
    <t>יניב שפירא:
רק לעולי ברה"מ</t>
  </si>
  <si>
    <t>$A$64</t>
  </si>
  <si>
    <t>$A$65</t>
  </si>
  <si>
    <t>$J$65</t>
  </si>
  <si>
    <t>יניב שפירא:
1 = עולים מברה"מ
2 = ישראלים לא עולים
3 = חצי חצי</t>
  </si>
  <si>
    <t>$O$66</t>
  </si>
  <si>
    <t>יניב שפירא:
1 = טרם, אך אשרת בעתיד
2 = כיום בשירות חובה
3 = כיום בשירות קבע
4 = שירתתי בעבר
5 = לא שירתתי כלל</t>
  </si>
  <si>
    <t>$AH$66</t>
  </si>
  <si>
    <t>יניב שפירא:
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</si>
  <si>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$P$67</t>
  </si>
  <si>
    <t>$P$69</t>
  </si>
  <si>
    <t>יניב שפירא:
1 = קרבי
2 = לא קרבי</t>
  </si>
  <si>
    <t>$P$70</t>
  </si>
  <si>
    <t>יניב שפירא:
1 = עד שנה
2 = שנה-שנה וחצי
3 = שנה וחצי-שנתיים
4 = שנתיים-שנתיים וחצי
5 = שנתיים וחצי-שלוש
6 = 3-6 שנים
7 = 6-15 שנים
8 = מעל 15 שנים</t>
  </si>
  <si>
    <t>$P$71</t>
  </si>
  <si>
    <t>$P$72</t>
  </si>
  <si>
    <t>יניב שפירא:
1 = טוראי
2 = טר"ש
3 = רב"ט
4 = סמל
5 = סמ"ר
6 = רס"ל
7 = רס"ר
8 = רס"מ/רס"ב
9 = סג"מ
10 = סגן
11 = סרן
12 = רס"ן
13 = סא"ל
14 = אל"ם
15 = תא"ל
16 = אלוף
17 = רא"ל</t>
  </si>
  <si>
    <t>$AE$73</t>
  </si>
  <si>
    <t>יניב שפירא:
1 = המרואיין
2 = בעלה של המרואיינת
3 = אביו של המרואיין
4 = בנו של המרואיין
5 = אחר</t>
  </si>
  <si>
    <t>$AE$74</t>
  </si>
  <si>
    <t>יניב שפירא:
1 = לא למד כלל
2 = עד 4 שנים
3 = 5-8 שנים
4 = 9-10 שנים
5 = 11 שנים
6 = 12 שנים
7 = השכלה על תיכונית או אקדמית חלקית
8 = השכלה אקדמית מלאה</t>
  </si>
  <si>
    <t>$AF$75</t>
  </si>
  <si>
    <t>$AE$76</t>
  </si>
  <si>
    <t>יניב שפירא:
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</si>
  <si>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$AF$76</t>
  </si>
  <si>
    <t>$AE$77</t>
  </si>
  <si>
    <t>יניב שפירא:
1 = שכיר
2 = עצמאי-מעסיק
3 = עצמאי לא מעסיק
4 = חבר קואופרטיב
5 = אחר
6 = מחפש עבודה
7 = עקרת בית
8 = פנסיונר
9 = אחר</t>
  </si>
  <si>
    <t>$AE$78</t>
  </si>
  <si>
    <t>יניב שפירא:
1 = אתה או ראש המשפחה
2 = בעלים פרטיים
3 = הסתדרות
4 = סקטור ציבורי
5 = אחר
6 = לא עובד</t>
  </si>
  <si>
    <t>$AE$79</t>
  </si>
  <si>
    <t>יניב שפירא:
1 = כן
2 = לא
6 = לא עובד</t>
  </si>
  <si>
    <t>$O$80</t>
  </si>
  <si>
    <t>$Z$80</t>
  </si>
  <si>
    <t>$AE$81</t>
  </si>
  <si>
    <t xml:space="preserve">יניב שפירא:
2 = קופ"ח של העובדים הלאומיים
3 = קופ"ח מכבי
4 = קופ" מרכזית
5 = קופ"ח עממית
6 = ביטוח אחר
7 = באמצעות סעד
8 = פרטי
</t>
  </si>
  <si>
    <t>$AF$82</t>
  </si>
  <si>
    <t>יניב שפירא:
1 = עברית
2 = יידיש
3 = ערבית
4 = שפות מזרח אירופאיות
5 = שפות מערב אירופה
6 = שפות לטיניות ובלקניות
7 = אחר</t>
  </si>
  <si>
    <t>$AH$83</t>
  </si>
  <si>
    <t>$AH$84</t>
  </si>
  <si>
    <t>$AH$85</t>
  </si>
  <si>
    <t>יניב שפירא:
1 = אותו מקום
2 = מקום אחר</t>
  </si>
  <si>
    <t>$AE$86</t>
  </si>
  <si>
    <t>יניב שפירא:
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</si>
  <si>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$AH$87</t>
  </si>
  <si>
    <t>יניב שפירא:
1 = איחוד הקבוצות והקיבוצים
2 = הקיבוץ המאוחד
3 = קיבוצי השמו"צ
4 = הקיבוץ הדתי
5 = הנוער הציוני
6 = הבלתי מצורפים
7 = זרם אחר
8 = לא היה חבר קיבוץ</t>
  </si>
  <si>
    <t>ישראל כללי</t>
  </si>
  <si>
    <t>$D$2</t>
  </si>
  <si>
    <t>יניב שפירא:
1 = טוב מאוד
2 = טוב
3 = ככה ככה
4 = לא טוב
5 = רע</t>
  </si>
  <si>
    <t>$L$2</t>
  </si>
  <si>
    <t>יניב שפירא:
1 = רע
2 = לא טוב
3 = ככה ככה
4 = טוב
5 = טוב מאוד</t>
  </si>
  <si>
    <t>$M$2</t>
  </si>
  <si>
    <t>יניב שפירא:
1 = טוב מאד
2 = טוב
3 = ככה ככה
4 = לא טוב
5 = רע</t>
  </si>
  <si>
    <t>$F$3</t>
  </si>
  <si>
    <t>יניב שפירא:
1 = מטפלת בדרך טובה מאד
2 = מטפלת בדרך טובה
3 = מטפלת בדרך לא כ"כ טובה
4 = מטפלת בדרך לא טובה כלל</t>
  </si>
  <si>
    <t>יניב שפירא:
1 = לא טובה כלל
2 = בדרך לא כ"כ טובה
3 = בדרך טובה
4 = בדרך טובה מאוד</t>
  </si>
  <si>
    <t>$M$3</t>
  </si>
  <si>
    <t>יניב שפירא:
1 = בדרך טובה מאד
2 = בדרך טובה
3 = לא כ"כ טובה
4 = לא טובה בכלל</t>
  </si>
  <si>
    <t>$B$4</t>
  </si>
  <si>
    <t>adi:
קידוד 1-103</t>
  </si>
  <si>
    <t>$D$4</t>
  </si>
  <si>
    <t>יניב שפירא:
קידוד
1-72</t>
  </si>
  <si>
    <t>$E$4</t>
  </si>
  <si>
    <t>יניב שפירא:
אפשר לתת 2 תשובות
c8_code1
c8_code2</t>
  </si>
  <si>
    <t>$F$4</t>
  </si>
  <si>
    <t>יניב שפירא:
אפשר לתת שתי תשובות
v8_code_1
v8_code_2</t>
  </si>
  <si>
    <t>$S$4</t>
  </si>
  <si>
    <t>יניב שפירא:
1 = בטחון
2 = כלכלה
3 = פער חברתי
4 = שלום
5 = זוגות צעירים
6 = אינפלציה
7 = קליטת עולים
8 = חינוך
9 = חוסר מנהיגות
10 = אחר</t>
  </si>
  <si>
    <t>$Z$4</t>
  </si>
  <si>
    <t>יניב שפירא:
1 = בטחון
2 = כלכלה
3 = פער חברתי
4 = שלום
5 = זוגות צעירים
6 = שינוי שיטת הבחירות
7 = קליטת עליה
8 = חינוך
9 = אחר</t>
  </si>
  <si>
    <t>$AB$4</t>
  </si>
  <si>
    <t>יניב שפירא:
1 = בטחון
2 = שלום
3 = כלכלה
4 = עליה וקליטה
5 = חינוך
6 = הפער החברתי
7 = שיכון זוגות צעירים
8 = בעיות פנים</t>
  </si>
  <si>
    <t>$AG$4</t>
  </si>
  <si>
    <t>יניב שפירא:
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</si>
  <si>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$AD$7</t>
  </si>
  <si>
    <t>יניב שפירא:
1 = תפתור בקרוב את שתיהן
2 = תפתור בקרוב רק את הראשונה
3 = תפתור בקרוב רק את השנייה
4 = לא תפתור שום בעיה בקרוב</t>
  </si>
  <si>
    <t>$M$8</t>
  </si>
  <si>
    <t>יניב שפירא:
1 = נתניהו
2 = ברק
3 = מרדכי
4 = בגין
5 = בשארה
6 = רפול
7 = אף אחד
8 = אין הבדל</t>
  </si>
  <si>
    <t>$N$8</t>
  </si>
  <si>
    <t>יניב שפירא:
1 = נתניהו
2 = פרס
3 = אותו דבר
4 = אף אחד</t>
  </si>
  <si>
    <t>$T$8</t>
  </si>
  <si>
    <t>יניב שפירא:
1 = פרס
2 = בגין</t>
  </si>
  <si>
    <t>$S$11</t>
  </si>
  <si>
    <t>יניב שפירא:
1 = המערך
2 = הליכוד
3 = שניהם אותו דבר
4 = אף אחד מהם</t>
  </si>
  <si>
    <t>$A$12</t>
  </si>
  <si>
    <t>יניב שפירא:
אין קידוד
גם ב2020 וגם ב2021</t>
  </si>
  <si>
    <t>יניב שפירא:
1 = שחיתות
2 = פוליטיקאים שלא מקיימים הבטחות
3 = גורמים שמתערבים בבחירות כך שהתוצאות לא מייצגות את רצון הבוחר
4 = שיטת הבחירות שמעוותת את רצון הבוחרים</t>
  </si>
  <si>
    <t>יניב שפירא:
1-10
1 = כלל לא מרוצה
10 = מרוצה לגמרי</t>
  </si>
  <si>
    <t>$A$14</t>
  </si>
  <si>
    <t>יניב שפירא:
שאלות 12A-14A בפוסט בחירות 2019 לא מקודדות בstata</t>
  </si>
  <si>
    <t>$B$14</t>
  </si>
  <si>
    <t>adi:
שאלות 709-711 לא מקודדות בנתונים</t>
  </si>
  <si>
    <t>$B$15</t>
  </si>
  <si>
    <t>$B$16</t>
  </si>
  <si>
    <t>$G$17</t>
  </si>
  <si>
    <t>יניב שפירא:
1 = בהחלט לא מסכים
2 = לא מסכים
3 = מסכים
4 = מסכים מאד</t>
  </si>
  <si>
    <t>$H$18</t>
  </si>
  <si>
    <t>$G$19</t>
  </si>
  <si>
    <t>יניב שפירא:
1 = שמירה על כלכלה יציבה
2 = יצירה של סביבה אנושית יותר, שמדגישה יותר יחסי אנוש
3 = יצירת סביבה בה רעיונות נחשבים יותר מכסף
4 = מלחמה בפשע</t>
  </si>
  <si>
    <t>$I$21</t>
  </si>
  <si>
    <t>יניב שפירא:
סולם 1-9
1 = מצב גרוע ביותר
9 = מצב טוב ביותר</t>
  </si>
  <si>
    <t>$T$21</t>
  </si>
  <si>
    <t>יניב שפירא:
ארבע שנים ולא חמש
סולם 1-10
1 = החיים הטובים ביותר
10 = החיים הגרועים ביותר</t>
  </si>
  <si>
    <t>$V$21</t>
  </si>
  <si>
    <t>$AG$21</t>
  </si>
  <si>
    <t>יניב שפירא:
סולם 0-10
0 = המצב הגרוע ביותר
10 = המצב הטוב ביותר</t>
  </si>
  <si>
    <t>$AD$24</t>
  </si>
  <si>
    <t>יניב שפירא:
1 = תשנה את מצבי באופן אישי
2 = תשנה את המצב במדינה ולכן זה ישנה את מצבי
3 = לא תשנה את מצבי</t>
  </si>
  <si>
    <t>$B$25</t>
  </si>
  <si>
    <t>adi:
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</si>
  <si>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$L$25</t>
  </si>
  <si>
    <t>יניב שפירא:
1 = מתנגד מאד
2 = מתנגד במידה מסוימת
3 = תומך במידה מסוימת
4 = תומך מאד</t>
  </si>
  <si>
    <t>$M$25</t>
  </si>
  <si>
    <t>יניב שפירא:
1 = תומך מאד
2 = תומך במידה מסוימת
3 = מתנגד במידה מסוימת
4 = מתנגד מאד</t>
  </si>
  <si>
    <t>$M$26</t>
  </si>
  <si>
    <t>יניב שפירא:
1 = האינטרסים של המדינה חשובים יותר
2 = באותה מידה
3 = האינטרסים של הפרט חשובים יותר</t>
  </si>
  <si>
    <t>$T$26</t>
  </si>
  <si>
    <t>יניב שפירא:
1 = של המדינה חשובים הרבה יותר
2 = של המדינה חשובים יותר
3 = באותה מידה
4 = של הפרט חשובים יותר
5 = של הפרט חשובים הרבה יותר</t>
  </si>
  <si>
    <t>$AG$26</t>
  </si>
  <si>
    <t>יניב שפירא:
1 = אינטרס כללי בהחלט חשוב יותר
2 = אינטרס כללי אולי חשוב יותר
3 = חשובים באותה מידה
4 = אינטרס אישי אולי חשוב יותר
5 = אינטרס אישי בהחלט חשוב יותר</t>
  </si>
  <si>
    <t>$N$27</t>
  </si>
  <si>
    <t>יניב שפירא:
1 = במידה רבה
2 = במידה מסוימת
3 = במידה מועטה
4 = בכלל לא</t>
  </si>
  <si>
    <t>$N$28</t>
  </si>
  <si>
    <t>יניב שפירא:
1 = אפשר להשיג הכל בו זמנית
2 = אי אפשר להשיג הכל בו זמנית</t>
  </si>
  <si>
    <t>$N$29</t>
  </si>
  <si>
    <t>יניב שפירא:
1 = בכלל לא
2 = במסגרת העבודה בלבד
3 = יש, ידיד אחד או שניים
4 = יש, קשרים רבים</t>
  </si>
  <si>
    <t>$O$30</t>
  </si>
  <si>
    <t>יניב שפירא:
1 = במידה רבה
2 = במידה מסוימת
3 = במידה קטנה
4 = כלל לא</t>
  </si>
  <si>
    <t>$O$32</t>
  </si>
  <si>
    <t>יניב שפירא:
1 = סיכוי גבוה
2 = סיכוי נמוך</t>
  </si>
  <si>
    <t>$P$34</t>
  </si>
  <si>
    <t>יניב שפירא:
1 = מסכים בהחלט
2 = מסכים
3 = מתנגד
4 = מתנגד בהחלט</t>
  </si>
  <si>
    <t>$P$39</t>
  </si>
  <si>
    <t>יניב שפירא:
1 = מאמין בהחלט
2 = מאמין אך לא בטוח
3 = מטיל ספק
4 = בהחלט לא מאמין</t>
  </si>
  <si>
    <t>$P$40</t>
  </si>
  <si>
    <t>יניב שפירא:
1 = צודק
2 = לא צודק</t>
  </si>
  <si>
    <t>$P$41</t>
  </si>
  <si>
    <t>יניב שפירא:
1 = בדר"כ ביעילות
2 = בדר"כ לא ביעילות</t>
  </si>
  <si>
    <t>$P$42</t>
  </si>
  <si>
    <t>יניב שפירא:
1 = ארוך מדי
2 = במידה הנכונה
3 = קצר מדי</t>
  </si>
  <si>
    <t>$P$43</t>
  </si>
  <si>
    <t>$P$52</t>
  </si>
  <si>
    <t>יניב שפירא:
1 = אלוהים
2 = צה"ל
3 = ארה"ב
4 = מדינת ישראל
5 = עם ישראל
6 = כל אחד צריך לשמור על עצמו
7 = אחר</t>
  </si>
  <si>
    <t>יניב שפירא:
1 = למכור לכל המעוניין
2 = למכור לכל מדינה, פרט למדינות עוינות
3 = למכור רק למדינות שהמשטר שלהם נראה לנו
4 = לא למכור נשק כלל</t>
  </si>
  <si>
    <t>$P$54</t>
  </si>
  <si>
    <t>$P$58</t>
  </si>
  <si>
    <t>יניב שפירא:
1 = אפשר לתת אמון
2 = יש להיות זהירים</t>
  </si>
  <si>
    <t>$P$59</t>
  </si>
  <si>
    <t>יניב שפירא:
1 = נוטים יותר לעזור
2 = נוטים לדאוג לעצמם</t>
  </si>
  <si>
    <t>$P$60</t>
  </si>
  <si>
    <t>יניב שפירא:
1 = הגשמה עצמית
2 = הערכה עצמית
3 = חיבה, אהבה
4 = ודאות ובטחון בחיים
5 = חיים נוחים</t>
  </si>
  <si>
    <t>$P$61</t>
  </si>
  <si>
    <t>יניב שפירא:
1 = דעה טובה מאד
2 = דעה די טובה
3 = לא טובה ולא רעה
4 = דעה די רעה
5 = דעה רעה מאד</t>
  </si>
  <si>
    <t>$A$70</t>
  </si>
  <si>
    <t>יניב שפירא:
מי שענה '3' בשאלה הקודמת (a45)</t>
  </si>
  <si>
    <t>יניב שפירא:
1 = לכיוון הדעה הטובה
2 = לכיוון הדעה הרעה</t>
  </si>
  <si>
    <t>יניב שפירא:
1 = מרוצה מאד
2 = די מרוצה
3 = לא כ"כ מרוצה
4 = כלל לא מרוצה</t>
  </si>
  <si>
    <t>יניב שפירא:
1 = לעתים קרובות
2 = לפעמים
3 = לעתים רחוקות
4 = אף פעם לא</t>
  </si>
  <si>
    <t>$P$73</t>
  </si>
  <si>
    <t>יניב שפירא:
1 = משוכנע שרוצה
2 = רוצה אך לא משוכנע
3 = יש לי ספיקות
4 = משוכנע שלא רוצה</t>
  </si>
  <si>
    <t>$P$74</t>
  </si>
  <si>
    <t>יניב שפירא:
1 = המצב הבטחוני
2 = המצב הכלכלי
3 = המצב החברתי
4 = עליות נטיות אנטי דמוקרטיות
5 = מעמד הדת במדינה</t>
  </si>
  <si>
    <t>$P$75</t>
  </si>
  <si>
    <t>יניב שפירא:
1 = מאושר מאד
2 = די מאושר
3 = לא כ"כ מאושר</t>
  </si>
  <si>
    <t>$P$76</t>
  </si>
  <si>
    <t>יניב שפירא:
1 = מרוצה מאד
2 = מרוצה
3 = אין דעה
4 = לא מרוצה
5 = כלל לא מרוצה</t>
  </si>
  <si>
    <t>$P$77</t>
  </si>
  <si>
    <t>יניב שפירא:
1 = טרם הגיע מועד הגיוס שלי
2 = אני בעתודה אקדמית
3 = עולה חדש
4 = אינני אזרח המדינה
5 = מסיבות דתיות
6 = מסיבות מצפוניות
7 = אחר</t>
  </si>
  <si>
    <t>$P$78</t>
  </si>
  <si>
    <t>$P$79</t>
  </si>
  <si>
    <t>יניב שפירא:
1 = אני נפצעתי קשה
2 = אני נפצעתי, אך לא קשה
3 = מישהו מבני משפחתי נפצע קשה
4 = מישהו מבני משפחתי נפצע, אף ךא קשה</t>
  </si>
  <si>
    <t>$P$80</t>
  </si>
  <si>
    <t>$P$81</t>
  </si>
  <si>
    <t>$P$82</t>
  </si>
  <si>
    <t>$P$83</t>
  </si>
  <si>
    <t>יניב שפירא:
1 = כן
2 - לא</t>
  </si>
  <si>
    <t>$P$84</t>
  </si>
  <si>
    <t>$U$85</t>
  </si>
  <si>
    <t>יניב שפירא:
1 = מתאים מאד
2 = מתאים
3 = לא בטוח
4 = לא מתאים
5 = כלל לא מתאים</t>
  </si>
  <si>
    <t>$AA$92</t>
  </si>
  <si>
    <t>יניב שפירא:
1 = מאמין במידה רבה
2 = מאמין במידה מסוימת
3 = מאמין במידה מועטה
4 = לא מאמין כלל</t>
  </si>
  <si>
    <t>$AA$93</t>
  </si>
  <si>
    <t>יניב שפירא:
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</si>
  <si>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$AB$94</t>
  </si>
  <si>
    <t>יניב שפירא:
1 = מרוצה מאוד
2 = מרוצה
3 = לא כ"כ מרוצה
4 = לא מרוצה כלל</t>
  </si>
  <si>
    <t>$AD$94</t>
  </si>
  <si>
    <t>יניב שפירא:
1 = מאד מרוצה
2 = מרוצה
3 = לא כ"כ מרוצה
4 = כלל לא מרוצה</t>
  </si>
  <si>
    <t>$AD$96</t>
  </si>
  <si>
    <t>יניב שפירא:
1 = במידה רבה
2 = במידה מסוימת
3 = במדה מועטה
4 = כלל לא
9 = לא פעיל</t>
  </si>
  <si>
    <t>$AD$97</t>
  </si>
  <si>
    <t>$A$98</t>
  </si>
  <si>
    <t>יניב שפירא:
לנשים בלבד</t>
  </si>
  <si>
    <t>$AB$98</t>
  </si>
  <si>
    <t>יניב שפירא:
1 = מזה חודשיים
2 = מזה חודש
3 = מזה שבועיים
4 = פחות משבועיים
5 = לא מגוייס
6 = אין לי בעל</t>
  </si>
  <si>
    <t>$AC$99</t>
  </si>
  <si>
    <t>יניב שפירא:
1 = הוטב במידה רבה
2 = הוטב במידה מסוימת
3 = לא חל שינוי
4 = הורע במידה מסוימת
5 = הוקע במידה רבה</t>
  </si>
  <si>
    <t>$AC$100</t>
  </si>
  <si>
    <t>יניב שפירא:
1 = במידה רבה
2 = במידה מסוימת
3 = במידה מועטה
4 = כלל לא</t>
  </si>
  <si>
    <t>$AC$104</t>
  </si>
  <si>
    <t>$AD$105</t>
  </si>
  <si>
    <t>יניב שפירא:
1 = באופן חיובי ביותר
2 = באופן חיובי
3 = באופן שלילי
4 = באופן שלילי ביותר</t>
  </si>
  <si>
    <t>$AD$106</t>
  </si>
  <si>
    <t>$AD$107</t>
  </si>
  <si>
    <t>$AD$108</t>
  </si>
  <si>
    <t>$AD$109</t>
  </si>
  <si>
    <t>$AD$110</t>
  </si>
  <si>
    <t>$AD$111</t>
  </si>
  <si>
    <t>$AD$112</t>
  </si>
  <si>
    <t>$AH$113</t>
  </si>
  <si>
    <t>יניב שפירא:
1 = דרך טובה מאוד
2 = דרך טובה
3 = דרך לא כ"כ טובה
4 = דרך גרועה
5 = דרך גרועה מאוד</t>
  </si>
  <si>
    <t>$AD$114</t>
  </si>
  <si>
    <t>יניב שפירא:
1 = לשפר את השירותים
2 = לפתח את העיר
3 = לדאוג לפרנסה
4 = אחר</t>
  </si>
  <si>
    <t>$AH$115</t>
  </si>
  <si>
    <t>יניב שפירא:
1 = מאוד ברור
2 = ברור
3 = לא כ"כ ברור
4 = לא ברור כלל</t>
  </si>
  <si>
    <t>$AD$117</t>
  </si>
  <si>
    <t>יניב שפירא:
1 = במידה רבה מאוד
2 = במידה רבה
3 = במידה מועטה
4 = כלל לא</t>
  </si>
  <si>
    <t>$AD$118</t>
  </si>
  <si>
    <t>יניב שפירא:
1 = מאוד רצוי
2 = רצוי
3 = לא כ"כ רצוי
4 = כלל לא רצוי</t>
  </si>
  <si>
    <t>$AH$119</t>
  </si>
  <si>
    <t>יניב שפירא:
1 = בהחלט בחירות ישירות
2 = בחירות אישיות
3 = רשימות מפלגתיות
4 = בהחלט רשימות מפלגתיות
5 = אין דעה</t>
  </si>
  <si>
    <t>$AE$120</t>
  </si>
  <si>
    <t>יניב שפירא:
1 = כן
2 = לא
3 = לא חבר תנועת נוער</t>
  </si>
  <si>
    <t>$AG$121</t>
  </si>
  <si>
    <t>יניב שפירא:
1 = בהחלט ברור
2 = ברור
3 = לא כ"כ ברור
4 = כלל לא ברור</t>
  </si>
  <si>
    <t>$AH$122</t>
  </si>
  <si>
    <t>$AG$123</t>
  </si>
  <si>
    <t>$AG$124</t>
  </si>
  <si>
    <t>יניב שפירא:
1 = צעירים
2 = מבוגרים
3 = אין קבוצת גיל מיוחדת</t>
  </si>
  <si>
    <t>$AG$125</t>
  </si>
  <si>
    <t>יניב שפירא:
1 = צפון אפריקה + מזרח תיכון
2 = אירופה
3 = אין קבוצת מוצא מיוחדת</t>
  </si>
  <si>
    <t>$AG$126</t>
  </si>
  <si>
    <t>יניב שפירא:
1 = פועלים
2 = סוחרים
3 = אנשי רוח
4 = אין קבוצת מקצוע מיוחדת</t>
  </si>
  <si>
    <t>$AG$127</t>
  </si>
  <si>
    <t>$AG$128</t>
  </si>
  <si>
    <t>$AG$129</t>
  </si>
  <si>
    <t>$AG$130</t>
  </si>
  <si>
    <t>$AG$131</t>
  </si>
  <si>
    <t>$AG$132</t>
  </si>
  <si>
    <t>$AG$133</t>
  </si>
  <si>
    <t>יניב שפירא:
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</si>
  <si>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$AG$141</t>
  </si>
  <si>
    <t>$AG$142</t>
  </si>
  <si>
    <t>$AG$143</t>
  </si>
  <si>
    <t xml:space="preserve">יניב שפירא:
0 = 18-20
1 = 21-24
2 = 25-29
3 = 30-34
4 = 35-39
5 = 40-44
6 = 45-49
7 = 50-54
8 = 55-64
9 = 65+
</t>
  </si>
  <si>
    <t>$AG$144</t>
  </si>
  <si>
    <t>$AG$145</t>
  </si>
  <si>
    <t>$AG$146</t>
  </si>
  <si>
    <t>יניב שפירא:
0 = 18-20
1 = 21-24
2 = 25-29
3 = 30-34
4 = 35-39
5 = 40-44
6 = 45-49
7 = 50-54
8 = 55-64
9 = 65+</t>
  </si>
  <si>
    <t>$AH$147</t>
  </si>
  <si>
    <t>$AH$148</t>
  </si>
  <si>
    <t>$AH$149</t>
  </si>
  <si>
    <t>יניב שפירא:
1 = בהחלט מסכים
2 = מסכים במידה מסוימת
3 = מסתייג
4 = בהחלט לא מסכים
5 = אין לי דעה</t>
  </si>
  <si>
    <t>$C$150</t>
  </si>
  <si>
    <t>יניב שפירא:
1 = מודאג מאד
2 = מודאג
3 = לא מודאג
4 = בכלל לא מודאג</t>
  </si>
  <si>
    <t>עניין פוליטי</t>
  </si>
  <si>
    <t>יניב שפירא:
1 = בכלל לא
2 = במידה מועטה
3 = במידה מסוימת
4 = במידה רבה</t>
  </si>
  <si>
    <t>$P$2</t>
  </si>
  <si>
    <t>יניב שפירא:
הניסוח הוא:
"החלטות בעניינים בטחוניים"</t>
  </si>
  <si>
    <t>$Z$2</t>
  </si>
  <si>
    <t>$D$3</t>
  </si>
  <si>
    <t>$P$3</t>
  </si>
  <si>
    <t>יניב שפירא:
1 = כמעט כל יום
2 = פעם/פעמיים בשבוע
3 = לעיתים רחוקות
4 = כלל לא</t>
  </si>
  <si>
    <t>$U$3</t>
  </si>
  <si>
    <t>יניב שפירא:
1 = במידה רבה
2 = במידה מסויימת
3 = במידה מועטה
4 = כלל לא</t>
  </si>
  <si>
    <t>$AE$3</t>
  </si>
  <si>
    <t>יניב שפירא:
v8 = חברים
v11 = משפחה</t>
  </si>
  <si>
    <t>$P$4</t>
  </si>
  <si>
    <t>$Q$4</t>
  </si>
  <si>
    <t>$P$5</t>
  </si>
  <si>
    <t>יניב שפירא:
1 = לעיתים קרובות
2 = לפעמים
3 = לעיתים רחוקות
4 = אף פעם לא</t>
  </si>
  <si>
    <t>$AD$6</t>
  </si>
  <si>
    <t>$Q$8</t>
  </si>
  <si>
    <t>יניב שפירא:
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</si>
  <si>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$P$9</t>
  </si>
  <si>
    <t>יניב שפירא:
1 = אבא
2 = אמא
3 = אח/אחות
4 = בן/בת זוג
5 = ילדי
6 = אחר
7 = שני ההורים במידה שווה
8 = כל בני המשפחה במידה שווה
9 = אף אחד מהם</t>
  </si>
  <si>
    <t>$P$10</t>
  </si>
  <si>
    <t>יניב שפירא:
1 = אבא
2 = אמא
3 = אח/אחות
4 = אחר
5 = שני ההורים במידה שווה
6 = כל בני הבית במידה שווה
7 = אף אחד מהם
8 = אני עדיין מתגורר בבית הורי</t>
  </si>
  <si>
    <t>$AE$11</t>
  </si>
  <si>
    <t>יניב שפירא:
1 = במידה רבה
2 = במידה מסוימת
3 = במידה מועטה
4 = כלל לא
5 = אב נפטר/לא חי איתו</t>
  </si>
  <si>
    <t>$G$12</t>
  </si>
  <si>
    <t>יניב שפירא:
1 = לא אוהד ולא פעיל בשום מפלגה
2 = אוהד של מפלגה אך לא חבר בה
3 = חבר במפלגה
4 = חבר פעיל במפלגה
5 = חבר ובעל תפקיד במפלגה</t>
  </si>
  <si>
    <t>$T$12</t>
  </si>
  <si>
    <t>יניב שפירא:
1 = חבר ובעל תפקיד בשכר
2 = חבר ובעל תפקיד לא בשכר
3 = חבר ללא תפקיד
4 = אוהד אבל לא חבר
5 = לא אוהד במיוחד אף מפלגה</t>
  </si>
  <si>
    <t>$V$13</t>
  </si>
  <si>
    <t>יניב שפירא:
1 = כן, לעיתים קרובות
2 = כן, לעיתים רחוקות
3 = אף פעם לא</t>
  </si>
  <si>
    <t>$AE$13</t>
  </si>
  <si>
    <t>יניב שפירא:
1 = לעתים קרובות
2 = לעתים רחוקות
3 = אף פעם
4 = עדיין לא הצביע</t>
  </si>
  <si>
    <t>$V$14</t>
  </si>
  <si>
    <t>$AD$14</t>
  </si>
  <si>
    <t>$AH$14</t>
  </si>
  <si>
    <t>יניב שפירא:
1 = לעיתים קרובות
2 = לעיתים רחוקות
3 = אף פעם לא</t>
  </si>
  <si>
    <t>$AH$15</t>
  </si>
  <si>
    <t>$AB$16</t>
  </si>
  <si>
    <t>$AB$17</t>
  </si>
  <si>
    <t>יניב שפירא:
1 = מאוד פעיל
2 = פעיל 
3 = לא כ"כ פעיל
4 = בכלל לא פעיל</t>
  </si>
  <si>
    <t>$AD$18</t>
  </si>
  <si>
    <t>יניב שפירא:
1 = הרבה יותר
2 = יותר
3 = פחות
4 = הרבה פחות</t>
  </si>
  <si>
    <t>$AD$19</t>
  </si>
  <si>
    <t>$AD$22</t>
  </si>
  <si>
    <t>$AD$23</t>
  </si>
  <si>
    <t>$AE$24</t>
  </si>
  <si>
    <t>יניב שפירא:
1 = לעיתים קרובות
2 = לעיתים רחוקות
3 = אף פעם</t>
  </si>
  <si>
    <t>$AD$25</t>
  </si>
  <si>
    <t>יניב שפירא:
1 = פעיל מאוד
2 = פעיל
3 = לא כ"כ פעיל
4 = לא פעיל כלל</t>
  </si>
  <si>
    <t>$AD$27</t>
  </si>
  <si>
    <t>$AB$28</t>
  </si>
  <si>
    <t>$AD$29</t>
  </si>
  <si>
    <t>$AE$30</t>
  </si>
  <si>
    <t>יניב שפירא:
1 = במידה רבה
2 = במידה מסוימת
3 = במידה מועטה
4 = לא התעניין
5 = אב נפטר/לא חי איתו</t>
  </si>
  <si>
    <t>$AE$31</t>
  </si>
  <si>
    <t>יניב שפירא:
1 = מאוד מתעניין
2 = מתעניין
3 = לא כ"כ מתעניין
4 = כלל לא מתעניין</t>
  </si>
  <si>
    <t>$AG$32</t>
  </si>
  <si>
    <t>$AE$33</t>
  </si>
  <si>
    <t>יניב שפירא:
1 = מאד מתעניין
2 = מתעניין
3 = לא כ"כ מתעניין
4 = בכלל לא מתעניין</t>
  </si>
  <si>
    <t>$AH$33</t>
  </si>
  <si>
    <t>יניב שפירא:
1 = מאוד מתעניין
2 = מתעניין
3 = לא כ"כ מתעניין
4 = לא מתעניין כלל</t>
  </si>
  <si>
    <t>$AG$35</t>
  </si>
  <si>
    <t>$AH$36</t>
  </si>
  <si>
    <t>יניב שפירא:
1 = צריך במידה רבה
2 = צריך במידה מסוימת
3 = צריך במידה מועטה
4 = לא צריך כלל</t>
  </si>
  <si>
    <t>$AH$37</t>
  </si>
  <si>
    <t>$AH$38</t>
  </si>
  <si>
    <t>$AH$39</t>
  </si>
  <si>
    <t>$AH$40</t>
  </si>
  <si>
    <t>$AH$41</t>
  </si>
  <si>
    <t>יניב שפירא:
1 = לעיתים קרובות מאוד
2 = לפעמים
3 = לעיתים רחוקות
4 = לא משוחח כלל</t>
  </si>
  <si>
    <t>$AH$44</t>
  </si>
  <si>
    <t>יניב שפירא:
1 = בדר"כ כן
2 = לפעמים כן לפעמים לא
3 = בדר"כ לא
4 = לא מקבל אינפורמציה</t>
  </si>
  <si>
    <t>$N$45</t>
  </si>
  <si>
    <t>יניב שפירא:
1 = אף פעם
2 = פעם או פעמיים
3 = שלוש פעמים או יותר</t>
  </si>
  <si>
    <t>$N$46</t>
  </si>
  <si>
    <t>$C$47</t>
  </si>
  <si>
    <t>יניב שפירא:
1 = לא השתתף
2 = השתתף פעם אחת
3 = 2-3 פעמים
4 = פעם בחודש
5 = פעם בשבוע או יותר</t>
  </si>
  <si>
    <t>ימין-שמאל</t>
  </si>
  <si>
    <t>יניב שפירא:
שאלה פתוחה, יש עד 3 תשובות לכל נבדק:
E8A_after_~1
E8A_after_~2
E8A_after_~3</t>
  </si>
  <si>
    <t>$G$2</t>
  </si>
  <si>
    <t>יניב שפירא:
שלוש תשובות מקודדות:
after_v13b_1_1
after_v13b_1_2
after_v13b_1_3</t>
  </si>
  <si>
    <t>יניב שפירא:
שאלה פתוחה, יש עד 3 תשובות לכל נבדק:
E8B_after_~1
E8B_after_~2
E8B_after_~3</t>
  </si>
  <si>
    <t>$G$3</t>
  </si>
  <si>
    <t>יניב שפירא:
שלוש תשובות מקודדות:
after_v13b_2_1
after_v13b_2_2
after_v13b_2_3</t>
  </si>
  <si>
    <t>adi:
1 = שמאל
2 = שמאל מתון
3 = מרכז
4 = ימין מתון
5 = ימין</t>
  </si>
  <si>
    <t>יניב שפירא:
1 = שמאל
2 = שמאל מתון
3 = מרכז
4 = ימין מתון
5 = ימין
6 = הזרם הדתי
7 = לא מזדהה עם אף גורם</t>
  </si>
  <si>
    <t>$U$4</t>
  </si>
  <si>
    <t>יניב שפירא:
1 = שמאל
2 = שמאל מתון
3 = מרכז
4 = ימין מתון
5 = הזרם הדתי
6 = אף זרם</t>
  </si>
  <si>
    <t>$D$5</t>
  </si>
  <si>
    <t>יניב שפירא:
1-7
1 = ימין מלא
7 = שמאל מלא</t>
  </si>
  <si>
    <t>$A$6</t>
  </si>
  <si>
    <t>יניב שפירא:
מי שדירג עצמו "4"
בשאלה של ימין-שמאל</t>
  </si>
  <si>
    <t>$M$6</t>
  </si>
  <si>
    <t>יניב שפירא:
1 = למחנה הימין
2 = למחנה השמאל
3 = לכל כיוון
4 = לא עובר</t>
  </si>
  <si>
    <t>$A$7</t>
  </si>
  <si>
    <t>יניב שפירא:
כל מי שלא דירג עצמו "4" בשאלה של ימין-שמאל</t>
  </si>
  <si>
    <t>$M$7</t>
  </si>
  <si>
    <t>יניב שפירא:
1 = כן בקלות
2 = חושב שכן
3 = חושב שלא
4 = בשום אופן לא</t>
  </si>
  <si>
    <t>יניב שפירא:
סולם 0-10
0 = שמאל מלא
10 = ימין מלא</t>
  </si>
  <si>
    <t>$H$9</t>
  </si>
  <si>
    <t>יניב שפירא:
סולם 0-10
0 = שמאלי (יוני)
10 = ימני (נצי)</t>
  </si>
  <si>
    <t>יניב שפירא:
סולם 1-7
1 = נץ
7 = יונה</t>
  </si>
  <si>
    <t>$S$10</t>
  </si>
  <si>
    <t>יניב שפירא:
סולם 1-7
1 = ימין
7 = שמאל</t>
  </si>
  <si>
    <t>$F$12</t>
  </si>
  <si>
    <t>יניב שפירא:
1 = מאד חשובה
2 = די חשובה
3 = לא כ"כ חשובה
4 = כלל לא חשובה</t>
  </si>
  <si>
    <t>$F$13</t>
  </si>
  <si>
    <t>יניב שפירא:
1 = כלל לא מסכים
2 = לא כ"כ מסכים
3 = די מסכים
4 = מסכים מאד</t>
  </si>
  <si>
    <t>$G$16</t>
  </si>
  <si>
    <t>יניב שפירא:
שלוש תשובות מקודדות:
after_v13a_1
after_v13a_2
after_v13a_3</t>
  </si>
  <si>
    <t>$S$17</t>
  </si>
  <si>
    <t>יניב שפירא:
1 = הבדלים גדולים מאד
2 = הבדלים גדולים
3 = הבדלים מסוימים
4 = הבדלים קטנים
5 = הבדלים קטנים מאד
6 = אין הבדלים</t>
  </si>
  <si>
    <t>$AD$17</t>
  </si>
  <si>
    <t>יניב שפירא:
c54  = בעיה ראשונה
c55 = בעיה שנייה</t>
  </si>
  <si>
    <t>$AE$17</t>
  </si>
  <si>
    <t>יניב שפירא:
v30 בעיה ראשונה
v31 בעיה שנייה</t>
  </si>
  <si>
    <t>$Z$18</t>
  </si>
  <si>
    <t>יניב שפירא:
1 = ברור מאד
2 = ברור
3 = לא כ"כ ברור
4 = כלל לא ברור</t>
  </si>
  <si>
    <t>$B$19</t>
  </si>
  <si>
    <t>adi:
יהודים בלבד</t>
  </si>
  <si>
    <t>$F$19</t>
  </si>
  <si>
    <t>יניב שפירא:
1 = כמעט ואין הבדלים
2 = הבדלים קטנים
3 = הבדלים מסוימים
4 = הבדלים גדולים
5 = הבדלים גדולים מאד</t>
  </si>
  <si>
    <t>$H$20</t>
  </si>
  <si>
    <t>יניב שפירא:
1 = הבדלים גדולים מאוד
2 = הבדלים גדולים
3 = הבדלים מסוימים
4 = הבדלים קטנים
5 = הבדלים קטנים מאוד</t>
  </si>
  <si>
    <t>$L$20</t>
  </si>
  <si>
    <t>יניב שפירא:
1 = כמעט ואין הבדלים
2 = הבדלים קטנים
3 = הבדלים מסויימים
4 = הבדלים גדולים
5 = הבדלים גדולים מאד</t>
  </si>
  <si>
    <t>יניב שפירא:
1 = הבדלים גדולים מאד
2 = הבדלים גדולים
3 = הבדלים מסויימים
4 = הבדלים קטנים
5 = כמעט ואין הבדלים</t>
  </si>
  <si>
    <t>$V$20</t>
  </si>
  <si>
    <t>יניב שפירא:
1 = הבדלים גדולים מאד
2 = הבדלים קטנים
3 = הבדלים מסויימים
4 = הבדלים קטנים
5 = הבדלים קטנים מאד
6 = אין הבדל</t>
  </si>
  <si>
    <t>$H$21</t>
  </si>
  <si>
    <t>$H$22</t>
  </si>
  <si>
    <t>$B$23</t>
  </si>
  <si>
    <t>$L$23</t>
  </si>
  <si>
    <t>יניב שפירא:
הניסוח הוא:
"הסכם עם הפלסטינים"</t>
  </si>
  <si>
    <t>$S$23</t>
  </si>
  <si>
    <t>$V$23</t>
  </si>
  <si>
    <t>$AE$23</t>
  </si>
  <si>
    <t>יניב שפירא:
1 = בהחלט קיימים
2 = קיימים
3 = אולי קיימים
4 = לא קיימים</t>
  </si>
  <si>
    <t>$B$24</t>
  </si>
  <si>
    <t>$P$24</t>
  </si>
  <si>
    <t>יניב שפירא:
1 = רחוקות במידה רבה מאד
2 = רחוקות במידה רבה
3 = בחלקן קרובות ובחלקן רחוקות
4 = העמדות למעדה קרובות
5 = העמדות קרובות מאד</t>
  </si>
  <si>
    <t>$T$24</t>
  </si>
  <si>
    <t>$AB$24</t>
  </si>
  <si>
    <t>יניב שפירא:
1 = הבדל גדול מאוד
2 = הבדל גדול
3 = הבדל קטן
4 = אין הבדל כלל</t>
  </si>
  <si>
    <t>$H$26</t>
  </si>
  <si>
    <t>$I$30</t>
  </si>
  <si>
    <t>$C$34</t>
  </si>
  <si>
    <t>יניב שפירא:
הציונות הדתית</t>
  </si>
  <si>
    <t>$J$34</t>
  </si>
  <si>
    <t>יניב שפירא:
המפד"ל-האיחוד הלאומי</t>
  </si>
  <si>
    <t>$B$37</t>
  </si>
  <si>
    <t>adi:
המחנה הממלכתי, איחוד עם תקווה חדשה</t>
  </si>
  <si>
    <t>$B$42</t>
  </si>
  <si>
    <t>adi:
חד"ש תע"ל</t>
  </si>
  <si>
    <t>$M$44</t>
  </si>
  <si>
    <t>יניב שפירא:
1 = בטוח שכן
2 = חושב שכן
3 = חושב שלא
4 = בטוח שלא</t>
  </si>
  <si>
    <t>$T$45</t>
  </si>
  <si>
    <t>יניב שפירא:
1 = ההבדלים הם "במה שהם אומרים"
2 = ההבדלים הם "במה שהם עושים"
3 = ההבדלים הם בשניהם
4 = אין הבדלים</t>
  </si>
  <si>
    <t>$AD$45</t>
  </si>
  <si>
    <t>יניב שפירא:
1 = ההבדלים בעיקר בדיבורים ולא במעשים
2 = ההבדלים בעיקר במעשים ולא בדיבורים
3 = יש הבדלים גם בדיבורים וגם במעשים
9 = אין הבדלים כלל</t>
  </si>
  <si>
    <t>$T$46</t>
  </si>
  <si>
    <t>יניב שפירא:
1 = ניצית במידה רבה
2 = ניצית
3 = לא ניצית ולא יונית
4 = יונית
5 = יונית במידה רבה</t>
  </si>
  <si>
    <t>$T$48</t>
  </si>
  <si>
    <t>יניב שפירא:
1 = כן בהחלט
2 = חושב שכן
3 = ככה ככה
4 = חושב שלא
5 = בהחלט לא</t>
  </si>
  <si>
    <t>$Z$49</t>
  </si>
  <si>
    <t>יניב שפירא:
1 = ברור מאוד
2 = ברור
3 = לא כ"כ ברור
4 = לא ברור כלל</t>
  </si>
  <si>
    <t>$AG$49</t>
  </si>
  <si>
    <t>יניב שפירא:
1 = ברור מאוד
2 = ברור
3 = לא כ"כ ברור
4 = לא ברור כללי
5 = אין הבדל
6 = אין תשובה</t>
  </si>
  <si>
    <t>$AB$52</t>
  </si>
  <si>
    <t>$AD$53</t>
  </si>
  <si>
    <t>$AD$54</t>
  </si>
  <si>
    <t>יניב שפירא:
1 = הבדלים גדולים מאד
2 = הבדלים גדולים
3 = הבדלים קטנים
4 = הבדלים קטנים מאד
5 = אין הבדלים כלל</t>
  </si>
  <si>
    <t>$AD$55</t>
  </si>
  <si>
    <t>יניב שפירא:
1 = שמאלי
2 = ימני
3 = מרכזי
4 = לא הבין את השאלה</t>
  </si>
  <si>
    <t>זיקה רגשית</t>
  </si>
  <si>
    <t>יניב שפירא:
0-10
0 = דחייה/שנאה
10 = תמיכה/אהדה</t>
  </si>
  <si>
    <t>$H$2</t>
  </si>
  <si>
    <t>יניב שפירא:
בבחירות האלו - 
הליכוד-ישראל ביתנו</t>
  </si>
  <si>
    <t>$K$2</t>
  </si>
  <si>
    <t>יניב שפירא:
סולם 1-10</t>
  </si>
  <si>
    <t>$O$2</t>
  </si>
  <si>
    <t>יניב שפירא:
סולם 1-10
1 = שנאה
10 = אהדה</t>
  </si>
  <si>
    <t>$A$4</t>
  </si>
  <si>
    <t>יניב שפירא:
רק מגזר יהודי</t>
  </si>
  <si>
    <t>$D$7</t>
  </si>
  <si>
    <t>יניב שפירא:
העבודה-גשר-מרצ</t>
  </si>
  <si>
    <t>$E$7</t>
  </si>
  <si>
    <t>יניב שפירא:
העבודה-גשר</t>
  </si>
  <si>
    <t>$G$7</t>
  </si>
  <si>
    <t>יניב שפירא:
בבחירות האלו
המחנה הציוני</t>
  </si>
  <si>
    <t>$A$10</t>
  </si>
  <si>
    <t>יניב שפירא:
בבחירות 2015 התאחדו עם העבודה ויצרו את
"המחנה הציוני"</t>
  </si>
  <si>
    <t>$E$11</t>
  </si>
  <si>
    <t>יניב שפירא:
המחנה הדמוקרטי
(עם שפיר וברק)</t>
  </si>
  <si>
    <t>יניב שפירא:
רק מגזר יהודי!</t>
  </si>
  <si>
    <t>$A$13</t>
  </si>
  <si>
    <t>adi:
יחס עם עוצמה יהודית</t>
  </si>
  <si>
    <t>$C$14</t>
  </si>
  <si>
    <t>$J$14</t>
  </si>
  <si>
    <t>יניב שפירא:
מפד"ל-האיחוד הלאומי</t>
  </si>
  <si>
    <t>$A$15</t>
  </si>
  <si>
    <t>יניב שפירא:
רק מגזר יהודי!
בחירות 2013 רצו עם הליכוד</t>
  </si>
  <si>
    <t>$K$15</t>
  </si>
  <si>
    <t>יניב שפירא:
האיחוד הלאומי</t>
  </si>
  <si>
    <t>$A$16</t>
  </si>
  <si>
    <t>$B$21</t>
  </si>
  <si>
    <t xml:space="preserve">adi:
חד"ש תע"ל
</t>
  </si>
  <si>
    <t>$F$21</t>
  </si>
  <si>
    <t>יניב שפירא:
רק חד"ש-תע"ל</t>
  </si>
  <si>
    <t>$A$22</t>
  </si>
  <si>
    <t>יניב שפירא:
רק ערבים</t>
  </si>
  <si>
    <t>$A$23</t>
  </si>
  <si>
    <t>$A$24</t>
  </si>
  <si>
    <t>יניב שפירא:
ערבים בלבד</t>
  </si>
  <si>
    <t>$A$25</t>
  </si>
  <si>
    <t>$C$28</t>
  </si>
  <si>
    <t>יניב שפירא:
סולם 0-10
0 = שנאה
10 = אהדה</t>
  </si>
  <si>
    <t>יניב שפירא:
0-10
0 = דחייה ושנאה
10 = תמיכה ואהדה
95 = לא יכול להכליל</t>
  </si>
  <si>
    <t>$C$35</t>
  </si>
  <si>
    <t>יניב שפירא:
רק ליהודים</t>
  </si>
  <si>
    <t>$K$35</t>
  </si>
  <si>
    <t>$L$36</t>
  </si>
  <si>
    <t>יניב שפירא:
סולם 1-10
1 = סלידה
10 = אהדה</t>
  </si>
  <si>
    <t>$D$45</t>
  </si>
  <si>
    <t>יניב שפירא:
0-10
0 = דחייה ושנאה
10 = תמיכה ואהדה</t>
  </si>
  <si>
    <t>$A$55</t>
  </si>
  <si>
    <t>יניב שפירא:
ליהודים בלבד</t>
  </si>
  <si>
    <t>$A$67</t>
  </si>
  <si>
    <t>יניב שפירא:
מגזר יהודי בלבד</t>
  </si>
  <si>
    <t>$A$68</t>
  </si>
  <si>
    <t>$A$69</t>
  </si>
  <si>
    <t>$A$71</t>
  </si>
  <si>
    <t>$A$77</t>
  </si>
  <si>
    <t>$A$78</t>
  </si>
  <si>
    <t>$A$79</t>
  </si>
  <si>
    <t>$A$81</t>
  </si>
  <si>
    <t>יניב שפירא:
לערבים בלבד</t>
  </si>
  <si>
    <t>$A$82</t>
  </si>
  <si>
    <t>$A$83</t>
  </si>
  <si>
    <t>$A$84</t>
  </si>
  <si>
    <t>$A$85</t>
  </si>
  <si>
    <t>$A$86</t>
  </si>
  <si>
    <t>$A$87</t>
  </si>
  <si>
    <t>$A$88</t>
  </si>
  <si>
    <t>$A$89</t>
  </si>
  <si>
    <t>$A$90</t>
  </si>
  <si>
    <t>$L$92</t>
  </si>
  <si>
    <t>$F$94</t>
  </si>
  <si>
    <t>יניב שפירא:
1 = כלל לא חשובה
2 = לא כ"כ חשובה
3 = די חשובה
4 = חשובה מאד</t>
  </si>
  <si>
    <t>$F$95</t>
  </si>
  <si>
    <t>יניב שפירא:
1 = כלל לא מסכים
2 = לא כ"כ מסכים
3 = די מסכים
4 = מאד מסכים</t>
  </si>
  <si>
    <t>$F$98</t>
  </si>
  <si>
    <t>יניב שפירא:
1 = בכלל לא גאה
2 = לא גאה
3 = גאה
4 = גאה מאד</t>
  </si>
  <si>
    <t>$G$99</t>
  </si>
  <si>
    <t>יניב שפירא:
1 = בכלל לא חשוב
2 = חשוב במידה מועטה
3 = די חשוב
4 = חשוב מאד</t>
  </si>
  <si>
    <t>$G$100</t>
  </si>
  <si>
    <t>יניב שפירא:
1 = בהחלט לא נכון
2 = לא נכון
3 = נכון
4 = נכון בהחלט</t>
  </si>
  <si>
    <t>$E$106</t>
  </si>
  <si>
    <t>יניב שפירא:
1 = בהחלט לא ראוי
2 = לא ראוי
3 = ככה-ככה
4 = ראוי
5 = בהחלט ראוי</t>
  </si>
  <si>
    <t>$E$111</t>
  </si>
  <si>
    <t>יניב שפירא:
1 = בכלל לא
2 = במידה מועטה
3 = במידה בינונית
4 = במידה רבה
5 = במידה רבה מאוד</t>
  </si>
  <si>
    <t>$L$115</t>
  </si>
  <si>
    <t>$Q$141</t>
  </si>
  <si>
    <t>יניב שפירא:
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</si>
  <si>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$V$142</t>
  </si>
  <si>
    <t>יניב שפירא:
1 = מפלגה חזקה מושכת אותי ביותר
2 = מפלגה חזקה מושכת אותי פחות או יותר
3 = מפלגה שמזהירה מושכת אותי פחות או יותר
4 = מפלגה שמזהירה מושכת אותי ביותר</t>
  </si>
  <si>
    <t>$AA$143</t>
  </si>
  <si>
    <t>יניב שפירא:
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</si>
  <si>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$AC$149</t>
  </si>
  <si>
    <t>יניב שפירא:
1 = דעתי הייתה חיובית ונשארה חיובית
2 = דעתי הייתה שלילית ונשארה שלילית
3 = דעתי הייתה חיובית והפכה שלילית
4 = דעתי הייתה שלילית והפכה חיובית</t>
  </si>
  <si>
    <t>$AD$157</t>
  </si>
  <si>
    <t>$AD$158</t>
  </si>
  <si>
    <t>$AD$159</t>
  </si>
  <si>
    <t>$AD$160</t>
  </si>
  <si>
    <t>$AD$162</t>
  </si>
  <si>
    <t>$G$163</t>
  </si>
  <si>
    <t>$A$164</t>
  </si>
  <si>
    <t>יניב שפירא:
מי שענה כן בשאלה 10</t>
  </si>
  <si>
    <t>$I$164</t>
  </si>
  <si>
    <t>יניב שפירא:
הניסוח הוא:
"איזו מפלגה אתה הכי אוהד"</t>
  </si>
  <si>
    <t>$G$165</t>
  </si>
  <si>
    <t>יניב שפירא:
1 = קרוב מאוד
2 = די קרוב
3 = לא מאוד קרוב</t>
  </si>
  <si>
    <t>$A$171</t>
  </si>
  <si>
    <t>יניב שפירא:
היו 10 מפלגות.
3 נבחרו להכי קרובות
3 להכי רחוקות
נותרו 6</t>
  </si>
  <si>
    <t>$AE$175</t>
  </si>
  <si>
    <t xml:space="preserve">יניב שפירא:
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</si>
  <si>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$AG$178</t>
  </si>
  <si>
    <t>יניב שפירא:
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</si>
  <si>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תכונות</t>
  </si>
  <si>
    <t>$I$2</t>
  </si>
  <si>
    <t>יניב שפירא:
1 = קדימה
2 = ליכוד
3 = עבודה
4 = לכולם באותה מידה
5 = לאף אחת לא מתאים</t>
  </si>
  <si>
    <t>יניב שפירא:
1 = לעבודה
2 = לליכוד
3 = שתיהן באותה מידה
4 = אף אחת מהן</t>
  </si>
  <si>
    <t>יניב שפירא:
מועמד ולא מפלגה
1 = ברק
2 = שרון
3 = שניהם
4 = אף אחד</t>
  </si>
  <si>
    <t>יניב שפירא:
1 = העבודה
2 = הליכוד
3 = מידה שווה
4 = אף אחת מהן</t>
  </si>
  <si>
    <t>$A$3</t>
  </si>
  <si>
    <t>יניב שפירא:
רק למי שענה 1-3 בשאלה הקודמת</t>
  </si>
  <si>
    <t>$I$3</t>
  </si>
  <si>
    <t>יניב שפירא:
1 = קדימה
2 = ליכוד
3 = עבודה</t>
  </si>
  <si>
    <t>$O$8</t>
  </si>
  <si>
    <t>יניב שפירא:
הניסוח:
"שתחזיר את השקט והסדר לשטחים</t>
  </si>
  <si>
    <t>$A$9</t>
  </si>
  <si>
    <t>$T$10</t>
  </si>
  <si>
    <t>יניב שפירא:
1 = מתאים הרבה יותר למערך
2 = מתאים יותר למערך
3 = במידה שווה לשתיהן
4 = מתאים יותר לליכוד
5 = מתאים הרבה יותר לליכוד
6 = לא מתאים לאף אחת מהן</t>
  </si>
  <si>
    <t>$A$11</t>
  </si>
  <si>
    <t>$O$21</t>
  </si>
  <si>
    <t>יניב שפירא:
1 = עבודה
2 = ליכוד
3 = מידה שווה
4 = אף אחת מהן</t>
  </si>
  <si>
    <t>$T$23</t>
  </si>
  <si>
    <t>$T$27</t>
  </si>
  <si>
    <t>$T$35</t>
  </si>
  <si>
    <t>$F$43</t>
  </si>
  <si>
    <t>יניב שפירא:
1 = בני גנץ
2 = בנימין נתניהו
3 = שניהם
4 = אף אחד מהם</t>
  </si>
  <si>
    <t>$G$43</t>
  </si>
  <si>
    <t>יניב שפירא:
1 = יצחק הרצוג
2 = בנימין נתניהו
3 = שניהם
4 = אף אחד מהם</t>
  </si>
  <si>
    <t>$H$43</t>
  </si>
  <si>
    <t>יניב שפירא:
1 = בנימין נתניהו
2 = ציפי לבני
3 = שלי יחימוביץ
4 = כולם
5 = אף אחד מהם</t>
  </si>
  <si>
    <t>$I$43</t>
  </si>
  <si>
    <t>יניב שפירא:
1 = ציפי לבני
2 = בנימין נתניהו
3 = אהוד ברק
4 = כולם
5 = אף אחד</t>
  </si>
  <si>
    <t>$J$43</t>
  </si>
  <si>
    <t>יניב שפירא:
1 = אהוד אולמרט
2 = בנימין נתניהו
3 = עמיר פרץ
4 = לכולם
5 = אף אחד מהם</t>
  </si>
  <si>
    <t>$K$43</t>
  </si>
  <si>
    <t>יניב שפירא:
1 = שרון
2 = מצנע
3 = שניהם
4 = אף אחד מהם</t>
  </si>
  <si>
    <t>$M$43</t>
  </si>
  <si>
    <t>יניב שפירא:
1 = נתניהו
2 = ברק
3 = מדרכי
4 = שלושתם
5 = אף אחד מהם</t>
  </si>
  <si>
    <t>$N$43</t>
  </si>
  <si>
    <t>יניב שפירא:
1 = פרס
2 = נתניהו
3 = במידה שווה
4 = אף אחד</t>
  </si>
  <si>
    <t>$O$43</t>
  </si>
  <si>
    <t>יניב שפירא:
1 = שמיר
2 = רבין
3 = שניהם באותה מידה
4 = אף אחד מהם</t>
  </si>
  <si>
    <t>$F$45</t>
  </si>
  <si>
    <t>$G$45</t>
  </si>
  <si>
    <t>$H$45</t>
  </si>
  <si>
    <t>$F$46</t>
  </si>
  <si>
    <t>$H$46</t>
  </si>
  <si>
    <t>$L$47</t>
  </si>
  <si>
    <t>יניב שפירא:
1 = ברק
2 = שרון
3 = לשניהם
4 = לאף אחד מהם</t>
  </si>
  <si>
    <t>$S$68</t>
  </si>
  <si>
    <t>יניב שפירא:
1 = צעירה
7 = זקנה</t>
  </si>
  <si>
    <t>$S$69</t>
  </si>
  <si>
    <t>יניב שפירא:
1 = חזקה
7 = חלשה</t>
  </si>
  <si>
    <t>$AE$69</t>
  </si>
  <si>
    <t>$S$70</t>
  </si>
  <si>
    <t>יניב שפירא:
1 = ימנית
7 = שמאלית</t>
  </si>
  <si>
    <t>$AE$70</t>
  </si>
  <si>
    <t>$S$71</t>
  </si>
  <si>
    <t>יניב שפירא:
1 = מיושנת
7 = חדשנית</t>
  </si>
  <si>
    <t>$AE$71</t>
  </si>
  <si>
    <t>$S$72</t>
  </si>
  <si>
    <t>יניב שפירא:
1 = מעמד בינוני
2 = מעמד פועלים</t>
  </si>
  <si>
    <t>$AE$72</t>
  </si>
  <si>
    <t>יניב שפירא:
1 = מעמד בינוני
7 = מעמד פועלים</t>
  </si>
  <si>
    <t>$S$73</t>
  </si>
  <si>
    <t>יניב שפירא:
1 = ספרדית
7 = אשכנזית</t>
  </si>
  <si>
    <t>$S$74</t>
  </si>
  <si>
    <t>יניב שפירא:
1 = דואגת בעיקר לעצמה
7 = דואגת בעיקר לאזרחים</t>
  </si>
  <si>
    <t>$S$75</t>
  </si>
  <si>
    <t>יניב שפירא:
1 = חסרת ניסיון
7 = בעלת ניסיון</t>
  </si>
  <si>
    <t>$AE$75</t>
  </si>
  <si>
    <t>$S$76</t>
  </si>
  <si>
    <t>יניב שפירא:
1 = יונית
7 = ניצית</t>
  </si>
  <si>
    <t>$S$77</t>
  </si>
  <si>
    <t>$S$78</t>
  </si>
  <si>
    <t>$S$79</t>
  </si>
  <si>
    <t>$S$80</t>
  </si>
  <si>
    <t>$S$81</t>
  </si>
  <si>
    <t>יניב שפירא:
1 = מעמד ביניים
7 = מעמד פועלים</t>
  </si>
  <si>
    <t>$S$82</t>
  </si>
  <si>
    <t>$S$83</t>
  </si>
  <si>
    <t>יניב שפירא:
1 = דואגת בעיקר לעצמה
7 = דואגת בעיקר לאזרח</t>
  </si>
  <si>
    <t>$S$84</t>
  </si>
  <si>
    <t>יניב שפירא:
1 = ישרה
7 = מושחתת</t>
  </si>
  <si>
    <t>$S$85</t>
  </si>
  <si>
    <t>$S$86</t>
  </si>
  <si>
    <t>יניב שפירא:
1 = בלתי אמינה
7 = אמינה</t>
  </si>
  <si>
    <t>$S$87</t>
  </si>
  <si>
    <t>$T$99</t>
  </si>
  <si>
    <t>יניב שפירא:
סולם 1-7
1 = חיובית
7 = שלילית</t>
  </si>
  <si>
    <t>$T$100</t>
  </si>
  <si>
    <t>יניב שפירא:
סולם 1-7
1 = קצרה
7 = ארוכה</t>
  </si>
  <si>
    <t>$T$101</t>
  </si>
  <si>
    <t>יניב שפירא:
סולם 1-7
1 = חינוכית
7 = בלתי חינוגית</t>
  </si>
  <si>
    <t>$T$102</t>
  </si>
  <si>
    <t>יניב שפירא:
סולם 1-7
1 = עוזרת להחליט
7 = לא עוזרת להחליט</t>
  </si>
  <si>
    <t>$T$103</t>
  </si>
  <si>
    <t>יניב שפירא:
סולם 1-7
1 = עוזרת להבין
7 = לא עוזר להבין</t>
  </si>
  <si>
    <t>$T$104</t>
  </si>
  <si>
    <t>יניב שפירא:
סולם 1-7
1 = עוזרת להכיר
7 = לא עוזרת להכיר</t>
  </si>
  <si>
    <t>$T$105</t>
  </si>
  <si>
    <t>יניב שפירא:
סולם 1-7
1 = מאחדת
7 = מפוררת</t>
  </si>
  <si>
    <t>$T$106</t>
  </si>
  <si>
    <t>$T$107</t>
  </si>
  <si>
    <t>יניב שפירא:
סולם 1-7
1 = נותנת תחושת שייכות
7 = לא נותנת</t>
  </si>
  <si>
    <t>$T$108</t>
  </si>
  <si>
    <t>יניב שפירא:
סולם 1-7
1 = בזבזנית
7 = שווה את ההשקעה</t>
  </si>
  <si>
    <t>$T$109</t>
  </si>
  <si>
    <t>יניב שפירא:
סולם 1-7
1 = גורלית
7 = לא משנה הרבה</t>
  </si>
  <si>
    <t>$T$110</t>
  </si>
  <si>
    <t>יניב שפירא:
סולם 1-7
1 = חשובה
7 = לא חשובה</t>
  </si>
  <si>
    <t>$T$111</t>
  </si>
  <si>
    <t>יניב שפירא:
סולם 1-7
1 = חזקה
7 = חלשה</t>
  </si>
  <si>
    <t>$T$112</t>
  </si>
  <si>
    <t>יניב שפירא:
סולם 1-7
1 = נותנת תקווה
7 = נותנת ייאוש</t>
  </si>
  <si>
    <t>$T$113</t>
  </si>
  <si>
    <t>יניב שפירא:
סולם 1-7
1 = צודקת
7 = לא צודקת</t>
  </si>
  <si>
    <t>$T$114</t>
  </si>
  <si>
    <t>יניב שפירא:
סולם 1-7
1 = רוצה לחיות
7 = לא רוצה לחיות בו</t>
  </si>
  <si>
    <t>$T$115</t>
  </si>
  <si>
    <t>יניב שפירא:
סולם 1-7
1 = חייבים לעלות
7 = לא חייבים לעלות</t>
  </si>
  <si>
    <t>$T$116</t>
  </si>
  <si>
    <t>יניב שפירא:
סולם 1-7
1 = דמוקרטית
7 = לא דמוקרטית</t>
  </si>
  <si>
    <t>$T$117</t>
  </si>
  <si>
    <t>יניב שפירא:
סולם 1-7
1 = יש בה צדק חברתי
7 = אין בה צדק חברתי</t>
  </si>
  <si>
    <t>$T$118</t>
  </si>
  <si>
    <t>יניב שפירא:
סולם 1-7
1 = מוכנה לחיות בשכנות
7 = לא מוכנה לחיות בשכנות</t>
  </si>
  <si>
    <t>$T$119</t>
  </si>
  <si>
    <t>יניב שפירא:
סולם 1-7
1 = שלום
7 = מלחמה</t>
  </si>
  <si>
    <t>$T$120</t>
  </si>
  <si>
    <t>יניב שפירא:
סולם 1-7
1 = התגשמות החלום
7 = לא התגשמות החלום</t>
  </si>
  <si>
    <t>$U$121</t>
  </si>
  <si>
    <t>יניב שפירא:
1 = משכנע במידה רבה
2 = במידה מסויימת
3 = במידה מועטה
4 = כלל לא משכנע</t>
  </si>
  <si>
    <t>$V$128</t>
  </si>
  <si>
    <t>$Z$134</t>
  </si>
  <si>
    <t>יניב שפירא:
במקום דיין, מפלגת ד"ש (יגאל ידין)</t>
  </si>
  <si>
    <t>יניב שפירא:
1 = מקום ראשון
2 = מקום שני
3 = מקום שלישי
5 = לא הוזכר
7 = מקום לפני אחרון
8 = מקום אחרון</t>
  </si>
  <si>
    <t>$Z$189</t>
  </si>
  <si>
    <t>יניב שפירא:
1 = משכנע במידה רבה
2 = במידה מסויימת
3 = במידה מועטה
4 = לא משכנע כלל</t>
  </si>
  <si>
    <t>$T$205</t>
  </si>
  <si>
    <t>יניב שפירא:
סולם 1-7
1 = תועלת
7 = נזק</t>
  </si>
  <si>
    <t>$T$206</t>
  </si>
  <si>
    <t>יניב שפירא:
סולם 1-7
1 = שקול
7 = לא שקול</t>
  </si>
  <si>
    <t>$T$207</t>
  </si>
  <si>
    <t>יניב שפירא:
סולם 1-7
1 = יציב
7 = לא יציב</t>
  </si>
  <si>
    <t>$T$208</t>
  </si>
  <si>
    <t>יניב שפירא:
סולם 1-7
1 = עבר זמנו
7 = לא עבר זמנו</t>
  </si>
  <si>
    <t>$T$209</t>
  </si>
  <si>
    <t>יניב שפירא:
סולם 1-7
1 = גרוע
7 = מצוין</t>
  </si>
  <si>
    <t>$T$210</t>
  </si>
  <si>
    <t>$T$211</t>
  </si>
  <si>
    <t>יניב שפירא:
סולם 1-7
1 = נתון
7 = לא נתון</t>
  </si>
  <si>
    <t>$T$212</t>
  </si>
  <si>
    <t>יניב שפירא:
סולם 1-7
1 = אינה מאפשרת
7 = מאפשרת</t>
  </si>
  <si>
    <t>$T$213</t>
  </si>
  <si>
    <t>יניב שפירא:
סולם 1-7
1 = הרפתקן
7 = שקול ונבון</t>
  </si>
  <si>
    <t>$T$214</t>
  </si>
  <si>
    <t>יניב שפירא:
סולם 1-7
1 = אופוזיציה
7 = שלטון</t>
  </si>
  <si>
    <t>$U$215</t>
  </si>
  <si>
    <t>יניב שפירא:
סולם 1-7
1 = חזק
7 = חלש</t>
  </si>
  <si>
    <t>$V$215</t>
  </si>
  <si>
    <t>יניב שפירא:
סולם 1-6</t>
  </si>
  <si>
    <t>$U$216</t>
  </si>
  <si>
    <t>יניב שפירא:
סולם 1-7
1 = יכול לעבוד בצוות
7 = לא יכול</t>
  </si>
  <si>
    <t>$U$217</t>
  </si>
  <si>
    <t>יניב שפירא:
סולם 1-7
1 = ישר
7 = לא ישר</t>
  </si>
  <si>
    <t>$U$218</t>
  </si>
  <si>
    <t>יניב שפירא:
סולם 1-7
1 = בעל כושר החלטה
7 = חסר כושר החלטה</t>
  </si>
  <si>
    <t>$U$219</t>
  </si>
  <si>
    <t>יניב שפירא:
סולם 1-7
1 = יכול לעמוד
7 = לא יכול לעמוד</t>
  </si>
  <si>
    <t>$V$220</t>
  </si>
  <si>
    <t>$U$225</t>
  </si>
  <si>
    <t>יניב שפירא:
סולם 1-7
1 = אמין בהופעתו
7 = בלתי אמין</t>
  </si>
  <si>
    <t>$U$226</t>
  </si>
  <si>
    <t>יניב שפירא:
סולם 1-7
1 = חלקלק
7 = דוגרי</t>
  </si>
  <si>
    <t>$U$227</t>
  </si>
  <si>
    <t>יניב שפירא:
סולם 1-7
1 = עייף
7 = רענן</t>
  </si>
  <si>
    <t>$V$228</t>
  </si>
  <si>
    <t>$AC$233</t>
  </si>
  <si>
    <t>יניב שפירא:
1 = גולדה
2 = דיין
3 = בגין
4 = פנחס ספיר
5 = אבא אבן
6 = חיים בר-לב
7 = יגאל אלון
8 = אחר מהקואליציה
9 = אחר מהאופוזיציה</t>
  </si>
  <si>
    <t>$AC$234</t>
  </si>
  <si>
    <t>יניב שפירא:
1 = דיין
2 = בר-לב
3 = שרון
4 = רבין
5 = אהרון יריב
6 = עזר וייצמן
7 = יגאל אלון
8 = אחר מהקואליציה
9 = אחר מהאופוזיציה</t>
  </si>
  <si>
    <t>$AC$235</t>
  </si>
  <si>
    <t>יניב שפירא:
1 = אבא אבן
2 = פרס
3 = אהרון יריב
4 = יגאל אלון
5 = בגין
6 = רבין
7 = אחר מהקואליציה
8 = אחר מהאופוזיציה</t>
  </si>
  <si>
    <t>הצבעה</t>
  </si>
  <si>
    <t>יניב שפירא:
1 = הזדהות עם המפלגה
2 = ראש המפלגה
3 = מועמדי המפלגה לכנסת
4 = עמדות המפלגה בנושאים מסוימים
5 = מקומה של המפלגה בשלטון או באופוזיציה</t>
  </si>
  <si>
    <t>יניב שפירא:
1 = הזדהות עם המפלגה
2 = מועמדי המפלגה לכנסת
3 = עמדת המפלגה בנושאים מסוימים
4 = מקומה של המפלגה בשלטון או באופוזיציה</t>
  </si>
  <si>
    <t>$V$2</t>
  </si>
  <si>
    <t>יניב שפירא:
1 = הזדהות עם המפלגה
2 = מועמד המפלגה
3 = עמדות המפלגה בנושאים מסויימים
4 = סיכויי המפלגה להגיע לשלטון</t>
  </si>
  <si>
    <t>$W$2</t>
  </si>
  <si>
    <t>יניב שפירא:
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</si>
  <si>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יניב שפירא:
1 = הזדהות עם המפלגה
2 = מועמד המפלגה
3 = עמדות המפלגה בנושאים מסויימים
4 = מקומה של במפלגה בקואליציה/אופוזיציה</t>
  </si>
  <si>
    <t>$AC$2</t>
  </si>
  <si>
    <t>יניב שפירא:
1 = התכונות של המועמד
2 = הזדהות עם המפלגה שלו
3 = הזדהות עם המחנה שלו
4 = העמדות של המועמד בנושאים שונים
5 = היותו בשלטון או באופוזיציה</t>
  </si>
  <si>
    <t>$N$3</t>
  </si>
  <si>
    <t>יניב שפירא:
1 = התכונות של המועמד
2 = הזדהות עם המפלגה שלו
3 = העמדות של המועמד בנושאים שונים
4 = היותו בשלטון או באופוזיציה</t>
  </si>
  <si>
    <t>$AF$4</t>
  </si>
  <si>
    <t>יניב שפירא:
1 = יש גורם אחד הרבה יותר חשוב מהשאר
2 = יש גורם אחד קצת יותר חשוב מהשאר
3 = כל הגורמים חשובים באותה מידה
4 = אף אחד מהגורמים לא חשוב</t>
  </si>
  <si>
    <t>יניב שפירא:
1 = כלל לא ישפיע
2 = ישפיע במידה מועטה בלבד
3 = ישפיע במידה מסוימת
4 = ישפיע במידה רבה</t>
  </si>
  <si>
    <t>$AD$5</t>
  </si>
  <si>
    <t>יניב שפירא:
1 = במידה רבה
2 = במידה מסוימת
3 = במידה מועטה
4 = לא ישפיע כלל</t>
  </si>
  <si>
    <t>$H$6</t>
  </si>
  <si>
    <t>יניב שפירא:
1 = ישפיע במידה רבה
2 = ישפיע במידה מסויימת
3 = ישפיע במידה מועטה בלבד
4 = כלל לא ישפיע</t>
  </si>
  <si>
    <t>יניב שפירא:
1 = כלל לא ישפיע
2 = במידה מועטה
3 = במידה מסוימת
4 = במידה רבה</t>
  </si>
  <si>
    <t>$N$6</t>
  </si>
  <si>
    <t>יניב שפירא:
1 = במידה רבה
2 = במידה בינונית
3 = במידה מועטה בלבד
4 = לא ישפיע כלל</t>
  </si>
  <si>
    <t>$O$6</t>
  </si>
  <si>
    <t>יניב שפירא:
1 = ישפיע במידה רבה
2 = במידה מסוימת
3 = במידה מועטה
4 = לא ישפיע כלל</t>
  </si>
  <si>
    <t>$Z$6</t>
  </si>
  <si>
    <t>$H$7</t>
  </si>
  <si>
    <t>$H$8</t>
  </si>
  <si>
    <t>$C$9</t>
  </si>
  <si>
    <t>adi:
שלום וביטחון</t>
  </si>
  <si>
    <t>$Q$9</t>
  </si>
  <si>
    <t>$Z$9</t>
  </si>
  <si>
    <t>$AD$9</t>
  </si>
  <si>
    <t>$M$10</t>
  </si>
  <si>
    <t>יניב שפירא:
מפוצל לשאלה על "בטחון" ושאלה על "טרור"
* טרור מקבל כאן i30</t>
  </si>
  <si>
    <t>יניב שפירא:
1 = ישפיע במידה רבה
2 = במידה מסויימת
3 = במידה מועטה
4 = לא ישפיע כלל</t>
  </si>
  <si>
    <t>$Z$11</t>
  </si>
  <si>
    <t>יניב שפירא:
1 = במידה רבה
2 = במידה מסוימת
3 = במידה מועטה
4 = כלל לא ישפיע</t>
  </si>
  <si>
    <t>$I$15</t>
  </si>
  <si>
    <t>יניב שפירא:
1 = ישפיע במידה רבה
2 = ישפיע במידה מסוימת
3 = ישפיע במידה מועטה בלבד
4 = כלל לא ישפיע</t>
  </si>
  <si>
    <t>$N$16</t>
  </si>
  <si>
    <t>יניב שפירא:
מבצע "ענבי זעם"</t>
  </si>
  <si>
    <t>$I$20</t>
  </si>
  <si>
    <t>יניב שפירא:
1 = התהליך המדיני עם הפלסטינים ועם סוריה
2 = המצב הביטחוני
3 = המצב הכלכלי חברתי
4 = יחסי דתיים חילונים
5 = שחיתות ושלטון החוק
6 = האחדות בעם
7 = אחר</t>
  </si>
  <si>
    <t>$D$21</t>
  </si>
  <si>
    <t>יניב שפירא:
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</si>
  <si>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$E$21</t>
  </si>
  <si>
    <t>יניב שפירא:
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</si>
  <si>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יניב שפירא:
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</si>
  <si>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adi:
1 = שמאל
2 = מרכז
3 = ימין
4 = חרדית
5 = ערבית</t>
  </si>
  <si>
    <t>$D$23</t>
  </si>
  <si>
    <t xml:space="preserve">יניב שפירא:
בחירות ספטמבר 2019
</t>
  </si>
  <si>
    <t>$F$23</t>
  </si>
  <si>
    <t>יניב שפירא:
בחירות 2015</t>
  </si>
  <si>
    <t>$G$23</t>
  </si>
  <si>
    <t>יניב שפירא:
בחירות 2013</t>
  </si>
  <si>
    <t>$H$23</t>
  </si>
  <si>
    <t>יניב שפירא:
בחירות 2009</t>
  </si>
  <si>
    <t>$I$23</t>
  </si>
  <si>
    <t>יניב שפירא:
בחירות 2006</t>
  </si>
  <si>
    <t>$J$23</t>
  </si>
  <si>
    <t>יניב שפירא:
בחירות 2003</t>
  </si>
  <si>
    <t>$K$23</t>
  </si>
  <si>
    <t>יניב שפירא:
בחירות 1999</t>
  </si>
  <si>
    <t>$M$23</t>
  </si>
  <si>
    <t>יניב שפירא:
בחירות 1996</t>
  </si>
  <si>
    <t>$N$23</t>
  </si>
  <si>
    <t>יניב שפירא:
בחירות 1992</t>
  </si>
  <si>
    <t>$O$23</t>
  </si>
  <si>
    <t>יניב שפירא:
בחירות 1988</t>
  </si>
  <si>
    <t>$P$23</t>
  </si>
  <si>
    <t>יניב שפירא:
בחירות 1984</t>
  </si>
  <si>
    <t>$Q$23</t>
  </si>
  <si>
    <t>$R$23</t>
  </si>
  <si>
    <t>יניב שפירא:
בחירות 1981</t>
  </si>
  <si>
    <t>יניב שפירא:
בחירות 1977</t>
  </si>
  <si>
    <t>$U$23</t>
  </si>
  <si>
    <t>$W$23</t>
  </si>
  <si>
    <t>יניב שפירא:
בחירות 1973</t>
  </si>
  <si>
    <t>$X$23</t>
  </si>
  <si>
    <t>$Y$23</t>
  </si>
  <si>
    <t>$Z$23</t>
  </si>
  <si>
    <t>$AA$23</t>
  </si>
  <si>
    <t>יניב שפירא:
בחירות 1969</t>
  </si>
  <si>
    <t>$AB$23</t>
  </si>
  <si>
    <t>$AC$23</t>
  </si>
  <si>
    <t>$AF$23</t>
  </si>
  <si>
    <t>יניב שפירא:
בחירות 1965</t>
  </si>
  <si>
    <t>$AG$23</t>
  </si>
  <si>
    <t>$AH$23</t>
  </si>
  <si>
    <t>$L$24</t>
  </si>
  <si>
    <t>יניב שפירא:
1 = שרון
2 = ברק
3 = פתק לבן
4 = לא אצביע
5 = לא החלטתי</t>
  </si>
  <si>
    <t>$M$24</t>
  </si>
  <si>
    <t>יניב שפירא:
1 = נתניהו
2 = ברק
3 = מרדכי
4 = בגין
5 = בשארה
6 = רפול
7 = אחר
8 = פתק לבן
9 = לא אצביע</t>
  </si>
  <si>
    <t>$N$24</t>
  </si>
  <si>
    <t>יניב שפירא:
1 = בנימין נתניהו
2 = שמעון פרס</t>
  </si>
  <si>
    <t>$K$25</t>
  </si>
  <si>
    <t>יניב שפירא:
1 = ברק
2 = שרון
3 = לא הצבעתי למרות שהייתה לי זכות
4 = לא הצבעתי כי לא הייתה לי זכות</t>
  </si>
  <si>
    <t>יניב שפירא:
בחירות 1999
1 = נתניהו
2 = ברק
3 = פתק לבן
4 = לא הצבעתי</t>
  </si>
  <si>
    <t>יניב שפירא:
1 = נתניהו
2 = פרס
3 = פתק לבן
4 = לא הצבעתי למרות שיכלתי
5 = לא הצבעתי כי לא יכלתי</t>
  </si>
  <si>
    <t>יניב שפירא:
1 = נתניהו
2 = ברק
3 = פתק לבן
4 = לא אצביע
5 = לא החלטתי</t>
  </si>
  <si>
    <t>יניב שפירא:
בחירות 2019 א'</t>
  </si>
  <si>
    <t>$U$27</t>
  </si>
  <si>
    <t>$V$27</t>
  </si>
  <si>
    <t>$Z$27</t>
  </si>
  <si>
    <t>$D$28</t>
  </si>
  <si>
    <t>$J$29</t>
  </si>
  <si>
    <t>יניב שפירא:
שתי מערכות בחירות אחורה
הבחירות לרה"מ 2001
1 = ברק
2 = שרון
3 = פתק לבן
4 = לא הצבעתי למרות שהייתה לי זכות הצבעה
5 = לא הצבעתי כי לא הייתה לי זכות הצבעה</t>
  </si>
  <si>
    <t>$K$29</t>
  </si>
  <si>
    <t>יניב שפירא:
1 = ברק
2 = נתניהו
3 = לא הצבעתי למרות שהייתה לי זכות
4 = לא הצבעתי כי לא הייתה לי זכות</t>
  </si>
  <si>
    <t>$D$30</t>
  </si>
  <si>
    <t>יניב שפירא:
1 = כן
2 = לא
3 = פתק לבן</t>
  </si>
  <si>
    <t>$D$31</t>
  </si>
  <si>
    <t>יניב שפירא:
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</si>
  <si>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$F$31</t>
  </si>
  <si>
    <t>$M$32</t>
  </si>
  <si>
    <t>$M$33</t>
  </si>
  <si>
    <t>יניב שפירא:
d11
d12
d13</t>
  </si>
  <si>
    <t>$Y$35</t>
  </si>
  <si>
    <t>יניב שפירא:
1 = מתלבט הרבה יותר
2 = מתלבט יותר
3 = מתלבט פחות
4 = מתלבט הרבה פחות
5 = קודם לא התלבטתי וגם עכשיו לא
6 = ממשיך להתלבט כמו קודם</t>
  </si>
  <si>
    <t>$M$36</t>
  </si>
  <si>
    <t>יניב שפירא:
1 = נתניהו
2 = ברק
3 = פתק לבן
4 = לא הצבעתי</t>
  </si>
  <si>
    <t>$M$37</t>
  </si>
  <si>
    <t>יניב שפירא:
1 = נתניהו
2 = ברק
3 = מרדכי
4 = בגין
5 = בשארה</t>
  </si>
  <si>
    <t>$M$38</t>
  </si>
  <si>
    <t>$M$39</t>
  </si>
  <si>
    <t>יניב שפירא:
1 = נתניהו-ברק
2 = מרדכי-נתניהו
3 = בגין-נתניהו
4 = מרדכי-ברק
5 = בגין-בשארה
6 = בשארה-ברק
7 = מרדכי=בשארה
8 = אחר</t>
  </si>
  <si>
    <t>$A$41</t>
  </si>
  <si>
    <t>יניב שפירא:
לא למצביעי הליכוד וכחול-לבן</t>
  </si>
  <si>
    <t>$F$41</t>
  </si>
  <si>
    <t>יניב שפירא:
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</si>
  <si>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$A$42</t>
  </si>
  <si>
    <t>יניב שפירא:
רק מי שענה 2 בשאלה הקודמת</t>
  </si>
  <si>
    <t>$A$43</t>
  </si>
  <si>
    <t>יניב שפירא:
מי שענה 1 בשאלה על אחוז החסימה (2015)</t>
  </si>
  <si>
    <t>יניב שפירא:
1 = כי אי אפשר לסמוך על סקרים
2 = כי חשוב לך לבטא את דעתך ואחוז החסימה לא מהווה שיקול בהחלטתך
3 = כי המפלגה שאתה תומך בה עוברת בוודאות את אחוז החסימה</t>
  </si>
  <si>
    <t>$F$44</t>
  </si>
  <si>
    <t>יניב שפירא:
1 = ביום הבחירות עצמו
2 = יומיים-שלושה לפני הבחירות
3 = כשבוע לפני הבחירות
4 = כחודש לפני הבחירות
5 = כמה חודשים לפני הבחירות
6 = ידעת מלכתחילה למי להצביע</t>
  </si>
  <si>
    <t>יניב שפירא:
1 = לפני מס' חודשים
2 = בשבועות האחרונים
3 = אחרי פרישת בשארה, בגין ומרדכי
4 = ביום הבחירות</t>
  </si>
  <si>
    <t>$AA$44</t>
  </si>
  <si>
    <t>יניב שפירא:
1 = מזמן
2 = מאז המלחמה או סמוך לה
3 = בימים הסמוכים לבחירות
4 = ביום הבחירות
5 = לא הלכתי להצביע</t>
  </si>
  <si>
    <t>$AB$44</t>
  </si>
  <si>
    <t>יניב שפירא:
1 = מזמן
2 = מאז המלחמה או סמוך לה
3 = עם תחילת מערכת הבחירות
4 = היום
5 = בימים הקרובים אחליט
6 = אחליט ביום הבחירות
7 = לא מצביע</t>
  </si>
  <si>
    <t>$A$45</t>
  </si>
  <si>
    <t>יניב שפירא:
למי שענה 1,2,3 בשאלה הקודמת (שאלה 3)</t>
  </si>
  <si>
    <t>יניב שפירא:
יש אופציה ל-3 תשובות מקודדות:
after_v4a_1
after_v4a_2
after_v4a_3</t>
  </si>
  <si>
    <t>יניב שפירא:
רק מי שענה שלא הצביע/שם פתק לבן</t>
  </si>
  <si>
    <t>$L$46</t>
  </si>
  <si>
    <t>יניב שפירא:
שאלה טרום בחירות
למי שענה שלא מתכוון ללכת להצביע/פתק לבן</t>
  </si>
  <si>
    <t>יניב שפירא:
1 = אף אחד לא נראה מתאים
2 = הבעת מחאה
3 = הרב אמר
4 = בעיות טכניות
5 = אחר</t>
  </si>
  <si>
    <t>$F$47</t>
  </si>
  <si>
    <t>יניב שפירא:
1 = בכלל לא
2 = במידה מועטה
3 = במידה בינונית
4 = במידה רבה
5 = במידה רבה מאד</t>
  </si>
  <si>
    <t>$M$48</t>
  </si>
  <si>
    <t>יניב שפירא:
1 = השפעה גדולה
2 = השפעה מסויימת
3 = השפעה מועטה
4 = אין כלל השפעה
5 = לא יודע על קיום סקרים</t>
  </si>
  <si>
    <t>$L$49</t>
  </si>
  <si>
    <t>יניב שפירא:
0 = לא צופה
1 = בכלל לא
2 = במידה מועטה
3 = במידה מסוימת
4 = במידה רבה</t>
  </si>
  <si>
    <t>$M$49</t>
  </si>
  <si>
    <t>$V$49</t>
  </si>
  <si>
    <t>$AA$49</t>
  </si>
  <si>
    <t>יניב שפירא:
לאחר הבחירות</t>
  </si>
  <si>
    <t>$AB$49</t>
  </si>
  <si>
    <t>$AD$49</t>
  </si>
  <si>
    <t>$T$50</t>
  </si>
  <si>
    <t>יניב שפירא:
1 = מידה רבה
2 = במידה מסויימת
3 = במידה מועטה
4 = כמעט ולא משפיעות
5 = כלל לא</t>
  </si>
  <si>
    <t>$AA$50</t>
  </si>
  <si>
    <t>$AB$50</t>
  </si>
  <si>
    <t>יניב שפירא:
לאחר בחירות</t>
  </si>
  <si>
    <t>$AD$50</t>
  </si>
  <si>
    <t>$V$51</t>
  </si>
  <si>
    <t>$V$52</t>
  </si>
  <si>
    <t>$AA$52</t>
  </si>
  <si>
    <t>$AD$52</t>
  </si>
  <si>
    <t>$AA$53</t>
  </si>
  <si>
    <t>$AC$54</t>
  </si>
  <si>
    <t>$AC$55</t>
  </si>
  <si>
    <t>יניב שפירא:
1 = בטוח שאצביע
2 = חושב שאצביע
3 = לא חושב שאצביע
4 = בטוח לא אצביע</t>
  </si>
  <si>
    <t>$AB$56</t>
  </si>
  <si>
    <t>$AC$57</t>
  </si>
  <si>
    <t>יניב שפירא:
1 = סיבות טכניות
2 = אדישות
3 = לא יודע בעד מי להצביע/כולם אותו דבר
4 = מחאה
5 = המועד אינו מתאים לקיום בחירות
9 = מתכוון להצביע</t>
  </si>
  <si>
    <t>$A$58</t>
  </si>
  <si>
    <t>יניב שפירא:
לא למצביעי הליכוד והמחנה הציוני</t>
  </si>
  <si>
    <t>$G$58</t>
  </si>
  <si>
    <t>יניב שפירא:
1 = כן
2 = לא
3 = אולי</t>
  </si>
  <si>
    <t>$A$59</t>
  </si>
  <si>
    <t>יניב שפירא:
למי שענה 1 או 3 בשאלה 93 (2015)</t>
  </si>
  <si>
    <t>$G$60</t>
  </si>
  <si>
    <t>יניב שפירא:
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</si>
  <si>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$N$61</t>
  </si>
  <si>
    <t>יניב שפירא:
1 = ליכוד
2 = צומת
3 = גשר
4 = מפלגה אחרת
5 = לא החלטתי</t>
  </si>
  <si>
    <t>$A$62</t>
  </si>
  <si>
    <t>יניב שפירא:
שאלה ב2015, רק עבור אלו שענו שהצביעו בבחירות האחרונות ב2013 לליכוד-ישראל ביתנו</t>
  </si>
  <si>
    <t>$G$62</t>
  </si>
  <si>
    <t>יניב שפירא:
1 = הליכוד
2 = ישראל ביתנו</t>
  </si>
  <si>
    <t>$G$63</t>
  </si>
  <si>
    <t>יניב שפירא:
1 = גבר
2 = אישה
3 = אין הבדל</t>
  </si>
  <si>
    <t>$G$64</t>
  </si>
  <si>
    <t>יניב שפירא:
1 = אשכנזי
2 = מזרחי
3 = אין הבדל</t>
  </si>
  <si>
    <t>$G$65</t>
  </si>
  <si>
    <t>$A$66</t>
  </si>
  <si>
    <t>$I$71</t>
  </si>
  <si>
    <t>$V$71</t>
  </si>
  <si>
    <t>יניב שפירא:
1 = במידה רבה
2 = במידה מסויימת
3 = במידה מועטה
4 = בכלל לא</t>
  </si>
  <si>
    <t>$AA$71</t>
  </si>
  <si>
    <t>$AB$71</t>
  </si>
  <si>
    <t>$I$73</t>
  </si>
  <si>
    <t xml:space="preserve">יניב שפירא:
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</si>
  <si>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$U$73</t>
  </si>
  <si>
    <t>יניב שפירא:
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</si>
  <si>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$J$74</t>
  </si>
  <si>
    <t>יניב שפירא:
1 = סיבה חשובה מאד
2 = סיבה חשובה
3 = לא בטוח
4 = לא סיבה חשובה
5 = בהחלט לא סיבה חשובה</t>
  </si>
  <si>
    <t>יניב שפירא:
1 = שמיר
2 = רבין</t>
  </si>
  <si>
    <t>$I$83</t>
  </si>
  <si>
    <t>יניב שפירא:
בחירות 2008
1 = כן
2 = לא</t>
  </si>
  <si>
    <t>$I$84</t>
  </si>
  <si>
    <t>$L$85</t>
  </si>
  <si>
    <t>יניב שפירא:
1 = פרס
2 = שרון</t>
  </si>
  <si>
    <t>$L$86</t>
  </si>
  <si>
    <t>יניב שפירא:
1 = לא ישפיע כלל
2 = במידה מועטה
3 = במידה מסוימת
4 = במידה רבה</t>
  </si>
  <si>
    <t>$N$86</t>
  </si>
  <si>
    <t>$L$89</t>
  </si>
  <si>
    <t>יניב שפירא:
הניסוח:
"ההסכם עם הפלסטינים"</t>
  </si>
  <si>
    <t>$L$91</t>
  </si>
  <si>
    <t>$N$92</t>
  </si>
  <si>
    <t>יניב שפירא:
מבצע "ענבי זעם" בלבנון</t>
  </si>
  <si>
    <t>$N$94</t>
  </si>
  <si>
    <t>יניב שפירא:
ארבע אפשרויות:
cccc6
cccc8
cccc10
cccc12</t>
  </si>
  <si>
    <t>$Q$94</t>
  </si>
  <si>
    <t>יניב שפירא:
גם c21</t>
  </si>
  <si>
    <t>$R$94</t>
  </si>
  <si>
    <t>יניב שפירא:
גם g28</t>
  </si>
  <si>
    <t>$T$94</t>
  </si>
  <si>
    <t>יניב שפירא:
אילו היה לך פתק שני</t>
  </si>
  <si>
    <t>$O$97</t>
  </si>
  <si>
    <t>יניב שפירא:
1 = משפיע
2 = לא משפיע</t>
  </si>
  <si>
    <t>$P$114</t>
  </si>
  <si>
    <t>יניב שפירא:
1 = 1949
2 = 1951
3 = 1955
4 = 1959
5 = 1961
6 = 1965
7 = 1969
8 = 1973
9 = 1977
10 = 1981
11 = 1984
12 = טרם השתתפתי בבחירות</t>
  </si>
  <si>
    <t>$N$118</t>
  </si>
  <si>
    <t>יניב שפירא:
1 = כולם מצביעים כמוך
2 = חלק גדול
3 = חלק קטן
4 = אף אחד לא מצביע כמוך</t>
  </si>
  <si>
    <t>$S$118</t>
  </si>
  <si>
    <t>יניב שפירא:
1 = כולם מצביעים כמוך
2 = חלק גדול
3 = חלק קטן
4 = אף אחד לא מצביע כמוך
5 = לא יודע איך הם מצביעים</t>
  </si>
  <si>
    <t>$AG$118</t>
  </si>
  <si>
    <t>יניב שפירא:
1 = כן
2 = לא
3 = לא יודע איך מצביעים
4 = מצביע כמו חלק מהם</t>
  </si>
  <si>
    <t>$AB$119</t>
  </si>
  <si>
    <t>יניב שפירא:
1 = רוב חברי יצביעו כמוני
2 = רוב חברי לא יצביעו כמוני
3 = לא יודע בעד מי הם מצביעים</t>
  </si>
  <si>
    <t>$AG$119</t>
  </si>
  <si>
    <t>$AB$122</t>
  </si>
  <si>
    <t>יניב שפירא:
1 = כן
2 = לא
3 = לא נשוי</t>
  </si>
  <si>
    <t>$P$124</t>
  </si>
  <si>
    <t>יניב שפירא:
1 = במידה רבה מאד
2 = במידה רבה
3 = במידה מסוימת
4 = במידה קטנה ביותר
5 = כלל לא</t>
  </si>
  <si>
    <t>$P$125</t>
  </si>
  <si>
    <t>יניב שפירא:
1 = אבא
2 = אמא
3 = אח/אחות
4 = בן/בת זוג
5 = בן/בת
6 = אחר
7 = שני ההורים במידה שווה
8 = כל בני משפחתי במידה שווה
9 = אף אחד לא השפיע</t>
  </si>
  <si>
    <t>$P$126</t>
  </si>
  <si>
    <t>יניב שפירא:
1 = המשפחה שלי
2 = ידידי הקרובים
3 = החברים בעבודה
4 = אנשי התנועה/ארגון שאני משתייך אליו
5 = כל הקבוצות במידה שווה
6 = לאף קבוצה אין השפעה</t>
  </si>
  <si>
    <t>$P$127</t>
  </si>
  <si>
    <t>יניב שפירא:
1 = במידה רבה מאד
2 = במידה רבה
3 = במידה מסוימת
4 = במידה קטנה
5 = כלל לא</t>
  </si>
  <si>
    <t>$Q$128</t>
  </si>
  <si>
    <t>יניב שפירא:
1 = לא השתנה
2 = התחזקה הנטייה להציע לליכוד או למחנה שלו
3 = התחזקה הנטייה להצביע למערך או למחנה שלו
4 = התחזקה הנטייה להצביע למפלגות הדתיות</t>
  </si>
  <si>
    <t>$S$131</t>
  </si>
  <si>
    <t>$S$132</t>
  </si>
  <si>
    <t>יניב שפירא:
1 = בטוח לגמרי
2 = חושב אך לא בטוח
3 = כלל לא בטוח</t>
  </si>
  <si>
    <t>$T$134</t>
  </si>
  <si>
    <t>יניב שפירא:
1 = במידה רבה
2 = במידה מסויימת
3 = במידה מועטה
4 = כלל לא תשפיע</t>
  </si>
  <si>
    <t>$U$135</t>
  </si>
  <si>
    <t>יניב שפירא:
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</si>
  <si>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$T$136</t>
  </si>
  <si>
    <t>יניב שפירא:
1 = לא מתכנן נסיעה
2 = מתכנן נסיעה אך אהיה בארץ בבחירות
3 = מתכנן נסיעה ולא אהיה בארץ בבחירות</t>
  </si>
  <si>
    <t>$T$137</t>
  </si>
  <si>
    <t>יניב שפירא:
1 = בטוח במידה רבה
2 = במידה מסויימת
3 = במידה מועטה
4 = לא בטוח כלל</t>
  </si>
  <si>
    <t>$AB$137</t>
  </si>
  <si>
    <t>יניב שפירא:
1 = במידה רבה
2 = במידה מסוימת
3 = במידה מועטה
4 = כלל לא
5 = לא אצביע</t>
  </si>
  <si>
    <t>$AD$138</t>
  </si>
  <si>
    <t>יניב שפירא:
9 = בטוח במי יצביע</t>
  </si>
  <si>
    <t>$T$139</t>
  </si>
  <si>
    <t>יניב שפירא:
1 = יום לפני הבחירות
2 = כמה ימים לפני הבחירות
3 = שבועיים לפני הבחירות
4 = 3 שבועות לפני הבחירות
5 = בימים הקרובים
6 = איני יודע מתי</t>
  </si>
  <si>
    <t>$AD$139</t>
  </si>
  <si>
    <t>יניב שפירא:
1 = בימים אלו
2 = בחודש הקרוב
3 = סמוך למועד הבחירות
9 = בטוח במי יצביע</t>
  </si>
  <si>
    <t>$AD$140</t>
  </si>
  <si>
    <t>יניב שפירא:
9 = בטוח במי להצביע</t>
  </si>
  <si>
    <t>$T$143</t>
  </si>
  <si>
    <t>יניב שפירא:
1 = יותר
2 = פחות
3 = אותו דבר
4 = לא יודע</t>
  </si>
  <si>
    <t>$AD$144</t>
  </si>
  <si>
    <t>יניב שפירא:
1 = הרבה יותר ברור
2 = יותר ברור
3 = פחות ברור
4 = הרבה פחות ברור
5 = ברור באותה מידה</t>
  </si>
  <si>
    <t>$A$145</t>
  </si>
  <si>
    <t>יניב שפירא:
בהמשך לשאלה אחת למעלה</t>
  </si>
  <si>
    <t>יניב שפירא:
ובנוסף b63</t>
  </si>
  <si>
    <t>$AH$146</t>
  </si>
  <si>
    <t>יניב שפירא:
בנוסף B68</t>
  </si>
  <si>
    <t>$U$147</t>
  </si>
  <si>
    <t>יניב שפירא:
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</si>
  <si>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$AE$148</t>
  </si>
  <si>
    <t>יניב שפירא:
1 = מחליט מוקדם
2 = מחכה</t>
  </si>
  <si>
    <t>$U$149</t>
  </si>
  <si>
    <t>יניב שפירא:
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</si>
  <si>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$A$150</t>
  </si>
  <si>
    <t>יניב שפירא:
בהמשך לשאלה a27
דרך נוספת</t>
  </si>
  <si>
    <t>$U$151</t>
  </si>
  <si>
    <t>יניב שפירא:
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</si>
  <si>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$AE$151</t>
  </si>
  <si>
    <t>יניב שפירא:
פתוח</t>
  </si>
  <si>
    <t>$A$152</t>
  </si>
  <si>
    <t>יניב שפירא:
בהמשך לשאלה a29</t>
  </si>
  <si>
    <t>$V$153</t>
  </si>
  <si>
    <t xml:space="preserve">יניב שפירא:
1 = בעד המפלגה עבורה אצביע
2 = נגד מפלגה אחרת
3 = שתי הסיבות נכונות
4 = לא יודע לא חשבתי על זה
</t>
  </si>
  <si>
    <t>$V$154</t>
  </si>
  <si>
    <t>יניב שפירא:
1 = כן
2 = לא
3 = לא הצבעתי בעבר</t>
  </si>
  <si>
    <t>$V$157</t>
  </si>
  <si>
    <t>יניב שפירא:
1 = ישפיע במידה רבה
2 = ישפיע במידה מסויימת
3 = ישפיע במידה מועטה
4 = לא ישפיע כלל</t>
  </si>
  <si>
    <t>$V$158</t>
  </si>
  <si>
    <t>יניב שפירא:
1 = כן
2 = לא
3 = לא החלטתי
4 = לא אצביע</t>
  </si>
  <si>
    <t>$W$159</t>
  </si>
  <si>
    <t>יניב שפירא:
1 = אמון בהנגת המפלגה שהצבעתי לה
2 = אי אמון של הממשלה בראשות המערך
3 = הרצון למחות נגד שלטון המערך
4 = הרצון לתמוך בשלטון המערך
5 = פחד מפני קיצוניות הליכוד</t>
  </si>
  <si>
    <t>$W$160</t>
  </si>
  <si>
    <t>$W$161</t>
  </si>
  <si>
    <t>יניב שפירא:
1 = בטוח מאד
2 = בטוח
3 = לא כ"כ בטוח
4 = בכלל לא בטוח</t>
  </si>
  <si>
    <t>$Z$162</t>
  </si>
  <si>
    <t>יניב שפירא:
1 = בטוח שאשנה
2 = חושב שאשנה
3 = חושב שלא אשנה
4 = בטוח שאשנה</t>
  </si>
  <si>
    <t>$AE$163</t>
  </si>
  <si>
    <t>$Z$164</t>
  </si>
  <si>
    <t>יניב שפירא:
1 = בטוח שאשנה
2 = חושב שאשנה
3 = חושב שלא אשנה
4 = בטוח לא אשנה
5 = אם זה יקרה, לא אצביע כלל
6 = לא אצביע בלאו הכי
7 = לא תומך באף מפלגה</t>
  </si>
  <si>
    <t>$AG$164</t>
  </si>
  <si>
    <t>יניב שפירא:
1 = אשנה
2 = לא אשנה
3 = לא אצביע כלל אם ככה
4 = אין נושא חשוב במיוחד</t>
  </si>
  <si>
    <t>$Z$165</t>
  </si>
  <si>
    <t>יניב שפירא:
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</si>
  <si>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$AG$165</t>
  </si>
  <si>
    <t>יניב שפירא:
1 = אצביע בכל זאת
2 = לא אצביע לה
3 = לא אצביע בכלל
4 = אין מועמד מסוים</t>
  </si>
  <si>
    <t>$Z$166</t>
  </si>
  <si>
    <t>יניב שפירא:
1 = מפ"ם
2 = מפלגת העבודה
3 = אף אחד מהם</t>
  </si>
  <si>
    <t>$AA$167</t>
  </si>
  <si>
    <t>יניב שפירא:
1 = כן
2 = לא
3 = לא בחרתי ב1969
4 = לא הצבעתי הפעם</t>
  </si>
  <si>
    <t>$AA$168</t>
  </si>
  <si>
    <t>יניב שפירא:
1 = כן
2 = לא
3 = לא הצבעתי</t>
  </si>
  <si>
    <t>$AC$168</t>
  </si>
  <si>
    <t>יניב שפירא:
1 = כן
2 = לא
3 = מתלבט</t>
  </si>
  <si>
    <t>$AA$169</t>
  </si>
  <si>
    <t>יניב שפירא:
1 = קשה מאד
2 = קשה
3 = לא כ"כ קשה
4 = בכלל לא קשה</t>
  </si>
  <si>
    <t>$AA$170</t>
  </si>
  <si>
    <t>$AA$171</t>
  </si>
  <si>
    <t>יניב שפירא:
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</si>
  <si>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$AE$171</t>
  </si>
  <si>
    <t>יניב שפירא:
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</si>
  <si>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$AG$172</t>
  </si>
  <si>
    <t>יניב שפירא:
1 = כן
2 = לא
3 = טרם החלטתי</t>
  </si>
  <si>
    <t>$AF$174</t>
  </si>
  <si>
    <t>יניב שפירא:
1965</t>
  </si>
  <si>
    <t>$AF$175</t>
  </si>
  <si>
    <t>יניב שפירא:
1 = יש גורם אחד חשוב בהרבה מהיתר
2 = יש גורם אחד שהוא קצת יותר חשוב מהיתר
3 = כל הגורמים חשובים באותה מידה
4 = אף אחד מהגורמים לא חשוב</t>
  </si>
  <si>
    <t>$AF$176</t>
  </si>
  <si>
    <t>יניב שפירא:
1 = הזדהות עם המפלגה
2 = מועמד המפלגה
3 = עמדות המפלגה
4 = מקומה של המפלגה
5 = אף אחד מאלו
6 = אחר</t>
  </si>
  <si>
    <t>$AA$177</t>
  </si>
  <si>
    <t>יניב שפירא:
1 = כן
2 = לא
3 = הרשימה שהצבעתי לעירייה לא רצה לכנסת
4 = לא הצבעתי לכנסת
5 = לא הצבעתי לעירייה
6 = לא הצבעתי כלל</t>
  </si>
  <si>
    <t>$AF$177</t>
  </si>
  <si>
    <t>יניב שפירא:
1 = כן
2 = לא
3 = לא אצביע לעירייה
4 = טרם החלטתי למי להצביע לעירייה
5 = לא אצביע לכנסת
6 = טרם החלטתי למי להצביע לכנסת</t>
  </si>
  <si>
    <t>$AB$179</t>
  </si>
  <si>
    <t>יניב שפירא:
1 = במידה רבה
2 = במידה מסוימת
3 = במידה מועטה
4 = בכלל לא
5 = אין לי בן/בת זוג</t>
  </si>
  <si>
    <t>$AB$180</t>
  </si>
  <si>
    <t>יניב שפירא:
1 = הרבה יותר קשה
2 = קצת יותר קשה
3 = באותה מידה
4 = קצת פחות קשה
5 = הרבה פחות קשה</t>
  </si>
  <si>
    <t>$A$181</t>
  </si>
  <si>
    <t>$AB$181</t>
  </si>
  <si>
    <t>יניב שפירא:
1 = כן בהחלט
2 = חושבת שכן
3 = חושבת שלא
4 = בכלל לא
5 = לא יודעת בעד מי בעלי רוצה שאצביע
6 = לא חשוב לו עבור מי אצביע
7 = אני גבר</t>
  </si>
  <si>
    <t>$AB$182</t>
  </si>
  <si>
    <t>$AB$183</t>
  </si>
  <si>
    <t>יניב שפירא:
1 = הוא לא צריך להצביע
2 = הוא צריך לשים פתק לבן
3 = הוא צריך להצביע למפלגה כלשהי</t>
  </si>
  <si>
    <t>$AF$184</t>
  </si>
  <si>
    <t>יניב שפירא:
1 = מסכים בהחלט
2 = במידה מסויימת
3 = מסתייג
4 = מתנגד בהחלט</t>
  </si>
  <si>
    <t>$AB$185</t>
  </si>
  <si>
    <t>יניב שפירא:
1 = חשוב מאד
2 = חשוב
3 = לא כ"כ חשוב
4 = לא חשוב כלל</t>
  </si>
  <si>
    <t>$AB$186</t>
  </si>
  <si>
    <t>יניב שפירא:
1 = העיקר זה להצביע
2 = העיקר המפלגה</t>
  </si>
  <si>
    <t>$AC$187</t>
  </si>
  <si>
    <t>יניב שפירא:
1 = כן
2 = לא
3 = לא בחרתי פעם קודמת</t>
  </si>
  <si>
    <t>$AD$188</t>
  </si>
  <si>
    <t>$AD$190</t>
  </si>
  <si>
    <t>$AD$191</t>
  </si>
  <si>
    <t>יניב שפירא:
9 = לא הצביע בחו"ל</t>
  </si>
  <si>
    <t>$A$192</t>
  </si>
  <si>
    <t>יניב שפירא:
הבעיה שציין ב"ישראל כללי" שורה 4</t>
  </si>
  <si>
    <t>$AD$192</t>
  </si>
  <si>
    <t>יניב שפירא:
1 = מאוד משפיעה
2 = משפיעה
3 = לא כ"כ משפיעה
4 = לא משפיעה כלל
5 = לא מזדהה עם אף מפלגה</t>
  </si>
  <si>
    <t>$A$193</t>
  </si>
  <si>
    <t>יניב שפירא:
הבעייה שציין ב"ישראל כללי"
שורה 5</t>
  </si>
  <si>
    <t>$AD$193</t>
  </si>
  <si>
    <t>$AD$194</t>
  </si>
  <si>
    <t>יניב שפירא:
1 = מאוד תשפיע
2 = תשפיע
3 = לא כ"כ תשפיע
4 = לא תשפיע כלל</t>
  </si>
  <si>
    <t>$AF$195</t>
  </si>
  <si>
    <t>יניב שפירא:
1 = מחזק את עמדתי להצביע עבור הרשימה שבחרתי בה
2 = לא השפיע כלל
3 = השפיע עליי לשנות את החלטתי</t>
  </si>
  <si>
    <t>$C$196</t>
  </si>
  <si>
    <t>יניב שפירא:
1 = כלל לא ישפיע
2 = ישפיע במידה מועטה
3 = ישפיע במידה מסוימת
4 = ישפיע במידה רבה</t>
  </si>
  <si>
    <t>ציפיות</t>
  </si>
  <si>
    <t>יניב שפירא:
1 = שרון
2 = ברק</t>
  </si>
  <si>
    <t>יניב שפירא:
1 = נתניהו
2 = ברק
3 = מרדכי</t>
  </si>
  <si>
    <t>$N$2</t>
  </si>
  <si>
    <t>יניב שפירא:
1 = נתניהו
2 = פרס
3 = לא יודע</t>
  </si>
  <si>
    <t>יניב שפירא:
v60 + v61
שתי תשובות
1 = נתניהו
2 = ברק
3 = מרדכי
4 = בגין
5 = בשארה
6 = רפול</t>
  </si>
  <si>
    <t>$I$4</t>
  </si>
  <si>
    <t>יניב שפירא:
ציון 0-100
0 = אין סיכוי
100 = בטוח שכן</t>
  </si>
  <si>
    <t>$I$5</t>
  </si>
  <si>
    <t>$I$6</t>
  </si>
  <si>
    <t>$N$7</t>
  </si>
  <si>
    <t>יניב שפירא:
1 = העבודה
2 = הליכוד
3 = לא יודע</t>
  </si>
  <si>
    <t>$O$7</t>
  </si>
  <si>
    <t>יניב שפירא:
הניסוח הוא:
"מפלגה שתקים את הממשלה"
1 = העבודה
2 = הליכוד
3 = ממלשת אחדות לאומית בראשות העבודה
4 = ממשלת אחדות לאומית בראשות הליכוד
5 = אחר</t>
  </si>
  <si>
    <t>יניב שפירא:
1 = העבודה
2 = הליכוד
3 = ממלשת אחדות לאומית בראשות העבודה
4 = ממשלת אחדות לאומית בראשות הליכוד
5 = אחר</t>
  </si>
  <si>
    <t>$T$9</t>
  </si>
  <si>
    <t>יניב שפירא:
1 = רוצה במידה רבה את הליכוד
2 = רוצה במידה מסויימת את הליכוד
3 = לא משנה לי
4 = רוצה במידה מסויימת את המערך
5 = רוצה במידה רבה את המערך</t>
  </si>
  <si>
    <t>$J$11</t>
  </si>
  <si>
    <t>יניב שפירא:
ציון בין 0-100
0 = אין סיכוי שתהיה
100 = בטוח שתהיה</t>
  </si>
  <si>
    <t>$J$31</t>
  </si>
  <si>
    <t>יניב שפירא:
ציון בין 0-100
0 = אין סיכוי
100 = בטוח שכן</t>
  </si>
  <si>
    <t>$J$41</t>
  </si>
  <si>
    <t>יניב שפירא:
סולם בין 1-10
1 = מתנגד
10 = תומך</t>
  </si>
  <si>
    <t>$X$51</t>
  </si>
  <si>
    <t>יניב שפירא:
1 = מערך+ליכוד+ד"ש
2 = מערך+ליכוד
3 = מערך+ד"ש
4 = מערך+מפד"ל
5 = ליכוד+ד"ש
6 = ליכוד+מפד"ל
7 = ליכוד+ד"ש+מפד"ל
8 = מערך+ד"ש+מפד"ל
9 = מערך+ליכוד+ד"ש+מפד"ל</t>
  </si>
  <si>
    <t>$M$52</t>
  </si>
  <si>
    <t>יניב שפירא:
1 = בהחלט כן
2 = חושב שכן
3 = חושב שלא
4 = בהחלט לא
5 = כן, אבל רק בראשות הליכוד
6 = כן, אבל רק בראשות העבודה
7 = כן, אבל רק בראשות מפלגת המרכז</t>
  </si>
  <si>
    <t>$Q$52</t>
  </si>
  <si>
    <t>יניב שפירא:
1 = בהחלט כן
2 = חושב שכן
3 = חושב שלא
4 = בהחלט לא
5 = כן, אבל רק בראשות הליכוד
6 = כן, אבל רק בראשות המערך</t>
  </si>
  <si>
    <t>יניב שפירא:
1 = בהחלט יש להקים
2 = חושב שיש להקים
3 = חושב שאין להקים
4 = בהחלט אין להקים</t>
  </si>
  <si>
    <t>$AC$53</t>
  </si>
  <si>
    <t>יניב שפירא:
1 = בהחלט יש להקים
2 = חושב שיש להקים
3 = חושב שלא להקים
4 = בהחלט לא להקים</t>
  </si>
  <si>
    <t>$B$54</t>
  </si>
  <si>
    <t>adi:
1 = הליכוד+ימין+חרדים
2 = יש עתיד+מרכז-שמאל
3 = אחדות לאומית (ימין+מרכז+שמאל)
4 = לא תקום שום קואליציה והכנסת תפוזר
5 = אחר</t>
  </si>
  <si>
    <t>$C$54</t>
  </si>
  <si>
    <t>יניב שפירא:
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</si>
  <si>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$D$54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</si>
  <si>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</si>
  <si>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$F$54</t>
  </si>
  <si>
    <t>יניב שפירא:
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</si>
  <si>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$G$54</t>
  </si>
  <si>
    <t>יניב שפירא:
1 = קואליציה בראשות הליכוד
2 = קואליציה בראשות המחנה הציוני
3 = ממשלת אחדות</t>
  </si>
  <si>
    <t>$B$55</t>
  </si>
  <si>
    <t>adi:
1 = הליכוד+ימין+חרדים
2 = יש עתיד+מרכז-שמאל
3 = אחדות לאומית (ימין+מרכז+שמאל)
4 = אחר</t>
  </si>
  <si>
    <t>$C$55</t>
  </si>
  <si>
    <t>$D$55</t>
  </si>
  <si>
    <t>$D$56</t>
  </si>
  <si>
    <t>יניב שפירא:
1 = בכלל לא
2 = במידה מועטה
3 = במידה בינונית
4 = במידה רבה
5 = במידה רבה מאד
8 = לא יודע
9 = אין תשובה/מסרב</t>
  </si>
  <si>
    <t>$F$56</t>
  </si>
  <si>
    <t>$B$57</t>
  </si>
  <si>
    <t>adi:
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</si>
  <si>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$C$57</t>
  </si>
  <si>
    <t>יניב שפירא:
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</si>
  <si>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$D$57</t>
  </si>
  <si>
    <t>יניב שפירא:
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</si>
  <si>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$E$57</t>
  </si>
  <si>
    <t>יניב שפירא:
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</si>
  <si>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$F$57</t>
  </si>
  <si>
    <t>יניב שפירא:
1 = קואליציה של הליכוד עם מפלגות הימין הדתיות, החרדיות והחילוניות
2 = ממשלת אחדות לאומית של הליכוד וכחול-לבן
3 = קואליציה אחרת
4 = אף אחת מהן</t>
  </si>
  <si>
    <t>$G$57</t>
  </si>
  <si>
    <t>יניב שפירא:
1 = קואליצייה בראשות הליכוד עם מפלגות ימין וחרדים
2 = קואליציה בראשות ליכוד עם מפלגות ימין + יש עתיד בלי חרדים
3 = ממשלת אחדות לאומית
4 = אחר
5 = אף אחת מהן</t>
  </si>
  <si>
    <t>יניב שפירא:
1 = ליכוד/בנט/חרדים
2 = ליכוד/לפיד/בנט
3 = ליכוד/לפיד/חרדים
4 = ליכוד/לפיד/חרדים/לבני
5 = ליכוד/לפיד/בנט/חרדים
6 = ליכוד/לפיד/מפלגות מרכז/עבודה
7 = אחר</t>
  </si>
  <si>
    <t>$I$57</t>
  </si>
  <si>
    <t>יניב שפירא:
1 = ממשלת אחדות לאומית בראשות נתניהו
2 = ממשלת אחדות לאומית בראשות לבני
3 = ממשלת אחדות לאומית עם רוטציה
4 = ממשלת ימין בראשות נתניהו
5 = אחר</t>
  </si>
  <si>
    <t>$J$57</t>
  </si>
  <si>
    <t>$I$58</t>
  </si>
  <si>
    <t>יניב שפירא:
1 = מאד מרוצה
2 = די מרוצה
3 = לא כ"כ מרוצה
4 = לא מרוצה בכלל</t>
  </si>
  <si>
    <t>$W$58</t>
  </si>
  <si>
    <t>יניב שפירא:
1 = מאד מרוצה
2 = מרוצה
3 = לא כ"כ מרוצה
4 = מאד לא מרוצה</t>
  </si>
  <si>
    <t>$C$59</t>
  </si>
  <si>
    <t>יניב שפירא:
1 = שהמפלגה שהצבעת לה תפר את הבטחתה עם מי לא לשבת כדי שתוקם ממשלה
2 = שיהיו בחירות חמישיות</t>
  </si>
  <si>
    <t>$I$60</t>
  </si>
  <si>
    <t>יניב שפירא:
1 = מאד אכפת לי
2 = די אכפת לי
3 = קצת אכפת לי
4 = לא אכפת לי</t>
  </si>
  <si>
    <t>$Q$61</t>
  </si>
  <si>
    <t>יניב שפירא:
1 = לא השתנתה
2 = גבר הסיכוי לנצחון של מחנה הליכוד
3 = גבר הסיכוי לנצחון של מחנה המערך
4 = גברו סיכויי ההצלחה של המפלגות הדתיות</t>
  </si>
  <si>
    <t>$T$66</t>
  </si>
  <si>
    <t xml:space="preserve">יניב שפירא:
1 = בהחלט לא רוצה
2 = לא כ"כ רוצה
3 = רוצה במידה מסויימת
4 = רוצה </t>
  </si>
  <si>
    <t>$U$67</t>
  </si>
  <si>
    <t>יניב שפירא:
1 = הליכוד
2 = תל"ם (משה דיין)</t>
  </si>
  <si>
    <t>$Z$67</t>
  </si>
  <si>
    <t>יניב שפירא:
1 = הליכוד
2 = ד"ש</t>
  </si>
  <si>
    <t>$AA$68</t>
  </si>
  <si>
    <t>יניב שפירא:
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</si>
  <si>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$AC$69</t>
  </si>
  <si>
    <t>יניב שפירא:
1 = עלו במידה רבה
2 = עלו במידה מסוימת
3 = ירדו במידה מסוימת
4 = ירדו במידה רבה
5 = לא השתנו</t>
  </si>
  <si>
    <t>$AF$72</t>
  </si>
  <si>
    <t>יניב שפירא:
1 = סיכוי רב מאוד
2 = סיכוי רב
3 = סיכוי בינוני
4 = סיכוי מועט
5 = אין סיכוי כלל
6 = טרם החלטתי למי להצביע
7 = טרם החלטתי אם אצביע
8 = לא אצביע כלל</t>
  </si>
  <si>
    <t>סוגיות</t>
  </si>
  <si>
    <t>$B$2</t>
  </si>
  <si>
    <t xml:space="preserve">adi:
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</si>
  <si>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יניב שפירא:
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</si>
  <si>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$F$2</t>
  </si>
  <si>
    <t>יניב שפירא:
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</si>
  <si>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יניב שפירא:
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</si>
  <si>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יניב שפירא:
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</si>
  <si>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יניב שפירא:
1 = על הנושא המדיני
2 = על המצב הביטחוני
3 = על המצב החברתי-כלכלי
4 = על שחיתות
5 = על מי מתאים להיות רה"מ
6 = לא יודע</t>
  </si>
  <si>
    <t>יניב שפירא:
1 = הנושא המדיני
2 = יחסי דתיים-חילונים
3 = אופיו ותפקודו של נתניהו
4 = המצב החברתי-כלכלי
5 = שלטון החוק</t>
  </si>
  <si>
    <t>יניב שפירא:
1 = בהחלט לא מסכים
2 = לא מסכים
3 = לא בטוח
4 = מסכים
5 = מסכים בהחלט</t>
  </si>
  <si>
    <t>יניב שפירא:
הניסוח:
"על אופיו ותפקודו של נתניהו</t>
  </si>
  <si>
    <t>$J$7</t>
  </si>
  <si>
    <t>יניב שפירא:
פה שאלו על מי יתמודד
טוב יותר מול האיומים</t>
  </si>
  <si>
    <t>$H$11</t>
  </si>
  <si>
    <t>יניב שפירא:
הניסוח הוא:
"שהעם רוצה ימין, אבל ימין מתון"</t>
  </si>
  <si>
    <t>יניב שפירא:
שחיתות של נתניהו</t>
  </si>
  <si>
    <t>$J$13</t>
  </si>
  <si>
    <t>יניב שפירא:
שחיתות של פוליטיקאים</t>
  </si>
  <si>
    <t>$I$16</t>
  </si>
  <si>
    <t>יניב שפירא:
הניסוח הוא:
"על המדינה על הפלסטינית ורמת הגולן:</t>
  </si>
  <si>
    <t>$H$17</t>
  </si>
  <si>
    <t>יניב שפירא:
הניסוח הוא:
"על נושא התקיפה של מתקני הגרעין האיראני"</t>
  </si>
  <si>
    <t>יניב שפירא:
הניסוח הוא: " הנושאים שהעלתה המחאה החברתית ב2011 ובעיקר על דיור בר השגה ויוקר המחיה"</t>
  </si>
  <si>
    <t>$M$34</t>
  </si>
  <si>
    <t>יניב שפירא:
1 = בהחלט שכן
2 = חושב שכן
3 = חושב שלא
4 = בהחלט לא</t>
  </si>
  <si>
    <t>$L$40</t>
  </si>
  <si>
    <t>יניב שפירא:
1 = ללא שינוי
2 = גרועה יותר
3 = טובה יותר</t>
  </si>
  <si>
    <t>$M$40</t>
  </si>
  <si>
    <t>יניב שפירא:
1 = טובה יותר
2 = גרועה יותר
3 = ללא שינוי</t>
  </si>
  <si>
    <t>$N$41</t>
  </si>
  <si>
    <t>$N$42</t>
  </si>
  <si>
    <t>יניב שפירא:
1 = לא
2 = כן, לליכוד
3 = כן, לעבודה
4 = כן, למרצ</t>
  </si>
  <si>
    <t>יניב שפירא:
1 = התהליך המדיני עם הפלסינים וסוריה
2 = המצב הביטחוני
3 = המצב החברתי כלכלי
4 = יחסי דתיים חילונים
5 = שחיתות ושלטון החוק
6 = האחדות בעם
7 = אחר</t>
  </si>
  <si>
    <t>$Q$44</t>
  </si>
  <si>
    <t>יניב שפירא:
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</si>
  <si>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$S$45</t>
  </si>
  <si>
    <t>יניב שפירא:
1 = ישפיע במידה רבה
2 = ישפיע במידה מסוימת
3 = ישפיע במידה קטנה
4 = כלל לא ישפיע</t>
  </si>
  <si>
    <t>$Q$47</t>
  </si>
  <si>
    <t>יניב שפירא:
1 = במידה רבה
2 = במידה מסויימת
3 = במידה מועטה בלבד
4 = לא ישפיע כלל</t>
  </si>
  <si>
    <t>$AE$47</t>
  </si>
  <si>
    <t>$Z$48</t>
  </si>
  <si>
    <t>$T$49</t>
  </si>
  <si>
    <t>יניב שפירא:
1 = ישפיע במידה רבה
2 = במידה מסויימת
3 = במידה מועטה
4 = בכלל לא ישפיע</t>
  </si>
  <si>
    <t>$U$51</t>
  </si>
  <si>
    <t>יניב שפירא:
1 = בהחלט צריכים להיות
2 = צריכים להיות
3 = אולי כן צריכים להיות
4 = אולי לא צריכים להיות
5 = לא צריכים להיות
6 = בהחלט לא צריכים להיות</t>
  </si>
  <si>
    <t>יניב שפירא:
1 = אני בטוח שהוא מנהיג זקן שטעה יותר מד
2 = אני חושב שהוא מנהיג זקן שטעה יותר מדי
3 = אני חושב שהוא סוג המנהיג שחסר לנו
4 = אני בטוח שהוא סוג המנהיג שחסר לנו</t>
  </si>
  <si>
    <t>$U$53</t>
  </si>
  <si>
    <t>יניב שפירא:
1 = מסוגל במידה רבה
2 = במידה מסויימת
3 = במידה מועטה
4 = כלל לא מסוגל</t>
  </si>
  <si>
    <t>$Z$54</t>
  </si>
  <si>
    <t>$Z$55</t>
  </si>
  <si>
    <t>יניב שפירא:
1 = תשפיע במידה רבה
2 = במידה מסויימת
3 = במידה מועטה
4 = לא תשפיע כלל</t>
  </si>
  <si>
    <t>$Z$56</t>
  </si>
  <si>
    <t>יניב שפירא:
1 = חיזקה מאוד
2 = חיזקה
3 = חיזקה קצת
4 = החלישה קצת
5 = החלישה
6 = החלישה מאוד
7 = לא זה ולא זה
8 = לא יודע</t>
  </si>
  <si>
    <t>$AC$58</t>
  </si>
  <si>
    <t>יניב שפירא:
1 = חיובי מאוד
2 = חיובי
3 = שלילי
4 = שלילי מאוד</t>
  </si>
  <si>
    <t>$AC$59</t>
  </si>
  <si>
    <t>יניב שפירא:
1 = בטוח צריך לקיימן במועד
2 = חושב שצריך לקיימן במועד
3  = חושב שצריך לדחות
4 = בטוח שצריך לדחות</t>
  </si>
  <si>
    <t>$A$60</t>
  </si>
  <si>
    <t>יניב שפירא:
למי שענה 3 או 4 בשאלה הקודמת</t>
  </si>
  <si>
    <t>$AC$60</t>
  </si>
  <si>
    <t>יניב שפירא:
1 = למספר שבועות
2 = למספר חודשים
3 = לשנה
4 = ליותר משנה
5 = חושב שלא צריך לדחות</t>
  </si>
  <si>
    <t>$AD$61</t>
  </si>
  <si>
    <t>$AD$62</t>
  </si>
  <si>
    <t>יניב שפירא:
1 = ציין 3 מפלגות
2 = ציין 2 מפלגות
3 = ציין מפלגה אחת
4 = תשובה לא נכונה
5 = לא יודע</t>
  </si>
  <si>
    <t>$AD$63</t>
  </si>
  <si>
    <t>$Z$64</t>
  </si>
  <si>
    <t xml:space="preserve">יניב שפירא:
1 = ידוע במידה רבה
2 = ידוע באופן כללי
3 = ידוע באופן מועט
4 = לא ידוע כלל
</t>
  </si>
  <si>
    <t>$D$65</t>
  </si>
  <si>
    <t>יניב שפירא:
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</si>
  <si>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$B$66</t>
  </si>
  <si>
    <t>adi:
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</si>
  <si>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$C$66</t>
  </si>
  <si>
    <t>יניב שפירא:
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</si>
  <si>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$C$67</t>
  </si>
  <si>
    <t>יניב שפירא:
1 = בדרך טובה מאוד
2 = בדרך טובה
3 = בדרך לא כ"כ טובה
4 = בדרך לא טובה כלל</t>
  </si>
  <si>
    <t>$C$68</t>
  </si>
  <si>
    <t>יניב שפירא:
1 = נתניהו
2 = סער
3 = לפיד
4 = בנט
5 = כולם במידה שווה
6 = אף אחד מהם</t>
  </si>
  <si>
    <t>$L$69</t>
  </si>
  <si>
    <t>$M$69</t>
  </si>
  <si>
    <t>$B$70</t>
  </si>
  <si>
    <t>adi:
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</si>
  <si>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$C$70</t>
  </si>
  <si>
    <t>יניב שפירא:
1 = בעד צירוף מפלגות ערביות לממשלה
2 = בעד תמיכה מבחוץ של מפלגות ערביות
3 = נגד צירוף ונגד תמיכה מבחוץ של מפלגות ערביות</t>
  </si>
  <si>
    <t>$B$71</t>
  </si>
  <si>
    <t>adi:
1 = חיובית מאוד
2 = חיובית
3 = לא חיובית ולא שלילת
4 = שלילית
5 = שלילית מאוד</t>
  </si>
  <si>
    <t>כלכלה-חברה</t>
  </si>
  <si>
    <t>יניב שפירא:
1 = קפיטליסטית בהחלט
2 = יותר קפיטליסטית מאשר סוציאליסטית
3 = יותר סוציאליסטית מאשר קפיטליסטית
4 = סוציאליסטית בהחלט</t>
  </si>
  <si>
    <t>$B$5</t>
  </si>
  <si>
    <t>adi:
1 = נתניהו
2 = לפיד
3 = גנץ
4 = כולם במידה שווה
5 = אף אחד מהם</t>
  </si>
  <si>
    <t>יניב שפירא:
1 = כחול לבן
2 = ליכוד
3 =  שניהם במידה שווה
4 = אף אחד מהם</t>
  </si>
  <si>
    <t>$G$5</t>
  </si>
  <si>
    <t>יניב שפירא:
1 = המחנה הציוני
2 = הליכוד
3 = שניהם במידה שווה
4 = אף אחד מהם</t>
  </si>
  <si>
    <t>יניב שפירא:
1 = ציפי לבני
2 = בנימין נתניהו
3 = שלי יחימוביץ</t>
  </si>
  <si>
    <t>יניב שפירא:
1 = ציפי לבני
2 = בנימין נתניהו
3 = אהוד ברק</t>
  </si>
  <si>
    <t>$J$6</t>
  </si>
  <si>
    <t>יניב שפירא:
1 = קדימה
2 = הליכוד
3 = העבודה
4 = כולם במידה שווה
5 = אף אחד מהם</t>
  </si>
  <si>
    <t>$K$6</t>
  </si>
  <si>
    <t>יניב שפירא:
1 = הליכוד
2 = העבודה
3 = שניהם במידה שווה
4 = אף אחד מהם</t>
  </si>
  <si>
    <t>$L$6</t>
  </si>
  <si>
    <t>יניב שפירא:
1 = שרון
2 = ברק
3 = מידה שווה
4 = אף אחד מהם</t>
  </si>
  <si>
    <t>יניב שפירא:
1 = נתניהו
2 = ברק
3 = מרדכי
4 = במידה שווה
5 = אף אחד מהם</t>
  </si>
  <si>
    <t>יניב שפירא:
1 = העבודה
2 = הליכוד
3 = במידה שווה
4 = אף אחד מהם</t>
  </si>
  <si>
    <t>$T$6</t>
  </si>
  <si>
    <t>יניב שפירא:
1 = יורם ארידור (ליכוד)
2 = חיים בן שחר (מערך)</t>
  </si>
  <si>
    <t>$F$11</t>
  </si>
  <si>
    <t>יניב שפירא:
1 = השתפר בהרבה
2 = השתפר במקצת
3 = לא השתנה
4 = קצת גרוע יותר
5 = הרבה יותר גרוע</t>
  </si>
  <si>
    <t>יניב שפירא:
1 = טוב יותר
2 = אותו מצב
3 = גרוע יותר</t>
  </si>
  <si>
    <t>יניב שפירא:
1 =השתפר בהרבה
2 = השתפר במקצת
3 = לא השתנה
4 = קצת גרוע יותר
5 = הרבה יותר גרוע</t>
  </si>
  <si>
    <t>$AE$12</t>
  </si>
  <si>
    <t>יניב שפירא:
1 = טוב יותר
2 = אותו מצב
3 = יותר גרוע</t>
  </si>
  <si>
    <t>$G$14</t>
  </si>
  <si>
    <t xml:space="preserve">יניב שפירא:
1 = על הממשלה לדאוג שלכל אדם תהיה עבודה ורמת חיים סבירה
2 = זה תלוי
3 = על הממשלה לא להתערב ולתת לכל אדם להסתדר בעצמו
</t>
  </si>
  <si>
    <t>$G$15</t>
  </si>
  <si>
    <t>יניב שפירא:
1 = כן
2 = לא
9 = מסרב</t>
  </si>
  <si>
    <t>$P$15</t>
  </si>
  <si>
    <t>יניב שפירא:
במקום "הבעיות שהמדינה ניצבת בפניהן"
הנוסח הוא: "הכסף יוקדש לנושאי בטחון"</t>
  </si>
  <si>
    <t>יניב שפירא:
1 = פחות
2 = כמו עכשיו
3 = יותר</t>
  </si>
  <si>
    <t>$H$16</t>
  </si>
  <si>
    <t>יניב שפירא:
1 = יותר
2 = פחות
3 = כמו עכשיו</t>
  </si>
  <si>
    <t>יניב שפירא:
הניסוח הוא:
"סיוע למובטלים"</t>
  </si>
  <si>
    <t>$G$32</t>
  </si>
  <si>
    <t>יניב שפירא:
1 = מסכים בהחלט
2 = מסכים
3 = לא בטוח
4 = לא מסכים
5 = בהחלט לא מסכים</t>
  </si>
  <si>
    <t>$P$33</t>
  </si>
  <si>
    <t xml:space="preserve">יניב שפירא:
1 = מוצדק בהחלט
2 = מוצדק
3 = לא מוצדק
4 = בהחלט לא מוצדק
</t>
  </si>
  <si>
    <t>$G$34</t>
  </si>
  <si>
    <t>יניב שפירא:
1 = לא תמכת
2 = תמכת, אך לא השתתפת
3 = תמכת והשתתפת באופן אישי</t>
  </si>
  <si>
    <t>יניב שפירא:
1 = מסכים בהחלט
2 = מסכים
3 = לא מסכים
4 = בכלל לא מסכים</t>
  </si>
  <si>
    <t>יניב שפירא:
1 = במידה רבה מאד
2 = במידה רבה
3 = במידה בינונית
4 = במידה קטנה
5 = כלל לא</t>
  </si>
  <si>
    <t>יניב שפירא:
1 = להגדיל
2 = להשאיר
3 = לקצץ</t>
  </si>
  <si>
    <t>יניב שפירא:
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</si>
  <si>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$Q$42</t>
  </si>
  <si>
    <t>יניב שפירא:
1 = בעד שינוי הסטטוס
2 = נגד שינוי הסטטוס</t>
  </si>
  <si>
    <t>$Q$45</t>
  </si>
  <si>
    <t>יניב שפירא:
1 = הנטל מתחלק באופן צודק
2 = נטל מתחלק באופן לא צודק</t>
  </si>
  <si>
    <t>$S$48</t>
  </si>
  <si>
    <t>יניב שפירא:
1 = מטפלת בדרך טובה מאד
2 = בדרך טובה
3 = בדרך ככה ככה
4 = בדרך לא כ"כ טובה
5 = בדרך כלל לא טובה</t>
  </si>
  <si>
    <t>$S$49</t>
  </si>
  <si>
    <t>יניב שפירא:
1 = המערך
2 = הליכוד
3 = במידה שווה
4 = אף אחת מהן</t>
  </si>
  <si>
    <t>$S$55</t>
  </si>
  <si>
    <t>יניב שפירא:
1 = יותר טוב
2 = דומים
3 = פחות טוב</t>
  </si>
  <si>
    <t>$S$56</t>
  </si>
  <si>
    <t>יניב שפירא:
1 = מתחשבת במידה רבה מאד
2 = במידה רבה
3 = במידה מסוימת
4 = במידה מועטה
5 = לא מתחשבת כלל</t>
  </si>
  <si>
    <t>$S$57</t>
  </si>
  <si>
    <t>$S$58</t>
  </si>
  <si>
    <t>יניב שפירא:
1 = יותר טובים
2 = שווים/דומים
3 = פחות טובים</t>
  </si>
  <si>
    <t>$T$59</t>
  </si>
  <si>
    <t>יניב שפירא:
1 = מאד ברורה
2 = ברורה
3 = די ברורה
4 = לא כ"כ ברורה
5 = לא ברורה
6 = כלל לא ברורה</t>
  </si>
  <si>
    <t>$T$60</t>
  </si>
  <si>
    <t>$T$61</t>
  </si>
  <si>
    <t>יניב שפירא:
1 = במידה רבה מאד
2 = במידה רבה
3 = במידה מסויימת
4 = במידה מועטה בלבד
5 = כלל לא עוזרת</t>
  </si>
  <si>
    <t>$V$61</t>
  </si>
  <si>
    <t>יניב שפירא:
1 = במידה רבה מאד
2 = במידה מסויימת
3 = לא כ"כ
4 = בכלל לא</t>
  </si>
  <si>
    <t>$V$65</t>
  </si>
  <si>
    <t>יניב שפירא:
1 = בכלל לא תצליח
2 = לא כ"כ תצליח
3 = תצליח במידה מה
4 = תצליח במידה רבה</t>
  </si>
  <si>
    <t>$V$66</t>
  </si>
  <si>
    <t>יניב שפירא:
1 = סיכויים רבים מאד שתמשך
2 = סיכויים מועטים שתמשך
3 = אין סיכויים שתמשך
4 = אין בכלל סיכויים שתמשך</t>
  </si>
  <si>
    <t>$V$67</t>
  </si>
  <si>
    <t>יניב שפירא:
1 = לשכבות החלשות
2 = לשכבות הבינוניות
3 = לשכבות הגבוהות
4 = לכל אזרחי המדינה</t>
  </si>
  <si>
    <t>$V$68</t>
  </si>
  <si>
    <t>יניב שפירא:
1 = כן
2 = לא
3 = לא יודע/לא החלטתי</t>
  </si>
  <si>
    <t>$K$69</t>
  </si>
  <si>
    <t>יניב שפירא:
סולם 1-10
1 = רחוק ביותר
10 = קרוב ביותר</t>
  </si>
  <si>
    <t>$T$77</t>
  </si>
  <si>
    <t>יניב שפירא:
סולם 1-10
1 = הטוב ביותר
10 = הגרוע ביותר</t>
  </si>
  <si>
    <t>$AG$77</t>
  </si>
  <si>
    <t>יניב שפירא:
סולם 0-10
0 = הכי גרוע
10 = הכי טוב</t>
  </si>
  <si>
    <t>$AH$80</t>
  </si>
  <si>
    <t>$AD$83</t>
  </si>
  <si>
    <t>יניב שפירא:
1 = בטוח שכן
2 = חושב שכן
3 = חושב שלא
4 = בטוח שלא
5 = אין זכות בחירה</t>
  </si>
  <si>
    <t>$N$84</t>
  </si>
  <si>
    <t>יניב שפירא:
1 = עבודה (הברפלד)
2 = דם (רמון)
3 = ליכוד (שמאי)
4 = חד"ש (גונן)
5 = לא הצבעתי למרות שהייתה לי זכות בחירה
6 = לר הצבעתי כי לא הייתי חבר הסתדרות</t>
  </si>
  <si>
    <t>$V$84</t>
  </si>
  <si>
    <t>$W$84</t>
  </si>
  <si>
    <t>$W$85</t>
  </si>
  <si>
    <t>יניב שפירא:
1973</t>
  </si>
  <si>
    <t>יניב שפירא:
רק מי שהצביע בבחירות להסתדרות</t>
  </si>
  <si>
    <t>$U$86</t>
  </si>
  <si>
    <t>יניב שפירא:
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</si>
  <si>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יניב שפירא:
רק מי שלא הצביע בבחירות להסתדרות</t>
  </si>
  <si>
    <t>$U$88</t>
  </si>
  <si>
    <t>יניב שפירא:
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</si>
  <si>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$AD$88</t>
  </si>
  <si>
    <t>יניב שפירא:
0 = אין זכות בחירה</t>
  </si>
  <si>
    <t>$AG$89</t>
  </si>
  <si>
    <t>יניב שפירא:
1 = חיזק את עמדתי עבור מי להצביע
2 = לא השפיע עלי
3 = השפיע עלי לשנות את עמדתי</t>
  </si>
  <si>
    <t>$T$90</t>
  </si>
  <si>
    <t>יניב שפירא:
1 = המערך
2 = הליכוד
3 = שתיהן
4 = אף אחת מהן</t>
  </si>
  <si>
    <t>$Q$91</t>
  </si>
  <si>
    <t>יניב שפירא:
1 = בהחלט בסדר
2 = בסדר
3 = לא כ"כ בסדר
4 = כלל לא בסדר</t>
  </si>
  <si>
    <t>$AE$91</t>
  </si>
  <si>
    <t>יניב שפירא:
1 = בהחלט מסכים
2 = מסכים
3 = לא כ"כ מסכים
4 = לא מסכים כלל</t>
  </si>
  <si>
    <t>$V$92</t>
  </si>
  <si>
    <t>יניב שפירא:
1 = בהחלט מסכים
2 = מסכים
3 = לא כ"כ מסכים
4 = בהחלט לא מסכים</t>
  </si>
  <si>
    <t>$AH$93</t>
  </si>
  <si>
    <t>יניב שפירא:
1 = בהחלט מסכים
2 = מסכים במידה מסוימת
3 = מסתייג
4 = בהחלט מסתייג
5 = אין דעה</t>
  </si>
  <si>
    <t>$W$95</t>
  </si>
  <si>
    <t>יניב שפירא:
1 = תחזק במידה רבה
2 = תחזק במידה מסוימת
3 = תחליש במידה מסוימת
4 = תחליש במידה רבה
5 = לא תחזק ולא תחליש</t>
  </si>
  <si>
    <t>יניב שפירא:
1 = שינוי לטובה
2 = המצב ישאר כמו שהוא
3 = שינוי לרעה</t>
  </si>
  <si>
    <t>$Y$97</t>
  </si>
  <si>
    <t>יניב שפירא:
1 = בטוח שיש למנוע אבטלה
2 = חושב שיש למנוע אבטלה
3 = חושב שיש להפסיק אינפלציה
4 = בטוח שיש להפסיק אינפלציה</t>
  </si>
  <si>
    <t>$Y$98</t>
  </si>
  <si>
    <t>יניב שפירא:
1 = במידה רבה מאד
2 = במידה מסוימת
3 = במידה מועטה
4 = לא מתאימים כלל</t>
  </si>
  <si>
    <t>$AD$99</t>
  </si>
  <si>
    <t>יניב שפירא:
1 = מסכים בהחלט
2 = מסכים
3 = לא כ"כ מסכים
4 = בהחלט לא מסכים</t>
  </si>
  <si>
    <t>$AD$100</t>
  </si>
  <si>
    <t>יניב שפירא:
1 = סעד
2 = חינוך לילדים
3 = איסוף אשפה
4 = ניקיון הרחובות
5 = תבאורה
6 = פעילות תרבות
7 = פעילות עבור הנוער
8 = אף אחד מהנ"ל</t>
  </si>
  <si>
    <t>$AG$101</t>
  </si>
  <si>
    <t>יניב שפירא:
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</si>
  <si>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$AH$102</t>
  </si>
  <si>
    <t>יניב שפירא:
1 = תומך בבעלות ממשלתית
2 = מתנגד לבעלות ממשלתית</t>
  </si>
  <si>
    <t>$AH$109</t>
  </si>
  <si>
    <t>יניב שפירא:
1 = בהחלט מסכים
2 = מסכים
3 = מסתייג
4 = מסתייג בהחלט</t>
  </si>
  <si>
    <t>$AH$110</t>
  </si>
  <si>
    <t>יניב שפירא:
1 = בהחלט זו של ארה"ב
2 = זו של ארה"ב
3 = זו של ברה"מ
4 = בהחלט זו של ברה"מ</t>
  </si>
  <si>
    <t>$AH$111</t>
  </si>
  <si>
    <t>יניב שפירא:
1 = בהחלט כדאי
2 = נראה לי שכדאי
3 = נראה לי שלא כדאי
4 = בהחלט לא כדאי</t>
  </si>
  <si>
    <t>$AH$112</t>
  </si>
  <si>
    <t>יניב שפירא:
1 = בהחלט מסכים
2 = מסכים
3 = מסתייג
4 = בהחלט מסתייג</t>
  </si>
  <si>
    <t>$AH$114</t>
  </si>
  <si>
    <t>יניב שפירא:
1 = בהחלט מוכן
2 = מוכן
3 = מסתייג
4 = לא מוכן
5 = בהחלט לא מוכן</t>
  </si>
  <si>
    <t>$AH$116</t>
  </si>
  <si>
    <t>$AH$117</t>
  </si>
  <si>
    <t>$C$118</t>
  </si>
  <si>
    <t>יניב שפירא:
1 = השתפר בהרבה
2 = השתפר במקצת
3 = לא השתנה
4 = קצת יותר גרוע
5 = הרבה יותר גרוע</t>
  </si>
  <si>
    <t>דת ומדינה</t>
  </si>
  <si>
    <t>$A$2</t>
  </si>
  <si>
    <t>יניב שפירא:
1 = מדינה עם רוב יהודי
2 = ארץ ישראל השלמה
3 = מדינה דמוקרטית (זכויות פוליטיות שוות לכל)
4 = מצב של שלום (הסתברות נמוכה למלחמה)</t>
  </si>
  <si>
    <t>יניב שפירא:
1 = בהחלט מתפקידה לדאוג לכך
2 = אולי הממשלה צריכה לדאוג לכך
3 = לא חושב שעל הממשלה לדאוג לכך
4 = בשום אופן הממשלה לא צריכה לדאוג לכך</t>
  </si>
  <si>
    <t>יניב שפירא:
לא לערבים</t>
  </si>
  <si>
    <t>$F$7</t>
  </si>
  <si>
    <t>יניב שפירא:
1 = חשובה מאוד
2 = די חשובה
3 = לא כ"כ חשובה
4 = כלל לא חשובה</t>
  </si>
  <si>
    <t>$G$9</t>
  </si>
  <si>
    <t>יניב שפירא:
1 = יש להעדיף בכל מקרה את השמירה על הדמוקרטיה
2 = לפעמים כך ולפעמים כך 
3 = יש להעדיף בכל מקרה את שמירת ההלכה היהודית</t>
  </si>
  <si>
    <t>$M$9</t>
  </si>
  <si>
    <t>יניב שפירא:
סולם 1-7 באשר להעדפת ההלכה היהודית
1 = אי הסכמה
7 = הסכמה</t>
  </si>
  <si>
    <t>$N$9</t>
  </si>
  <si>
    <t>יניב שפירא:
סולם 1-7
1 = מתנגד מאד
7 = מסכים מאד</t>
  </si>
  <si>
    <t>$B$10</t>
  </si>
  <si>
    <t>adi:
1 = בהחלט לא מסכים/ה
2 = לא מסכים/ה
3 = מסכים/ה
4 = בהחלט מסכים/ה</t>
  </si>
  <si>
    <t>$G$10</t>
  </si>
  <si>
    <t>יניב שפירא:
1 = כלל לא מסכים
2 = לא מסכים
3 = מסכים
4 = מסכים מאוד</t>
  </si>
  <si>
    <t>$M$12</t>
  </si>
  <si>
    <t>יניב שפירא:
1-7
1 = אי הסכמה
7 = הסכמה</t>
  </si>
  <si>
    <t>$H$13</t>
  </si>
  <si>
    <t>יניב שפירא:
1 = יש להעדיף בכל מקרה את העקרון של המדינה היהודית
2 = לפעמים כך ולפעמים כך
3 = יש להעדיף בכל מקרה את העקרון של מדינת כל אזרחיה</t>
  </si>
  <si>
    <t>$K$14</t>
  </si>
  <si>
    <t>יניב שפירא:
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</si>
  <si>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$O$22</t>
  </si>
  <si>
    <t>יניב שפירא:
1 = מסכים בהחלט
2 = מסכים
3 = לא כ"כ מסכים
4 = כלל לא מסכים</t>
  </si>
  <si>
    <t>$O$24</t>
  </si>
  <si>
    <t>$O$25</t>
  </si>
  <si>
    <t>$O$27</t>
  </si>
  <si>
    <t>$Q$29</t>
  </si>
  <si>
    <t>יניב שפירא:
1 = בעד ביטול המשחקים
2 = נגד ביטול המשחקים</t>
  </si>
  <si>
    <t>$T$32</t>
  </si>
  <si>
    <t>יניב שפירא:
1 = בהחלט
2 = חושב שכן
3 = אין חובה שכולם יעלו
4 = כלל לא רצוי שכולם יעלו</t>
  </si>
  <si>
    <t>$T$33</t>
  </si>
  <si>
    <t>יניב שפירא:
1 = בהחלט אין להפריד
2 = חושב שלא צריך להפריד
3 = חושב שיש להפריד
4 = בהחלט יש להפריד</t>
  </si>
  <si>
    <t>$V$34</t>
  </si>
  <si>
    <t>יניב שפירא:
1 = בעד יישום יתר של ההלכה
2 = בעד סטטוס-קוו
3 = בעד יתר ליברליזציה
4 = אין לי דעה בנושא</t>
  </si>
  <si>
    <t>יניב שפירא:
1 = בהחלט להפריד
2 = אולי להפריד
3 = אולי לא להפריד
4 = בהחלט לא להפריד</t>
  </si>
  <si>
    <t>יניב שפירא:
1 = בהחלט יש להתיר
2 = אפשר להתיר
3 = רצוי לאסור
4 = חייב לאסור
5 = אין דעה</t>
  </si>
  <si>
    <t>יניב שפירא:
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</si>
  <si>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יניב שפירא:
1 = מסכים בהחלט
2 = מסכים
3 = מסתייג
4 = מסתייג בהחלט</t>
  </si>
  <si>
    <t>חוץ וביטחון</t>
  </si>
  <si>
    <t>$C$2</t>
  </si>
  <si>
    <t>יניב שפירא:
1 = כחול לבן
2 = הליכוד
3 = שניהם במידה שווה
4 = אף אחד מהם</t>
  </si>
  <si>
    <t>$J$2</t>
  </si>
  <si>
    <t>יניב שפירא:
1 = שרון
2 = ברק
3 = שניהם במידה שווה
4 = אף אחד מהם</t>
  </si>
  <si>
    <t>$T$2</t>
  </si>
  <si>
    <t>יניב שפירא:
1 = חיים בר לב (מערך)
2 = אריק שרון (ליכוד)</t>
  </si>
  <si>
    <t>$W$4</t>
  </si>
  <si>
    <t>יניב שפירא:
1 = למערך
2 = לליכוד
3 = לשמאל</t>
  </si>
  <si>
    <t>יניב שפירא:
1 = המערך
2 = הליכוד
3 = לשמאל</t>
  </si>
  <si>
    <t>$F$6</t>
  </si>
  <si>
    <t>$I$7</t>
  </si>
  <si>
    <t>יניב שפירא:
הניסוח כאן:
"להיפגע בידי ערבים"</t>
  </si>
  <si>
    <t>$L$7</t>
  </si>
  <si>
    <t>יניב שפירא:
1 = בכלל לא מודאג
2 = לא מודאג
3 = מודאג
4 = מודאג מאד</t>
  </si>
  <si>
    <t>$G$8</t>
  </si>
  <si>
    <t>יניב שפירא:
1 = מודאג מאוד
2 = מודאג
3 = לא מודאג
4 = בכלל לא מודאג</t>
  </si>
  <si>
    <t>יניב שפירא:
1 = יש להעדיף בכל מקרה את השמירה על שלטון החוק
2 = לפעמים כך ולפעמים כך
3 = יש להעדיף בכל מקרה את האינטרס הביטחוני</t>
  </si>
  <si>
    <t>יניב שפירא:
סולם 1-7
1 = יש להעדיף בכל מקרה את האינטרסם הבטחוני
7 = יש להעדיף בכל מקרה את שלטון החוק</t>
  </si>
  <si>
    <t>יניב שפירא:
1 = תמיד מעדיפה שיקולים בטחוניים
2 = בדר"כ מעדיפה שיקולים בטחוניים
3 = בדר"כ מעדיפה שלטון החוק
4 = תמיד מעדיפה שלטון החוק</t>
  </si>
  <si>
    <t>$P$11</t>
  </si>
  <si>
    <t xml:space="preserve">יניב שפירא:
1 = מאוד מוצלח
2 = די מוצלח
3 = לא כ"כ מוצלח
4 = כלל לא מוצלח
</t>
  </si>
  <si>
    <t>$I$13</t>
  </si>
  <si>
    <t>יניב שפירא:
1 = מאוד מוצלח
2 = די מוצלח
3 = לא כ"כ מוצלח
4 = כלל לא מוצלח</t>
  </si>
  <si>
    <t>$I$14</t>
  </si>
  <si>
    <t>יניב שפירא:
1 = לכבוש את כל רצועת עזה מחדש ולהשאר שם
2 = לעשות מבצעים חד פעמיים נגד הירי בלי להשאר שם
3 = לפעול בעיקר בצעדים מדיניים ולא בכוח צבאי</t>
  </si>
  <si>
    <t>יניב שפירא:
1 = כלל לא מסכים
2 = לא מסכים
3 = מסכים
4 = מסכים מאד</t>
  </si>
  <si>
    <t>יניב שפירא:
1 = בהחלט לא מסכים
2 = לא מסכים
3 = מסגים
4 = מסכים בהחלט</t>
  </si>
  <si>
    <t>$I$19</t>
  </si>
  <si>
    <t>יניב שפירא:
סולם 1-9
1 = גרוע ביותר
9 = טוב ביותר</t>
  </si>
  <si>
    <t>יניב שפירא:
ארבע שנים ולא חמש
סולם 1-10
1 = הטוב ביותר
10 = הגרוע ביותר</t>
  </si>
  <si>
    <t>$V$19</t>
  </si>
  <si>
    <t>$AH$19</t>
  </si>
  <si>
    <t>יניב שפירא:
סולם 0-10
0 = הגרוע ביותר
10 = הטוב ביותר</t>
  </si>
  <si>
    <t>$T$22</t>
  </si>
  <si>
    <t>יניב שפירא:
סולם 1-10
1 = טוב ביותר
10 = גרוע ביותר</t>
  </si>
  <si>
    <t>$G$27</t>
  </si>
  <si>
    <t>יניב שפירא:
מלחמה עם סוריה</t>
  </si>
  <si>
    <t>יניב שפירא:
מלחמה עם חיזבאללה</t>
  </si>
  <si>
    <t>יניב שפירא:
הניסוח הוא:
"מלחמה עם הערבים"
1 = במידה רבה
2 = במידה מסוימת
3 = במידה קטנה
4 = כלל לא</t>
  </si>
  <si>
    <t>$L$28</t>
  </si>
  <si>
    <t>יניב שפירא:
1 = הרבה יותר גרוע
2 = יותר גרוע
3 = לא השתנה
4 = יותר טוב
5 = הרבה יותר טוב</t>
  </si>
  <si>
    <t>$M$28</t>
  </si>
  <si>
    <t>יניב שפירא:
1 = הרבה יותר טוב
2 = יותר טוב
3 = יותר גרוע
4 = הרבה יותר גרוע</t>
  </si>
  <si>
    <t>$M$29</t>
  </si>
  <si>
    <t>$M$30</t>
  </si>
  <si>
    <t>יניב שפירא:
1 = גדלה בהרבה
2 = גדלה
3 = קטנה
4 = קטנה בהרבה</t>
  </si>
  <si>
    <t>$M$31</t>
  </si>
  <si>
    <t>$N$32</t>
  </si>
  <si>
    <t>יניב שפירא:
1 = תורם מאד
2 = תורם
3 = פוגע
4 = פוגע מאד</t>
  </si>
  <si>
    <t>$O$33</t>
  </si>
  <si>
    <t>יניב שפירא:
1 = קשה מדי
2 = מתאימה
3 = רכה מדי</t>
  </si>
  <si>
    <t>יניב שפירא:
1 = תומך מאוד
2 = תומך במידה ניכרת
3 = לא כ"כ תומך
4 = לא תומך כלל</t>
  </si>
  <si>
    <t>$O$35</t>
  </si>
  <si>
    <t>יניב שפירא:
1 = אין כמעט סיכוי למלחמה
2 = סיכוי נמוך מאד
3 = סיכוי נמוך
4 = סיכוי בינוני
5 = סיכוי גבוה
6 = סיכוי גבוה מאוד
7 = כמעט ודאות מלאה</t>
  </si>
  <si>
    <t>$O$40</t>
  </si>
  <si>
    <t>יניב שפירא:
1 = תוכל להתמודד
2 = לא תוכל להתמודד</t>
  </si>
  <si>
    <t>$O$50</t>
  </si>
  <si>
    <t xml:space="preserve">יניב שפירא:
סולם 1-7
1 = השפעה רעה
7 = השפעה טובה </t>
  </si>
  <si>
    <t>$P$51</t>
  </si>
  <si>
    <t>יניב שפירא:
סולם 1-7
1 = תורמת לבטחון
7 = פוגעת בבטחון</t>
  </si>
  <si>
    <t>יניב שפירא:
1 = אלופי צה"ל בסדיר
2 = אלופי צה"ל במיל'
3 = פרופ' למדע המדינה
4 = מנהיגי הליכוד
5 = מנהיגי המערך
6 = הרבנים
7 = דעת הציבור</t>
  </si>
  <si>
    <t>יניב שפירא:
1 = אפשר לחסל את הטרור
2 = אפשר להקטין את היקפו אך לא לחסלו
3 = לפעילות צבאית אין השפעה על היקף הטרור
4 = פעילות צבאית רק תגרום להחרפת הפיגועים נגדנו</t>
  </si>
  <si>
    <t>יניב שפירא:
1 = מלחמה יזומה על ידנו לפגיעה במחבלים בבסיסיהם
2 = מלחמה בעלת אופי הגנתי, פעולות מניעה
3 = מלחמה בעלת אופי תגובתי - יציאה לפעולות תגמול בעקבות פיגועים</t>
  </si>
  <si>
    <t>$P$55</t>
  </si>
  <si>
    <t>יניב שפירא:
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</si>
  <si>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$P$56</t>
  </si>
  <si>
    <t>יניב שפירא:
1 = כדאי
2 = לא כדאי</t>
  </si>
  <si>
    <t>$P$57</t>
  </si>
  <si>
    <t>יניב שפירא:
1 = תומך בהחלט
2 = תומך
3 = מתנגד
4 = מתנגד בהחלט</t>
  </si>
  <si>
    <t>$P$63</t>
  </si>
  <si>
    <t>$P$64</t>
  </si>
  <si>
    <t>$P$65</t>
  </si>
  <si>
    <t>יניב שפירא:
1 = מוצדק בהחלט
2 = מוצדק
3 = לא מוצדק
4 = כלל לא מוצדק</t>
  </si>
  <si>
    <t>יניב שפירא:
1 = יש תנאים בהם מוצדק להשתמש
2 = בשום תנאי אין להשתמש</t>
  </si>
  <si>
    <t>יניב שפירא:
רק למי שענה "1" בשאלה v49</t>
  </si>
  <si>
    <t>יניב שפירא:
1 = בטוח שיש
2 = חושב שיש
3 = חושב שאין
4 = בטוח שאין</t>
  </si>
  <si>
    <t>$P$85</t>
  </si>
  <si>
    <t>יניב שפירא:
1 = לשמור בסוד
2 = להצהיר בגלוי</t>
  </si>
  <si>
    <t>$P$86</t>
  </si>
  <si>
    <t>יניב שפירא:
1 = מסכים בהחלט
2 = מסכים
3 = לא מסכים
4 = בהחלט לא מסכים</t>
  </si>
  <si>
    <t>$P$89</t>
  </si>
  <si>
    <t>יניב שפירא:
1 = סוריה
2 = אש"ף
3 = ירדן
4 = השיעים בלבנון
5 = לוב
6 = מצרים
7 = עיראק
8 = איראן
9 = סעודיה</t>
  </si>
  <si>
    <t>$P$91</t>
  </si>
  <si>
    <t>יניב שפירא:
1 = גבוהה
2 = בינונית
3 = נמוכה
4 = אפסית</t>
  </si>
  <si>
    <t>$P$92</t>
  </si>
  <si>
    <t>יניב שפירא:
1 = תמיד רציונאלית
2 = בדר"כ רציונאלית
3 = לפעמים כך ולפעמים כך
4 = בדר"כ לא רציונאלית
5 = תמיד לא רציונאלית</t>
  </si>
  <si>
    <t>$P$93</t>
  </si>
  <si>
    <t>$P$94</t>
  </si>
  <si>
    <t>יניב שפירא:
1 = מהווה סיבה
2 = לא מהווה סיבה</t>
  </si>
  <si>
    <t>$P$102</t>
  </si>
  <si>
    <t>יניב שפירא:
1 = מוכן
2 = לא מוכן</t>
  </si>
  <si>
    <t>$P$103</t>
  </si>
  <si>
    <t>$P$104</t>
  </si>
  <si>
    <t>יניב שפירא:
1 = חלה שחיקה משמעותית
2  = חלה שחיקה מסוימת
3 = לא חל שינוי
4 = התחזקות מסוימת
5 = התחזקות משמעותית</t>
  </si>
  <si>
    <t>$P$105</t>
  </si>
  <si>
    <t>יניב שפירא:
1 = הממשלה
2 = הכנסת
3 = הצבא
4 = תעשייה צבאית\אווירית
5 = אחר</t>
  </si>
  <si>
    <t>$P$106</t>
  </si>
  <si>
    <t>יניב שפירא:
1 = בהחלט בעד
2 = בעד
3 = נגד
4 = בהחלט נגד</t>
  </si>
  <si>
    <t>$P$107</t>
  </si>
  <si>
    <t>יניב שפירא:
1 = שיקולים עניינים בלבד
2 = גם משיקולים אחרים</t>
  </si>
  <si>
    <t>$P$108</t>
  </si>
  <si>
    <t>יניב שפירא:
1 = רק שיקולים עניינים
2 = שיקולים אחרים</t>
  </si>
  <si>
    <t>$P$109</t>
  </si>
  <si>
    <t>יניב שפירא:
1 = רה"מ
2 = שר הבטחון
3 = הקבינט
4 = מליאת הממשלה
5 = ועדת החוץ והבטחון של הכנסת
6 = המטכ"ל
7 = התקשורת
8 = ארה"ב
9 = העם
10 = אחר</t>
  </si>
  <si>
    <t>$P$110</t>
  </si>
  <si>
    <t>יניב שפירא:
סולם 1-7
1 = העדפת בטחון על פני כל נושא אחר
7 = בטחון - לא בכל מחיר</t>
  </si>
  <si>
    <t>$P$111</t>
  </si>
  <si>
    <t>יניב שפירא:
1 = מבין במידה רבה מאד
2 = מבין במידה רבה
3 = מבין במידה מסוימת
4 = מבין במידה קטנה
5 = לא מבין כלל</t>
  </si>
  <si>
    <t>$P$112</t>
  </si>
  <si>
    <t>$P$113</t>
  </si>
  <si>
    <t>יניב שפירא:
1 = בהחלט להתחשב
2 = להתחשב
3 = לא להתחשב
4 = בהחלט לא להתחשב</t>
  </si>
  <si>
    <t>יניב שפירא:
1 = תמיד לתמוך
2 = בדר"כ לתמוך
3 = בדר"כ לא לתמוך
4 = תמיד לא לתמוך</t>
  </si>
  <si>
    <t>$P$115</t>
  </si>
  <si>
    <t>יניב שפירא:
1 = מותר
2 = אסור</t>
  </si>
  <si>
    <t>$P$120</t>
  </si>
  <si>
    <t>יניב שפירא:
1 = אחראית לגמרי
2 = בדר"כ אחראית
3 = בדר"כ לא אחראית
4 = בלתי אחראית לגמרי</t>
  </si>
  <si>
    <t>$P$121</t>
  </si>
  <si>
    <t>יניב שפירא:
1 = פחות מדי
2 = מתאימה
3 = יותר מדי</t>
  </si>
  <si>
    <t>$P$122</t>
  </si>
  <si>
    <t>יניב שפירא:
1 = סומך בהחלט
2 = סומך
3 = לא סומך
4 = לא סומך כלל</t>
  </si>
  <si>
    <t>$P$123</t>
  </si>
  <si>
    <t>יניב שפירא:
1 = טובים מאד
2 = די טובים
3 = בינוניים
4 = די גרועים
5 = גרועים מאד</t>
  </si>
  <si>
    <t>יניב שפירא:
1 = במידה רבה מאד
2 = במידה  רבה
3 = במידה בינונית
4 = במידה קטנה
5 = לא יכולה בכלל</t>
  </si>
  <si>
    <t>יניב שפירא:
1 = מוצדק בהחלט
2 = מוצדק
3 = לא מוצדק
4 = בהחלט לא מוצדק</t>
  </si>
  <si>
    <t>יניב שפירא:
סולם 1-7
1 = בטוח שתהיה מלחמה
7 = בטוח שלא תהיה מלחמה</t>
  </si>
  <si>
    <t>יניב שפירא:
1 = בעד ניתוק היחסים
2 = נגד ניתוק היחסים</t>
  </si>
  <si>
    <t>$U$131</t>
  </si>
  <si>
    <t>יניב שפירא:
1 = טובה מאד
2 = טובה
3 = לא כ"כ טובה
4 = לא טובה
5 = לא טובה כלל</t>
  </si>
  <si>
    <t>$U$132</t>
  </si>
  <si>
    <t>יניב שפירא:
1 = בהחלט יש לקצץ
2 = יש לקצץ
3 = אולי יש לקצץ
4 = אולי אין לקצץ
5 = אין לקצץ
6 = בהחלט אין לקצץ</t>
  </si>
  <si>
    <t>$AB$133</t>
  </si>
  <si>
    <t>$AC$134</t>
  </si>
  <si>
    <t>יניב שפירא:
1 = בהחלט מוצדקת
2 = מוצדקת
3 = לא כ"כ מוצדקת
4 = כלל לא מוצדקת</t>
  </si>
  <si>
    <t>$AC$135</t>
  </si>
  <si>
    <t>יניב שפירא:
1 = נכונות גבוהה מאוד
2 = נכונות גבוהה
3 = נכונות נמוכה
4 = נכונות נמוכה מאוד</t>
  </si>
  <si>
    <t>$AD$136</t>
  </si>
  <si>
    <t>$Q$137</t>
  </si>
  <si>
    <t>יניב שפירא:
1 = השתפר
2 = לא השתנה
3 = הורע</t>
  </si>
  <si>
    <t>$Q$138</t>
  </si>
  <si>
    <t>$Q$139</t>
  </si>
  <si>
    <t>יניב שפירא:
1 = התגברה
2 = לא השתנתה
3 = הצטמצמה</t>
  </si>
  <si>
    <t>$Q$140</t>
  </si>
  <si>
    <t>יניב שפירא:
1 = גבר
2 = לא השתנה
3 = פחת</t>
  </si>
  <si>
    <t>יניב שפירא:
1 = נעשה יותר חיובי
2 = לא השתנה
3 = נעשה יותר שלילי</t>
  </si>
  <si>
    <t>$AH$142</t>
  </si>
  <si>
    <t>שלום</t>
  </si>
  <si>
    <t>יניב שפירא:
רק יהודים למעט 2022</t>
  </si>
  <si>
    <t>adi:
יהודים וערבים
1 = בטוח/ה שכן
2 = חושב/ת שכן
3 = חושב/ת שלא
4 = בטוח/ה שלא</t>
  </si>
  <si>
    <t>יניב שפירא:
1 = בהחלט ניתן להגיע להסכם שלום עם הפלסטינים
2 = כנראה שניתן
3 = כנראה שלא ניתן
4 = בהחלט לא ניתן</t>
  </si>
  <si>
    <t>$N$4</t>
  </si>
  <si>
    <t>יניב שפירא:
1 = העבודה
2 = הליכוד
3 = מפלגה אחרת</t>
  </si>
  <si>
    <t>יניב שפירא:
1 = להתרכז בשיחות שלום
2 = להגביר את עוצמתה הצבאית</t>
  </si>
  <si>
    <t>$A$8</t>
  </si>
  <si>
    <t>יניב שפירא:
בערבית נוסח אחר:
"האם אתה תומך בהקמת מדינה..."
התשובות בהתאם: במקום 'מסכים' כתוב 'תומך'</t>
  </si>
  <si>
    <t>$D$8</t>
  </si>
  <si>
    <t>יניב שפירא:
1 = בהחלט צריכה להסכים
2 = כנראה שצריכה להסכים
3 = כנראה שלא צריכה להסכים
4 = בהחלט לא צריכה להסכים</t>
  </si>
  <si>
    <t>יניב שפירא:
הניסוח הוא:
"אוטונומיה פלסטינית"</t>
  </si>
  <si>
    <t>$B$9</t>
  </si>
  <si>
    <t xml:space="preserve">adi:
רק יהודים
</t>
  </si>
  <si>
    <t>יניב שפירא:
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</si>
  <si>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יניב שפירא:
1 = לא צריכה להחזיק ביהודה ושומרון
2 = כן, כי זו זכותנו על הארץ
3 = כן, משיקולי ביטחון
9 = מסרב</t>
  </si>
  <si>
    <t>$G$11</t>
  </si>
  <si>
    <t>יניב שפירא:
1 = בהחלט להעביר
2 = להעביר
3 = להמשיך להחזיק
4 = בהחלט להמשיך להחזיק</t>
  </si>
  <si>
    <t>$H$12</t>
  </si>
  <si>
    <t>יניב שפירא:
1 = לא בשום תנאי
2 = כן, יישובים בודדים
3 = כן, את כל היישובים</t>
  </si>
  <si>
    <t>$G$13</t>
  </si>
  <si>
    <t>יניב שפירא:
1-7
1 = בכלל לא מסוכן
7 = מאוד מסוכן</t>
  </si>
  <si>
    <t>$O$14</t>
  </si>
  <si>
    <t>$I$18</t>
  </si>
  <si>
    <t>יניב שפירא:
1 = סיכויים גבוהים
2 = סיכויים בינוניים
3 = סיכויים נמוכים
4 = סיכוים נמוכים ביותר</t>
  </si>
  <si>
    <t>יניב שפירא:
1 = בטוח שיסתיים
2 = חושב שיסתיים
3 = חושב שלא יסתיים
4 = בטוח שלא יסתיים</t>
  </si>
  <si>
    <t>יניב שפירא:
1 =בטוח שלא יסתיים
2 = חושב שלא יסתיים
3 = חושב שיסתיים
4 = בטוח שיסתיים</t>
  </si>
  <si>
    <t>יניב שפירא:
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</si>
  <si>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יניב שפירא:
1 = כן, הכל
2 = כן, חלק
3 = לא צריכה להחזיר כלום</t>
  </si>
  <si>
    <t>$N$22</t>
  </si>
  <si>
    <t>יניב שפירא:
1 = כן, תחזיר
2 = לא תחזיר</t>
  </si>
  <si>
    <t>יניב שפירא:
1 = בהחלט לא מסכים
2 = לא מסכים
3 = מסכים
4 = מסכים בהחלט</t>
  </si>
  <si>
    <t>יניב שפירא:
1-7
1 = מידה רבה של אי הסכמה
7 = מידה רבה של הסכמה</t>
  </si>
  <si>
    <t>$K$24</t>
  </si>
  <si>
    <t>יניב שפירא:
1 = בהחלט לא מסכים
2 = לא מסכים
3 = מסכים
4 = בהחלט מסכים</t>
  </si>
  <si>
    <t>$K$26</t>
  </si>
  <si>
    <t>$A$30</t>
  </si>
  <si>
    <t>$A$31</t>
  </si>
  <si>
    <t>$P$32</t>
  </si>
  <si>
    <t>יניב שפירא:
1 = תומך
2 = מתנגד
3 = לא יודע מספיק על התכנית כדי להביע עמדה
4 = לא שמעתי על התכנית</t>
  </si>
  <si>
    <t>יניב שפירא:
1 = בהחלט צריכה להסכים
2 = חושב שצריכה להסכים
3 = חושב שלא צריכה להסכים
4 = בהחלט לא צריכה להסכים</t>
  </si>
  <si>
    <t>$J$35</t>
  </si>
  <si>
    <t>$J$36</t>
  </si>
  <si>
    <t>יניב שפירא:
1 = סיכויים גדולים
2 = סיכויים מסוימים
3 = סיכויים מעטים
4 = אין סיכוי</t>
  </si>
  <si>
    <t>$L$37</t>
  </si>
  <si>
    <t>יניב שפירא:
1 = בהחלט מתנגד
2 = מתנגד
3 = תומך
4 = בהחלט תומך</t>
  </si>
  <si>
    <t>$L$42</t>
  </si>
  <si>
    <t>יניב שפירא:
1 = בהחלט מתנגד
2 = מתנגד
3 = תומך
4 = בהחלט תומך
9 = לא יודע</t>
  </si>
  <si>
    <t>יניב שפירא:
1 = מתנגד בהחלט
2 = מתנגד במידה מסויימת
3 = תומך במידה מסויימת
4 = תומך בהחלט</t>
  </si>
  <si>
    <t>$L$44</t>
  </si>
  <si>
    <t>יניב שפירא:
הניסוח:
"תומכים בהסכם?"</t>
  </si>
  <si>
    <t>$N$44</t>
  </si>
  <si>
    <t>יניב שפירא:
הניסוח:
"מסכימים באופן עקרוני לוותר על שטחים תמורת שלום?"</t>
  </si>
  <si>
    <t>$L$45</t>
  </si>
  <si>
    <t xml:space="preserve">יניב שפירא:
1 = יגדל מס' האנשים שתומכים בהסכם
2 = יגדל מס' האנשים שלא תומכים </t>
  </si>
  <si>
    <t>יניב שפירא:
הניסוח:
"מסכיים עקרונית לוותר על שטחים תמורת שלום"</t>
  </si>
  <si>
    <t>$M$47</t>
  </si>
  <si>
    <t xml:space="preserve">יניב שפירא:
1 = יגדל מס' האנשים שתומכים
2 = יגדל מס' האנשים שלא תומכים </t>
  </si>
  <si>
    <t>$L$50</t>
  </si>
  <si>
    <t>יניב שפירא:
1 = בכלל לא משכנעת
2 = לא כ"כ משכנעת
3 = די משכנעת
4 = מאד משכנעת</t>
  </si>
  <si>
    <t>$L$55</t>
  </si>
  <si>
    <t>יניב שפירא:
25-29
לפי הסיבות לעיל</t>
  </si>
  <si>
    <t>$L$61</t>
  </si>
  <si>
    <t>יניב שפירא:
32-36
לפי הסיבות לעיל</t>
  </si>
  <si>
    <t>$M$62</t>
  </si>
  <si>
    <t>יניב שפירא:
1 = תומך מאד
2 = תומך
3 = מתנגד
4 = מתנגד מאד</t>
  </si>
  <si>
    <t>$M$63</t>
  </si>
  <si>
    <t>יניב שפירא:
1 = כן, תקום
2 = לא, לא תקום</t>
  </si>
  <si>
    <t>$O$63</t>
  </si>
  <si>
    <t>$M$64</t>
  </si>
  <si>
    <t>יניב שפירא:
1 = תקום
2 = לא תקום</t>
  </si>
  <si>
    <t>$N$65</t>
  </si>
  <si>
    <t>יניב שפירא:
1 = תומך בהפרדה לטווח ארוך
2 = תומך בהפרדה, אבל רק לזמן מוגבל כפתרון לבעיית הטרור
3 = לא תומך בהפרדה כלל</t>
  </si>
  <si>
    <t>$N$66</t>
  </si>
  <si>
    <t>יניב שפירא:
1 = מסוגל בהחלט
2 = מסוגל
3 = לא מסוגל
4 = בהחלט לא מסוגל</t>
  </si>
  <si>
    <t>$N$67</t>
  </si>
  <si>
    <t>יניב שפירא:
1 = אין להמשיך את המו"מ עם אש"ף בגלל הטרור
2 = רק סיום מוצלח של המו"מ יביא להפסקת הטרור</t>
  </si>
  <si>
    <t>$O$67</t>
  </si>
  <si>
    <t>יניב שפירא:
1 = מוכנה למו"מ
2 = לא מוכנה למו"מ</t>
  </si>
  <si>
    <t>$O$68</t>
  </si>
  <si>
    <t>יניב שפירא:
1 = צריכה להיות מוכנה
2 = לא צריכה להיות מוכנה</t>
  </si>
  <si>
    <t>$N$69</t>
  </si>
  <si>
    <t>יניב שפירא:
1 = נכון מאד
2 = נכון
3 = לא כ"כ נכון
4 = לגמרי לא נכון</t>
  </si>
  <si>
    <t>$N$70</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</si>
  <si>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</si>
  <si>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$N$71</t>
  </si>
  <si>
    <t>יניב שפירא:
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</si>
  <si>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$O$71</t>
  </si>
  <si>
    <t>יניב שפירא:
וגם a472</t>
  </si>
  <si>
    <t>$O$72</t>
  </si>
  <si>
    <t>יניב שפירא:
1 = תמורת הסכם השלום החזרת רוב שטחי יו"ש
2 = סיפוח יו"ש ועזה 
3 = סטטוס קוו</t>
  </si>
  <si>
    <t>$O$73</t>
  </si>
  <si>
    <t>יניב שפירא:
1 = שלום תמורת שטחים
2 = סיפוח</t>
  </si>
  <si>
    <t>$N$74</t>
  </si>
  <si>
    <t>יניב שפירא:
1 = בעד
2 = נגד</t>
  </si>
  <si>
    <t>$N$76</t>
  </si>
  <si>
    <t>יניב שפירא:
1 = יגדל מס' האנשים שמוכנים להחזיר
2 = יגדל מס' האנשים שלא מוכנים להחזיר</t>
  </si>
  <si>
    <t>$O$77</t>
  </si>
  <si>
    <t>יניב שפירא:
1 = בטוח שאפשר
2 = חושב שאפשרי
3 = חושב שבלתי אפשרי
4 = בטוח שבלתי אפשרי</t>
  </si>
  <si>
    <t>$O$78</t>
  </si>
  <si>
    <t>יניב שפירא:
1 = בטוח שיכולה
2 = חושב שיכולה
3 = חושב שלא יכולה
4 = בטוח שלא יכולה</t>
  </si>
  <si>
    <t>$O$79</t>
  </si>
  <si>
    <t>יניב שפירא:
1 = סיכויים גבוהים
2 = סיכויים בינוניים
3 = סיכויים נמוכים
4 = סיכויים קלושים</t>
  </si>
  <si>
    <t>יניב שפירא:
1 = לסיפוח השטחים
2 = למדינה פלסטינית
3 = לאוטונומיה של הפלסטינים תחת שלטון ישראלי כפתרון קבע</t>
  </si>
  <si>
    <t>$O$81</t>
  </si>
  <si>
    <t>$O$82</t>
  </si>
  <si>
    <t>יניב שפירא:
1 = תומך בכל תנאי
2 = רק במקומות חשובים מסיבה בטחונית
3 = מתנגד בכל תנאי</t>
  </si>
  <si>
    <t>$O$83</t>
  </si>
  <si>
    <t>יניב שפירא:
1 = רבין
2 = שמיר</t>
  </si>
  <si>
    <t>$O$84</t>
  </si>
  <si>
    <t>יניב שפירא:
1-4
1 = הכי חשוב
4 = הכי פחות חשוב</t>
  </si>
  <si>
    <t>יניב שפירא:
1 = בהחלט כן
2 = חושב שכן
3 = חושב שלא
4 = בטוח שלא</t>
  </si>
  <si>
    <t>$P$90</t>
  </si>
  <si>
    <t>יניב שפירא:
1 = מחייב
2 = שולל</t>
  </si>
  <si>
    <t>יניב שפירא:
1 = כן
2 = לא
3 = לא שירתתי בצבא</t>
  </si>
  <si>
    <t>יניב שפירא:
1 = כן
2 = לא
3 = לא משרת במילואים</t>
  </si>
  <si>
    <t>יניב שפירא:
1 = לא
2 = כן, בכמה?</t>
  </si>
  <si>
    <t>יניב שפירא:
1 = אין לותר על שום שטח מיו"ש
2 = יש לוותר על חלק קטן מיו"ש
3 = יש לוותר על חלק מיו"ש
4 = יש לוותר כמעט על כל יו"ש
5 = יש לוותר על כל יו"ש</t>
  </si>
  <si>
    <t>$W$94</t>
  </si>
  <si>
    <t>יניב שפירא:
1 = לוותר על כל יו"ש
2 = לוותר כמעט על כל יו"ש
3 = לוותר על חלק מיו"ש
4 = לוותר על חלק קטן מיו"ש
5 = לא לוותר על שום חלק</t>
  </si>
  <si>
    <t>$Q$95</t>
  </si>
  <si>
    <t>יניב שפירא:
1 = עמדתי לא השתנתה
2 = נעשיתי מוכן יותר לויתורים
3 = נעשיתי מוכן פחות לויתורים</t>
  </si>
  <si>
    <t>$Q$96</t>
  </si>
  <si>
    <t>$T$97</t>
  </si>
  <si>
    <t>יניב שפירא:
1 = חשוב מאד
2 = חשוב
3 = לא חשוב
4 = לגמרי לא חשוב</t>
  </si>
  <si>
    <t>$T$98</t>
  </si>
  <si>
    <t>יניב שפירא:
1 = מסכים בהחלט
2 = מסכים
3 = לא מסכים
4 = לגמרי לא מסכים</t>
  </si>
  <si>
    <t>$AD$98</t>
  </si>
  <si>
    <t>יניב שפירא:
1 = לדעתי, אין להחזיר כלום
2 = יש להחזיר חלק קטן
3 = יש להחזיר חלק גדול
4 = יש להחזיר הכל</t>
  </si>
  <si>
    <t>$AE$98</t>
  </si>
  <si>
    <t>יניב שפירא:
1 = יש להחזיר הכל
2 = יש להחזיר חלק גדול
3 = יש להחזיר חלק קטן
4 = אין להחזיר  כלום</t>
  </si>
  <si>
    <t>יניב שפירא:
1 = בעד ויתור על כל השטחים
2 = בעד ויתור על חלק גדול מהשטחים
3 = בעד ויתור על חלק קטן מהשטחים
4 = אין להחזיר שטחים כלל</t>
  </si>
  <si>
    <t>$K$100</t>
  </si>
  <si>
    <t>$M$103</t>
  </si>
  <si>
    <t>$U$108</t>
  </si>
  <si>
    <t>יניב שפירא:
1 = במידה רבה מאד
2 = במידה רבה
3 = במידה מסויימת
4 = במידה מועטה
5 = בכלל לא</t>
  </si>
  <si>
    <t>$V$109</t>
  </si>
  <si>
    <t>יניב שפירא:
1 = לא צריכה להיות מוכנה כלל
2 = צריכה להיות במידה מועטה
3 = צריכה במידה מסויימת
4 = צריכה להיות מוכנה במידה רבה</t>
  </si>
  <si>
    <t>$Z$109</t>
  </si>
  <si>
    <t>$W$110</t>
  </si>
  <si>
    <t>יניב שפירא:
1 = תקרב במידה רבה
2 = תקרב במידה מסוימת
3 = תרחיק במידה מסוימת
4 = תרחיק במידה רבה
5 = לא תחזק ולא תחליש</t>
  </si>
  <si>
    <t>$X$111</t>
  </si>
  <si>
    <t>יניב שפירא:
1 = בהחלט יש לקיים בחירות
2 = אני חושב שיש לקיים בחירות
3 = אני חושב שהממשלה מוסמכת להחליט
4 = אני בטוח שהממשלה מוסמכת להחליט</t>
  </si>
  <si>
    <t>$AA$112</t>
  </si>
  <si>
    <t>יניב שפירא:
1 = בטוח שאתמוך
2 = חושב שאתמוך
3 = חושב שאתנגד
4 = בטוח שאתנגד</t>
  </si>
  <si>
    <t>$AA$114</t>
  </si>
  <si>
    <t>$AA$116</t>
  </si>
  <si>
    <t>יניב שפירא:
1 = בהחלט מאמין
2 = מאמין
3 = לא כ"כ מאמין
4 = בכלל לא מאמין</t>
  </si>
  <si>
    <t>$AB$117</t>
  </si>
  <si>
    <t>$AB$118</t>
  </si>
  <si>
    <t>יניב שפירא:
1 = כן, חשבתי הרבה
2 = כן, חשבתי קצת
3 = כמעט ולא חשבתי
4 = לא חשבתי כלל</t>
  </si>
  <si>
    <t>$AH$120</t>
  </si>
  <si>
    <t>יניב שפירא:
1 = בהחלט להכריז
2 = אולי כדאי להכריז
3 = אולי לא כדאי להכריז
4 = בהחלט לא להכריז
5 = אין דעה</t>
  </si>
  <si>
    <t>$AH$121</t>
  </si>
  <si>
    <t>$AH$123</t>
  </si>
  <si>
    <t>יניב שפירא:
1 = בהחלט מסכים
2 = מסכים
3 = מסתייג
4 = לא מסכים
5 = בהחלט לא מסכים</t>
  </si>
  <si>
    <t>$AH$124</t>
  </si>
  <si>
    <t>יניב שפירא:
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</si>
  <si>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$AH$125</t>
  </si>
  <si>
    <t>יניב שפירא:
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</si>
  <si>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$AH$126</t>
  </si>
  <si>
    <t>יניב שפירא:
1 = לדעתי אין להחזיר כלום
2 = להחזיר חלק קטן
3 = להחזיר את רוב השטחים
4 = להחזיר את כל השטחים</t>
  </si>
  <si>
    <t>$B$127</t>
  </si>
  <si>
    <t>adi:
1 = שתי מדינות
2 = מדינה אחת מהירדן לים עם שוויון זכויות מלא לפלסטינים
3 = מדינה אחת מהירדן לים בשלטון ישראל ללא זכויות פוליטיות לפלסטינים
4 = אחר (פרט):_______</t>
  </si>
  <si>
    <t>דמוקרטיה</t>
  </si>
  <si>
    <t>יניב שפירא:
1-10
1 = כלל לא דמוקרטית
10 = דמוקרטית לגמרי</t>
  </si>
  <si>
    <t>יניב שפירא:
שאלות 119-128
לא מקודדות אצלי בstata
גם ב2020 וגם ב2019
* ב2019 השאלה בכחול
* גם ב2021</t>
  </si>
  <si>
    <t>$D$9</t>
  </si>
  <si>
    <t>יניב שפירא:
1 = כלל אין אמון
2 = אמון מועט
3 = אמון רב
4 = אמון רב מאד</t>
  </si>
  <si>
    <t>$M$11</t>
  </si>
  <si>
    <t>יניב שפירא:
1 = כלל אין לי אמון
2 = במידה מועטה
3 = במידה מסוימת
4 = במידה רבה</t>
  </si>
  <si>
    <t>$M$18</t>
  </si>
  <si>
    <t>יניב שפירא:
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</si>
  <si>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$D$24</t>
  </si>
  <si>
    <t>יניב שפירא:
1 = מאד לא מרוצה
2 = לא מרוצה
3 = מרוצה
4 = מרוצה מאד
8 = לא יודע
9 = מסרב</t>
  </si>
  <si>
    <t>יניב שפירא:
1 = מאד מרוצה
2 = מרוצה
3 = לא מרוצה
4 = מאד לא מרוצה</t>
  </si>
  <si>
    <t>יניב שפירא:
1 = מאד לא מרוצה
2 = לא מרוצה
3 = מרוצה
4 = מרוצה מאד</t>
  </si>
  <si>
    <t>$F$26</t>
  </si>
  <si>
    <t>יניב שפירא:
1-10
1 = כלל לא חשוב
1 = חשוב לחלוטין</t>
  </si>
  <si>
    <t>$O$28</t>
  </si>
  <si>
    <t>$I$29</t>
  </si>
  <si>
    <t>יניב שפירא:
1 = מסכים בהחלט
2 = מסכים
3 = לא בטוח
4 = לא מסכים
5 = כלל לא מסכים</t>
  </si>
  <si>
    <t>$U$29</t>
  </si>
  <si>
    <t>$L$31</t>
  </si>
  <si>
    <t>יניב שפירא:
1 = בטוח שרק יהודים
2 = חושב שרק יהודים
3 = חושב שגם ערבים
4 = בטוח שגם ערבים</t>
  </si>
  <si>
    <t>$N$33</t>
  </si>
  <si>
    <t>יניב שפירא:
1 = מסכים בהחלט
2 = די מסכים
3 = די מתנגד
4 = מתנגד בהחלט</t>
  </si>
  <si>
    <t>$S$34</t>
  </si>
  <si>
    <t>יניב שפירא:
1 = הגדלת זכויות אזרח, כולל מתן זכות הצבעה לכנסת
2 = הגדלת זכויות אזרח, אך בלי להצביע בכנסת
3 = השארת המצב כמו שהוא
4 = הפחתת זכויות אזרח</t>
  </si>
  <si>
    <t>יניב שפירא:
1 = זכויות אזרח מלאות כולל זכות הצבעה
2 = זכויות אזרח ללא זכות הצבעה
3 = השארת המצב כמו שהוא
4 = הפחתת הזכויות הניתנות כיום</t>
  </si>
  <si>
    <t>$I$36</t>
  </si>
  <si>
    <t>יניב שפירא:
1 = תומך בפסילת שתי המפלגות
2 = תומך רק בפסילת בל"ד
3 = תומך רק בפסילת רע"ם-תע"ל
4 = מתנגד לפסילת שתי המפלגות</t>
  </si>
  <si>
    <t>$P$37</t>
  </si>
  <si>
    <t>$P$38</t>
  </si>
  <si>
    <t>יניב שפירא:
1 = יותר מדי פיקוח
2 = מידה מתאימה
3 = פחות מדי פיקוח</t>
  </si>
  <si>
    <t>$Q$39</t>
  </si>
  <si>
    <t>יניב שפירא:
1 = בהחלט בעד הוצאתה
2 = בעד הוצאתה
3 = לא בטוח
4 = נגד הוצאתה
5 = בהחלט נגד הוצאתה</t>
  </si>
  <si>
    <t>$Q$49</t>
  </si>
  <si>
    <t>יניב שפירא:
1 = בהחלט מסכים
2 = מסכים
3 = לא בטוח
4 = לא מסכים
5 = בהחלט לא מסכים</t>
  </si>
  <si>
    <t>$Q$54</t>
  </si>
  <si>
    <t>$V$55</t>
  </si>
  <si>
    <t>$S$62</t>
  </si>
  <si>
    <t>יניב שפירא:
1 = קולותיהם של הבוחרים יכולים במידה רבה לשנות את המדיניות
2 = יכולים לשנות במידה מסוימת
3 = במידה מועטה
4 = בכלל לא יכולים לשנות</t>
  </si>
  <si>
    <t>$AF$62</t>
  </si>
  <si>
    <t>יניב שפירא:
1 = מאוד מסכים עם הטענה
2 = מסכים עם הטענה
3 = מסתייג מהטענה
4 = מתנגד בהחלט לטענה</t>
  </si>
  <si>
    <t>$V$63</t>
  </si>
  <si>
    <t>יניב שפירא:
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</si>
  <si>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$AB$64</t>
  </si>
  <si>
    <t>$AD$64</t>
  </si>
  <si>
    <t>$AD$65</t>
  </si>
  <si>
    <t>$AB$66</t>
  </si>
  <si>
    <t>$AD$66</t>
  </si>
  <si>
    <t>$AD$67</t>
  </si>
  <si>
    <t>$AC$68</t>
  </si>
  <si>
    <t>יניב שפירא:
1 = בהחלט צריך להצביע
2 = יתכן שצריך
3 = יתכן שלא צריך
4 = בהחלט לא צריך</t>
  </si>
  <si>
    <t>$AB$70</t>
  </si>
  <si>
    <t>יניב שפירא:
1 = מסכים בהחלט
2 = מסכים
3 = לא כ"כ מסכים
4 = לא מסכים כלל</t>
  </si>
  <si>
    <t>$AD$71</t>
  </si>
  <si>
    <t>יניב שפירא:
1 = בהחלט מסכים
2 = מסכים
3 = לא כ"כ מסכים
4 = בכלל לא מסכים</t>
  </si>
  <si>
    <t>$AD$72</t>
  </si>
  <si>
    <t>יניב שפירא:
1 = בהחלט כן
2 = אולי כן
3 = אולי לא
4 = בהחלט לא</t>
  </si>
  <si>
    <t>$AD$73</t>
  </si>
  <si>
    <t>$AD$74</t>
  </si>
  <si>
    <t>יניב שפירא:
1 = מאוד חשוב
2 = חשוב
3 = לא כ"כ חשוב
4 = לא חשוב כלל</t>
  </si>
  <si>
    <t>$AD$75</t>
  </si>
  <si>
    <t>יניב שפירא:
1 = מוטב מפלגה אחת
2 = מוטב מס' מפלגות
3 = הבחירות אינן פוגעות בליכוד העם</t>
  </si>
  <si>
    <t>$AD$77</t>
  </si>
  <si>
    <t>$AD$78</t>
  </si>
  <si>
    <t>$AG$79</t>
  </si>
  <si>
    <t>יניב שפירא:
1 = כלל לא ברור לי
2 = לא כ"כ ברור
3 = ברור לי
4 = ברור בהחלט</t>
  </si>
  <si>
    <t>$C$80</t>
  </si>
  <si>
    <t>יניב שפירא:
1 = יציבה מאוד
2 = יציבה
3 = כמו אחרות
4 = לא יציבה
5 = מאד לא יציבה</t>
  </si>
  <si>
    <t>$Z$81</t>
  </si>
  <si>
    <t>$AB$81</t>
  </si>
  <si>
    <t>יניב שפירא:
1 = רוצה להשפיע
2 = בהחלט רוצה להשפיע
3 = לא כ"כ רוצה
3 = בכלל לא רוצה</t>
  </si>
  <si>
    <t>$V$82</t>
  </si>
  <si>
    <t>$G$83</t>
  </si>
  <si>
    <t>יניב שפירא:
1 = בהחלט צריכה לשנות
2 = חשוב שצריכה לשנות
3 = חושב שלא צריכה לשנות
4 = בהחלט לא צריכה לשנות</t>
  </si>
  <si>
    <t>$Z$85</t>
  </si>
  <si>
    <t>יניב שפירא:
1 = בהחלט להמשיך בשיטה הקיימת
2 = חושב להמשיך
3 = חושב שצריך לשנות
4 = בטוח שצריך לשנות
5 = אין לי דעה
6 = שתי השיטות לא טובות, צריך בכלל לעבור לשיטה אזורית</t>
  </si>
  <si>
    <t>$AH$86</t>
  </si>
  <si>
    <t>יניב שפירא:
1 = בהחלט עדיף בחירות אישיות
2 = עדיף בחירות אישיות
3 = עדיף רשימה מפלגתית
4 = בהחלט עדיף רשימה מפלגתית
5 = אין דעה</t>
  </si>
  <si>
    <t>$Z$87</t>
  </si>
  <si>
    <t>יניב שפירא:
1 = תגביר במידה רבה
2 = תגביר במידה מסוימת
3 = תגביר במידה מועטה
4 = תקטין במידה מועטה
5 = תקטין במידה מסוימת
6 = תקטין במידה רבה
7 = לא תשנה
8 = לא יודע</t>
  </si>
  <si>
    <t>$C$88</t>
  </si>
  <si>
    <t>יניב שפירא:
1 = זמן ארוך מאד
2 = זמן ארוך
3 = דומה למדינות אחרות
4 = זמן קצר
5 = זמן קצר מאוד</t>
  </si>
  <si>
    <t>$C$89</t>
  </si>
  <si>
    <t>יניב שפירא:
1 = מצליחות מאד
2 = מצליחות
3 = כמו אחרות
4 = לא מצליחות
5 = לא מצליחות כלל</t>
  </si>
  <si>
    <t>תקשורת</t>
  </si>
  <si>
    <t>יניב שפירא:
1 = אף פעם
2 = פעם בשבוע
3 = פעמים-שלוש בשבוע
4 = כמעט כל יום
5 = יותר מפעם ביום</t>
  </si>
  <si>
    <t>יניב שפירא:
1 = כמעט אף פעם לא
2 = לעיתים רחוקות בלבד
3 = פעם בשבוע בערך
4 = פעמיים-שלוש בשבוע
5 = כמעט כל יום
6 = יותר מפעם ביום</t>
  </si>
  <si>
    <t>יניב שפירא:
0 = לא משתמש ברשתות חברתיות
1 = אף פעם
2 = פעם אחת בשבוע
3 = פעמיים-שלוש בשבוע
4 = כמעט כל יום
5 = יותר מפעם ביום</t>
  </si>
  <si>
    <t>יניב שפירא:
שאלה 92 לא מקודדת בstata
(ב2019, אין אותה ב2020)</t>
  </si>
  <si>
    <t>$F$5</t>
  </si>
  <si>
    <t>יניב שפירא:
1 = כלל לא
2 = לעתים רחוקות
3 = מדי פעם
4 = לעתים קרובות
5 = בקביעות</t>
  </si>
  <si>
    <t>יניב שפירא:
1 = כמעט אף פעם לא
2 = לעיתים רחוקות בלבד
3 = פעם בשבוע בערך
4 = פעמיים-שלוש בשבוע
5 = קורא עיתון יומי אחד כמעט כל יום
6 = קורא יותר מעיתון יומי אחד כמעט כל יום</t>
  </si>
  <si>
    <t>יניב שפירא:
1 = ידיעות אחרונות
2 = מעריב
3 = הארץ
4 = וסטי
5 = נובוסטי נדלי
6 = כל אל-ערב
7 = אל-סינארה
8 = אל-אתחאד
9 = פנורמה
10 = אחר</t>
  </si>
  <si>
    <t>$T$7</t>
  </si>
  <si>
    <t>יניב שפירא:
כולל b153 וb154
1 = מעריב
2 = ידיעות אחרונות
3 = הארץ
4 = דבר
5 = עיתון עברי אחר
6 = עיתון לועזי
7 = לא קורא עיתונים</t>
  </si>
  <si>
    <t>$V$7</t>
  </si>
  <si>
    <t>יניב שפירא:
גם
v147
v148</t>
  </si>
  <si>
    <t>יניב שפירא:
1 = כמעט אף פעם לא
2 = לעיתים רחוקות בלבד
3 = פעם בשבוע בערך
4 = פעמיים-שלוש בשבוע
5 = אני צופה בחדשות לפחות פעם ביום
6 = אני צופה בחדשות יותר מפעם ביום</t>
  </si>
  <si>
    <t>$J$10</t>
  </si>
  <si>
    <t>יניב שפירא:
1 = ערוץ 1
2 = ערוץ 2
3 = ערוץ 9
4 = ערוץ 10
5 = RTVi
6 = אל-ג'זירה
7 = MBC דובאי
8 = אחר</t>
  </si>
  <si>
    <t>$L$10</t>
  </si>
  <si>
    <t>יניב שפירא:
שאלות 96-103 לא מקודדת בstata
(ב2019, אין אותה ב2020)</t>
  </si>
  <si>
    <t>יניב שפירא:
1 = אף פעם
2 = פעם אחת בשבוע
3 = פעמיים-שלוש בשבוע
4 = כמעט כל יום
5 = כמה פעמים ביום</t>
  </si>
  <si>
    <t>$C$20</t>
  </si>
  <si>
    <t>יניב שפירא:
0 = לא משתמש כלל
1 = עקבת אחר מפלגת/מועמד ברשתות חברתיות
2 = כתבת בנושא הבחירות או שיתפת תוכן
3 = גם עקבת וגם כתבת
4 = משתמש באינטרהט אך לא עשיתי את הפעולות הללו</t>
  </si>
  <si>
    <t>$G$20</t>
  </si>
  <si>
    <t>יניב שפירא:
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</si>
  <si>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יניב שפירא:
1 = כל יום
2 = לעיתים קרובות
3 = לפעמים
4 = לעיתים רחוקות
5 = בכלל לא</t>
  </si>
  <si>
    <t>$X$21</t>
  </si>
  <si>
    <t>יניב שפירא:
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</si>
  <si>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$AD$21</t>
  </si>
  <si>
    <t>$AF$21</t>
  </si>
  <si>
    <t>יניב שפירא:
1 = כן, של כל המפלגות
2 = כן, של חלק מהמפלגות
3 = כן, רק של המפלגה שאני תומך בה
4 = לא, למרות שיש לי מקלט
5 = לא, אין לי מקלט</t>
  </si>
  <si>
    <t>יניב שפירא:
1 = יותר
2 = כמו עכשיו
3 = פחות
4 = בכלל לא רוצה לראות
5 = לא ראיתי אבל רוצה לראות</t>
  </si>
  <si>
    <t>$I$24</t>
  </si>
  <si>
    <t>יניב שפירא:
1 = כן
2 = משתמש באינטרנט אבל לא בהקשר לבחירות
3 = לא משתמש באינטרנט כלל</t>
  </si>
  <si>
    <t>יניב שפירא:
רק מי שענה 1 בשאלה הקודמת</t>
  </si>
  <si>
    <t>$I$25</t>
  </si>
  <si>
    <t>יניב שפירא:
1 = לא משתמש
2 = מקבל מידע באמצעותו
3 = מפיץ מידע באמצעותו
4 = גם מקבל וגם מפיץ</t>
  </si>
  <si>
    <t>$I$34</t>
  </si>
  <si>
    <t>$I$35</t>
  </si>
  <si>
    <t>יניב שפירא:
1 = כל ערב
2 = כמעט כל ערב
3 = מספר פעמים
4 = פעם אחת
5 = אף פעם</t>
  </si>
  <si>
    <t>$AB$35</t>
  </si>
  <si>
    <t>יניב שפירא:
1 = כן, כל ערב
2 = לעיתים קרובות
3 = לעיתים רחוקות
4 = כלל לא</t>
  </si>
  <si>
    <t>$J$37</t>
  </si>
  <si>
    <t>יניב שפירא:
1 = לא גולש באינטרנט כלל
2 = כו, לעיתים רחוקות
3 = גולש, אבל לא באתרים של מפלגות
4 = כן, לעיתים קרובות</t>
  </si>
  <si>
    <t>$A$38</t>
  </si>
  <si>
    <t>יניב שפירא:
רק מי שענה 3 או 4 
בשאלה קודמת</t>
  </si>
  <si>
    <t>$J$38</t>
  </si>
  <si>
    <t>יניב שפירא:
1 = רק מפלגות שאני אוהד
2 = רק מפלגות שאני סולד מהן
3 = כל המפלגות</t>
  </si>
  <si>
    <t>$L$39</t>
  </si>
  <si>
    <t>יניב שפירא:
1 = בהחלט לא
2 = לא
3 = לא בטוח
4 = כן
5 = בהחלט כן</t>
  </si>
  <si>
    <t>$N$39</t>
  </si>
  <si>
    <t>יניב שפירא:
1 = בהחלט כן
2 = כן
3 = לא בטוח
4 = לא
5 = בהחלט לא</t>
  </si>
  <si>
    <t>$T$40</t>
  </si>
  <si>
    <t>יניב שפירא:
1 = לעיתים קרובות
2 = לעיתים רחוקות
3 = אף פעם
4 = לא יודע על קיום סקרים</t>
  </si>
  <si>
    <t>$AA$40</t>
  </si>
  <si>
    <t>יניב שפירא:
1 = לעיתים קרובות
2 = לעיתים רחוקות
3 = אף פעם לא
4 = לא יודע על קיומם</t>
  </si>
  <si>
    <t>$L$41</t>
  </si>
  <si>
    <t>$T$41</t>
  </si>
  <si>
    <t>יניב שפירא:
1 = כן תמיד
2 = כן בדר"כ
3 = לא בדר"כ
4 = אף פעם לא
5 = לא יודע על קיום סקרים</t>
  </si>
  <si>
    <t>$AF$41</t>
  </si>
  <si>
    <t>יניב שפירא:
1 = כן, תמיד
2 = בדר"כ כן
3 = בדר"כ לא
4 = אף פעם לא</t>
  </si>
  <si>
    <t>יניב שפירא:
1 = השפעה גדולה
2 = השפעה מסויימת
3 = השפעה מועטה
4 = כלל לא
5 = לא יודע על קיום סקרים</t>
  </si>
  <si>
    <t>$AF$42</t>
  </si>
  <si>
    <t>יניב שפירא:
1 = השפעה רבה
2 = השפעה בינונית
3 = השפעה מועטה
4 = אין השפעה
5 = לא יודע על קיומם</t>
  </si>
  <si>
    <t>$AF$43</t>
  </si>
  <si>
    <t>יניב שפירא:
1 = בהחלט לאסור
2 = נוטה לאסור
3 = נוטה להתיר
4 = בהחלט להתיר</t>
  </si>
  <si>
    <t>$AH$45</t>
  </si>
  <si>
    <t>$O$46</t>
  </si>
  <si>
    <t>יניב שפירא:
1 = כן
2 = לא
3 = אין לנו טלוויזיה</t>
  </si>
  <si>
    <t>יניב שפירא:
1 = קורא לעיתים קרובות
2 = קורא לעיתים רחוקות
3 = לא קורא כלל</t>
  </si>
  <si>
    <t>$AH$50</t>
  </si>
  <si>
    <t>יניב שפירא:
1 = כן, 8 שעות +
2 = כן, 5-8 שעות
3 = 3-5 שעות
4 = 1-5 שעות
5 = פחות משעה ביום
6 = לא מאזין כל יום</t>
  </si>
  <si>
    <t>$T$51</t>
  </si>
  <si>
    <t>יניב שפירא:
1 = הגל הקל
2 = גל ג'
3 = גלי צה"ל
4 = גל א'
5 = קול העם
6 = לא מאזין לרדיו</t>
  </si>
  <si>
    <t>$AH$52</t>
  </si>
  <si>
    <t>יניב שפירא:
1 = בידור, תרבות, ידיעות
2 = בידור, ידיעות, תרבות
3 = תרבות, ידיעות, בידור
4 = תרבות, בידור, ידיעות
5 = ידיעות, בידור, תרבות
6 = ידיעות, תרבות, בידור</t>
  </si>
  <si>
    <t>$V$53</t>
  </si>
  <si>
    <t xml:space="preserve">יניב שפירא:
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</si>
  <si>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$V$54</t>
  </si>
  <si>
    <t>יניב שפירא:
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</si>
  <si>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$W$55</t>
  </si>
  <si>
    <t>יניב שפירא:
1 = מוצלחת מאד
2 = מוצלחת
3 = לא כ"כ מוצלחת
4 = בכלל לא מוצלחת</t>
  </si>
  <si>
    <t>$Y$57</t>
  </si>
  <si>
    <t>יניב שפירא:
1 = קורא את רוב/כל המודעות
2 = הרוב של הליכוד
3 = הרוב של המערך
4 = הרוב של ד"ש
5 = קורא מעט מכל המפלגות
6 = קורא רק ליכוד
7 = קורא רק מערך
8 = קורא רק ד"ש
9 = לא קורא כלל</t>
  </si>
  <si>
    <t>$AD$57</t>
  </si>
  <si>
    <t>יניב שפירא:
1 = לעיתים קרובות
2 = לעיתים
3 = לעיתים רחוקות
4 = כלל לא</t>
  </si>
  <si>
    <t>$AB$58</t>
  </si>
  <si>
    <t>יניב שפירא:
1 = כן במידה רבה
2 = במידה מסוימת
3 = במידה מועטה
4 = כלל לא</t>
  </si>
  <si>
    <t>$AA$59</t>
  </si>
  <si>
    <t>יניב שפירא:
1 = דרושה בהחלט
2 = דרושה
3 = לא כ"כ דרושה
4 = בהחלט לא דרושה</t>
  </si>
  <si>
    <t>$AB$60</t>
  </si>
  <si>
    <t>יניב שפירא:
1 = קורא הרבה יותר
2 = קורא יותר
3 = קורא פחות
4 = קורא הרבה פחות</t>
  </si>
  <si>
    <t>$AB$61</t>
  </si>
  <si>
    <t>יניב שפירא:
1 = כן, בכל יום
2 = לעיתים קרובות
3 = לעיתים רחוקות
4 = אף פעם לא</t>
  </si>
  <si>
    <t>$AB$62</t>
  </si>
  <si>
    <t>$AB$63</t>
  </si>
  <si>
    <t>יניב שפירא:
1 = בפעילות פוליטית
2 = כאדם פרטי</t>
  </si>
  <si>
    <t>יניב שפירא:
1 = שידורים לכל אחת מהמפלגות בנפרד
2 = דיונים בהשתתפות נציגים של מס' מפלגות שונות</t>
  </si>
  <si>
    <t>$AD$70</t>
  </si>
  <si>
    <t>יניב שפירא:
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</si>
  <si>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$U$72</t>
  </si>
  <si>
    <t>יניב שפירא:
1 = לא צופה כלל
2 = 1-2 שעות
3 = 3-5
4 = 6-10
5 = 11-15
6 = 16-20
7 = 21 +</t>
  </si>
  <si>
    <t>$AH$73</t>
  </si>
  <si>
    <t>יניב שפירא:
1 = בכל יום
2 = 2-3 פעמים בשבוע
3 = אחת לשבוע
4 = 2-3 פעמים בחודש
5 = אחת לחודש
6 = לעיתים רחוקות יותר
7 = לא צופה כלל</t>
  </si>
  <si>
    <t>$AH$74</t>
  </si>
  <si>
    <t>יניב שפירא:
1 = חשוב מאוד
2 = חשוב
3 = לא כ"כ חשוב
4 = כלל לא חשוב</t>
  </si>
  <si>
    <t>$AF$84</t>
  </si>
  <si>
    <t>יניב שפירא:
1 = קובעת מאוד
2 = קובעת
3 = לא כ"כ קובעת
4 = לא קובעת כלל</t>
  </si>
  <si>
    <t>$AF$93</t>
  </si>
  <si>
    <t>יניב שפירא:
1 = שידורים שבהם מופיע מנהיג פוליטי ומציג את עמדת המפלגה
2 = שידור שבו מוצג סרט מחיי הארץ המציג את עמדת המפלגה
3 = אחר</t>
  </si>
  <si>
    <t>$AF$94</t>
  </si>
  <si>
    <t>$AG$95</t>
  </si>
  <si>
    <t xml:space="preserve">יניב שפירא:
</t>
  </si>
  <si>
    <t>$AH$96</t>
  </si>
  <si>
    <t>יניב שפירא:
1 = כל יום
2 = כמה פעמים בשבוע
3 = פעם בשבוע
4 = לעיתים רחוקות יותר
5 = לא קורא</t>
  </si>
  <si>
    <t>ידע כללי</t>
  </si>
  <si>
    <t>יניב שפירא:
1 = תשובה נכונה
2 = תשובה לא נכונה
3 = לא יודע</t>
  </si>
  <si>
    <t>יניב שפירא:
1 = תשובה נכונה (אסתר חיות)
2 = תשובה לא נכונה
3 = לא יודע</t>
  </si>
  <si>
    <t>יניב שפירא:
1 = לא יודע
2 = בינוי ושיכון
3 = בריאות
4 = חינוך
5 = תחבורה</t>
  </si>
  <si>
    <t>יניב שפירא:
1 = יולי אדלשטיין
2 = תשובה לא נכונה
3 = לא יודע</t>
  </si>
  <si>
    <t>יניב שפירא:
1 = יולי אדלשטיין
2 = לא נכון
8 = לא יודע</t>
  </si>
  <si>
    <t>יניב שפירא:
1 = לא יודע
2 = ברזיל
3 = סעודיה
4 = צפון קוריאה
5 = צ'אד (תשובה נכונה)</t>
  </si>
  <si>
    <t>יניב שפירא:
1 = פחות מ10%
2 = בין 10% ל40%
3 = בין 40% ל75%
4 = יותר מ75%
8 = לא יודע</t>
  </si>
  <si>
    <t>$P$8</t>
  </si>
  <si>
    <t>יניב שפירא:
1 = ישראל
2 = צרפת
3 = ארה"ב
4 = בריטניה</t>
  </si>
  <si>
    <t>יניב שפירא:
1 = פחות ממיליארד דולר בשנה
2 = בין 1-2 מיליארד דולר בשנה
3 = בין 3-5 מיליארד דולר בשנה
4 = יותר מ-5 מיליארד דולר בשנה</t>
  </si>
  <si>
    <t>יניב שפירא:
1 = 58
2 = 140
3 = 485
4 = 1150
5 = 3900</t>
  </si>
  <si>
    <t>$P$12</t>
  </si>
  <si>
    <t>$P$13</t>
  </si>
  <si>
    <t>יניב שפירא:
1 = בכלל לא
2 = במידה מועטה
3 = במידה רבה
4 = במידה רבה מאד</t>
  </si>
  <si>
    <t>$H$4</t>
  </si>
  <si>
    <t>$H$10</t>
  </si>
  <si>
    <t>יניב שפירא:
1 = אני עושה יותר מבן/בת זוגי
2 = החלוקה פחות או יותר שוויונית
3 = אני עושה פחות מבן/בת זוגי</t>
  </si>
  <si>
    <t>יניב שפירא:
1 = בטוח שכן
2 = חושב שכן
3 = ככה ככה
4 = חושב שלא
5 = בטוח שלא</t>
  </si>
  <si>
    <t>ייצוגיות</t>
  </si>
  <si>
    <t>יניב שפירא:
שאלות: 31,33,34,36,37,39,40,42,43,44
אין קידוד בstata, האם אבד??
גם ב2020 וגם ב2019
גם ב2021</t>
  </si>
  <si>
    <t>יניב שפירא:
1 = בטוח שלא
2 = חושב שלא
3 = חושב שכן
4 = בטוח שכן</t>
  </si>
  <si>
    <t>$D$10</t>
  </si>
  <si>
    <t>יניב שפירא:
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</si>
  <si>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$D$11</t>
  </si>
  <si>
    <t>יניב שפירא:
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</si>
  <si>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יניב שפירא:
שאלות 109 + 110
לא מקודדות אצלי בstata
גם ב2020 וגם ב2019
גם ב2021</t>
  </si>
  <si>
    <t>יניב שפירא:
שאלה של אחרי הבחירות.
שאלה E110 לא מקודדת בstata
גם ב2020 וגם ב2019
גם ב2021</t>
  </si>
  <si>
    <t>יניב שפירא:
1 = במידה רבה
2 = במידה מסוימת
3 = במידה מועטה
4 = בכלל לא
8 = לא יודע
9 = מסרב</t>
  </si>
  <si>
    <t>$F$15</t>
  </si>
  <si>
    <t>$Q$15</t>
  </si>
  <si>
    <t>$V$15</t>
  </si>
  <si>
    <t>יניב שפירא:
1 = בכלל לא מתחשב
2 = מתחשב במידה מועטה
3 = מתחשב במידה מסויימת
4 = מתחשב במידה רבה</t>
  </si>
  <si>
    <t>$AG$15</t>
  </si>
  <si>
    <t>יניב שפירא:
1 = בהחלט לא מתחשב
2 = אולי לא מתחשב
3 = אולי מתחשב
4 = בהחלט מתחשב</t>
  </si>
  <si>
    <t>$F$16</t>
  </si>
  <si>
    <t>יניב שפירא:
קידוד 29 מפלגות</t>
  </si>
  <si>
    <t>יניב שפירא:
שאלות 80-85 לא מקודדות בstata
(בשנת 2019, אין אותם ב2020)</t>
  </si>
  <si>
    <t>$F$17</t>
  </si>
  <si>
    <t>יניב שפירא:
שאלה 91 לא מקודדת בstata
(בשנת 2019, אין אותה ב2020)</t>
  </si>
  <si>
    <t>יניב שפירא:
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</si>
  <si>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$G$24</t>
  </si>
  <si>
    <t>יניב שפירא:
שאלות 86-90
לא מקודדות אצלי בstata
גם ב2020 וגם ב2019
גם ב2021</t>
  </si>
  <si>
    <t>$D$25</t>
  </si>
  <si>
    <t>$A$29</t>
  </si>
  <si>
    <t>$L$29</t>
  </si>
  <si>
    <t>יניב שפירא:
סולם 1-5
1 = לא משנה עבור מי מצביעים
5 = כן משנה</t>
  </si>
  <si>
    <t>יניב שפירא:
1 = היא קודם כל מפלגה שמייצגת את העולים מברה"מ לשעבר
2 = היא לא מפלגה כזו</t>
  </si>
  <si>
    <t>$V$32</t>
  </si>
  <si>
    <t>יניב שפירא:
1 = צעירים
2 = נשים
3 = עדות המזרח
4 = אנשי רוח
5 = פועלים
6 = אנשי צבא
7 = אנשי עסקים
8 = עולים חדשים
9 = אף קבוצה</t>
  </si>
  <si>
    <t>$V$33</t>
  </si>
  <si>
    <t>$A$34</t>
  </si>
  <si>
    <t>יניב שפירא:
אין קידוד
2021</t>
  </si>
  <si>
    <t>יניב שפירא:
1 = מי שהצביע לו
2 = מי שלא הצביע לו
3 = גם וגם
4 = אף אחד
5 = לא הצביע</t>
  </si>
  <si>
    <t>$A$35</t>
  </si>
  <si>
    <t>יניב שפירא:
1 = מפלגות ופוליטיקאים מהמערכת הפוליטית
2 = גופים ואנשים מחוץ למערכת הפוליטית
3 = גם וגם
4 = אף אחד מהם</t>
  </si>
  <si>
    <t>$A$36</t>
  </si>
  <si>
    <t>יניב שפירא:
מי שענה 2/3 בשאלה הקודמת
אין קידוד
2021</t>
  </si>
  <si>
    <t>$C$36</t>
  </si>
  <si>
    <t>שחיתות</t>
  </si>
  <si>
    <t>יניב שפירא:
1 = בהחלט יכול
2 = יכול
3 = לא יכול
4 = בהחלט לא יכול</t>
  </si>
  <si>
    <t>יניב שפירא:
1 = כלל לא מסכים
2 = לא כ"כ מסכים
3 = די מסכים
4 = מאוד מסכים</t>
  </si>
  <si>
    <t>יניב שפירא:
1 = שכתב האישום נגד ראש הממשלה הוא חלק ממסע רדיפה נגדו
2 = שהגופים הללו פועלים כנדרש</t>
  </si>
  <si>
    <t>יניב שפירא:
1 = שחקירות ראש הממשלה הן חלק ממסע רדיפה שמנהלות נגדו התקשורת, מערכת המשפט והמשטרה
2 = שהתקשורת, מערכת המשפט והמשטרה פועלים כנדרש</t>
  </si>
  <si>
    <t>יניב שפירא:
1 = בהחלט מסכים
2 = מסכים
3 = לא כ"כ מסכים
4 = כלל לא מסכים</t>
  </si>
  <si>
    <t>יניב שפירא:
1 = במצב של פיתוח כלכלי אין להמנע ממקרים כאלה
2 = מקרים אלה מראים על הדרדרות מוסרית ויש לעקור אותם מן השורש</t>
  </si>
  <si>
    <t>$AD$8</t>
  </si>
  <si>
    <t>ערבים בלבד</t>
  </si>
  <si>
    <t>יניב שפירא:
1 = מדינה פלסטינית לצד מדינת ישראל היא הדרך הטובה ביותר
2 = מדינה אחת בין הים לירדן היא הדרך הטובה ביותר</t>
  </si>
  <si>
    <t xml:space="preserve">יניב שפירא:
1 = כלל לא מסכים
2 = לא כ"כ מסכים
3 = די מסכים
4 = מאוד מסכים </t>
  </si>
  <si>
    <t>יניב שפירא:
שאלות 12B-14B בפוסט בחירות 2019 לא מקודדות בstata</t>
  </si>
  <si>
    <t>$I$12</t>
  </si>
  <si>
    <t>יניב שפירא:
1 = ישראלי
2 = פלסטיני
3 = ערבי
4 = הדת שלי</t>
  </si>
  <si>
    <t>$C$16</t>
  </si>
  <si>
    <t>יניב שפירא:
1 = מאד מסכים
2 = די מסכים
3 = לא כ"כ מסכים
4 = לא מסכים כלל</t>
  </si>
  <si>
    <t>Name</t>
  </si>
  <si>
    <t>unknown</t>
  </si>
  <si>
    <t>יניב שפירא</t>
  </si>
  <si>
    <t>scale</t>
  </si>
  <si>
    <t>adi</t>
  </si>
  <si>
    <t>Comment Content</t>
  </si>
  <si>
    <t>a , b, c</t>
  </si>
  <si>
    <t>שאלה פתוחה</t>
  </si>
  <si>
    <t>יהודים בלבד</t>
  </si>
  <si>
    <t>מס' הילדים שגרים בבית</t>
  </si>
  <si>
    <t>רק למי שענה שעובד</t>
  </si>
  <si>
    <t>רק למי שענה שיש לו ילדים</t>
  </si>
  <si>
    <t>רק לעולי ברה"מ</t>
  </si>
  <si>
    <t>קידוד 1-103</t>
  </si>
  <si>
    <t>שאלות 12A-14A בפוסט בחירות 2019 לא מקודדות בstata</t>
  </si>
  <si>
    <t>שאלות 709-711 לא מקודדות בנתונים</t>
  </si>
  <si>
    <t>מי שענה '3' בשאלה הקודמת (a45)</t>
  </si>
  <si>
    <t>לנשים בלבד</t>
  </si>
  <si>
    <t>כל מי שלא דירג עצמו "4" בשאלה של ימין-שמאל</t>
  </si>
  <si>
    <t>הציונות הדתית</t>
  </si>
  <si>
    <t>המפד"ל-האיחוד הלאומי</t>
  </si>
  <si>
    <t>המחנה הממלכתי, איחוד עם תקווה חדשה</t>
  </si>
  <si>
    <t>חד"ש תע"ל</t>
  </si>
  <si>
    <t>סולם 1-10</t>
  </si>
  <si>
    <t>רק מגזר יהודי</t>
  </si>
  <si>
    <t>העבודה-גשר-מרצ</t>
  </si>
  <si>
    <t>העבודה-גשר</t>
  </si>
  <si>
    <t>רק מגזר יהודי!</t>
  </si>
  <si>
    <t>יחס עם עוצמה יהודית</t>
  </si>
  <si>
    <t>מפד"ל-האיחוד הלאומי</t>
  </si>
  <si>
    <t>האיחוד הלאומי</t>
  </si>
  <si>
    <t>רק חד"ש-תע"ל</t>
  </si>
  <si>
    <t>רק ערבים</t>
  </si>
  <si>
    <t>רק ליהודים</t>
  </si>
  <si>
    <t>ליהודים בלבד</t>
  </si>
  <si>
    <t>מגזר יהודי בלבד</t>
  </si>
  <si>
    <t>לערבים בלבד</t>
  </si>
  <si>
    <t>מי שענה כן בשאלה 10</t>
  </si>
  <si>
    <t>רק למי שענה 1-3 בשאלה הקודמת</t>
  </si>
  <si>
    <t>במקום דיין, מפלגת ד"ש (יגאל ידין)</t>
  </si>
  <si>
    <t>סולם 1-6</t>
  </si>
  <si>
    <t>שלום וביטחון</t>
  </si>
  <si>
    <t>מבצע "ענבי זעם"</t>
  </si>
  <si>
    <t>בחירות 2015</t>
  </si>
  <si>
    <t>בחירות 2013</t>
  </si>
  <si>
    <t>בחירות 2009</t>
  </si>
  <si>
    <t>בחירות 2006</t>
  </si>
  <si>
    <t>בחירות 2003</t>
  </si>
  <si>
    <t>בחירות 1999</t>
  </si>
  <si>
    <t>בחירות 1996</t>
  </si>
  <si>
    <t>בחירות 1992</t>
  </si>
  <si>
    <t>בחירות 1988</t>
  </si>
  <si>
    <t>בחירות 1984</t>
  </si>
  <si>
    <t>בחירות 1981</t>
  </si>
  <si>
    <t>בחירות 1977</t>
  </si>
  <si>
    <t>בחירות 1973</t>
  </si>
  <si>
    <t>בחירות 1969</t>
  </si>
  <si>
    <t>בחירות 1965</t>
  </si>
  <si>
    <t>בחירות 2019 א'</t>
  </si>
  <si>
    <t>לא למצביעי הליכוד וכחול-לבן</t>
  </si>
  <si>
    <t>רק מי שענה 2 בשאלה הקודמת</t>
  </si>
  <si>
    <t>מי שענה 1 בשאלה על אחוז החסימה (2015)</t>
  </si>
  <si>
    <t>למי שענה 1,2,3 בשאלה הקודמת (שאלה 3)</t>
  </si>
  <si>
    <t>רק מי שענה שלא הצביע/שם פתק לבן</t>
  </si>
  <si>
    <t>לאחר הבחירות</t>
  </si>
  <si>
    <t>לאחר בחירות</t>
  </si>
  <si>
    <t>לא למצביעי הליכוד והמחנה הציוני</t>
  </si>
  <si>
    <t>למי שענה 1 או 3 בשאלה 93 (2015)</t>
  </si>
  <si>
    <t>שאלה ב2015, רק עבור אלו שענו שהצביעו בבחירות האחרונות ב2013 לליכוד-ישראל ביתנו</t>
  </si>
  <si>
    <t>מבצע "ענבי זעם" בלבנון</t>
  </si>
  <si>
    <t>גם c21</t>
  </si>
  <si>
    <t>גם g28</t>
  </si>
  <si>
    <t>אילו היה לך פתק שני</t>
  </si>
  <si>
    <t>9 = בטוח במי יצביע</t>
  </si>
  <si>
    <t>9 = בטוח במי להצביע</t>
  </si>
  <si>
    <t>בהמשך לשאלה אחת למעלה</t>
  </si>
  <si>
    <t>ובנוסף b63</t>
  </si>
  <si>
    <t>בנוסף B68</t>
  </si>
  <si>
    <t>פתוח</t>
  </si>
  <si>
    <t>בהמשך לשאלה a29</t>
  </si>
  <si>
    <t>9 = לא הצביע בחו"ל</t>
  </si>
  <si>
    <t>הבעיה שציין ב"ישראל כללי" שורה 4</t>
  </si>
  <si>
    <t>שחיתות של נתניהו</t>
  </si>
  <si>
    <t>שחיתות של פוליטיקאים</t>
  </si>
  <si>
    <t>הניסוח הוא: " הנושאים שהעלתה המחאה החברתית ב2011 ובעיקר על דיור בר השגה ויוקר המחיה"</t>
  </si>
  <si>
    <t>למי שענה 3 או 4 בשאלה הקודמת</t>
  </si>
  <si>
    <t>רק מי שהצביע בבחירות להסתדרות</t>
  </si>
  <si>
    <t>רק מי שלא הצביע בבחירות להסתדרות</t>
  </si>
  <si>
    <t>0 = אין זכות בחירה</t>
  </si>
  <si>
    <t>לא לערבים</t>
  </si>
  <si>
    <t>מלחמה עם סוריה</t>
  </si>
  <si>
    <t>מלחמה עם חיזבאללה</t>
  </si>
  <si>
    <t>רק למי שענה "1" בשאלה v49</t>
  </si>
  <si>
    <t>רק יהודים למעט 2022</t>
  </si>
  <si>
    <t>וגם a472</t>
  </si>
  <si>
    <t>רק מי שענה 1 בשאלה הקודמת</t>
  </si>
  <si>
    <t>קידוד 29 מפלגות</t>
  </si>
  <si>
    <t>שאלות 12B-14B בפוסט בחירות 2019 לא מקודדות בstata</t>
  </si>
  <si>
    <t>isOpen</t>
  </si>
  <si>
    <t>isSector</t>
  </si>
  <si>
    <t>otherType</t>
  </si>
  <si>
    <t>rephrase</t>
  </si>
  <si>
    <t>specialScale</t>
  </si>
  <si>
    <t>stataIsNotCoded</t>
  </si>
  <si>
    <t>specialSector</t>
  </si>
  <si>
    <t>partyChange</t>
  </si>
  <si>
    <t>even scale</t>
  </si>
  <si>
    <t>women</t>
  </si>
  <si>
    <t>clarification</t>
  </si>
  <si>
    <t>specialValue</t>
  </si>
  <si>
    <t>comment2</t>
  </si>
  <si>
    <t>blank</t>
  </si>
  <si>
    <t>followupQuestion</t>
  </si>
  <si>
    <t>askedTwice</t>
  </si>
  <si>
    <t>finalType</t>
  </si>
  <si>
    <t>type</t>
  </si>
  <si>
    <t>open</t>
  </si>
  <si>
    <t>Content Only</t>
  </si>
  <si>
    <t>1 = ינואר
2 = פברואר</t>
  </si>
  <si>
    <t>שאלה 145
אין קידוד בstata
גם ב2020 וגם ב2019
גם ב2021</t>
  </si>
  <si>
    <t>1 = יהודי
2 = ערבי</t>
  </si>
  <si>
    <t>1 = גרסה A
2 = גרסה B</t>
  </si>
  <si>
    <t>1 = עברית
2 = ערבית
3 = רוסית</t>
  </si>
  <si>
    <t>1 = 20-25
2 = 25-29
3 = 30-34
4 = 35-39
5 = 40-44
6 = 45-49
7 = 50-54
8 = 55-64
9 = 65+</t>
  </si>
  <si>
    <t>1 = 20-24
2 = 25-29
3 = 30-34
4 = 35-39
5 = 40-44
6 = 45-49
7 = 50-54
8 = 55-64
9 = 65+</t>
  </si>
  <si>
    <t>1 = 18-24
2 = 25-29
3 = 30-34
4 = 35-39
5 = 40-44
6 = 45-49
7 = 50-54
8 = 55-64
9 = 65+</t>
  </si>
  <si>
    <t>1 = 18-22
2 = 23-29
3 = 30-39
4 = 40-49
5 = 50-59
6 = 60-69
7 = 70-79
8 = 80 ומעלה</t>
  </si>
  <si>
    <t>1 = male
2 = female</t>
  </si>
  <si>
    <t>1 = אישה
2 = גבר</t>
  </si>
  <si>
    <t>1 = זכר
2 = נקבה</t>
  </si>
  <si>
    <t>1 = גבר
2 = אישה</t>
  </si>
  <si>
    <t>1 = עממית או פחות
2 = תיכונית חלקית
3 = תיכונית מלאה - ללא בגרות
4 = תיכונית מלאה - עם בגרות
5 = על תיכונית לא אקדמית
6 = תואר אקדמאי חלקי
7 = תואר ראשון
8 = תואר שני ומעלה</t>
  </si>
  <si>
    <t>1 = לא למד בכלל
2 = עד 4 שנים
3 = 5-8
4 = 9-10
5 = 11
6 = 12
7 = 13 + (בלי תואר)
8 = בעל תואר</t>
  </si>
  <si>
    <t>1 = yes
2 = no</t>
  </si>
  <si>
    <t>קידוד לתשובות תחת
nv176</t>
  </si>
  <si>
    <t>1 = צבר
2 = אירופה התיכונית והמזרחית
3 = אירופה הדרומית
4 = אירופה המערבית
5 = ארצות דוברות אנגלית
6 = צפון אפריקה
7 = המזרח התיכון
8 = המזרח הרחוק
9 = דרום אמריקה</t>
  </si>
  <si>
    <t>1 = יליד אסיה/אפריקה
2 = יליד אירופה/אמריקה
3 = יליד ברה"מ/חבר העמים
4 = יליד ישראל, אב יליד ישראל
5 = יליד ישראל, אב יליד אסיה/אפריקה
6 = יליד ישראל, אב יליד אירופה/אמריקה
7 = יליד ישראל, אב יליד בהר"מ/חבר העמים
8 = מסרב להשיב</t>
  </si>
  <si>
    <t>1 = ישראל
2 = אסיה או אפריקה
3 = אירופה או אמריקה
4 = בהר"מ/חבר העמים</t>
  </si>
  <si>
    <t>1 = צפון אפריקה
2 = אסיה
3 = מזרח אירופה
4 = מערב/מרכז אירופה
5 = אמריקה,אפריקה,אוסטרליה
6 = צבר, אב צבר
7 = צבר, אבא צפון אפריקה
8 = צבא, אבא אסיה
9 = צבר, אבא מזרח אירופה
10 = צבר, אבא מערב/מרכז אירופה
11 = צבר, אבא אמריקה,אפריקה,אוסטלריה</t>
  </si>
  <si>
    <t>1 = ישראל-ישראל
2 = ישראל- אסיה/אפריקה
3 = ישראל- אירופה/אמריקה
4 = אסיה/אפריקה-אסיה/אפריקה
5 = אירופה/אמריקה- אירופה/אמריקה
6 = כל צירוף אחר</t>
  </si>
  <si>
    <t>1 = אסיה וצפון אפריקה
2 = אירופה ואנגלו-סכסיות
3 = ישראל והאב מאסיה צפון אפריקה
4 = ישראל והאב אירופה או האנגלו-סכסיות
5 = ישראל וגם האב ישראל</t>
  </si>
  <si>
    <t>1 = יליד הארץ
2 = לפני 1948
3 = 1948-1954
4 = 1955-1960
5 = 61-66
6 = 67-72
7 = 73-77
8 = 78-83
9 = 1984 ומעלה</t>
  </si>
  <si>
    <t>1 = יליד הארץ
2 = לפני 1948
3 = 1948-1954
4 = 1955-1960
5 = 61-66
6 = 67-72
7 = 73-77
8 = 78-79
9 = 1980 ואלך</t>
  </si>
  <si>
    <t>1 = אשכנזי
2 = ספרדי
3 = מזרחי
4 = אחר (פרט):_____</t>
  </si>
  <si>
    <t>1 = אשכנזי
2 = ספרדי
3 = מזרחי
4 = אחר
5 = מעורב
6 = לא זה ולא זה, לא מגדיר את עצמי לפי מוצא עדתי</t>
  </si>
  <si>
    <t>1 = אשכנזי
2 = ספרדי
3 = לא זה ולא זה</t>
  </si>
  <si>
    <t>1 = אשכנזי
2 = ספרדי
3 = לא זה ולא זה
4 = שניהם</t>
  </si>
  <si>
    <t>1 = כן
2 = לא</t>
  </si>
  <si>
    <t>1 = ישראלי
2 = יהודי (לערבים: פלסטיני)
3 = העדה שלי (לערבים: הדת שלי)
4 = החילוניות/דתיות שלי</t>
  </si>
  <si>
    <t>רק יהודים
1 = ישראלי
2 = יהודי
3 = העדה שלי
4 = החילוניות/דתיות שלי</t>
  </si>
  <si>
    <t>1 = ישראלי (ערבי)
2 = פלסטיני
3 = ערבי
4 = הדת שלי (מוסלמי/נוצרי/דרוזי)
5 = ישראלי (יהודי)
6 = יהודי
7 = העדה שלי
8 = החילוניות/דתיות שלי</t>
  </si>
  <si>
    <t>1 = ישראלי
2 = יהודי
3 = העדה שלי
4 = חילוניות/דתיות שלי</t>
  </si>
  <si>
    <t>1 = לא למד
2 = למד במסגרת דתית</t>
  </si>
  <si>
    <t xml:space="preserve">ב2022 הוצאה עמדה על 16,000 ₪ 
ב2019 הוצאה עמדה על 15,000 ₪ 
ב2015 ההוצאה עמדה על 14,000 ₪ </t>
  </si>
  <si>
    <t>1 = הרבה מתחת לממוצע
2 = מעט מתחת לממוצע
3 = כמו הממוצע
4 = מעט מעל הממוצע
5 = הרבה מעל הממוצע</t>
  </si>
  <si>
    <t>1 = הרבה מעל הממוצע
2 = מעט מעל הממוצע
3 = כמו הממוצע
4 = מעט מתחת לממוצע
5 = הרבה מתחת לממוצע</t>
  </si>
  <si>
    <t>1 = עד 1,000
2 = 1,001-1,500
3 = 1,501-2,000
4 = 2,001-2,500
5 = 2,501-3,000
6 = 3,001-4,000
7 = 4,001-5,000
8 = 5,001-6,000
9 = 6,001-7,000
10 = 7,001 +</t>
  </si>
  <si>
    <t>1 = חדר אחד
2 = שני חדרים
3 = שלושה חדרים
4 = ארבעה חדרים
5 = חמישה חדרים
6 = שישה חדרים
7 = שבעה חדרים
8 = שמונה חדרים
9 = תשעה חדשים ויותר</t>
  </si>
  <si>
    <t>1 = 1
2 = 2
3 = 3
4 = 4
5 = 5
6 = 6
7 = 7
8 = 8
9 = 9+</t>
  </si>
  <si>
    <t>צפיפות
מדד אחד לחדרים\נפשות</t>
  </si>
  <si>
    <t>1 = עד ולא כולל 1
2 = 1-1.99
2 = 2-2.99
3 = 3-3.99
4 = 4+</t>
  </si>
  <si>
    <t>1 = יהודי
2 = מוסלמי
3 = נוצרי
4 = דרוזי
5 = אחר</t>
  </si>
  <si>
    <t>לא ליהודים
1 = מוסלמי
2 = נוצרי
3 = דרוזי</t>
  </si>
  <si>
    <t>5 = מוסלמי
6 = נוצרי
7 = דרוזי</t>
  </si>
  <si>
    <t>1 = דתי מאד, חרדי
2 = דתי
3 = מסורתי דתי
4 = מסורתי לא כ"כ דתי
5 = לא דתי, חילוני</t>
  </si>
  <si>
    <t>1 = חילוני
2 = מסורתי
3 = דתי
4 = חרדי</t>
  </si>
  <si>
    <t>1 = נשוי
2 = חי עם בן\בת זוג קבוע\ה
3 = גרוש
4 = פרוד 
5 = אלמן
6 = רווק, מעולם לא נישא</t>
  </si>
  <si>
    <t>1 = רווק
2 = נשוי
3 = גרוש
4 = אלמן</t>
  </si>
  <si>
    <t>1 = רווק
2 = נשוי בלי ילדים
3 = נשוי עם ילד אחד
4 = נשוי עם שני ילדים
5 = נשוי עם שלושה או יותר ילדים
6 = גרוש בלי ילדים
7 = גרוש עם ילדים
8 = אלמן בלי ילדים
9 = אלמן עם ילדים</t>
  </si>
  <si>
    <t>1 = רווק
2 = אלמן/גרוש ללא
3 = נשוי ללא
4 = אלמן/גרוש + 1/2
5 = אלמן/גרוש + 3
6 = אלמן/גרוש + 4
7 = נשוי + 1/2
8 = נשוי + 3
9 = נשוי + 4</t>
  </si>
  <si>
    <t>1 = רווק/אלמן/גרוש
2 = נשוי</t>
  </si>
  <si>
    <t>1 = רווק
2 = נשוי בלי ילדים
3 = נשוי עם ילדים
4 = אלמן/גרוש בלי ילדים
5 = אלמן/גרוש עם ילדים</t>
  </si>
  <si>
    <t>1 = אתה כלל לא שומר על המסורת
2 = אתה שומר במקצת על המסורת
3 = אתה שומר במידה רבה על המסורת
4 = אתה שומר על המסורת על כל דקדוקיה</t>
  </si>
  <si>
    <t>1 = שומר על המסורת על כל דקדוקיה
2 = שומר במידה רבה
3 = שומר במקצת
4 = לא שומר כלל</t>
  </si>
  <si>
    <t>1 = כן 
2 = לא</t>
  </si>
  <si>
    <t>1 = כל יום
2 = כמעט כל שבת וחג
3 = פעמים אחדות בשנה
4 = רק ביום כיפור
5 = אף פעם</t>
  </si>
  <si>
    <t>1 = ישראל
2 = אסיה או אפריקה
3 = אירופה או אמריקה
4 = ברה"מ/חבר העמים</t>
  </si>
  <si>
    <t>שאלה פתוחה
קידוד תחת
nv179</t>
  </si>
  <si>
    <t>שאלה פתוחה
לא לערבים</t>
  </si>
  <si>
    <t xml:space="preserve">שאלה פתוחה
קידוד תחת
 nv180
</t>
  </si>
  <si>
    <t>1 = שכיר
2 = עצמאי
3 = פנסיונר
4 = עקרת בית
5 = חייל/תלמיד/סטודנט
6 = מחפש עבודה
7 = אחר</t>
  </si>
  <si>
    <t>1 = שכיר פועל
2 = שכיר פקיד
3 = שכיר מנהל
4 = עצמאי קטן
5 = עצמאי בעל חברה</t>
  </si>
  <si>
    <t>1 = שכיר פועל
2 = שכיר פקיד
3 = שכיר מנהל
4 = עצמאי קטן
5 = עצמאי בעל חברה
6 = לא עובד</t>
  </si>
  <si>
    <t>1 = שכיר
2 = עצמאי
3 = חבר קואופרטיב
4 = פנסיונר
5 = עקרת בית
6 = חייל/תלמיד/סטודנט
7 = אחר שלא מועסק</t>
  </si>
  <si>
    <t>1 = שכיר
2 = עצמאי
3 = לא מועסק</t>
  </si>
  <si>
    <t>1 = שכיר
2 = עצמאי - מעביד
3 = עצמאי - לא מעסיק אחרים
4 = חבר קואופרטיב
5 = אחר
6 = מחפש עבודה
7 = עקרת בית
8 = פנסיונר</t>
  </si>
  <si>
    <t>1 = שכיר
2 = עצמאי
3 = לא מועסק
4 = אין בן/בת זוג</t>
  </si>
  <si>
    <t>1 = לא למד כלל
2 = עממי חלקי
3 = סיים עממי
4 = תיכון חלקי
5 = סיים תיכון
6 = גבוהה חלקית
7 = ב.א.
8 = תואר שני ומעלה</t>
  </si>
  <si>
    <t>1 = משרה מלאה
2 = משרה חלקית</t>
  </si>
  <si>
    <t>1 = מקצוע חופשי שדורש השכלה אקדמית
2 = מקצוע חופשי שלא דורש הכשלה אקדמית
3 = פקיד או בעל עסק עם 11+ עובדים
4 = פקיד או בעל עסק עם 3-10 עובדים
5 = פקיד או בעל עסק עם 0-2 עובדים
6 = פועל מקצועי
7 = פועל לא מקצועי (רוכל)
8 = סטודנט
9 = עקר בית
0 = לא עובד</t>
  </si>
  <si>
    <t>1 = מקצוע חופשי
2 = מנהל/פקיד
3 = סוחר
4 = חקלאי
5 = עובד תחבורה
6 = בנייה
7 = בעל מלאכה
8 = ספורט/בידור
9 = לא עובד</t>
  </si>
  <si>
    <t>1 = מגזר ציבורי
2 = מגזר פרטי/חברה פרטית</t>
  </si>
  <si>
    <t>1 = כלל לא מודאג
2 = מודרג במקצת
3 = מודאג מאוד
4 = איבדתי את מקום העבודה שלי לאחרונה ואני מחפש עבודה
5 = אינני עובד ואינני מחפש עבודה</t>
  </si>
  <si>
    <t>1 = גבוה
2 = בינוני-גבוה
3 = בינוני
4 = נמוך</t>
  </si>
  <si>
    <t>1 = גבוה
2 = בינוני-גבוה
3 = בינוני
4 = נמוך
5 = מעמד הפועלים
6 = לא משויך לשום מעמד</t>
  </si>
  <si>
    <t>1 = מעמד גבוה
2 = מעמד בינוני
3 = מעמד פועלים
4 = מעמד נמוך
5 = לא שייף לאף מעמד</t>
  </si>
  <si>
    <t>1 = בינוני-עליון
2 = בינוני
3 = נמוך
4 = עליון
5 = פועלים
6 = אחר
7 = לא מסווג את עצמי לשום מעמד</t>
  </si>
  <si>
    <t>0 = לא
1 = כן</t>
  </si>
  <si>
    <t>1 = לא
2 = כן</t>
  </si>
  <si>
    <t>1 = אין
2 = יש בן/בנים
3 = יש בת/בנות
4 = יש בן+בת</t>
  </si>
  <si>
    <t>1 = הכנסה מעבודה
2 = גמלאות
3 = דמי אבטלה, קצבאות או מענקי סעד
4 = הכנסה מהשקעות חסכונות ביטוח או רכוש
5 = הכנסה ממקורות אחרים</t>
  </si>
  <si>
    <t xml:space="preserve">1 = עד 3,000 ₪
2 = 3,001-4,500 ₪
3 = 4,501-6,000 ₪
4 = 6,001-8,000 ₪
5 = 8,001-10,000 ₪
6 = 10,001-12,000 ₪
7 = 12,001-14,000 ₪
8 = 14,001-16,000 ₪
9 = 16,001-20,000 ₪
10 = יותר מ-20,001 ₪ </t>
  </si>
  <si>
    <t>1 = עד 20,000 
2 = 20,001-30,000
3 = 30,001-40,000
4 = 40,001-50,000
5 = 50,001-60,000
6 = 60,001-75,000
7 = 75,001-85,000
8 = 85,001 +</t>
  </si>
  <si>
    <t>1 = כלום
2 = חלק קטן מאוד
3 = פחות מחצי
4 = בערך חצי
5 = מעל לחצי
6 = חלק גדול מאוד
7 = הכל</t>
  </si>
  <si>
    <t xml:space="preserve">1 = לא למד כלל
2 = ביה"ס יסודי וחטיבת בינים
3 = תיכון
4 = מוסד הנותן קורסים של הכשרה והשתלמות
5 = מוסד על תיכוני
6 = מוסד אקדמי
</t>
  </si>
  <si>
    <t>1 = עולים מברה"מ
2 = ישראלים לא עולים
3 = חצי חצי</t>
  </si>
  <si>
    <t>1 = טרם, אך אשרת בעתיד
2 = כיום בשירות חובה
3 = כיום בשירות קבע
4 = שירתתי בעבר
5 = לא שירתתי כלל</t>
  </si>
  <si>
    <t>1 = לא, דח"ש
2 = לא, שחרור רפואי
3 = לא, סיבות אישיות
4 = לא, עקב נישואין
5 = לא, עלה לארץ בגיל מבוגר
6 = לא, כאשר צה"ל הוקם היה מבוגר מדי
7 = לא, אין פירוט
8 = סיבה אחרת
9 = שירת בצה"ל</t>
  </si>
  <si>
    <t>1 = קרבי
2 = לא קרבי</t>
  </si>
  <si>
    <t>1 = עד שנה
2 = שנה-שנה וחצי
3 = שנה וחצי-שנתיים
4 = שנתיים-שנתיים וחצי
5 = שנתיים וחצי-שלוש
6 = 3-6 שנים
7 = 6-15 שנים
8 = מעל 15 שנים</t>
  </si>
  <si>
    <t>1 = טוראי
2 = טר"ש
3 = רב"ט
4 = סמל
5 = סמ"ר
6 = רס"ל
7 = רס"ר
8 = רס"מ/רס"ב
9 = סג"מ
10 = סגן
11 = סרן
12 = רס"ן
13 = סא"ל
14 = אל"ם
15 = תא"ל
16 = אלוף
17 = רא"ל</t>
  </si>
  <si>
    <t>1 = המרואיין
2 = בעלה של המרואיינת
3 = אביו של המרואיין
4 = בנו של המרואיין
5 = אחר</t>
  </si>
  <si>
    <t>1 = לא למד כלל
2 = עד 4 שנים
3 = 5-8 שנים
4 = 9-10 שנים
5 = 11 שנים
6 = 12 שנים
7 = השכלה על תיכונית או אקדמית חלקית
8 = השכלה אקדמית מלאה</t>
  </si>
  <si>
    <t>1 = מקצוע חופשי שדורש השכלה אקדמית
2 = מקצוע חופשי שלא דורש השכלה
3 = פקיד או בעל עסק המעסיק 11 + עובדים
4 = פקיד או בעל עסק המעסיק 3-10 עובדים
5 = פקיד או בעל עסק המעסיק 0-2 עובדים
6 = פועל מקצועי
7 = רוכל
8 = אחר
9 = לא עובד</t>
  </si>
  <si>
    <t>1 = שכיר
2 = עצמאי-מעסיק
3 = עצמאי לא מעסיק
4 = חבר קואופרטיב
5 = אחר
6 = מחפש עבודה
7 = עקרת בית
8 = פנסיונר
9 = אחר</t>
  </si>
  <si>
    <t>1 = אתה או ראש המשפחה
2 = בעלים פרטיים
3 = הסתדרות
4 = סקטור ציבורי
5 = אחר
6 = לא עובד</t>
  </si>
  <si>
    <t>1 = כן
2 = לא
6 = לא עובד</t>
  </si>
  <si>
    <t xml:space="preserve">2 = קופ"ח של העובדים הלאומיים
3 = קופ"ח מכבי
4 = קופ" מרכזית
5 = קופ"ח עממית
6 = ביטוח אחר
7 = באמצעות סעד
8 = פרטי
</t>
  </si>
  <si>
    <t>1 = עברית
2 = יידיש
3 = ערבית
4 = שפות מזרח אירופאיות
5 = שפות מערב אירופה
6 = שפות לטיניות ובלקניות
7 = אחר</t>
  </si>
  <si>
    <t>1 = אותו מקום
2 = מקום אחר</t>
  </si>
  <si>
    <t>1 = הנוע"ל
2 = התנועה המאוחדת
3 = הצופים
4 = שמו"צ
5 = בני עקיבא
6 = הנוער הדתי העובד
7 = הנוער העובד הלאומי
8 = מכבי הצעיר
9 = דרור
10 = בית"ר
11 = עזרא
12 = נוער ציוני
13 = צעירי אגודת ישראל
14 = בנות אגודת ישראל
15 = תנועה בחו"ל
16 = אחר
17 = לא חבר תנועת נוער</t>
  </si>
  <si>
    <t>1 = איחוד הקבוצות והקיבוצים
2 = הקיבוץ המאוחד
3 = קיבוצי השמו"צ
4 = הקיבוץ הדתי
5 = הנוער הציוני
6 = הבלתי מצורפים
7 = זרם אחר
8 = לא היה חבר קיבוץ</t>
  </si>
  <si>
    <t>1 = טוב מאוד
2 = טוב
3 = ככה ככה
4 = לא טוב
5 = רע</t>
  </si>
  <si>
    <t>1 = רע
2 = לא טוב
3 = ככה ככה
4 = טוב
5 = טוב מאוד</t>
  </si>
  <si>
    <t>1 = טוב מאד
2 = טוב
3 = ככה ככה
4 = לא טוב
5 = רע</t>
  </si>
  <si>
    <t>1 = מטפלת בדרך טובה מאד
2 = מטפלת בדרך טובה
3 = מטפלת בדרך לא כ"כ טובה
4 = מטפלת בדרך לא טובה כלל</t>
  </si>
  <si>
    <t>1 = לא טובה כלל
2 = בדרך לא כ"כ טובה
3 = בדרך טובה
4 = בדרך טובה מאוד</t>
  </si>
  <si>
    <t>1 = בדרך טובה מאד
2 = בדרך טובה
3 = לא כ"כ טובה
4 = לא טובה בכלל</t>
  </si>
  <si>
    <t>קידוד
1-72</t>
  </si>
  <si>
    <t>אפשר לתת 2 תשובות
c8_code1
c8_code2</t>
  </si>
  <si>
    <t>אפשר לתת שתי תשובות
v8_code_1
v8_code_2</t>
  </si>
  <si>
    <t>1 = בטחון
2 = כלכלה
3 = פער חברתי
4 = שלום
5 = זוגות צעירים
6 = אינפלציה
7 = קליטת עולים
8 = חינוך
9 = חוסר מנהיגות
10 = אחר</t>
  </si>
  <si>
    <t>1 = בטחון
2 = כלכלה
3 = פער חברתי
4 = שלום
5 = זוגות צעירים
6 = שינוי שיטת הבחירות
7 = קליטת עליה
8 = חינוך
9 = אחר</t>
  </si>
  <si>
    <t>1 = בטחון
2 = שלום
3 = כלכלה
4 = עליה וקליטה
5 = חינוך
6 = הפער החברתי
7 = שיכון זוגות צעירים
8 = בעיות פנים</t>
  </si>
  <si>
    <t>1 = יחסים עם המעצמות
2 = עצמאות כלכלית
3 = שלום באזור
4 = יחסי עבודה
5 = היחסים עם הערבים
6 = הצבא
7 = יחסי חוץ
8 = עלייה
9 = מיקום הדת במדינה
10 = יחסים עדתיים
11 = אחר
12 = לא יודע</t>
  </si>
  <si>
    <t>1 = תפתור בקרוב את שתיהן
2 = תפתור בקרוב רק את הראשונה
3 = תפתור בקרוב רק את השנייה
4 = לא תפתור שום בעיה בקרוב</t>
  </si>
  <si>
    <t>1 = נתניהו
2 = ברק
3 = מרדכי
4 = בגין
5 = בשארה
6 = רפול
7 = אף אחד
8 = אין הבדל</t>
  </si>
  <si>
    <t>1 = נתניהו
2 = פרס
3 = אותו דבר
4 = אף אחד</t>
  </si>
  <si>
    <t>1 = פרס
2 = בגין</t>
  </si>
  <si>
    <t>1 = המערך
2 = הליכוד
3 = שניהם אותו דבר
4 = אף אחד מהם</t>
  </si>
  <si>
    <t>אין קידוד
גם ב2020 וגם ב2021</t>
  </si>
  <si>
    <t>1 = שחיתות
2 = פוליטיקאים שלא מקיימים הבטחות
3 = גורמים שמתערבים בבחירות כך שהתוצאות לא מייצגות את רצון הבוחר
4 = שיטת הבחירות שמעוותת את רצון הבוחרים</t>
  </si>
  <si>
    <t>1-10
1 = כלל לא מרוצה
10 = מרוצה לגמרי</t>
  </si>
  <si>
    <t>1 = בהחלט לא מסכים
2 = לא מסכים
3 = מסכים
4 = מסכים מאד</t>
  </si>
  <si>
    <t>1 = שמירה על כלכלה יציבה
2 = יצירה של סביבה אנושית יותר, שמדגישה יותר יחסי אנוש
3 = יצירת סביבה בה רעיונות נחשבים יותר מכסף
4 = מלחמה בפשע</t>
  </si>
  <si>
    <t>סולם 1-9
1 = מצב גרוע ביותר
9 = מצב טוב ביותר</t>
  </si>
  <si>
    <t>ארבע שנים ולא חמש
סולם 1-10
1 = החיים הטובים ביותר
10 = החיים הגרועים ביותר</t>
  </si>
  <si>
    <t>סולם 0-10
0 = המצב הגרוע ביותר
10 = המצב הטוב ביותר</t>
  </si>
  <si>
    <t>1 = תשנה את מצבי באופן אישי
2 = תשנה את המצב במדינה ולכן זה ישנה את מצבי
3 = לא תשנה את מצבי</t>
  </si>
  <si>
    <t>באיזו מידה את/ה תומך/ת או מתנגד/ת להשתתפות של מפלגות ערביות בקואליציה? 
1 = מתנגד/ת לחלוטין
2 = מתנגד/ת להשתתפותן בקואלציה, אך בעד תמיכתן מבחוץ
3 = תומך/ת בהשתתפותן בקואליציה, ללא תפקידי שרים
4 = תומך/ת בהשתתפותן בקואליציה, כולל תפקידי שרים</t>
  </si>
  <si>
    <t>1 = מתנגד מאד
2 = מתנגד במידה מסוימת
3 = תומך במידה מסוימת
4 = תומך מאד</t>
  </si>
  <si>
    <t>1 = תומך מאד
2 = תומך במידה מסוימת
3 = מתנגד במידה מסוימת
4 = מתנגד מאד</t>
  </si>
  <si>
    <t>1 = האינטרסים של המדינה חשובים יותר
2 = באותה מידה
3 = האינטרסים של הפרט חשובים יותר</t>
  </si>
  <si>
    <t>1 = של המדינה חשובים הרבה יותר
2 = של המדינה חשובים יותר
3 = באותה מידה
4 = של הפרט חשובים יותר
5 = של הפרט חשובים הרבה יותר</t>
  </si>
  <si>
    <t>1 = אינטרס כללי בהחלט חשוב יותר
2 = אינטרס כללי אולי חשוב יותר
3 = חשובים באותה מידה
4 = אינטרס אישי אולי חשוב יותר
5 = אינטרס אישי בהחלט חשוב יותר</t>
  </si>
  <si>
    <t>1 = במידה רבה
2 = במידה מסוימת
3 = במידה מועטה
4 = בכלל לא</t>
  </si>
  <si>
    <t>1 = אפשר להשיג הכל בו זמנית
2 = אי אפשר להשיג הכל בו זמנית</t>
  </si>
  <si>
    <t>1 = בכלל לא
2 = במסגרת העבודה בלבד
3 = יש, ידיד אחד או שניים
4 = יש, קשרים רבים</t>
  </si>
  <si>
    <t>1 = במידה רבה
2 = במידה מסוימת
3 = במידה קטנה
4 = כלל לא</t>
  </si>
  <si>
    <t>1 = סיכוי גבוה
2 = סיכוי נמוך</t>
  </si>
  <si>
    <t>1 = מסכים בהחלט
2 = מסכים
3 = מתנגד
4 = מתנגד בהחלט</t>
  </si>
  <si>
    <t>1 = מאמין בהחלט
2 = מאמין אך לא בטוח
3 = מטיל ספק
4 = בהחלט לא מאמין</t>
  </si>
  <si>
    <t>1 = צודק
2 = לא צודק</t>
  </si>
  <si>
    <t>1 = בדר"כ ביעילות
2 = בדר"כ לא ביעילות</t>
  </si>
  <si>
    <t>1 = ארוך מדי
2 = במידה הנכונה
3 = קצר מדי</t>
  </si>
  <si>
    <t>1 = אלוהים
2 = צה"ל
3 = ארה"ב
4 = מדינת ישראל
5 = עם ישראל
6 = כל אחד צריך לשמור על עצמו
7 = אחר</t>
  </si>
  <si>
    <t>1 = למכור לכל המעוניין
2 = למכור לכל מדינה, פרט למדינות עוינות
3 = למכור רק למדינות שהמשטר שלהם נראה לנו
4 = לא למכור נשק כלל</t>
  </si>
  <si>
    <t>1 = אפשר לתת אמון
2 = יש להיות זהירים</t>
  </si>
  <si>
    <t>1 = נוטים יותר לעזור
2 = נוטים לדאוג לעצמם</t>
  </si>
  <si>
    <t>1 = הגשמה עצמית
2 = הערכה עצמית
3 = חיבה, אהבה
4 = ודאות ובטחון בחיים
5 = חיים נוחים</t>
  </si>
  <si>
    <t>1 = דעה טובה מאד
2 = דעה די טובה
3 = לא טובה ולא רעה
4 = דעה די רעה
5 = דעה רעה מאד</t>
  </si>
  <si>
    <t>1 = לכיוון הדעה הטובה
2 = לכיוון הדעה הרעה</t>
  </si>
  <si>
    <t>1 = מרוצה מאד
2 = די מרוצה
3 = לא כ"כ מרוצה
4 = כלל לא מרוצה</t>
  </si>
  <si>
    <t>1 = לעתים קרובות
2 = לפעמים
3 = לעתים רחוקות
4 = אף פעם לא</t>
  </si>
  <si>
    <t>1 = משוכנע שרוצה
2 = רוצה אך לא משוכנע
3 = יש לי ספיקות
4 = משוכנע שלא רוצה</t>
  </si>
  <si>
    <t>1 = המצב הבטחוני
2 = המצב הכלכלי
3 = המצב החברתי
4 = עליות נטיות אנטי דמוקרטיות
5 = מעמד הדת במדינה</t>
  </si>
  <si>
    <t>1 = מאושר מאד
2 = די מאושר
3 = לא כ"כ מאושר</t>
  </si>
  <si>
    <t>1 = מרוצה מאד
2 = מרוצה
3 = אין דעה
4 = לא מרוצה
5 = כלל לא מרוצה</t>
  </si>
  <si>
    <t>1 = טרם הגיע מועד הגיוס שלי
2 = אני בעתודה אקדמית
3 = עולה חדש
4 = אינני אזרח המדינה
5 = מסיבות דתיות
6 = מסיבות מצפוניות
7 = אחר</t>
  </si>
  <si>
    <t>1 = אני נפצעתי קשה
2 = אני נפצעתי, אך לא קשה
3 = מישהו מבני משפחתי נפצע קשה
4 = מישהו מבני משפחתי נפצע, אף ךא קשה</t>
  </si>
  <si>
    <t>1 = כן
2 - לא</t>
  </si>
  <si>
    <t>1 = מתאים מאד
2 = מתאים
3 = לא בטוח
4 = לא מתאים
5 = כלל לא מתאים</t>
  </si>
  <si>
    <t>1 = מאמין במידה רבה
2 = מאמין במידה מסוימת
3 = מאמין במידה מועטה
4 = לא מאמין כלל</t>
  </si>
  <si>
    <t>1 = לא שירת
2 = פחות משבועיים
3 = שבועיים עד חודש
4 = חודש עד חודש וחצי
5 = חודש וחצי עד חודשיים
6 = חודשיים עד חודשיים וחצי
7 = חודשיים וחצי עד שלושה
8 = שלושה חודשים או יותר</t>
  </si>
  <si>
    <t>1 = מרוצה מאוד
2 = מרוצה
3 = לא כ"כ מרוצה
4 = לא מרוצה כלל</t>
  </si>
  <si>
    <t>1 = מאד מרוצה
2 = מרוצה
3 = לא כ"כ מרוצה
4 = כלל לא מרוצה</t>
  </si>
  <si>
    <t>1 = במידה רבה
2 = במידה מסוימת
3 = במדה מועטה
4 = כלל לא
9 = לא פעיל</t>
  </si>
  <si>
    <t>1 = מזה חודשיים
2 = מזה חודש
3 = מזה שבועיים
4 = פחות משבועיים
5 = לא מגוייס
6 = אין לי בעל</t>
  </si>
  <si>
    <t>1 = הוטב במידה רבה
2 = הוטב במידה מסוימת
3 = לא חל שינוי
4 = הורע במידה מסוימת
5 = הוקע במידה רבה</t>
  </si>
  <si>
    <t>1 = במידה רבה
2 = במידה מסוימת
3 = במידה מועטה
4 = כלל לא</t>
  </si>
  <si>
    <t>1 = באופן חיובי ביותר
2 = באופן חיובי
3 = באופן שלילי
4 = באופן שלילי ביותר</t>
  </si>
  <si>
    <t>1 = דרך טובה מאוד
2 = דרך טובה
3 = דרך לא כ"כ טובה
4 = דרך גרועה
5 = דרך גרועה מאוד</t>
  </si>
  <si>
    <t>1 = לשפר את השירותים
2 = לפתח את העיר
3 = לדאוג לפרנסה
4 = אחר</t>
  </si>
  <si>
    <t>1 = מאוד ברור
2 = ברור
3 = לא כ"כ ברור
4 = לא ברור כלל</t>
  </si>
  <si>
    <t>1 = במידה רבה מאוד
2 = במידה רבה
3 = במידה מועטה
4 = כלל לא</t>
  </si>
  <si>
    <t>1 = מאוד רצוי
2 = רצוי
3 = לא כ"כ רצוי
4 = כלל לא רצוי</t>
  </si>
  <si>
    <t>1 = בהחלט בחירות ישירות
2 = בחירות אישיות
3 = רשימות מפלגתיות
4 = בהחלט רשימות מפלגתיות
5 = אין דעה</t>
  </si>
  <si>
    <t>1 = כן
2 = לא
3 = לא חבר תנועת נוער</t>
  </si>
  <si>
    <t>1 = בהחלט ברור
2 = ברור
3 = לא כ"כ ברור
4 = כלל לא ברור</t>
  </si>
  <si>
    <t>1 = צעירים
2 = מבוגרים
3 = אין קבוצת גיל מיוחדת</t>
  </si>
  <si>
    <t>1 = צפון אפריקה + מזרח תיכון
2 = אירופה
3 = אין קבוצת מוצא מיוחדת</t>
  </si>
  <si>
    <t>1 = פועלים
2 = סוחרים
3 = אנשי רוח
4 = אין קבוצת מקצוע מיוחדת</t>
  </si>
  <si>
    <t>1 = אנשי תקשורת
2  = אנשי ממשלה ומדינאיים
3 = איטנלקטואלים ואומנים ידועים
4 = מנהיגי איגודי פועלים
5 = מפקדי צבא בכירים
6 = אנשי אקדמיה
7 = מורים בתיכון
8 = אנשי עסקים
9 = מדריכי נוער
0 = בעלי מקצועות חופשיים</t>
  </si>
  <si>
    <t xml:space="preserve">0 = 18-20
1 = 21-24
2 = 25-29
3 = 30-34
4 = 35-39
5 = 40-44
6 = 45-49
7 = 50-54
8 = 55-64
9 = 65+
</t>
  </si>
  <si>
    <t>0 = 18-20
1 = 21-24
2 = 25-29
3 = 30-34
4 = 35-39
5 = 40-44
6 = 45-49
7 = 50-54
8 = 55-64
9 = 65+</t>
  </si>
  <si>
    <t>1 = בהחלט מסכים
2 = מסכים במידה מסוימת
3 = מסתייג
4 = בהחלט לא מסכים
5 = אין לי דעה</t>
  </si>
  <si>
    <t>1 = מודאג מאד
2 = מודאג
3 = לא מודאג
4 = בכלל לא מודאג</t>
  </si>
  <si>
    <t>1 = בכלל לא
2 = במידה מועטה
3 = במידה מסוימת
4 = במידה רבה</t>
  </si>
  <si>
    <t>הניסוח הוא:
"החלטות בעניינים בטחוניים"</t>
  </si>
  <si>
    <t>1 = כמעט כל יום
2 = פעם/פעמיים בשבוע
3 = לעיתים רחוקות
4 = כלל לא</t>
  </si>
  <si>
    <t>1 = במידה רבה
2 = במידה מסויימת
3 = במידה מועטה
4 = כלל לא</t>
  </si>
  <si>
    <t>v8 = חברים
v11 = משפחה</t>
  </si>
  <si>
    <t>1 = לעיתים קרובות
2 = לפעמים
3 = לעיתים רחוקות
4 = אף פעם לא</t>
  </si>
  <si>
    <t>1 = כל בני משפחתי בדעות שלי
2 =  חלק גדול מבני משפחתי בדעות שלי
3 = חלק קטן מבני משפחתי בדעות שלי
4 = אף אחד מבני משפחתי לא בדעות שלי
5 = לא יודע את הדעות של בני משפחתי</t>
  </si>
  <si>
    <t>1 = אבא
2 = אמא
3 = אח/אחות
4 = בן/בת זוג
5 = ילדי
6 = אחר
7 = שני ההורים במידה שווה
8 = כל בני המשפחה במידה שווה
9 = אף אחד מהם</t>
  </si>
  <si>
    <t>1 = אבא
2 = אמא
3 = אח/אחות
4 = אחר
5 = שני ההורים במידה שווה
6 = כל בני הבית במידה שווה
7 = אף אחד מהם
8 = אני עדיין מתגורר בבית הורי</t>
  </si>
  <si>
    <t>1 = במידה רבה
2 = במידה מסוימת
3 = במידה מועטה
4 = כלל לא
5 = אב נפטר/לא חי איתו</t>
  </si>
  <si>
    <t>1 = לא אוהד ולא פעיל בשום מפלגה
2 = אוהד של מפלגה אך לא חבר בה
3 = חבר במפלגה
4 = חבר פעיל במפלגה
5 = חבר ובעל תפקיד במפלגה</t>
  </si>
  <si>
    <t>1 = חבר ובעל תפקיד בשכר
2 = חבר ובעל תפקיד לא בשכר
3 = חבר ללא תפקיד
4 = אוהד אבל לא חבר
5 = לא אוהד במיוחד אף מפלגה</t>
  </si>
  <si>
    <t>1 = כן, לעיתים קרובות
2 = כן, לעיתים רחוקות
3 = אף פעם לא</t>
  </si>
  <si>
    <t>1 = לעתים קרובות
2 = לעתים רחוקות
3 = אף פעם
4 = עדיין לא הצביע</t>
  </si>
  <si>
    <t>1 = לעיתים קרובות
2 = לעיתים רחוקות
3 = אף פעם לא</t>
  </si>
  <si>
    <t>1 = מאוד פעיל
2 = פעיל 
3 = לא כ"כ פעיל
4 = בכלל לא פעיל</t>
  </si>
  <si>
    <t>1 = הרבה יותר
2 = יותר
3 = פחות
4 = הרבה פחות</t>
  </si>
  <si>
    <t>1 = לעיתים קרובות
2 = לעיתים רחוקות
3 = אף פעם</t>
  </si>
  <si>
    <t>1 = פעיל מאוד
2 = פעיל
3 = לא כ"כ פעיל
4 = לא פעיל כלל</t>
  </si>
  <si>
    <t>1 = במידה רבה
2 = במידה מסוימת
3 = במידה מועטה
4 = לא התעניין
5 = אב נפטר/לא חי איתו</t>
  </si>
  <si>
    <t>1 = מאוד מתעניין
2 = מתעניין
3 = לא כ"כ מתעניין
4 = כלל לא מתעניין</t>
  </si>
  <si>
    <t>1 = מאד מתעניין
2 = מתעניין
3 = לא כ"כ מתעניין
4 = בכלל לא מתעניין</t>
  </si>
  <si>
    <t>1 = מאוד מתעניין
2 = מתעניין
3 = לא כ"כ מתעניין
4 = לא מתעניין כלל</t>
  </si>
  <si>
    <t>1 = צריך במידה רבה
2 = צריך במידה מסוימת
3 = צריך במידה מועטה
4 = לא צריך כלל</t>
  </si>
  <si>
    <t>1 = לעיתים קרובות מאוד
2 = לפעמים
3 = לעיתים רחוקות
4 = לא משוחח כלל</t>
  </si>
  <si>
    <t>1 = בדר"כ כן
2 = לפעמים כן לפעמים לא
3 = בדר"כ לא
4 = לא מקבל אינפורמציה</t>
  </si>
  <si>
    <t>1 = אף פעם
2 = פעם או פעמיים
3 = שלוש פעמים או יותר</t>
  </si>
  <si>
    <t>1 = לא השתתף
2 = השתתף פעם אחת
3 = 2-3 פעמים
4 = פעם בחודש
5 = פעם בשבוע או יותר</t>
  </si>
  <si>
    <t>שאלה פתוחה, יש עד 3 תשובות לכל נבדק:
E8A_after_~1
E8A_after_~2
E8A_after_~3</t>
  </si>
  <si>
    <t>שלוש תשובות מקודדות:
after_v13b_1_1
after_v13b_1_2
after_v13b_1_3</t>
  </si>
  <si>
    <t>שאלה פתוחה, יש עד 3 תשובות לכל נבדק:
E8B_after_~1
E8B_after_~2
E8B_after_~3</t>
  </si>
  <si>
    <t>שלוש תשובות מקודדות:
after_v13b_2_1
after_v13b_2_2
after_v13b_2_3</t>
  </si>
  <si>
    <t>1 = שמאל
2 = שמאל מתון
3 = מרכז
4 = ימין מתון
5 = ימין</t>
  </si>
  <si>
    <t>1 = שמאל
2 = שמאל מתון
3 = מרכז
4 = ימין מתון
5 = ימין
6 = הזרם הדתי
7 = לא מזדהה עם אף גורם</t>
  </si>
  <si>
    <t>1 = שמאל
2 = שמאל מתון
3 = מרכז
4 = ימין מתון
5 = הזרם הדתי
6 = אף זרם</t>
  </si>
  <si>
    <t>1-7
1 = ימין מלא
7 = שמאל מלא</t>
  </si>
  <si>
    <t>מי שדירג עצמו "4"
בשאלה של ימין-שמאל</t>
  </si>
  <si>
    <t>1 = למחנה הימין
2 = למחנה השמאל
3 = לכל כיוון
4 = לא עובר</t>
  </si>
  <si>
    <t>1 = כן בקלות
2 = חושב שכן
3 = חושב שלא
4 = בשום אופן לא</t>
  </si>
  <si>
    <t>סולם 0-10
0 = שמאל מלא
10 = ימין מלא</t>
  </si>
  <si>
    <t>סולם 0-10
0 = שמאלי (יוני)
10 = ימני (נצי)</t>
  </si>
  <si>
    <t>סולם 1-7
1 = נץ
7 = יונה</t>
  </si>
  <si>
    <t>סולם 1-7
1 = ימין
7 = שמאל</t>
  </si>
  <si>
    <t>1 = מאד חשובה
2 = די חשובה
3 = לא כ"כ חשובה
4 = כלל לא חשובה</t>
  </si>
  <si>
    <t>1 = כלל לא מסכים
2 = לא כ"כ מסכים
3 = די מסכים
4 = מסכים מאד</t>
  </si>
  <si>
    <t>שלוש תשובות מקודדות:
after_v13a_1
after_v13a_2
after_v13a_3</t>
  </si>
  <si>
    <t>1 = הבדלים גדולים מאד
2 = הבדלים גדולים
3 = הבדלים מסוימים
4 = הבדלים קטנים
5 = הבדלים קטנים מאד
6 = אין הבדלים</t>
  </si>
  <si>
    <t>c54  = בעיה ראשונה
c55 = בעיה שנייה</t>
  </si>
  <si>
    <t>v30 בעיה ראשונה
v31 בעיה שנייה</t>
  </si>
  <si>
    <t>1 = ברור מאד
2 = ברור
3 = לא כ"כ ברור
4 = כלל לא ברור</t>
  </si>
  <si>
    <t>1 = כמעט ואין הבדלים
2 = הבדלים קטנים
3 = הבדלים מסוימים
4 = הבדלים גדולים
5 = הבדלים גדולים מאד</t>
  </si>
  <si>
    <t>1 = הבדלים גדולים מאוד
2 = הבדלים גדולים
3 = הבדלים מסוימים
4 = הבדלים קטנים
5 = הבדלים קטנים מאוד</t>
  </si>
  <si>
    <t>1 = כמעט ואין הבדלים
2 = הבדלים קטנים
3 = הבדלים מסויימים
4 = הבדלים גדולים
5 = הבדלים גדולים מאד</t>
  </si>
  <si>
    <t>1 = הבדלים גדולים מאד
2 = הבדלים גדולים
3 = הבדלים מסויימים
4 = הבדלים קטנים
5 = כמעט ואין הבדלים</t>
  </si>
  <si>
    <t>1 = הבדלים גדולים מאד
2 = הבדלים קטנים
3 = הבדלים מסויימים
4 = הבדלים קטנים
5 = הבדלים קטנים מאד
6 = אין הבדל</t>
  </si>
  <si>
    <t>הניסוח הוא:
"הסכם עם הפלסטינים"</t>
  </si>
  <si>
    <t>1 = בהחלט קיימים
2 = קיימים
3 = אולי קיימים
4 = לא קיימים</t>
  </si>
  <si>
    <t>1 = רחוקות במידה רבה מאד
2 = רחוקות במידה רבה
3 = בחלקן קרובות ובחלקן רחוקות
4 = העמדות למעדה קרובות
5 = העמדות קרובות מאד</t>
  </si>
  <si>
    <t>1 = הבדל גדול מאוד
2 = הבדל גדול
3 = הבדל קטן
4 = אין הבדל כלל</t>
  </si>
  <si>
    <t>1 = בטוח שכן
2 = חושב שכן
3 = חושב שלא
4 = בטוח שלא</t>
  </si>
  <si>
    <t>1 = ההבדלים הם "במה שהם אומרים"
2 = ההבדלים הם "במה שהם עושים"
3 = ההבדלים הם בשניהם
4 = אין הבדלים</t>
  </si>
  <si>
    <t>1 = ההבדלים בעיקר בדיבורים ולא במעשים
2 = ההבדלים בעיקר במעשים ולא בדיבורים
3 = יש הבדלים גם בדיבורים וגם במעשים
9 = אין הבדלים כלל</t>
  </si>
  <si>
    <t>1 = ניצית במידה רבה
2 = ניצית
3 = לא ניצית ולא יונית
4 = יונית
5 = יונית במידה רבה</t>
  </si>
  <si>
    <t>1 = כן בהחלט
2 = חושב שכן
3 = ככה ככה
4 = חושב שלא
5 = בהחלט לא</t>
  </si>
  <si>
    <t>1 = ברור מאוד
2 = ברור
3 = לא כ"כ ברור
4 = לא ברור כלל</t>
  </si>
  <si>
    <t>1 = ברור מאוד
2 = ברור
3 = לא כ"כ ברור
4 = לא ברור כללי
5 = אין הבדל
6 = אין תשובה</t>
  </si>
  <si>
    <t>1 = הבדלים גדולים מאד
2 = הבדלים גדולים
3 = הבדלים קטנים
4 = הבדלים קטנים מאד
5 = אין הבדלים כלל</t>
  </si>
  <si>
    <t>1 = שמאלי
2 = ימני
3 = מרכזי
4 = לא הבין את השאלה</t>
  </si>
  <si>
    <t>0-10
0 = דחייה/שנאה
10 = תמיכה/אהדה</t>
  </si>
  <si>
    <t>בבחירות האלו - 
הליכוד-ישראל ביתנו</t>
  </si>
  <si>
    <t>סולם 1-10
1 = שנאה
10 = אהדה</t>
  </si>
  <si>
    <t>בבחירות האלו
המחנה הציוני</t>
  </si>
  <si>
    <t>בבחירות 2015 התאחדו עם העבודה ויצרו את
"המחנה הציוני"</t>
  </si>
  <si>
    <t>המחנה הדמוקרטי
(עם שפיר וברק)</t>
  </si>
  <si>
    <t>רק מגזר יהודי!
בחירות 2013 רצו עם הליכוד</t>
  </si>
  <si>
    <t xml:space="preserve">חד"ש תע"ל
</t>
  </si>
  <si>
    <t>סולם 0-10
0 = שנאה
10 = אהדה</t>
  </si>
  <si>
    <t>0-10
0 = דחייה ושנאה
10 = תמיכה ואהדה
95 = לא יכול להכליל</t>
  </si>
  <si>
    <t>סולם 1-10
1 = סלידה
10 = אהדה</t>
  </si>
  <si>
    <t>0-10
0 = דחייה ושנאה
10 = תמיכה ואהדה</t>
  </si>
  <si>
    <t>1 = כלל לא חשובה
2 = לא כ"כ חשובה
3 = די חשובה
4 = חשובה מאד</t>
  </si>
  <si>
    <t>1 = כלל לא מסכים
2 = לא כ"כ מסכים
3 = די מסכים
4 = מאד מסכים</t>
  </si>
  <si>
    <t>1 = בכלל לא גאה
2 = לא גאה
3 = גאה
4 = גאה מאד</t>
  </si>
  <si>
    <t>1 = בכלל לא חשוב
2 = חשוב במידה מועטה
3 = די חשוב
4 = חשוב מאד</t>
  </si>
  <si>
    <t>1 = בהחלט לא נכון
2 = לא נכון
3 = נכון
4 = נכון בהחלט</t>
  </si>
  <si>
    <t>1 = בהחלט לא ראוי
2 = לא ראוי
3 = ככה-ככה
4 = ראוי
5 = בהחלט ראוי</t>
  </si>
  <si>
    <t>1 = בכלל לא
2 = במידה מועטה
3 = במידה בינונית
4 = במידה רבה
5 = במידה רבה מאוד</t>
  </si>
  <si>
    <t>1 = נטורי קרתא
2 = רק"ח
3 = כ"ך (כהנא)
4 = אג"י-פאג"י
5 = גוש אמונים
6 = התנועה המתקדמת לשלום
7 = קבוצות אחרות בארץ התומכות באש"ף
8 = התחיה
9 = צומת
10 = מולדת
11 = המפלגה הדמוקרטית הערבית
12 = שלום עכשיו
13 = מצפן
14 = "יש גבול"
15 = אחר</t>
  </si>
  <si>
    <t>1 = מפלגה חזקה מושכת אותי ביותר
2 = מפלגה חזקה מושכת אותי פחות או יותר
3 = מפלגה שמזהירה מושכת אותי פחות או יותר
4 = מפלגה שמזהירה מושכת אותי ביותר</t>
  </si>
  <si>
    <t>1 = היחס שלי אליו חיובי וזה היה גורם חשוב בהצבעתי
2 = היחס שלי אליו חיובי אך זה לא היה גורם בהצבעתי
3 = היחס שלי אליו שלילי וזה היה גורם חשוב בהצבעתי
4 = היחס שלי אליו שלילי וזה לא היה גורם בהצבעתי
5 = היחס שלי לא חיובי ולא שלילי</t>
  </si>
  <si>
    <t>1 = דעתי הייתה חיובית ונשארה חיובית
2 = דעתי הייתה שלילית ונשארה שלילית
3 = דעתי הייתה חיובית והפכה שלילית
4 = דעתי הייתה שלילית והפכה חיובית</t>
  </si>
  <si>
    <t>הניסוח הוא:
"איזו מפלגה אתה הכי אוהד"</t>
  </si>
  <si>
    <t>1 = קרוב מאוד
2 = די קרוב
3 = לא מאוד קרוב</t>
  </si>
  <si>
    <t>היו 10 מפלגות.
3 נבחרו להכי קרובות
3 להכי רחוקות
נותרו 6</t>
  </si>
  <si>
    <t xml:space="preserve">0 = לא יודע
1 = המועמדים טובים
2 = המועמדים לא טובים
3 = העמדות שלה קרובות לשלך
4 = העמדות שלה רחוקות משלך
5 = מייצגת אנשים כמוך
6 = מייצגת אנשים שונים ממך
7 = שאפשר לסמוך עליה
8 = שאי אפשר לסמוך עליה
</t>
  </si>
  <si>
    <t>1 = גולדה מאיר
2 = משה דיין
3 = יגאל אלון
4 = פנחס ספיר
5 = מאיר יערי
6 = חיים משה שפירא
7 = מנחם בגין
8 = שמואל תמיר
9 = אורי אבנרי
10 = משה סנה
11 = אחר
12 = לא מכיר שמות
13 = טרם החלטתי למי להצביע
14 = לא מצביע</t>
  </si>
  <si>
    <t>1 = קדימה
2 = ליכוד
3 = עבודה
4 = לכולם באותה מידה
5 = לאף אחת לא מתאים</t>
  </si>
  <si>
    <t>1 = לעבודה
2 = לליכוד
3 = שתיהן באותה מידה
4 = אף אחת מהן</t>
  </si>
  <si>
    <t>מועמד ולא מפלגה
1 = ברק
2 = שרון
3 = שניהם
4 = אף אחד</t>
  </si>
  <si>
    <t>1 = העבודה
2 = הליכוד
3 = מידה שווה
4 = אף אחת מהן</t>
  </si>
  <si>
    <t>1 = קדימה
2 = ליכוד
3 = עבודה</t>
  </si>
  <si>
    <t>הניסוח:
"שתחזיר את השקט והסדר לשטחים</t>
  </si>
  <si>
    <t>1 = מתאים הרבה יותר למערך
2 = מתאים יותר למערך
3 = במידה שווה לשתיהן
4 = מתאים יותר לליכוד
5 = מתאים הרבה יותר לליכוד
6 = לא מתאים לאף אחת מהן</t>
  </si>
  <si>
    <t>1 = עבודה
2 = ליכוד
3 = מידה שווה
4 = אף אחת מהן</t>
  </si>
  <si>
    <t>1 = בני גנץ
2 = בנימין נתניהו
3 = שניהם
4 = אף אחד מהם</t>
  </si>
  <si>
    <t>1 = יצחק הרצוג
2 = בנימין נתניהו
3 = שניהם
4 = אף אחד מהם</t>
  </si>
  <si>
    <t>1 = בנימין נתניהו
2 = ציפי לבני
3 = שלי יחימוביץ
4 = כולם
5 = אף אחד מהם</t>
  </si>
  <si>
    <t>1 = ציפי לבני
2 = בנימין נתניהו
3 = אהוד ברק
4 = כולם
5 = אף אחד</t>
  </si>
  <si>
    <t>1 = אהוד אולמרט
2 = בנימין נתניהו
3 = עמיר פרץ
4 = לכולם
5 = אף אחד מהם</t>
  </si>
  <si>
    <t>1 = שרון
2 = מצנע
3 = שניהם
4 = אף אחד מהם</t>
  </si>
  <si>
    <t>1 = נתניהו
2 = ברק
3 = מדרכי
4 = שלושתם
5 = אף אחד מהם</t>
  </si>
  <si>
    <t>1 = פרס
2 = נתניהו
3 = במידה שווה
4 = אף אחד</t>
  </si>
  <si>
    <t>1 = שמיר
2 = רבין
3 = שניהם באותה מידה
4 = אף אחד מהם</t>
  </si>
  <si>
    <t>1 = ברק
2 = שרון
3 = לשניהם
4 = לאף אחד מהם</t>
  </si>
  <si>
    <t>1 = צעירה
7 = זקנה</t>
  </si>
  <si>
    <t>1 = חזקה
7 = חלשה</t>
  </si>
  <si>
    <t>1 = ימנית
7 = שמאלית</t>
  </si>
  <si>
    <t>1 = מיושנת
7 = חדשנית</t>
  </si>
  <si>
    <t>1 = מעמד בינוני
2 = מעמד פועלים</t>
  </si>
  <si>
    <t>1 = מעמד בינוני
7 = מעמד פועלים</t>
  </si>
  <si>
    <t>1 = ספרדית
7 = אשכנזית</t>
  </si>
  <si>
    <t>1 = דואגת בעיקר לעצמה
7 = דואגת בעיקר לאזרחים</t>
  </si>
  <si>
    <t>1 = חסרת ניסיון
7 = בעלת ניסיון</t>
  </si>
  <si>
    <t>1 = יונית
7 = ניצית</t>
  </si>
  <si>
    <t>1 = מעמד ביניים
7 = מעמד פועלים</t>
  </si>
  <si>
    <t>1 = דואגת בעיקר לעצמה
7 = דואגת בעיקר לאזרח</t>
  </si>
  <si>
    <t>1 = ישרה
7 = מושחתת</t>
  </si>
  <si>
    <t>1 = בלתי אמינה
7 = אמינה</t>
  </si>
  <si>
    <t>סולם 1-7
1 = חיובית
7 = שלילית</t>
  </si>
  <si>
    <t>סולם 1-7
1 = קצרה
7 = ארוכה</t>
  </si>
  <si>
    <t>סולם 1-7
1 = חינוכית
7 = בלתי חינוגית</t>
  </si>
  <si>
    <t>סולם 1-7
1 = עוזרת להחליט
7 = לא עוזרת להחליט</t>
  </si>
  <si>
    <t>סולם 1-7
1 = עוזרת להבין
7 = לא עוזר להבין</t>
  </si>
  <si>
    <t>סולם 1-7
1 = עוזרת להכיר
7 = לא עוזרת להכיר</t>
  </si>
  <si>
    <t>סולם 1-7
1 = מאחדת
7 = מפוררת</t>
  </si>
  <si>
    <t>סולם 1-7
1 = נותנת תחושת שייכות
7 = לא נותנת</t>
  </si>
  <si>
    <t>סולם 1-7
1 = בזבזנית
7 = שווה את ההשקעה</t>
  </si>
  <si>
    <t>סולם 1-7
1 = גורלית
7 = לא משנה הרבה</t>
  </si>
  <si>
    <t>סולם 1-7
1 = חשובה
7 = לא חשובה</t>
  </si>
  <si>
    <t>סולם 1-7
1 = חזקה
7 = חלשה</t>
  </si>
  <si>
    <t>סולם 1-7
1 = נותנת תקווה
7 = נותנת ייאוש</t>
  </si>
  <si>
    <t>סולם 1-7
1 = צודקת
7 = לא צודקת</t>
  </si>
  <si>
    <t>סולם 1-7
1 = רוצה לחיות
7 = לא רוצה לחיות בו</t>
  </si>
  <si>
    <t>סולם 1-7
1 = חייבים לעלות
7 = לא חייבים לעלות</t>
  </si>
  <si>
    <t>סולם 1-7
1 = דמוקרטית
7 = לא דמוקרטית</t>
  </si>
  <si>
    <t>סולם 1-7
1 = יש בה צדק חברתי
7 = אין בה צדק חברתי</t>
  </si>
  <si>
    <t>סולם 1-7
1 = מוכנה לחיות בשכנות
7 = לא מוכנה לחיות בשכנות</t>
  </si>
  <si>
    <t>סולם 1-7
1 = שלום
7 = מלחמה</t>
  </si>
  <si>
    <t>סולם 1-7
1 = התגשמות החלום
7 = לא התגשמות החלום</t>
  </si>
  <si>
    <t>1 = משכנע במידה רבה
2 = במידה מסויימת
3 = במידה מועטה
4 = כלל לא משכנע</t>
  </si>
  <si>
    <t>1 = מקום ראשון
2 = מקום שני
3 = מקום שלישי
5 = לא הוזכר
7 = מקום לפני אחרון
8 = מקום אחרון</t>
  </si>
  <si>
    <t>1 = משכנע במידה רבה
2 = במידה מסויימת
3 = במידה מועטה
4 = לא משכנע כלל</t>
  </si>
  <si>
    <t>סולם 1-7
1 = תועלת
7 = נזק</t>
  </si>
  <si>
    <t>סולם 1-7
1 = שקול
7 = לא שקול</t>
  </si>
  <si>
    <t>סולם 1-7
1 = יציב
7 = לא יציב</t>
  </si>
  <si>
    <t>סולם 1-7
1 = עבר זמנו
7 = לא עבר זמנו</t>
  </si>
  <si>
    <t>סולם 1-7
1 = גרוע
7 = מצוין</t>
  </si>
  <si>
    <t>סולם 1-7
1 = נתון
7 = לא נתון</t>
  </si>
  <si>
    <t>סולם 1-7
1 = אינה מאפשרת
7 = מאפשרת</t>
  </si>
  <si>
    <t>סולם 1-7
1 = הרפתקן
7 = שקול ונבון</t>
  </si>
  <si>
    <t>סולם 1-7
1 = אופוזיציה
7 = שלטון</t>
  </si>
  <si>
    <t>סולם 1-7
1 = חזק
7 = חלש</t>
  </si>
  <si>
    <t>סולם 1-7
1 = יכול לעבוד בצוות
7 = לא יכול</t>
  </si>
  <si>
    <t>סולם 1-7
1 = ישר
7 = לא ישר</t>
  </si>
  <si>
    <t>סולם 1-7
1 = בעל כושר החלטה
7 = חסר כושר החלטה</t>
  </si>
  <si>
    <t>סולם 1-7
1 = יכול לעמוד
7 = לא יכול לעמוד</t>
  </si>
  <si>
    <t>סולם 1-7
1 = אמין בהופעתו
7 = בלתי אמין</t>
  </si>
  <si>
    <t>סולם 1-7
1 = חלקלק
7 = דוגרי</t>
  </si>
  <si>
    <t>סולם 1-7
1 = עייף
7 = רענן</t>
  </si>
  <si>
    <t>1 = גולדה
2 = דיין
3 = בגין
4 = פנחס ספיר
5 = אבא אבן
6 = חיים בר-לב
7 = יגאל אלון
8 = אחר מהקואליציה
9 = אחר מהאופוזיציה</t>
  </si>
  <si>
    <t>1 = דיין
2 = בר-לב
3 = שרון
4 = רבין
5 = אהרון יריב
6 = עזר וייצמן
7 = יגאל אלון
8 = אחר מהקואליציה
9 = אחר מהאופוזיציה</t>
  </si>
  <si>
    <t>1 = אבא אבן
2 = פרס
3 = אהרון יריב
4 = יגאל אלון
5 = בגין
6 = רבין
7 = אחר מהקואליציה
8 = אחר מהאופוזיציה</t>
  </si>
  <si>
    <t>1 = הזדהות עם המפלגה
2 = ראש המפלגה
3 = מועמדי המפלגה לכנסת
4 = עמדות המפלגה בנושאים מסוימים
5 = מקומה של המפלגה בשלטון או באופוזיציה</t>
  </si>
  <si>
    <t>1 = הזדהות עם המפלגה
2 = מועמדי המפלגה לכנסת
3 = עמדת המפלגה בנושאים מסוימים
4 = מקומה של המפלגה בשלטון או באופוזיציה</t>
  </si>
  <si>
    <t>1 = הזדהות עם המפלגה
2 = מועמד המפלגה
3 = עמדות המפלגה בנושאים מסויימים
4 = סיכויי המפלגה להגיע לשלטון</t>
  </si>
  <si>
    <t>1 = שידורי התעמולה בטלוויזיה
2 = שידורי התעמולה ברדיו
3 = המודעות בעיתונים
4 = המודעות ברחוב
5 = חוגי בית
6 = אספות
7 = שיחות עם חברים קרובים
8 = אחר או צירוף גורמים
9 = אף אחד מהם</t>
  </si>
  <si>
    <t>1 = הזדהות עם המפלגה
2 = מועמד המפלגה
3 = עמדות המפלגה בנושאים מסויימים
4 = מקומה של במפלגה בקואליציה/אופוזיציה</t>
  </si>
  <si>
    <t>1 = התכונות של המועמד
2 = הזדהות עם המפלגה שלו
3 = הזדהות עם המחנה שלו
4 = העמדות של המועמד בנושאים שונים
5 = היותו בשלטון או באופוזיציה</t>
  </si>
  <si>
    <t>1 = התכונות של המועמד
2 = הזדהות עם המפלגה שלו
3 = העמדות של המועמד בנושאים שונים
4 = היותו בשלטון או באופוזיציה</t>
  </si>
  <si>
    <t>1 = יש גורם אחד הרבה יותר חשוב מהשאר
2 = יש גורם אחד קצת יותר חשוב מהשאר
3 = כל הגורמים חשובים באותה מידה
4 = אף אחד מהגורמים לא חשוב</t>
  </si>
  <si>
    <t>1 = כלל לא ישפיע
2 = ישפיע במידה מועטה בלבד
3 = ישפיע במידה מסוימת
4 = ישפיע במידה רבה</t>
  </si>
  <si>
    <t>1 = במידה רבה
2 = במידה מסוימת
3 = במידה מועטה
4 = לא ישפיע כלל</t>
  </si>
  <si>
    <t>1 = ישפיע במידה רבה
2 = ישפיע במידה מסויימת
3 = ישפיע במידה מועטה בלבד
4 = כלל לא ישפיע</t>
  </si>
  <si>
    <t>1 = כלל לא ישפיע
2 = במידה מועטה
3 = במידה מסוימת
4 = במידה רבה</t>
  </si>
  <si>
    <t>1 = במידה רבה
2 = במידה בינונית
3 = במידה מועטה בלבד
4 = לא ישפיע כלל</t>
  </si>
  <si>
    <t>1 = ישפיע במידה רבה
2 = במידה מסוימת
3 = במידה מועטה
4 = לא ישפיע כלל</t>
  </si>
  <si>
    <t>מפוצל לשאלה על "בטחון" ושאלה על "טרור"
* טרור מקבל כאן i30</t>
  </si>
  <si>
    <t>1 = ישפיע במידה רבה
2 = במידה מסויימת
3 = במידה מועטה
4 = לא ישפיע כלל</t>
  </si>
  <si>
    <t>1 = במידה רבה
2 = במידה מסוימת
3 = במידה מועטה
4 = כלל לא ישפיע</t>
  </si>
  <si>
    <t>1 = ישפיע במידה רבה
2 = ישפיע במידה מסוימת
3 = ישפיע במידה מועטה בלבד
4 = כלל לא ישפיע</t>
  </si>
  <si>
    <t>1 = התהליך המדיני עם הפלסטינים ועם סוריה
2 = המצב הביטחוני
3 = המצב הכלכלי חברתי
4 = יחסי דתיים חילונים
5 = שחיתות ושלטון החוק
6 = האחדות בעם
7 = אחר</t>
  </si>
  <si>
    <t>1 = הליכוד (בנימין נתניהו)
2 = כחול-לבן (בני גנץ)
3 = העבודה-גשר-מרצ (עמיר פרץ)
4 = ימינה (נפתלי בנט)
5 = עוצמה יהודית (איתמר בן גביר)
7 = יהדות התורה והשבת ואגודת דגל התורה
8 = ש"ס
9 = ישראל ביתנו (אביגדור ליברמן)
11 = הרשימה המשותפת
30 = אחר
94 = לא מתכוון להצביע
96 = פתק לבן
97 = לא החליט/מתלבט
98 = לא יודע
99 = מסרב להשיב</t>
  </si>
  <si>
    <t>1 = הליכוד
2 = כחול-לבן
3 = העבודה-גשר
5 = ימינה/הימין המאוחד
6 = המחנה הדמוקרטי
7 = יהדות התורה
8 = ש"ס
9 = ישראל ביתנו
11 = הרשימה המשותפת
19 = עוצמה יהודית
30 = אחר
94 = לא מתכוון להצביע
96 = פתק לבן
97 = מתלבט
98 = לא יודע
99 = מסרב</t>
  </si>
  <si>
    <t>1 = הליכוד (בנימין נתניהו)
2 = כחול-לבן (בני גנץ ויאיר לפיד)
3 = העבודה (אבי גבאי)
4 = הימין החדש (בנט ושקד)
5 = איחוד מפלגות הימין
6 = מרצ
7 = יהדות התורה
8 = ש"ס
9 = ישראל ביתנו (ליברמן)
10 = כולנו (כחלון)
11 = חד"ש-תע"ל
12 = רע"ם-בל"ד
13 = יחד (אלי ישי)
14 = זהות (פייגלין)
15 = גשר (אורלי לוי-אבקסיס)
16 = אחי ישראל (עדינה בר שלום)
17 = מגן (גל הירש)
18 = ביח"ד (יום טוס סמיה)
30 = אחר
94 = לא מתכוון להצביע
96 = פתק לבן
97 = לא החליט/מתלבט
98 = לא יודע
99 = מסרב לענות</t>
  </si>
  <si>
    <t>1 = שמאל
2 = מרכז
3 = ימין
4 = חרדית
5 = ערבית</t>
  </si>
  <si>
    <t xml:space="preserve">בחירות ספטמבר 2019
</t>
  </si>
  <si>
    <t>1 = שרון
2 = ברק
3 = פתק לבן
4 = לא אצביע
5 = לא החלטתי</t>
  </si>
  <si>
    <t>1 = נתניהו
2 = ברק
3 = מרדכי
4 = בגין
5 = בשארה
6 = רפול
7 = אחר
8 = פתק לבן
9 = לא אצביע</t>
  </si>
  <si>
    <t>1 = בנימין נתניהו
2 = שמעון פרס</t>
  </si>
  <si>
    <t>1 = ברק
2 = שרון
3 = לא הצבעתי למרות שהייתה לי זכות
4 = לא הצבעתי כי לא הייתה לי זכות</t>
  </si>
  <si>
    <t>בחירות 1999
1 = נתניהו
2 = ברק
3 = פתק לבן
4 = לא הצבעתי</t>
  </si>
  <si>
    <t>1 = נתניהו
2 = פרס
3 = פתק לבן
4 = לא הצבעתי למרות שיכלתי
5 = לא הצבעתי כי לא יכלתי</t>
  </si>
  <si>
    <t>1 = נתניהו
2 = ברק
3 = פתק לבן
4 = לא אצביע
5 = לא החלטתי</t>
  </si>
  <si>
    <t>שתי מערכות בחירות אחורה
הבחירות לרה"מ 2001
1 = ברק
2 = שרון
3 = פתק לבן
4 = לא הצבעתי למרות שהייתה לי זכות הצבעה
5 = לא הצבעתי כי לא הייתה לי זכות הצבעה</t>
  </si>
  <si>
    <t>1 = ברק
2 = נתניהו
3 = לא הצבעתי למרות שהייתה לי זכות
4 = לא הצבעתי כי לא הייתה לי זכות</t>
  </si>
  <si>
    <t>1 = כן
2 = לא
3 = פתק לבן</t>
  </si>
  <si>
    <t>1 = הליכוד (בנימין נתניהו)
2 = כחול-לבן (בני גנץ)
3 = העבודה-גשר-מרצ (עמיר פרץ)
4 = ימינה (נפתלי בנט)
5 = עוצמה יהודית (איתמר בן גביר)
7 = יהדות התורה
8 = ש"ס
9 = ישראל ביתנו
11 = הרשימה המשותפת
30 = אחר
94 = לא הצבעתי
96 = פתק לבן
98 = לא יודע
99 = מסרב לענות</t>
  </si>
  <si>
    <t>d11
d12
d13</t>
  </si>
  <si>
    <t>1 = מתלבט הרבה יותר
2 = מתלבט יותר
3 = מתלבט פחות
4 = מתלבט הרבה פחות
5 = קודם לא התלבטתי וגם עכשיו לא
6 = ממשיך להתלבט כמו קודם</t>
  </si>
  <si>
    <t>1 = נתניהו
2 = ברק
3 = פתק לבן
4 = לא הצבעתי</t>
  </si>
  <si>
    <t>1 = נתניהו
2 = ברק
3 = מרדכי
4 = בגין
5 = בשארה</t>
  </si>
  <si>
    <t>1 = נתניהו-ברק
2 = מרדכי-נתניהו
3 = בגין-נתניהו
4 = מרדכי-ברק
5 = בגין-בשארה
6 = בשארה-ברק
7 = מרדכי=בשארה
8 = אחר</t>
  </si>
  <si>
    <t>1 = לא, זה לא ישנה את הצבעתך
2 = כן, זה יגרום לך לשנות את הצבעתך ולעבור למפלגה אחרת שלפי הסקרים כן עוברת את אחוז החסימה
3 = כן, זה יגרום לך לא ללכת להצביע בבחירות ב-9 באפריל</t>
  </si>
  <si>
    <t>1 = כי אי אפשר לסמוך על סקרים
2 = כי חשוב לך לבטא את דעתך ואחוז החסימה לא מהווה שיקול בהחלטתך
3 = כי המפלגה שאתה תומך בה עוברת בוודאות את אחוז החסימה</t>
  </si>
  <si>
    <t>1 = ביום הבחירות עצמו
2 = יומיים-שלושה לפני הבחירות
3 = כשבוע לפני הבחירות
4 = כחודש לפני הבחירות
5 = כמה חודשים לפני הבחירות
6 = ידעת מלכתחילה למי להצביע</t>
  </si>
  <si>
    <t>1 = לפני מס' חודשים
2 = בשבועות האחרונים
3 = אחרי פרישת בשארה, בגין ומרדכי
4 = ביום הבחירות</t>
  </si>
  <si>
    <t>1 = מזמן
2 = מאז המלחמה או סמוך לה
3 = בימים הסמוכים לבחירות
4 = ביום הבחירות
5 = לא הלכתי להצביע</t>
  </si>
  <si>
    <t>1 = מזמן
2 = מאז המלחמה או סמוך לה
3 = עם תחילת מערכת הבחירות
4 = היום
5 = בימים הקרובים אחליט
6 = אחליט ביום הבחירות
7 = לא מצביע</t>
  </si>
  <si>
    <t>יש אופציה ל-3 תשובות מקודדות:
after_v4a_1
after_v4a_2
after_v4a_3</t>
  </si>
  <si>
    <t>שאלה טרום בחירות
למי שענה שלא מתכוון ללכת להצביע/פתק לבן</t>
  </si>
  <si>
    <t>1 = אף אחד לא נראה מתאים
2 = הבעת מחאה
3 = הרב אמר
4 = בעיות טכניות
5 = אחר</t>
  </si>
  <si>
    <t>1 = בכלל לא
2 = במידה מועטה
3 = במידה בינונית
4 = במידה רבה
5 = במידה רבה מאד</t>
  </si>
  <si>
    <t>1 = השפעה גדולה
2 = השפעה מסויימת
3 = השפעה מועטה
4 = אין כלל השפעה
5 = לא יודע על קיום סקרים</t>
  </si>
  <si>
    <t>0 = לא צופה
1 = בכלל לא
2 = במידה מועטה
3 = במידה מסוימת
4 = במידה רבה</t>
  </si>
  <si>
    <t>1 = מידה רבה
2 = במידה מסויימת
3 = במידה מועטה
4 = כמעט ולא משפיעות
5 = כלל לא</t>
  </si>
  <si>
    <t>1 = בטוח שאצביע
2 = חושב שאצביע
3 = לא חושב שאצביע
4 = בטוח לא אצביע</t>
  </si>
  <si>
    <t>1 = סיבות טכניות
2 = אדישות
3 = לא יודע בעד מי להצביע/כולם אותו דבר
4 = מחאה
5 = המועד אינו מתאים לקיום בחירות
9 = מתכוון להצביע</t>
  </si>
  <si>
    <t>1 = כן
2 = לא
3 = אולי</t>
  </si>
  <si>
    <t>1 = זה לא שינה את הצבעתך
2 = כן, שינית את הצבעתך כי אתה לא רוצה להצביע למפלגה שיש בה שחיתות
3 = כן, שינית את הצבעתך כדי לחזק את אלו שהתקשורת רודפת אותם
4 = כן, החלטת שלא להצביע</t>
  </si>
  <si>
    <t>1 = ליכוד
2 = צומת
3 = גשר
4 = מפלגה אחרת
5 = לא החלטתי</t>
  </si>
  <si>
    <t>1 = הליכוד
2 = ישראל ביתנו</t>
  </si>
  <si>
    <t>1 = גבר
2 = אישה
3 = אין הבדל</t>
  </si>
  <si>
    <t>1 = אשכנזי
2 = מזרחי
3 = אין הבדל</t>
  </si>
  <si>
    <t>1 = במידה רבה
2 = במידה מסויימת
3 = במידה מועטה
4 = בכלל לא</t>
  </si>
  <si>
    <t xml:space="preserve">1 = אין הבדל בין המפלגות
2 = ברור מי ינצח
3 = ממילא לא משנה עבור מי מצביעים כי זה לא משנה את המצב
4 = הפוליטיקה והפוליטיקאים נמאסו על הציבור
5 = יש הרגשה שאין במי לבחור
6 = לא אכפת לאנשים מפוליטיקה
</t>
  </si>
  <si>
    <t>1 = האנשים שעומדים בראש הרשימות דוחים
2 = אף רשימה לא מושכת, אין במי לבחור
3 = בדר"כ ברור מי ינצח, אין השפעה להצבעה
4 = לא ברורים להם ההבדלים בין המפלגות
5 = חושבים שאף מפלגה לא דואגת לעניינים של אנשים כמותם
6 = חושבים שכל הבחירות הם סתם משחק
7 = לא מתעניינים בפוליטיקה
8 = חושבים שצריך להרוס הכל ולהתחיל מחדש
9 = לא נמצאים בארץ</t>
  </si>
  <si>
    <t>1 = סיבה חשובה מאד
2 = סיבה חשובה
3 = לא בטוח
4 = לא סיבה חשובה
5 = בהחלט לא סיבה חשובה</t>
  </si>
  <si>
    <t>1 = שמיר
2 = רבין</t>
  </si>
  <si>
    <t>בחירות 2008
1 = כן
2 = לא</t>
  </si>
  <si>
    <t>1 = פרס
2 = שרון</t>
  </si>
  <si>
    <t>1 = לא ישפיע כלל
2 = במידה מועטה
3 = במידה מסוימת
4 = במידה רבה</t>
  </si>
  <si>
    <t>הניסוח:
"ההסכם עם הפלסטינים"</t>
  </si>
  <si>
    <t>ארבע אפשרויות:
cccc6
cccc8
cccc10
cccc12</t>
  </si>
  <si>
    <t>1 = משפיע
2 = לא משפיע</t>
  </si>
  <si>
    <t>1 = 1949
2 = 1951
3 = 1955
4 = 1959
5 = 1961
6 = 1965
7 = 1969
8 = 1973
9 = 1977
10 = 1981
11 = 1984
12 = טרם השתתפתי בבחירות</t>
  </si>
  <si>
    <t>1 = כולם מצביעים כמוך
2 = חלק גדול
3 = חלק קטן
4 = אף אחד לא מצביע כמוך</t>
  </si>
  <si>
    <t>1 = כולם מצביעים כמוך
2 = חלק גדול
3 = חלק קטן
4 = אף אחד לא מצביע כמוך
5 = לא יודע איך הם מצביעים</t>
  </si>
  <si>
    <t>1 = כן
2 = לא
3 = לא יודע איך מצביעים
4 = מצביע כמו חלק מהם</t>
  </si>
  <si>
    <t>1 = רוב חברי יצביעו כמוני
2 = רוב חברי לא יצביעו כמוני
3 = לא יודע בעד מי הם מצביעים</t>
  </si>
  <si>
    <t>1 = כן
2 = לא
3 = לא נשוי</t>
  </si>
  <si>
    <t>1 = במידה רבה מאד
2 = במידה רבה
3 = במידה מסוימת
4 = במידה קטנה ביותר
5 = כלל לא</t>
  </si>
  <si>
    <t>1 = אבא
2 = אמא
3 = אח/אחות
4 = בן/בת זוג
5 = בן/בת
6 = אחר
7 = שני ההורים במידה שווה
8 = כל בני משפחתי במידה שווה
9 = אף אחד לא השפיע</t>
  </si>
  <si>
    <t>1 = המשפחה שלי
2 = ידידי הקרובים
3 = החברים בעבודה
4 = אנשי התנועה/ארגון שאני משתייך אליו
5 = כל הקבוצות במידה שווה
6 = לאף קבוצה אין השפעה</t>
  </si>
  <si>
    <t>1 = במידה רבה מאד
2 = במידה רבה
3 = במידה מסוימת
4 = במידה קטנה
5 = כלל לא</t>
  </si>
  <si>
    <t>1 = לא השתנה
2 = התחזקה הנטייה להציע לליכוד או למחנה שלו
3 = התחזקה הנטייה להצביע למערך או למחנה שלו
4 = התחזקה הנטייה להצביע למפלגות הדתיות</t>
  </si>
  <si>
    <t>1 = בטוח לגמרי
2 = חושב אך לא בטוח
3 = כלל לא בטוח</t>
  </si>
  <si>
    <t>1 = במידה רבה
2 = במידה מסויימת
3 = במידה מועטה
4 = כלל לא תשפיע</t>
  </si>
  <si>
    <t>1 = התכנית הכלכלית של ארידור
2 = התכנית האלטרנטיבית של המערך
3 = המשפט של אבו-חצירה
4 = היריבות בין מנהיגי מפלגת העבודה
5 = התיפקוד של הממשלה
6 = הבחירות להסתדרות</t>
  </si>
  <si>
    <t>1 = לא מתכנן נסיעה
2 = מתכנן נסיעה אך אהיה בארץ בבחירות
3 = מתכנן נסיעה ולא אהיה בארץ בבחירות</t>
  </si>
  <si>
    <t>1 = בטוח במידה רבה
2 = במידה מסויימת
3 = במידה מועטה
4 = לא בטוח כלל</t>
  </si>
  <si>
    <t>1 = במידה רבה
2 = במידה מסוימת
3 = במידה מועטה
4 = כלל לא
5 = לא אצביע</t>
  </si>
  <si>
    <t>1 = יום לפני הבחירות
2 = כמה ימים לפני הבחירות
3 = שבועיים לפני הבחירות
4 = 3 שבועות לפני הבחירות
5 = בימים הקרובים
6 = איני יודע מתי</t>
  </si>
  <si>
    <t>1 = בימים אלו
2 = בחודש הקרוב
3 = סמוך למועד הבחירות
9 = בטוח במי יצביע</t>
  </si>
  <si>
    <t>1 = יותר
2 = פחות
3 = אותו דבר
4 = לא יודע</t>
  </si>
  <si>
    <t>1 = הרבה יותר ברור
2 = יותר ברור
3 = פחות ברור
4 = הרבה פחות ברור
5 = ברור באותה מידה</t>
  </si>
  <si>
    <t>1 = לא ברור עדיין מי יהיו המועמדים לכנסת
2 = לא ברור מי המנהיגים או מי הצוות המוביל
3 = ראשי הרשימות לא מושכים אותם
4 = מצע המפלגה לא ברור
5 = המצע של אף מפלגה לא מושך
6 = ההבדלים בין המפלגות לא ברורים
7 = מחכים למערכת הבחירות
8 = מחכים להתפתחויות פוליטיות/כלכליות
9 = אין להם זיקה לאף מפלגה</t>
  </si>
  <si>
    <t>1 = מחליט מוקדם
2 = מחכה</t>
  </si>
  <si>
    <t>1 = חוגי בית
2 = ביקורים של מנהיגים בשכונה
3 = ביקור של הנציגים של המפלגות בבית
4 = אסיפות
5 = ביקורים של נציגי המפלגות במקומות העבודה
6 = סיורים וטיולים מטעם המפלגה
7 = שיחות עם חברים
8 = כולם באותה מידה
9 = אף אחד לא יעזור</t>
  </si>
  <si>
    <t>בהמשך לשאלה a27
דרך נוספת</t>
  </si>
  <si>
    <t>1 = מאמרים בעיתון
2 = מודעות של המפלגה בעיתון
3 = שידורי תעמולת בחירות ברדיו
4 = שידורי תעמולת בחירות בטלוויזיה
5 = דיונים וכתבות בטלוויזיה על הנעשה בארץ
6 = פרסומות ברחובות
7 = מכתבים או עלונים הביתה
8 = כולם במידה שווה
9 = אף אחד לא יעזור</t>
  </si>
  <si>
    <t xml:space="preserve">1 = בעד המפלגה עבורה אצביע
2 = נגד מפלגה אחרת
3 = שתי הסיבות נכונות
4 = לא יודע לא חשבתי על זה
</t>
  </si>
  <si>
    <t>1 = כן
2 = לא
3 = לא הצבעתי בעבר</t>
  </si>
  <si>
    <t>1 = ישפיע במידה רבה
2 = ישפיע במידה מסויימת
3 = ישפיע במידה מועטה
4 = לא ישפיע כלל</t>
  </si>
  <si>
    <t>1 = כן
2 = לא
3 = לא החלטתי
4 = לא אצביע</t>
  </si>
  <si>
    <t>1 = אמון בהנגת המפלגה שהצבעתי לה
2 = אי אמון של הממשלה בראשות המערך
3 = הרצון למחות נגד שלטון המערך
4 = הרצון לתמוך בשלטון המערך
5 = פחד מפני קיצוניות הליכוד</t>
  </si>
  <si>
    <t>1 = בטוח מאד
2 = בטוח
3 = לא כ"כ בטוח
4 = בכלל לא בטוח</t>
  </si>
  <si>
    <t>1 = בטוח שאשנה
2 = חושב שאשנה
3 = חושב שלא אשנה
4 = בטוח שאשנה</t>
  </si>
  <si>
    <t>1 = בטוח שאשנה
2 = חושב שאשנה
3 = חושב שלא אשנה
4 = בטוח לא אשנה
5 = אם זה יקרה, לא אצביע כלל
6 = לא אצביע בלאו הכי
7 = לא תומך באף מפלגה</t>
  </si>
  <si>
    <t>1 = אשנה
2 = לא אשנה
3 = לא אצביע כלל אם ככה
4 = אין נושא חשוב במיוחד</t>
  </si>
  <si>
    <t>1 = בטוח אצביע עבור המפלגה
2 = חושב שאצביע עבורה
3 = חושב שלא אצביע עבורה
4 = בטוח שלא אצביע עבורה
5 = אם זה יקרה, לא אצביע כלל
6 = לא אצביע בלאו הכי
7 = אין מועמד מועדף
8 = לא תומך באף מפלגה</t>
  </si>
  <si>
    <t>1 = אצביע בכל זאת
2 = לא אצביע לה
3 = לא אצביע בכלל
4 = אין מועמד מסוים</t>
  </si>
  <si>
    <t>1 = מפ"ם
2 = מפלגת העבודה
3 = אף אחד מהם</t>
  </si>
  <si>
    <t>1 = כן
2 = לא
3 = לא בחרתי ב1969
4 = לא הצבעתי הפעם</t>
  </si>
  <si>
    <t>1 = כן
2 = לא
3 = לא הצבעתי</t>
  </si>
  <si>
    <t>1 = כן
2 = לא
3 = מתלבט</t>
  </si>
  <si>
    <t>1 = קשה מאד
2 = קשה
3 = לא כ"כ קשה
4 = בכלל לא קשה</t>
  </si>
  <si>
    <t>1 = להזדהות עם אישים פוליטיים
2 = להתנהג כמו חברי
3 = להזדהות עם המפלגה שאני תומך בה
4 = להשפיע איזו מפלגה תהיה בשלטון
5 = להרגיש שאני חלק מהמדינה והעם
6 = להביע את דעותיי בעניינים פוליטיים
7 = גורמת לי הנאה בגלל שאני משתתף באירוע חגיגי
8 = למלא את חובתי למדינה
9 = להביע מחאה נגד השלטון</t>
  </si>
  <si>
    <t>1 = נותן לי להרגיש חלק מהעם
2 = להביע הזדהות עם המפלגה שאני תומך בה
3 = כדי לבחור מי יהיה בשלטון
4 = כדי להביע ביקורת נגד השלטון
5 = כי חברים שלי מצביעים ולא בא לי להיות שונה
6 = כדי למלא את חובתי למדינה
7 = לא מצביע</t>
  </si>
  <si>
    <t>1 = כן
2 = לא
3 = טרם החלטתי</t>
  </si>
  <si>
    <t>₪1,965</t>
  </si>
  <si>
    <t>1 = יש גורם אחד חשוב בהרבה מהיתר
2 = יש גורם אחד שהוא קצת יותר חשוב מהיתר
3 = כל הגורמים חשובים באותה מידה
4 = אף אחד מהגורמים לא חשוב</t>
  </si>
  <si>
    <t>1 = הזדהות עם המפלגה
2 = מועמד המפלגה
3 = עמדות המפלגה
4 = מקומה של המפלגה
5 = אף אחד מאלו
6 = אחר</t>
  </si>
  <si>
    <t>1 = כן
2 = לא
3 = הרשימה שהצבעתי לעירייה לא רצה לכנסת
4 = לא הצבעתי לכנסת
5 = לא הצבעתי לעירייה
6 = לא הצבעתי כלל</t>
  </si>
  <si>
    <t>1 = כן
2 = לא
3 = לא אצביע לעירייה
4 = טרם החלטתי למי להצביע לעירייה
5 = לא אצביע לכנסת
6 = טרם החלטתי למי להצביע לכנסת</t>
  </si>
  <si>
    <t>1 = במידה רבה
2 = במידה מסוימת
3 = במידה מועטה
4 = בכלל לא
5 = אין לי בן/בת זוג</t>
  </si>
  <si>
    <t>1 = הרבה יותר קשה
2 = קצת יותר קשה
3 = באותה מידה
4 = קצת פחות קשה
5 = הרבה פחות קשה</t>
  </si>
  <si>
    <t>1 = כן בהחלט
2 = חושבת שכן
3 = חושבת שלא
4 = בכלל לא
5 = לא יודעת בעד מי בעלי רוצה שאצביע
6 = לא חשוב לו עבור מי אצביע
7 = אני גבר</t>
  </si>
  <si>
    <t>1 = הוא לא צריך להצביע
2 = הוא צריך לשים פתק לבן
3 = הוא צריך להצביע למפלגה כלשהי</t>
  </si>
  <si>
    <t>1 = מסכים בהחלט
2 = במידה מסויימת
3 = מסתייג
4 = מתנגד בהחלט</t>
  </si>
  <si>
    <t>1 = חשוב מאד
2 = חשוב
3 = לא כ"כ חשוב
4 = לא חשוב כלל</t>
  </si>
  <si>
    <t>1 = העיקר זה להצביע
2 = העיקר המפלגה</t>
  </si>
  <si>
    <t>1 = כן
2 = לא
3 = לא בחרתי פעם קודמת</t>
  </si>
  <si>
    <t>1 = מאוד משפיעה
2 = משפיעה
3 = לא כ"כ משפיעה
4 = לא משפיעה כלל
5 = לא מזדהה עם אף מפלגה</t>
  </si>
  <si>
    <t>הבעייה שציין ב"ישראל כללי"
שורה 5</t>
  </si>
  <si>
    <t>1 = מאוד תשפיע
2 = תשפיע
3 = לא כ"כ תשפיע
4 = לא תשפיע כלל</t>
  </si>
  <si>
    <t>1 = מחזק את עמדתי להצביע עבור הרשימה שבחרתי בה
2 = לא השפיע כלל
3 = השפיע עליי לשנות את החלטתי</t>
  </si>
  <si>
    <t>1 = כלל לא ישפיע
2 = ישפיע במידה מועטה
3 = ישפיע במידה מסוימת
4 = ישפיע במידה רבה</t>
  </si>
  <si>
    <t>1 = שרון
2 = ברק</t>
  </si>
  <si>
    <t>1 = נתניהו
2 = ברק
3 = מרדכי</t>
  </si>
  <si>
    <t>1 = נתניהו
2 = פרס
3 = לא יודע</t>
  </si>
  <si>
    <t>v60 + v61
שתי תשובות
1 = נתניהו
2 = ברק
3 = מרדכי
4 = בגין
5 = בשארה
6 = רפול</t>
  </si>
  <si>
    <t>ציון 0-100
0 = אין סיכוי
100 = בטוח שכן</t>
  </si>
  <si>
    <t>1 = העבודה
2 = הליכוד
3 = לא יודע</t>
  </si>
  <si>
    <t>הניסוח הוא:
"מפלגה שתקים את הממשלה"
1 = העבודה
2 = הליכוד
3 = ממלשת אחדות לאומית בראשות העבודה
4 = ממשלת אחדות לאומית בראשות הליכוד
5 = אחר</t>
  </si>
  <si>
    <t>1 = העבודה
2 = הליכוד
3 = ממלשת אחדות לאומית בראשות העבודה
4 = ממשלת אחדות לאומית בראשות הליכוד
5 = אחר</t>
  </si>
  <si>
    <t>1 = רוצה במידה רבה את הליכוד
2 = רוצה במידה מסויימת את הליכוד
3 = לא משנה לי
4 = רוצה במידה מסויימת את המערך
5 = רוצה במידה רבה את המערך</t>
  </si>
  <si>
    <t>ציון בין 0-100
0 = אין סיכוי שתהיה
100 = בטוח שתהיה</t>
  </si>
  <si>
    <t>ציון בין 0-100
0 = אין סיכוי
100 = בטוח שכן</t>
  </si>
  <si>
    <t>סולם בין 1-10
1 = מתנגד
10 = תומך</t>
  </si>
  <si>
    <t>1 = מערך+ליכוד+ד"ש
2 = מערך+ליכוד
3 = מערך+ד"ש
4 = מערך+מפד"ל
5 = ליכוד+ד"ש
6 = ליכוד+מפד"ל
7 = ליכוד+ד"ש+מפד"ל
8 = מערך+ד"ש+מפד"ל
9 = מערך+ליכוד+ד"ש+מפד"ל</t>
  </si>
  <si>
    <t>1 = בהחלט כן
2 = חושב שכן
3 = חושב שלא
4 = בהחלט לא
5 = כן, אבל רק בראשות הליכוד
6 = כן, אבל רק בראשות העבודה
7 = כן, אבל רק בראשות מפלגת המרכז</t>
  </si>
  <si>
    <t>1 = בהחלט כן
2 = חושב שכן
3 = חושב שלא
4 = בהחלט לא
5 = כן, אבל רק בראשות הליכוד
6 = כן, אבל רק בראשות המערך</t>
  </si>
  <si>
    <t>1 = בהחלט יש להקים
2 = חושב שיש להקים
3 = חושב שאין להקים
4 = בהחלט אין להקים</t>
  </si>
  <si>
    <t>1 = בהחלט יש להקים
2 = חושב שיש להקים
3 = חושב שלא להקים
4 = בהחלט לא להקים</t>
  </si>
  <si>
    <t>1 = הליכוד+ימין+חרדים
2 = יש עתיד+מרכז-שמאל
3 = אחדות לאומית (ימין+מרכז+שמאל)
4 = לא תקום שום קואליציה והכנסת תפוזר
5 = אחר</t>
  </si>
  <si>
    <t>1 = הליכוד+ימין+חרדים
2 = הליכוד+ימין (בלי חרדים)
3 = תקווה חדשה+ימין+חרדים
4 = יש עתיד+תקווה חדשה+ימינה+ישראל ביתנו+כחול לבן+העבודה+מרצ
5 = מרכז+שמאל+ימין +תמיכה מבחוץ של המשותפת
6 = אחדות לאומית
7 = לא תקום שום קואליציה והכנסת תתפזר
8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</si>
  <si>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לא תקום שום קואליציה והכנסת תפוזר
7 = אחר</t>
  </si>
  <si>
    <t>1 = קואליציה בראשות הליכוד עם מפלגות ימין
2 = קואליציה בראשות הליכוד עם מפלגות משני צידי הקשת הפוליטית
3 = קואליציה בראשות כחול-לבן עם מפלגות מרכז שמאל
4 = קואליציה בראשות כחול-לבן עם מפלגות משני צידי הקשת הפוליטית
5 = קואליציה של הליכוד וכחול-לבן
6 = אחר</t>
  </si>
  <si>
    <t>1 = קואליציה בראשות הליכוד
2 = קואליציה בראשות המחנה הציוני
3 = ממשלת אחדות</t>
  </si>
  <si>
    <t>1 = הליכוד+ימין+חרדים
2 = יש עתיד+מרכז-שמאל
3 = אחדות לאומית (ימין+מרכז+שמאל)
4 = אחר</t>
  </si>
  <si>
    <t>1 = בכלל לא
2 = במידה מועטה
3 = במידה בינונית
4 = במידה רבה
5 = במידה רבה מאד
8 = לא יודע
9 = אין תשובה/מסרב</t>
  </si>
  <si>
    <t>1 = הליכוד+ימין+חרדים
2 = הליכוד+חרדים+המחנה הממלכתי (בלי הציונות הדתית)
3 = אחדות לאומית (הליכוד+יש עתיד+המחנה הממלכתי)
4 = אחר
5 = אף אחת מהן
6 = לא משנה לי איזו ממשלה תהיה, העיקר שתהיה כבר ממשלה</t>
  </si>
  <si>
    <t>1 = קואליציית ימין בראשות נתניהו יחד עם בנט ובתמיכת רע"מ
2 = קואליציית ימין בראשות נתניהו יחד עם בנט ותמיכה של מס' מפלגות מהגוש השני ללא תמיכה של רע"מ
3 = קואליציה של מתנגדי נתניהו עם רוטציה בין בנט ללפיד בתמיכה של אחת או שתי מפלגות ערביות
4 = קואליציה של מתנגדי נתניהו בראשות לפיד, עם בנט ומתמיכת שתי המפלגות הערביות
5 = אחרת
6 = אף אחת מהן
7 = לא משנה לי העיקר שתהיה ממשלה כבר
98 = לא יודע
99 = מסרב</t>
  </si>
  <si>
    <t>1 = קואליציית ימין בראשות הליכוד עם עוד מפלגה או ח"כים ממפלגה אחרת
2 = קואליציה בראשות כחול-לבן עם ישראל ביתנו, עבודה-גשר-מרצ ותמיכה של הרשימה המשותפת מבחוץ
3 = ממשלת אחדות של הליכוד וכחול-לבן בראשות נתניהו
4 = קואליציה אחרת
5 = אף אחת מהן
6 = לא משנה לי איזו ממשלה תהיה, העיקר שתהיה כבר ממשלה
8 = לא יודע
9 = מסרב</t>
  </si>
  <si>
    <t>1 = קואליציה בראשות הליכוד עם המפלגות החרדיות והדתיות ועוד מפלגות אחרות
2 = קואליציה בראשות כחול-לבן עם מפלגות השמאל ועוד מפלגות אחרות
3 = ממשלת אחדות לאומית של הליכוד וכחול-לבן עם גנץ ונתניהו
4 = ממשלת אחדות לאומית של הליכוד וכחול-לבן עם גנץ וח"כ מהליכוד שאיננו נתניהו
5 = קואליציה אחרת
6 = אף אחת מהן
8 = לא יודע
9 = מסרב</t>
  </si>
  <si>
    <t>1 = קואליציה של הליכוד עם מפלגות הימין הדתיות, החרדיות והחילוניות
2 = ממשלת אחדות לאומית של הליכוד וכחול-לבן
3 = קואליציה אחרת
4 = אף אחת מהן</t>
  </si>
  <si>
    <t>1 = קואליצייה בראשות הליכוד עם מפלגות ימין וחרדים
2 = קואליציה בראשות ליכוד עם מפלגות ימין + יש עתיד בלי חרדים
3 = ממשלת אחדות לאומית
4 = אחר
5 = אף אחת מהן</t>
  </si>
  <si>
    <t>1 = ליכוד/בנט/חרדים
2 = ליכוד/לפיד/בנט
3 = ליכוד/לפיד/חרדים
4 = ליכוד/לפיד/חרדים/לבני
5 = ליכוד/לפיד/בנט/חרדים
6 = ליכוד/לפיד/מפלגות מרכז/עבודה
7 = אחר</t>
  </si>
  <si>
    <t>1 = ממשלת אחדות לאומית בראשות נתניהו
2 = ממשלת אחדות לאומית בראשות לבני
3 = ממשלת אחדות לאומית עם רוטציה
4 = ממשלת ימין בראשות נתניהו
5 = אחר</t>
  </si>
  <si>
    <t>1 = מאד מרוצה
2 = די מרוצה
3 = לא כ"כ מרוצה
4 = לא מרוצה בכלל</t>
  </si>
  <si>
    <t>1 = מאד מרוצה
2 = מרוצה
3 = לא כ"כ מרוצה
4 = מאד לא מרוצה</t>
  </si>
  <si>
    <t>1 = שהמפלגה שהצבעת לה תפר את הבטחתה עם מי לא לשבת כדי שתוקם ממשלה
2 = שיהיו בחירות חמישיות</t>
  </si>
  <si>
    <t>1 = מאד אכפת לי
2 = די אכפת לי
3 = קצת אכפת לי
4 = לא אכפת לי</t>
  </si>
  <si>
    <t>1 = לא השתנתה
2 = גבר הסיכוי לנצחון של מחנה הליכוד
3 = גבר הסיכוי לנצחון של מחנה המערך
4 = גברו סיכויי ההצלחה של המפלגות הדתיות</t>
  </si>
  <si>
    <t xml:space="preserve">1 = בהחלט לא רוצה
2 = לא כ"כ רוצה
3 = רוצה במידה מסויימת
4 = רוצה </t>
  </si>
  <si>
    <t>1 = הליכוד
2 = תל"ם (משה דיין)</t>
  </si>
  <si>
    <t>1 = הליכוד
2 = ד"ש</t>
  </si>
  <si>
    <t>1 = יש להוציא כמה אישים ולהחליפם
2 = יש לשנות את התפקידים של מס' שרים, מבלי להוציאם מהממשלה
3 = יש להוסיף כמה שרים חדשים, מבלי להוציא את השרים בתפקידים הבכירים
4 = לא צריכים לחול שינויים מהותיים</t>
  </si>
  <si>
    <t>1 = עלו במידה רבה
2 = עלו במידה מסוימת
3 = ירדו במידה מסוימת
4 = ירדו במידה רבה
5 = לא השתנו</t>
  </si>
  <si>
    <t>1 = סיכוי רב מאוד
2 = סיכוי רב
3 = סיכוי בינוני
4 = סיכוי מועט
5 = אין סיכוי כלל
6 = טרם החלטתי למי להצביע
7 = טרם החלטתי אם אצביע
8 = לא אצביע כלל</t>
  </si>
  <si>
    <t xml:space="preserve">יניב שפירא:
1 = על הנושא המדיני, כלומר הסכסוך עם הפלסטינים
2 = על עתיד הדמוקרטיה ומקומה של מערכת המשפט בישראל
3 = על האיומים הביטחוניים ואיך להתמודד איתם
4 = על יוקר המחיה
5 = על הזהות היהודית של המדינה
6 = על טיפול הממשלה בפשיעה והביטחון האישי
7 = על נתניהו: האם עליו להנהיג את המדינה
</t>
  </si>
  <si>
    <t>1 = על הנושא המדיני, כלומר הסכסוך עם הפלסטינים ותכנית טראמפ
2 = על עתיד הדמוקרטיה ומקומה של מערכת המשפט בישראל
3 = על האיומים הביטחוניים ואיך להתמודד איתם
4 = על המצב הכלכלי והחברתי
5 = על יחסי דת ומדינה
6 = על נתניהו: האם עליו להמשיך להנהיג את המדינה
8 = לא יודע
9 = מסרב</t>
  </si>
  <si>
    <t>1 = על הנושא המדיני, כלומר הסכסוך עם הפלשתינים
2 = על עתיד הדמוקרטיה בישראל
3 = על האיומים הביטחוניים ואיך להתמודד איתם
4 = על המצב הכלכלי-חברתי
5 = על נתניהו: האם יש או אין בו אמון</t>
  </si>
  <si>
    <t>1 = על הנושא המדיני, כלומר המו"מ עם הפלסטינים ומדינה פלסטינית
2 = על סוגית הגרעין האיראני
3 = על האיומים הביטחוניים
4 = על הנושאים החברתיים ובעיקר על בעיות הדיור ויוקר המחיה
5 = על מנהיגותו של נתניהו</t>
  </si>
  <si>
    <t>1 = על הנושא המדיני
2 = על התקיפה באיראן
3 = על האיומים הביטחוניים
4 = על נושאי המחאה החברתית: דיור ויוקר המחיה
5 = על השוויון בנטל
6 = על מנהיגותו ותפקודו של נתניהו</t>
  </si>
  <si>
    <t>1 = על הנושא המדיני
2 = על המצב הביטחוני
3 = על המצב החברתי-כלכלי
4 = על שחיתות
5 = על מי מתאים להיות רה"מ
6 = לא יודע</t>
  </si>
  <si>
    <t>1 = הנושא המדיני
2 = יחסי דתיים-חילונים
3 = אופיו ותפקודו של נתניהו
4 = המצב החברתי-כלכלי
5 = שלטון החוק</t>
  </si>
  <si>
    <t>1 = בהחלט לא מסכים
2 = לא מסכים
3 = לא בטוח
4 = מסכים
5 = מסכים בהחלט</t>
  </si>
  <si>
    <t>הניסוח:
"על אופיו ותפקודו של נתניהו</t>
  </si>
  <si>
    <t>פה שאלו על מי יתמודד
טוב יותר מול האיומים</t>
  </si>
  <si>
    <t>הניסוח הוא:
"שהעם רוצה ימין, אבל ימין מתון"</t>
  </si>
  <si>
    <t>הניסוח הוא:
"על המדינה על הפלסטינית ורמת הגולן:</t>
  </si>
  <si>
    <t>הניסוח הוא:
"על נושא התקיפה של מתקני הגרעין האיראני"</t>
  </si>
  <si>
    <t>" הנושאים שהעלתה המחאה החברתית ב2011 ובעיקר על דיור בר השגה ויוקר המחיה"</t>
  </si>
  <si>
    <t>1 = בהחלט שכן
2 = חושב שכן
3 = חושב שלא
4 = בהחלט לא</t>
  </si>
  <si>
    <t>1 = ללא שינוי
2 = גרועה יותר
3 = טובה יותר</t>
  </si>
  <si>
    <t>1 = טובה יותר
2 = גרועה יותר
3 = ללא שינוי</t>
  </si>
  <si>
    <t>1 = לא
2 = כן, לליכוד
3 = כן, לעבודה
4 = כן, למרצ</t>
  </si>
  <si>
    <t>1 = התהליך המדיני עם הפלסינים וסוריה
2 = המצב הביטחוני
3 = המצב החברתי כלכלי
4 = יחסי דתיים חילונים
5 = שחיתות ושלטון החוק
6 = האחדות בעם
7 = אחר</t>
  </si>
  <si>
    <t>1 = בהחלט צריך להמשיך בשיטה הקיימת
2 = חושב שצריך להמשיך בשיטה הקיימת
3 = חושב שצריך לשנות את השיטה
4 = בהחלט צריך לשנות את השיטה
5 = אין לי דעה בנדון
6 = שתי השיטות לא טובות, צריך לעבור לשיטה אזורית בלבד</t>
  </si>
  <si>
    <t>1 = ישפיע במידה רבה
2 = ישפיע במידה מסוימת
3 = ישפיע במידה קטנה
4 = כלל לא ישפיע</t>
  </si>
  <si>
    <t>1 = במידה רבה
2 = במידה מסויימת
3 = במידה מועטה בלבד
4 = לא ישפיע כלל</t>
  </si>
  <si>
    <t>1 = ישפיע במידה רבה
2 = במידה מסויימת
3 = במידה מועטה
4 = בכלל לא ישפיע</t>
  </si>
  <si>
    <t>1 = בהחלט צריכים להיות
2 = צריכים להיות
3 = אולי כן צריכים להיות
4 = אולי לא צריכים להיות
5 = לא צריכים להיות
6 = בהחלט לא צריכים להיות</t>
  </si>
  <si>
    <t>1 = אני בטוח שהוא מנהיג זקן שטעה יותר מד
2 = אני חושב שהוא מנהיג זקן שטעה יותר מדי
3 = אני חושב שהוא סוג המנהיג שחסר לנו
4 = אני בטוח שהוא סוג המנהיג שחסר לנו</t>
  </si>
  <si>
    <t>1 = מסוגל במידה רבה
2 = במידה מסויימת
3 = במידה מועטה
4 = כלל לא מסוגל</t>
  </si>
  <si>
    <t>1 = תשפיע במידה רבה
2 = במידה מסויימת
3 = במידה מועטה
4 = לא תשפיע כלל</t>
  </si>
  <si>
    <t>1 = חיזקה מאוד
2 = חיזקה
3 = חיזקה קצת
4 = החלישה קצת
5 = החלישה
6 = החלישה מאוד
7 = לא זה ולא זה
8 = לא יודע</t>
  </si>
  <si>
    <t>1 = חיובי מאוד
2 = חיובי
3 = שלילי
4 = שלילי מאוד</t>
  </si>
  <si>
    <t>1 = בטוח צריך לקיימן במועד
2 = חושב שצריך לקיימן במועד
3  = חושב שצריך לדחות
4 = בטוח שצריך לדחות</t>
  </si>
  <si>
    <t>1 = למספר שבועות
2 = למספר חודשים
3 = לשנה
4 = ליותר משנה
5 = חושב שלא צריך לדחות</t>
  </si>
  <si>
    <t>1 = ציין 3 מפלגות
2 = ציין 2 מפלגות
3 = ציין מפלגה אחת
4 = תשובה לא נכונה
5 = לא יודע</t>
  </si>
  <si>
    <t xml:space="preserve">1 = ידוע במידה רבה
2 = ידוע באופן כללי
3 = ידוע באופן מועט
4 = לא ידוע כלל
</t>
  </si>
  <si>
    <t>1 = שהציבור בוחר, אבל הפוליטיקאים לא מקימים ממשלה
2 = שהמערכת הפוליטית ומשרדי הממשלה משותקים
3 = שנשברו כללי המשחק של המערכת הפוליטית והמשפטית
4 = לא רואה במצב שום דבר בעייתי
5 = אחר</t>
  </si>
  <si>
    <t>1 = שיטת הבחירות בישראל
2 = שיקולים אישייים של פוליטיקאיים המנסים למקסם את טובתם ושרידותם האישית
3 = הקושי בטיפול בבעיות המרכזיות של ישראל
4 = מחלוקות אידיאולוגיות בין המפלגות בקואליציה
5 = אחר</t>
  </si>
  <si>
    <t>1 = שיטת הבחירות
2 = שיקולים אישייים של פוליטיקאיים המנסים למקסם את טובתם ושרידותם הפוליטית
3 = הקושי בטיפול במשבר הקורונה והשלכותיו הכלכליות חברתיות
4 = מחלוקות אידיאולוגיות בין מפלגות הקואליציה
5 = אחר</t>
  </si>
  <si>
    <t>1 = בדרך טובה מאוד
2 = בדרך טובה
3 = בדרך לא כ"כ טובה
4 = בדרך לא טובה כלל</t>
  </si>
  <si>
    <t>1 = נתניהו
2 = סער
3 = לפיד
4 = בנט
5 = כולם במידה שווה
6 = אף אחד מהם</t>
  </si>
  <si>
    <t>1 = מתנגד/ת לחלוטין
2 = מתנגד/ת להשתתפותן בקואליציה, אך בעד תמיכתן מבחוץ
3 = תומך/ת בהשתתפותן בקואליציה, ללא תפקידי שרים
4 = תומך/ת בהשתתפותן בקואליציה, כולל תפקידי שרים</t>
  </si>
  <si>
    <t>1 = בעד צירוף מפלגות ערביות לממשלה
2 = בעד תמיכה מבחוץ של מפלגות ערביות
3 = נגד צירוף ונגד תמיכה מבחוץ של מפלגות ערביות</t>
  </si>
  <si>
    <t>1 = חיובית מאוד
2 = חיובית
3 = לא חיובית ולא שלילת
4 = שלילית
5 = שלילית מאוד</t>
  </si>
  <si>
    <t>1 = קפיטליסטית בהחלט
2 = יותר קפיטליסטית מאשר סוציאליסטית
3 = יותר סוציאליסטית מאשר קפיטליסטית
4 = סוציאליסטית בהחלט</t>
  </si>
  <si>
    <t>1 = נתניהו
2 = לפיד
3 = גנץ
4 = כולם במידה שווה
5 = אף אחד מהם</t>
  </si>
  <si>
    <t>1 = כחול לבן
2 = ליכוד
3 =  שניהם במידה שווה
4 = אף אחד מהם</t>
  </si>
  <si>
    <t>1 = המחנה הציוני
2 = הליכוד
3 = שניהם במידה שווה
4 = אף אחד מהם</t>
  </si>
  <si>
    <t>1 = ציפי לבני
2 = בנימין נתניהו
3 = שלי יחימוביץ</t>
  </si>
  <si>
    <t>1 = ציפי לבני
2 = בנימין נתניהו
3 = אהוד ברק</t>
  </si>
  <si>
    <t>1 = קדימה
2 = הליכוד
3 = העבודה
4 = כולם במידה שווה
5 = אף אחד מהם</t>
  </si>
  <si>
    <t>1 = הליכוד
2 = העבודה
3 = שניהם במידה שווה
4 = אף אחד מהם</t>
  </si>
  <si>
    <t>1 = שרון
2 = ברק
3 = מידה שווה
4 = אף אחד מהם</t>
  </si>
  <si>
    <t>1 = נתניהו
2 = ברק
3 = מרדכי
4 = במידה שווה
5 = אף אחד מהם</t>
  </si>
  <si>
    <t>1 = העבודה
2 = הליכוד
3 = במידה שווה
4 = אף אחד מהם</t>
  </si>
  <si>
    <t>1 = יורם ארידור (ליכוד)
2 = חיים בן שחר (מערך)</t>
  </si>
  <si>
    <t>1 = השתפר בהרבה
2 = השתפר במקצת
3 = לא השתנה
4 = קצת גרוע יותר
5 = הרבה יותר גרוע</t>
  </si>
  <si>
    <t>1 = טוב יותר
2 = אותו מצב
3 = גרוע יותר</t>
  </si>
  <si>
    <t>1 =השתפר בהרבה
2 = השתפר במקצת
3 = לא השתנה
4 = קצת גרוע יותר
5 = הרבה יותר גרוע</t>
  </si>
  <si>
    <t>1 = טוב יותר
2 = אותו מצב
3 = יותר גרוע</t>
  </si>
  <si>
    <t xml:space="preserve">1 = על הממשלה לדאוג שלכל אדם תהיה עבודה ורמת חיים סבירה
2 = זה תלוי
3 = על הממשלה לא להתערב ולתת לכל אדם להסתדר בעצמו
</t>
  </si>
  <si>
    <t>1 = כן
2 = לא
9 = מסרב</t>
  </si>
  <si>
    <t>במקום "הבעיות שהמדינה ניצבת בפניהן"
הנוסח הוא: "הכסף יוקדש לנושאי בטחון"</t>
  </si>
  <si>
    <t>1 = פחות
2 = כמו עכשיו
3 = יותר</t>
  </si>
  <si>
    <t>1 = יותר
2 = פחות
3 = כמו עכשיו</t>
  </si>
  <si>
    <t>הניסוח הוא:
"סיוע למובטלים"</t>
  </si>
  <si>
    <t>1 = מסכים בהחלט
2 = מסכים
3 = לא בטוח
4 = לא מסכים
5 = בהחלט לא מסכים</t>
  </si>
  <si>
    <t xml:space="preserve">1 = מוצדק בהחלט
2 = מוצדק
3 = לא מוצדק
4 = בהחלט לא מוצדק
</t>
  </si>
  <si>
    <t>1 = לא תמכת
2 = תמכת, אך לא השתתפת
3 = תמכת והשתתפת באופן אישי</t>
  </si>
  <si>
    <t>1 = מסכים בהחלט
2 = מסכים
3 = לא מסכים
4 = בכלל לא מסכים</t>
  </si>
  <si>
    <t>1 = במידה רבה מאד
2 = במידה רבה
3 = במידה בינונית
4 = במידה קטנה
5 = כלל לא</t>
  </si>
  <si>
    <t>1 = להגדיל
2 = להשאיר
3 = לקצץ</t>
  </si>
  <si>
    <t>1 = כל הדרך בה מאורגנת החברה שלנו צריכה לעבור שינוי יסודי באמצעות פעולה מהפכנית
2 = החברה שלנו צריכה לעבור שיפורים באופן הדרגתי ע"י רפורמות
3 = החברה שלנו טובה כפי שהיא ויש להגן עליה מפני כוחות הרוצים לשנותה</t>
  </si>
  <si>
    <t>1 = בעד שינוי הסטטוס
2 = נגד שינוי הסטטוס</t>
  </si>
  <si>
    <t>1 = הנטל מתחלק באופן צודק
2 = נטל מתחלק באופן לא צודק</t>
  </si>
  <si>
    <t>1 = מטפלת בדרך טובה מאד
2 = בדרך טובה
3 = בדרך ככה ככה
4 = בדרך לא כ"כ טובה
5 = בדרך כלל לא טובה</t>
  </si>
  <si>
    <t>1 = המערך
2 = הליכוד
3 = במידה שווה
4 = אף אחת מהן</t>
  </si>
  <si>
    <t>1 = יותר טוב
2 = דומים
3 = פחות טוב</t>
  </si>
  <si>
    <t>1 = מתחשבת במידה רבה מאד
2 = במידה רבה
3 = במידה מסוימת
4 = במידה מועטה
5 = לא מתחשבת כלל</t>
  </si>
  <si>
    <t>1 = יותר טובים
2 = שווים/דומים
3 = פחות טובים</t>
  </si>
  <si>
    <t>1 = מאד ברורה
2 = ברורה
3 = די ברורה
4 = לא כ"כ ברורה
5 = לא ברורה
6 = כלל לא ברורה</t>
  </si>
  <si>
    <t>1 = במידה רבה מאד
2 = במידה רבה
3 = במידה מסויימת
4 = במידה מועטה בלבד
5 = כלל לא עוזרת</t>
  </si>
  <si>
    <t>1 = במידה רבה מאד
2 = במידה מסויימת
3 = לא כ"כ
4 = בכלל לא</t>
  </si>
  <si>
    <t>1 = בכלל לא תצליח
2 = לא כ"כ תצליח
3 = תצליח במידה מה
4 = תצליח במידה רבה</t>
  </si>
  <si>
    <t>1 = סיכויים רבים מאד שתמשך
2 = סיכויים מועטים שתמשך
3 = אין סיכויים שתמשך
4 = אין בכלל סיכויים שתמשך</t>
  </si>
  <si>
    <t>1 = לשכבות החלשות
2 = לשכבות הבינוניות
3 = לשכבות הגבוהות
4 = לכל אזרחי המדינה</t>
  </si>
  <si>
    <t>1 = כן
2 = לא
3 = לא יודע/לא החלטתי</t>
  </si>
  <si>
    <t>סולם 1-10
1 = רחוק ביותר
10 = קרוב ביותר</t>
  </si>
  <si>
    <t>סולם 1-10
1 = הטוב ביותר
10 = הגרוע ביותר</t>
  </si>
  <si>
    <t>סולם 0-10
0 = הכי גרוע
10 = הכי טוב</t>
  </si>
  <si>
    <t>1 = בטוח שכן
2 = חושב שכן
3 = חושב שלא
4 = בטוח שלא
5 = אין זכות בחירה</t>
  </si>
  <si>
    <t>1 = עבודה (הברפלד)
2 = דם (רמון)
3 = ליכוד (שמאי)
4 = חד"ש (גונן)
5 = לא הצבעתי למרות שהייתה לי זכות בחירה
6 = לר הצבעתי כי לא הייתי חבר הסתדרות</t>
  </si>
  <si>
    <t>₪1,973</t>
  </si>
  <si>
    <t>1 = ראשי הרשימות
2 = עמדות המפלגות בנושאים שונים
3 = הישגים בהסתדרות בעבר
4 = הזדהות עם המפלגה
5 = הרע במיעוטו
6 = לחזק את המפלגה לפני הבחירות לכנסת
7 = להעניש מפלגה אחרת
8 = לא הצביע
9 = לא חבר הסתדרות</t>
  </si>
  <si>
    <t>1 = ראשי הרשימות דחו אותי
2 = אין במי לבחור
3 = היה ברור מראש מי ינצח
4 = לא ברור מה ההבדלים בין המפלגות
5 = ההסתדרות לא דואגת לאנשים כמוני
6 = כל הבחירות סתם משחק
7 = אני חבר רק בגלל קופ"ח - כל השאר לא מעניין אותי
8 = קשה להגיע לקלפי/לא ידעתי על קיום הבחירות
9 = סיבה אישית לא פוליטית
0 = כן הצביע</t>
  </si>
  <si>
    <t>1 = חיזק את עמדתי עבור מי להצביע
2 = לא השפיע עלי
3 = השפיע עלי לשנות את עמדתי</t>
  </si>
  <si>
    <t>1 = המערך
2 = הליכוד
3 = שתיהן
4 = אף אחת מהן</t>
  </si>
  <si>
    <t>1 = בהחלט בסדר
2 = בסדר
3 = לא כ"כ בסדר
4 = כלל לא בסדר</t>
  </si>
  <si>
    <t>1 = בהחלט מסכים
2 = מסכים
3 = לא כ"כ מסכים
4 = לא מסכים כלל</t>
  </si>
  <si>
    <t>1 = בהחלט מסכים
2 = מסכים
3 = לא כ"כ מסכים
4 = בהחלט לא מסכים</t>
  </si>
  <si>
    <t>1 = בהחלט מסכים
2 = מסכים במידה מסוימת
3 = מסתייג
4 = בהחלט מסתייג
5 = אין דעה</t>
  </si>
  <si>
    <t>1 = תחזק במידה רבה
2 = תחזק במידה מסוימת
3 = תחליש במידה מסוימת
4 = תחליש במידה רבה
5 = לא תחזק ולא תחליש</t>
  </si>
  <si>
    <t>1 = שינוי לטובה
2 = המצב ישאר כמו שהוא
3 = שינוי לרעה</t>
  </si>
  <si>
    <t>1 = בטוח שיש למנוע אבטלה
2 = חושב שיש למנוע אבטלה
3 = חושב שיש להפסיק אינפלציה
4 = בטוח שיש להפסיק אינפלציה</t>
  </si>
  <si>
    <t>1 = במידה רבה מאד
2 = במידה מסוימת
3 = במידה מועטה
4 = לא מתאימים כלל</t>
  </si>
  <si>
    <t>1 = מסכים בהחלט
2 = מסכים
3 = לא כ"כ מסכים
4 = בהחלט לא מסכים</t>
  </si>
  <si>
    <t>1 = סעד
2 = חינוך לילדים
3 = איסוף אשפה
4 = ניקיון הרחובות
5 = תבאורה
6 = פעילות תרבות
7 = פעילות עבור הנוער
8 = אף אחד מהנ"ל</t>
  </si>
  <si>
    <t>1 = כן, יש להגביל את ההסתדרות לשטחים מאוד ספציפיים
2 = כן, יש להגביל את ההסתדרות שלא תתפשט לשטחים שלא מתאימים לה
3 = לא, אין להגביל באופן מיוחד
4 = להיפך, יש לעודד את ההסתדרות להרחיב את תחומי פעילותה</t>
  </si>
  <si>
    <t>1 = תומך בבעלות ממשלתית
2 = מתנגד לבעלות ממשלתית</t>
  </si>
  <si>
    <t>1 = בהחלט מסכים
2 = מסכים
3 = מסתייג
4 = מסתייג בהחלט</t>
  </si>
  <si>
    <t>1 = בהחלט זו של ארה"ב
2 = זו של ארה"ב
3 = זו של ברה"מ
4 = בהחלט זו של ברה"מ</t>
  </si>
  <si>
    <t>1 = בהחלט כדאי
2 = נראה לי שכדאי
3 = נראה לי שלא כדאי
4 = בהחלט לא כדאי</t>
  </si>
  <si>
    <t>1 = בהחלט מסכים
2 = מסכים
3 = מסתייג
4 = בהחלט מסתייג</t>
  </si>
  <si>
    <t>1 = בהחלט מוכן
2 = מוכן
3 = מסתייג
4 = לא מוכן
5 = בהחלט לא מוכן</t>
  </si>
  <si>
    <t>1 = השתפר בהרבה
2 = השתפר במקצת
3 = לא השתנה
4 = קצת יותר גרוע
5 = הרבה יותר גרוע</t>
  </si>
  <si>
    <t>1 = מדינה עם רוב יהודי
2 = ארץ ישראל השלמה
3 = מדינה דמוקרטית (זכויות פוליטיות שוות לכל)
4 = מצב של שלום (הסתברות נמוכה למלחמה)</t>
  </si>
  <si>
    <t>1 = בהחלט מתפקידה לדאוג לכך
2 = אולי הממשלה צריכה לדאוג לכך
3 = לא חושב שעל הממשלה לדאוג לכך
4 = בשום אופן הממשלה לא צריכה לדאוג לכך</t>
  </si>
  <si>
    <t>1 = חשובה מאוד
2 = די חשובה
3 = לא כ"כ חשובה
4 = כלל לא חשובה</t>
  </si>
  <si>
    <t>1 = יש להעדיף בכל מקרה את השמירה על הדמוקרטיה
2 = לפעמים כך ולפעמים כך 
3 = יש להעדיף בכל מקרה את שמירת ההלכה היהודית</t>
  </si>
  <si>
    <t>סולם 1-7 באשר להעדפת ההלכה היהודית
1 = אי הסכמה
7 = הסכמה</t>
  </si>
  <si>
    <t>סולם 1-7
1 = מתנגד מאד
7 = מסכים מאד</t>
  </si>
  <si>
    <t>1 = בהחלט לא מסכים/ה
2 = לא מסכים/ה
3 = מסכים/ה
4 = בהחלט מסכים/ה</t>
  </si>
  <si>
    <t>1 = כלל לא מסכים
2 = לא מסכים
3 = מסכים
4 = מסכים מאוד</t>
  </si>
  <si>
    <t>1-7
1 = אי הסכמה
7 = הסכמה</t>
  </si>
  <si>
    <t>1 = יש להעדיף בכל מקרה את העקרון של המדינה היהודית
2 = לפעמים כך ולפעמים כך
3 = יש להעדיף בכל מקרה את העקרון של מדינת כל אזרחיה</t>
  </si>
  <si>
    <t>1 = יש לעמוד בתוקף על הקצאת ימי רחצה נפרדים לגברים ולנשים
2 = הייתי מעדיף ימי רחצה נפרדים
3 = יש להקצות חלק מהשבוע לרחצה ציבורית נפרדת וימים אחרים לרחצה משותפת
4 = הייתי מעדיף רחצה משותפת ללא שום הפרדה
5 = יש לעמוד בתוקף על רחצה משותפת ללא הפרדה</t>
  </si>
  <si>
    <t>1 = מסכים בהחלט
2 = מסכים
3 = לא כ"כ מסכים
4 = כלל לא מסכים</t>
  </si>
  <si>
    <t>1 = בעד ביטול המשחקים
2 = נגד ביטול המשחקים</t>
  </si>
  <si>
    <t>1 = בהחלט
2 = חושב שכן
3 = אין חובה שכולם יעלו
4 = כלל לא רצוי שכולם יעלו</t>
  </si>
  <si>
    <t>1 = בהחלט אין להפריד
2 = חושב שלא צריך להפריד
3 = חושב שיש להפריד
4 = בהחלט יש להפריד</t>
  </si>
  <si>
    <t>1 = בעד יישום יתר של ההלכה
2 = בעד סטטוס-קוו
3 = בעד יתר ליברליזציה
4 = אין לי דעה בנושא</t>
  </si>
  <si>
    <t>1 = בהחלט להפריד
2 = אולי להפריד
3 = אולי לא להפריד
4 = בהחלט לא להפריד</t>
  </si>
  <si>
    <t>1 = בהחלט יש להתיר
2 = אפשר להתיר
3 = רצוי לאסור
4 = חייב לאסור
5 = אין דעה</t>
  </si>
  <si>
    <t>1 = יהודי העולם הם בני דת אחת ואומה אחת
2 = יהודי העולם הם בני דת אחת אך אינם מהווים אומה
3 = יהודי העולם הם בני אומה אחת בלבד
4 = יהודי העולם אינם מהווים אומה ולא דת
5 = אין דעה</t>
  </si>
  <si>
    <t>1 = מסכים בהחלט
2 = מסכים
3 = מסתייג
4 = מסתייג בהחלט</t>
  </si>
  <si>
    <t>1 = כחול לבן
2 = הליכוד
3 = שניהם במידה שווה
4 = אף אחד מהם</t>
  </si>
  <si>
    <t>1 = שרון
2 = ברק
3 = שניהם במידה שווה
4 = אף אחד מהם</t>
  </si>
  <si>
    <t>1 = חיים בר לב (מערך)
2 = אריק שרון (ליכוד)</t>
  </si>
  <si>
    <t>1 = למערך
2 = לליכוד
3 = לשמאל</t>
  </si>
  <si>
    <t>1 = המערך
2 = הליכוד
3 = לשמאל</t>
  </si>
  <si>
    <t>הניסוח כאן:
"להיפגע בידי ערבים"</t>
  </si>
  <si>
    <t>1 = בכלל לא מודאג
2 = לא מודאג
3 = מודאג
4 = מודאג מאד</t>
  </si>
  <si>
    <t>1 = מודאג מאוד
2 = מודאג
3 = לא מודאג
4 = בכלל לא מודאג</t>
  </si>
  <si>
    <t>1 = יש להעדיף בכל מקרה את השמירה על שלטון החוק
2 = לפעמים כך ולפעמים כך
3 = יש להעדיף בכל מקרה את האינטרס הביטחוני</t>
  </si>
  <si>
    <t>סולם 1-7
1 = יש להעדיף בכל מקרה את האינטרסם הבטחוני
7 = יש להעדיף בכל מקרה את שלטון החוק</t>
  </si>
  <si>
    <t>1 = תמיד מעדיפה שיקולים בטחוניים
2 = בדר"כ מעדיפה שיקולים בטחוניים
3 = בדר"כ מעדיפה שלטון החוק
4 = תמיד מעדיפה שלטון החוק</t>
  </si>
  <si>
    <t xml:space="preserve">1 = מאוד מוצלח
2 = די מוצלח
3 = לא כ"כ מוצלח
4 = כלל לא מוצלח
</t>
  </si>
  <si>
    <t>1 = מאוד מוצלח
2 = די מוצלח
3 = לא כ"כ מוצלח
4 = כלל לא מוצלח</t>
  </si>
  <si>
    <t>1 = לכבוש את כל רצועת עזה מחדש ולהשאר שם
2 = לעשות מבצעים חד פעמיים נגד הירי בלי להשאר שם
3 = לפעול בעיקר בצעדים מדיניים ולא בכוח צבאי</t>
  </si>
  <si>
    <t>1 = כלל לא מסכים
2 = לא מסכים
3 = מסכים
4 = מסכים מאד</t>
  </si>
  <si>
    <t>1 = בהחלט לא מסכים
2 = לא מסכים
3 = מסגים
4 = מסכים בהחלט</t>
  </si>
  <si>
    <t>סולם 1-9
1 = גרוע ביותר
9 = טוב ביותר</t>
  </si>
  <si>
    <t>ארבע שנים ולא חמש
סולם 1-10
1 = הטוב ביותר
10 = הגרוע ביותר</t>
  </si>
  <si>
    <t>סולם 0-10
0 = הגרוע ביותר
10 = הטוב ביותר</t>
  </si>
  <si>
    <t>סולם 1-10
1 = טוב ביותר
10 = גרוע ביותר</t>
  </si>
  <si>
    <t>הניסוח הוא:
"מלחמה עם הערבים"
1 = במידה רבה
2 = במידה מסוימת
3 = במידה קטנה
4 = כלל לא</t>
  </si>
  <si>
    <t>1 = הרבה יותר גרוע
2 = יותר גרוע
3 = לא השתנה
4 = יותר טוב
5 = הרבה יותר טוב</t>
  </si>
  <si>
    <t>1 = הרבה יותר טוב
2 = יותר טוב
3 = יותר גרוע
4 = הרבה יותר גרוע</t>
  </si>
  <si>
    <t>1 = גדלה בהרבה
2 = גדלה
3 = קטנה
4 = קטנה בהרבה</t>
  </si>
  <si>
    <t>1 = תורם מאד
2 = תורם
3 = פוגע
4 = פוגע מאד</t>
  </si>
  <si>
    <t>1 = קשה מדי
2 = מתאימה
3 = רכה מדי</t>
  </si>
  <si>
    <t>1 = תומך מאוד
2 = תומך במידה ניכרת
3 = לא כ"כ תומך
4 = לא תומך כלל</t>
  </si>
  <si>
    <t>1 = אין כמעט סיכוי למלחמה
2 = סיכוי נמוך מאד
3 = סיכוי נמוך
4 = סיכוי בינוני
5 = סיכוי גבוה
6 = סיכוי גבוה מאוד
7 = כמעט ודאות מלאה</t>
  </si>
  <si>
    <t>1 = תוכל להתמודד
2 = לא תוכל להתמודד</t>
  </si>
  <si>
    <t xml:space="preserve">סולם 1-7
1 = השפעה רעה
7 = השפעה טובה </t>
  </si>
  <si>
    <t>סולם 1-7
1 = תורמת לבטחון
7 = פוגעת בבטחון</t>
  </si>
  <si>
    <t>1 = אלופי צה"ל בסדיר
2 = אלופי צה"ל במיל'
3 = פרופ' למדע המדינה
4 = מנהיגי הליכוד
5 = מנהיגי המערך
6 = הרבנים
7 = דעת הציבור</t>
  </si>
  <si>
    <t>1 = אפשר לחסל את הטרור
2 = אפשר להקטין את היקפו אך לא לחסלו
3 = לפעילות צבאית אין השפעה על היקף הטרור
4 = פעילות צבאית רק תגרום להחרפת הפיגועים נגדנו</t>
  </si>
  <si>
    <t>1 = מלחמה יזומה על ידנו לפגיעה במחבלים בבסיסיהם
2 = מלחמה בעלת אופי הגנתי, פעולות מניעה
3 = מלחמה בעלת אופי תגובתי - יציאה לפעולות תגמול בעקבות פיגועים</t>
  </si>
  <si>
    <t>1 = לפלוש לדרום לבנון בכח צבאי גדול ולהחזיק בשטח לזמן ממושך
2 = לפתוח באש מסיבות באמצעות כוחות שריון וח"א
3 = הפעלת כוח צבאי מצומצם להשמדת בסיסי המחבלים וחזרה הביתה
4 = לא להגיב צבאית אלא לחפש פתרון מדיני</t>
  </si>
  <si>
    <t>1 = כדאי
2 = לא כדאי</t>
  </si>
  <si>
    <t>1 = תומך בהחלט
2 = תומך
3 = מתנגד
4 = מתנגד בהחלט</t>
  </si>
  <si>
    <t>1 = מוצדק בהחלט
2 = מוצדק
3 = לא מוצדק
4 = כלל לא מוצדק</t>
  </si>
  <si>
    <t>1 = יש תנאים בהם מוצדק להשתמש
2 = בשום תנאי אין להשתמש</t>
  </si>
  <si>
    <t>1 = בטוח שיש
2 = חושב שיש
3 = חושב שאין
4 = בטוח שאין</t>
  </si>
  <si>
    <t>1 = לשמור בסוד
2 = להצהיר בגלוי</t>
  </si>
  <si>
    <t>1 = מסכים בהחלט
2 = מסכים
3 = לא מסכים
4 = בהחלט לא מסכים</t>
  </si>
  <si>
    <t>1 = סוריה
2 = אש"ף
3 = ירדן
4 = השיעים בלבנון
5 = לוב
6 = מצרים
7 = עיראק
8 = איראן
9 = סעודיה</t>
  </si>
  <si>
    <t>1 = גבוהה
2 = בינונית
3 = נמוכה
4 = אפסית</t>
  </si>
  <si>
    <t>1 = תמיד רציונאלית
2 = בדר"כ רציונאלית
3 = לפעמים כך ולפעמים כך
4 = בדר"כ לא רציונאלית
5 = תמיד לא רציונאלית</t>
  </si>
  <si>
    <t>1 = מהווה סיבה
2 = לא מהווה סיבה</t>
  </si>
  <si>
    <t>1 = מוכן
2 = לא מוכן</t>
  </si>
  <si>
    <t>1 = חלה שחיקה משמעותית
2  = חלה שחיקה מסוימת
3 = לא חל שינוי
4 = התחזקות מסוימת
5 = התחזקות משמעותית</t>
  </si>
  <si>
    <t>1 = הממשלה
2 = הכנסת
3 = הצבא
4 = תעשייה צבאית\אווירית
5 = אחר</t>
  </si>
  <si>
    <t>1 = בהחלט בעד
2 = בעד
3 = נגד
4 = בהחלט נגד</t>
  </si>
  <si>
    <t>1 = שיקולים עניינים בלבד
2 = גם משיקולים אחרים</t>
  </si>
  <si>
    <t>1 = רק שיקולים עניינים
2 = שיקולים אחרים</t>
  </si>
  <si>
    <t>1 = רה"מ
2 = שר הבטחון
3 = הקבינט
4 = מליאת הממשלה
5 = ועדת החוץ והבטחון של הכנסת
6 = המטכ"ל
7 = התקשורת
8 = ארה"ב
9 = העם
10 = אחר</t>
  </si>
  <si>
    <t>סולם 1-7
1 = העדפת בטחון על פני כל נושא אחר
7 = בטחון - לא בכל מחיר</t>
  </si>
  <si>
    <t>1 = מבין במידה רבה מאד
2 = מבין במידה רבה
3 = מבין במידה מסוימת
4 = מבין במידה קטנה
5 = לא מבין כלל</t>
  </si>
  <si>
    <t>1 = בהחלט להתחשב
2 = להתחשב
3 = לא להתחשב
4 = בהחלט לא להתחשב</t>
  </si>
  <si>
    <t>1 = תמיד לתמוך
2 = בדר"כ לתמוך
3 = בדר"כ לא לתמוך
4 = תמיד לא לתמוך</t>
  </si>
  <si>
    <t>1 = מותר
2 = אסור</t>
  </si>
  <si>
    <t>1 = אחראית לגמרי
2 = בדר"כ אחראית
3 = בדר"כ לא אחראית
4 = בלתי אחראית לגמרי</t>
  </si>
  <si>
    <t>1 = פחות מדי
2 = מתאימה
3 = יותר מדי</t>
  </si>
  <si>
    <t>1 = סומך בהחלט
2 = סומך
3 = לא סומך
4 = לא סומך כלל</t>
  </si>
  <si>
    <t>1 = טובים מאד
2 = די טובים
3 = בינוניים
4 = די גרועים
5 = גרועים מאד</t>
  </si>
  <si>
    <t>1 = במידה רבה מאד
2 = במידה  רבה
3 = במידה בינונית
4 = במידה קטנה
5 = לא יכולה בכלל</t>
  </si>
  <si>
    <t>1 = מוצדק בהחלט
2 = מוצדק
3 = לא מוצדק
4 = בהחלט לא מוצדק</t>
  </si>
  <si>
    <t>סולם 1-7
1 = בטוח שתהיה מלחמה
7 = בטוח שלא תהיה מלחמה</t>
  </si>
  <si>
    <t>1 = בעד ניתוק היחסים
2 = נגד ניתוק היחסים</t>
  </si>
  <si>
    <t>1 = טובה מאד
2 = טובה
3 = לא כ"כ טובה
4 = לא טובה
5 = לא טובה כלל</t>
  </si>
  <si>
    <t>1 = בהחלט יש לקצץ
2 = יש לקצץ
3 = אולי יש לקצץ
4 = אולי אין לקצץ
5 = אין לקצץ
6 = בהחלט אין לקצץ</t>
  </si>
  <si>
    <t>1 = בהחלט מוצדקת
2 = מוצדקת
3 = לא כ"כ מוצדקת
4 = כלל לא מוצדקת</t>
  </si>
  <si>
    <t>1 = נכונות גבוהה מאוד
2 = נכונות גבוהה
3 = נכונות נמוכה
4 = נכונות נמוכה מאוד</t>
  </si>
  <si>
    <t>1 = השתפר
2 = לא השתנה
3 = הורע</t>
  </si>
  <si>
    <t>1 = התגברה
2 = לא השתנתה
3 = הצטמצמה</t>
  </si>
  <si>
    <t>1 = גבר
2 = לא השתנה
3 = פחת</t>
  </si>
  <si>
    <t>1 = נעשה יותר חיובי
2 = לא השתנה
3 = נעשה יותר שלילי</t>
  </si>
  <si>
    <t>יהודים וערבים
1 = בטוח/ה שכן
2 = חושב/ת שכן
3 = חושב/ת שלא
4 = בטוח/ה שלא</t>
  </si>
  <si>
    <t>1 = בהחלט ניתן להגיע להסכם שלום עם הפלסטינים
2 = כנראה שניתן
3 = כנראה שלא ניתן
4 = בהחלט לא ניתן</t>
  </si>
  <si>
    <t>1 = העבודה
2 = הליכוד
3 = מפלגה אחרת</t>
  </si>
  <si>
    <t>1 = להתרכז בשיחות שלום
2 = להגביר את עוצמתה הצבאית</t>
  </si>
  <si>
    <t>בערבית נוסח אחר:
"האם אתה תומך בהקמת מדינה..."
התשובות בהתאם: במקום 'מסכים' כתוב 'תומך'</t>
  </si>
  <si>
    <t>1 = בהחלט צריכה להסכים
2 = כנראה שצריכה להסכים
3 = כנראה שלא צריכה להסכים
4 = בהחלט לא צריכה להסכים</t>
  </si>
  <si>
    <t>הניסוח הוא:
"אוטונומיה פלסטינית"</t>
  </si>
  <si>
    <t xml:space="preserve">רק יהודים
</t>
  </si>
  <si>
    <t>1 = להחזיר לעצמם חלק מהשטחים שכבשנו בששת הימים
2 = להחזיר לעצמם את כל השטחים שכבשנו בששת הימים
3 = לכבוש את מדינת ישראל
4 = לכבוש את הארץ ולהשמיד חלק ניכר מהאוכלוסייה היהודית במדינת ישראל
9 = מסרב</t>
  </si>
  <si>
    <t>1 = לא צריכה להחזיק ביהודה ושומרון
2 = כן, כי זו זכותנו על הארץ
3 = כן, משיקולי ביטחון
9 = מסרב</t>
  </si>
  <si>
    <t>1 = בהחלט להעביר
2 = להעביר
3 = להמשיך להחזיק
4 = בהחלט להמשיך להחזיק</t>
  </si>
  <si>
    <t>1 = לא בשום תנאי
2 = כן, יישובים בודדים
3 = כן, את כל היישובים</t>
  </si>
  <si>
    <t>1-7
1 = בכלל לא מסוכן
7 = מאוד מסוכן</t>
  </si>
  <si>
    <t>1 = סיכויים גבוהים
2 = סיכויים בינוניים
3 = סיכויים נמוכים
4 = סיכוים נמוכים ביותר</t>
  </si>
  <si>
    <t>1 = בטוח שיסתיים
2 = חושב שיסתיים
3 = חושב שלא יסתיים
4 = בטוח שלא יסתיים</t>
  </si>
  <si>
    <t>1 =בטוח שלא יסתיים
2 = חושב שלא יסתיים
3 = חושב שיסתיים
4 = בטוח שיסתיים</t>
  </si>
  <si>
    <t>1 = לא, אסור לסגת משום שטח ברמת הגולן
2 = ישראל צריכה להחזיר חלק קטן של רמת הגולן
3 = ישראל צריכה להחזיר חלק משמעותי של רמת הגולן
4 = ישראל צריכה להחזיר את כל רמת הגולן</t>
  </si>
  <si>
    <t>1 = כן, הכל
2 = כן, חלק
3 = לא צריכה להחזיר כלום</t>
  </si>
  <si>
    <t>1 = כן, תחזיר
2 = לא תחזיר</t>
  </si>
  <si>
    <t>1 = בהחלט לא מסכים
2 = לא מסכים
3 = מסכים
4 = מסכים בהחלט</t>
  </si>
  <si>
    <t>1-7
1 = מידה רבה של אי הסכמה
7 = מידה רבה של הסכמה</t>
  </si>
  <si>
    <t>1 = בהחלט לא מסכים
2 = לא מסכים
3 = מסכים
4 = בהחלט מסכים</t>
  </si>
  <si>
    <t>1 = תומך
2 = מתנגד
3 = לא יודע מספיק על התכנית כדי להביע עמדה
4 = לא שמעתי על התכנית</t>
  </si>
  <si>
    <t>1 = בהחלט צריכה להסכים
2 = חושב שצריכה להסכים
3 = חושב שלא צריכה להסכים
4 = בהחלט לא צריכה להסכים</t>
  </si>
  <si>
    <t>1 = סיכויים גדולים
2 = סיכויים מסוימים
3 = סיכויים מעטים
4 = אין סיכוי</t>
  </si>
  <si>
    <t>1 = בהחלט מתנגד
2 = מתנגד
3 = תומך
4 = בהחלט תומך</t>
  </si>
  <si>
    <t>1 = בהחלט מתנגד
2 = מתנגד
3 = תומך
4 = בהחלט תומך
9 = לא יודע</t>
  </si>
  <si>
    <t>1 = מתנגד בהחלט
2 = מתנגד במידה מסויימת
3 = תומך במידה מסויימת
4 = תומך בהחלט</t>
  </si>
  <si>
    <t>הניסוח:
"תומכים בהסכם?"</t>
  </si>
  <si>
    <t>הניסוח:
"מסכימים באופן עקרוני לוותר על שטחים תמורת שלום?"</t>
  </si>
  <si>
    <t xml:space="preserve">1 = יגדל מס' האנשים שתומכים בהסכם
2 = יגדל מס' האנשים שלא תומכים </t>
  </si>
  <si>
    <t>הניסוח:
"מסכיים עקרונית לוותר על שטחים תמורת שלום"</t>
  </si>
  <si>
    <t xml:space="preserve">1 = יגדל מס' האנשים שתומכים
2 = יגדל מס' האנשים שלא תומכים </t>
  </si>
  <si>
    <t>1 = בכלל לא משכנעת
2 = לא כ"כ משכנעת
3 = די משכנעת
4 = מאד משכנעת</t>
  </si>
  <si>
    <t>25-29
לפי הסיבות לעיל</t>
  </si>
  <si>
    <t>32-36
לפי הסיבות לעיל</t>
  </si>
  <si>
    <t>1 = תומך מאד
2 = תומך
3 = מתנגד
4 = מתנגד מאד</t>
  </si>
  <si>
    <t>1 = כן, תקום
2 = לא, לא תקום</t>
  </si>
  <si>
    <t>1 = תקום
2 = לא תקום</t>
  </si>
  <si>
    <t>1 = תומך בהפרדה לטווח ארוך
2 = תומך בהפרדה, אבל רק לזמן מוגבל כפתרון לבעיית הטרור
3 = לא תומך בהפרדה כלל</t>
  </si>
  <si>
    <t>1 = מסוגל בהחלט
2 = מסוגל
3 = לא מסוגל
4 = בהחלט לא מסוגל</t>
  </si>
  <si>
    <t>1 = אין להמשיך את המו"מ עם אש"ף בגלל הטרור
2 = רק סיום מוצלח של המו"מ יביא להפסקת הטרור</t>
  </si>
  <si>
    <t>1 = מוכנה למו"מ
2 = לא מוכנה למו"מ</t>
  </si>
  <si>
    <t>1 = צריכה להיות מוכנה
2 = לא צריכה להיות מוכנה</t>
  </si>
  <si>
    <t>1 = נכון מאד
2 = נכון
3 = לא כ"כ נכון
4 = לגמרי לא נכון</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</si>
  <si>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t>
  </si>
  <si>
    <t>1 = מדינה פלסטינית בשטחי יו"ש ועזה
2 = קונפדרציה ירדנית-פלסטינית בשטחי יו"ש ועזה
3 = מסירת מרבית שטחי יו"ש ועזה לירדן
4 = ממשל עצמי לערבים תושבי השטחים
5 = סיפוח יו"ש ועזה תוך הענקת זכויות אזרח
6 = סיפוח יו"ש ועזה אך בלי הענקת זכויות אזרח
7 = סיפוח יו"ש ועזה וטרנספר לערבים משם
8 = ישאר אותו דבר</t>
  </si>
  <si>
    <t>1 = תמורת הסכם השלום החזרת רוב שטחי יו"ש
2 = סיפוח יו"ש ועזה 
3 = סטטוס קוו</t>
  </si>
  <si>
    <t>1 = שלום תמורת שטחים
2 = סיפוח</t>
  </si>
  <si>
    <t>1 = בעד
2 = נגד</t>
  </si>
  <si>
    <t>1 = יגדל מס' האנשים שמוכנים להחזיר
2 = יגדל מס' האנשים שלא מוכנים להחזיר</t>
  </si>
  <si>
    <t>1 = בטוח שאפשר
2 = חושב שאפשרי
3 = חושב שבלתי אפשרי
4 = בטוח שבלתי אפשרי</t>
  </si>
  <si>
    <t>1 = בטוח שיכולה
2 = חושב שיכולה
3 = חושב שלא יכולה
4 = בטוח שלא יכולה</t>
  </si>
  <si>
    <t>1 = סיכויים גבוהים
2 = סיכויים בינוניים
3 = סיכויים נמוכים
4 = סיכויים קלושים</t>
  </si>
  <si>
    <t>1 = לסיפוח השטחים
2 = למדינה פלסטינית
3 = לאוטונומיה של הפלסטינים תחת שלטון ישראלי כפתרון קבע</t>
  </si>
  <si>
    <t>1 = תומך בכל תנאי
2 = רק במקומות חשובים מסיבה בטחונית
3 = מתנגד בכל תנאי</t>
  </si>
  <si>
    <t>1 = רבין
2 = שמיר</t>
  </si>
  <si>
    <t>1-4
1 = הכי חשוב
4 = הכי פחות חשוב</t>
  </si>
  <si>
    <t>1 = בהחלט כן
2 = חושב שכן
3 = חושב שלא
4 = בטוח שלא</t>
  </si>
  <si>
    <t>1 = מחייב
2 = שולל</t>
  </si>
  <si>
    <t>1 = כן
2 = לא
3 = לא שירתתי בצבא</t>
  </si>
  <si>
    <t>1 = כן
2 = לא
3 = לא משרת במילואים</t>
  </si>
  <si>
    <t>1 = לא
2 = כן, בכמה?</t>
  </si>
  <si>
    <t>1 = אין לותר על שום שטח מיו"ש
2 = יש לוותר על חלק קטן מיו"ש
3 = יש לוותר על חלק מיו"ש
4 = יש לוותר כמעט על כל יו"ש
5 = יש לוותר על כל יו"ש</t>
  </si>
  <si>
    <t>1 = לוותר על כל יו"ש
2 = לוותר כמעט על כל יו"ש
3 = לוותר על חלק מיו"ש
4 = לוותר על חלק קטן מיו"ש
5 = לא לוותר על שום חלק</t>
  </si>
  <si>
    <t>1 = עמדתי לא השתנתה
2 = נעשיתי מוכן יותר לויתורים
3 = נעשיתי מוכן פחות לויתורים</t>
  </si>
  <si>
    <t>1 = חשוב מאד
2 = חשוב
3 = לא חשוב
4 = לגמרי לא חשוב</t>
  </si>
  <si>
    <t>1 = מסכים בהחלט
2 = מסכים
3 = לא מסכים
4 = לגמרי לא מסכים</t>
  </si>
  <si>
    <t>1 = לדעתי, אין להחזיר כלום
2 = יש להחזיר חלק קטן
3 = יש להחזיר חלק גדול
4 = יש להחזיר הכל</t>
  </si>
  <si>
    <t>1 = יש להחזיר הכל
2 = יש להחזיר חלק גדול
3 = יש להחזיר חלק קטן
4 = אין להחזיר  כלום</t>
  </si>
  <si>
    <t>1 = בעד ויתור על כל השטחים
2 = בעד ויתור על חלק גדול מהשטחים
3 = בעד ויתור על חלק קטן מהשטחים
4 = אין להחזיר שטחים כלל</t>
  </si>
  <si>
    <t>1 = במידה רבה מאד
2 = במידה רבה
3 = במידה מסויימת
4 = במידה מועטה
5 = בכלל לא</t>
  </si>
  <si>
    <t>1 = לא צריכה להיות מוכנה כלל
2 = צריכה להיות במידה מועטה
3 = צריכה במידה מסויימת
4 = צריכה להיות מוכנה במידה רבה</t>
  </si>
  <si>
    <t>1 = תקרב במידה רבה
2 = תקרב במידה מסוימת
3 = תרחיק במידה מסוימת
4 = תרחיק במידה רבה
5 = לא תחזק ולא תחליש</t>
  </si>
  <si>
    <t>1 = בהחלט יש לקיים בחירות
2 = אני חושב שיש לקיים בחירות
3 = אני חושב שהממשלה מוסמכת להחליט
4 = אני בטוח שהממשלה מוסמכת להחליט</t>
  </si>
  <si>
    <t>1 = בטוח שאתמוך
2 = חושב שאתמוך
3 = חושב שאתנגד
4 = בטוח שאתנגד</t>
  </si>
  <si>
    <t>1 = בהחלט מאמין
2 = מאמין
3 = לא כ"כ מאמין
4 = בכלל לא מאמין</t>
  </si>
  <si>
    <t>1 = כן, חשבתי הרבה
2 = כן, חשבתי קצת
3 = כמעט ולא חשבתי
4 = לא חשבתי כלל</t>
  </si>
  <si>
    <t>1 = בהחלט להכריז
2 = אולי כדאי להכריז
3 = אולי לא כדאי להכריז
4 = בהחלט לא להכריז
5 = אין דעה</t>
  </si>
  <si>
    <t>1 = בהחלט מסכים
2 = מסכים
3 = מסתייג
4 = לא מסכים
5 = בהחלט לא מסכים</t>
  </si>
  <si>
    <t>1 = כל ערביי ישראל עוינים את היהודים
2 = רוב ערביי ישראל עוינים את היהודים
3 = חלק מערביי ישראל עוינים את היהודים
4 = אף אחד מערביי ישראל אינו עוין את היהודים</t>
  </si>
  <si>
    <t>1 = כל ערביי ישראל עוינים את מדינת ישראל
2 = רוב ערביי ישראל עוינים את מדינת ישראל
3 = חלק מערביי ישראל עוינים את מדינת ישראל
4 = אף אחד מערביי ישראל אינו עוין את מדינת ישראל</t>
  </si>
  <si>
    <t>1 = לדעתי אין להחזיר כלום
2 = להחזיר חלק קטן
3 = להחזיר את רוב השטחים
4 = להחזיר את כל השטחים</t>
  </si>
  <si>
    <t>1 = שתי מדינות
2 = מדינה אחת מהירדן לים עם שוויון זכויות מלא לפלסטינים
3 = מדינה אחת מהירדן לים בשלטון ישראל ללא זכויות פוליטיות לפלסטינים
4 = אחר (פרט):_______</t>
  </si>
  <si>
    <t>1-10
1 = כלל לא דמוקרטית
10 = דמוקרטית לגמרי</t>
  </si>
  <si>
    <t>שאלות 119-128
לא מקודדות אצלי בstata
גם ב2020 וגם ב2019
* ב2019 השאלה בכחול
* גם ב2021</t>
  </si>
  <si>
    <t>1 = כלל אין אמון
2 = אמון מועט
3 = אמון רב
4 = אמון רב מאד</t>
  </si>
  <si>
    <t>1 = כלל אין לי אמון
2 = במידה מועטה
3 = במידה מסוימת
4 = במידה רבה</t>
  </si>
  <si>
    <t>1 = מודל קלאסי - שלטון העם (11-16)
2 = דמוקרטיה כשוויון (20-26)
3 = דמוקרטיה ליברלית - חופש (31-49)
4 = דמוקרטיה ליברלית - מוסדות ופרוצדורות (51-62)
5 = תחרות פוליטית ואפשרות בחירה (71-72)
6 = תנאים חברתיים (80-89)
7 = מגבלות על הדמוקרטיה/תפיסות לא דמוקרטיות (90-97)
8 = אחר (0-9)</t>
  </si>
  <si>
    <t>1 = מאד לא מרוצה
2 = לא מרוצה
3 = מרוצה
4 = מרוצה מאד
8 = לא יודע
9 = מסרב</t>
  </si>
  <si>
    <t>1 = מאד מרוצה
2 = מרוצה
3 = לא מרוצה
4 = מאד לא מרוצה</t>
  </si>
  <si>
    <t>1 = מאד לא מרוצה
2 = לא מרוצה
3 = מרוצה
4 = מרוצה מאד</t>
  </si>
  <si>
    <t>1-10
1 = כלל לא חשוב
1 = חשוב לחלוטין</t>
  </si>
  <si>
    <t>1 = מסכים בהחלט
2 = מסכים
3 = לא בטוח
4 = לא מסכים
5 = כלל לא מסכים</t>
  </si>
  <si>
    <t>1 = בטוח שרק יהודים
2 = חושב שרק יהודים
3 = חושב שגם ערבים
4 = בטוח שגם ערבים</t>
  </si>
  <si>
    <t>1 = מסכים בהחלט
2 = די מסכים
3 = די מתנגד
4 = מתנגד בהחלט</t>
  </si>
  <si>
    <t>1 = הגדלת זכויות אזרח, כולל מתן זכות הצבעה לכנסת
2 = הגדלת זכויות אזרח, אך בלי להצביע בכנסת
3 = השארת המצב כמו שהוא
4 = הפחתת זכויות אזרח</t>
  </si>
  <si>
    <t>1 = זכויות אזרח מלאות כולל זכות הצבעה
2 = זכויות אזרח ללא זכות הצבעה
3 = השארת המצב כמו שהוא
4 = הפחתת הזכויות הניתנות כיום</t>
  </si>
  <si>
    <t>1 = תומך בפסילת שתי המפלגות
2 = תומך רק בפסילת בל"ד
3 = תומך רק בפסילת רע"ם-תע"ל
4 = מתנגד לפסילת שתי המפלגות</t>
  </si>
  <si>
    <t>1 = יותר מדי פיקוח
2 = מידה מתאימה
3 = פחות מדי פיקוח</t>
  </si>
  <si>
    <t>1 = בהחלט בעד הוצאתה
2 = בעד הוצאתה
3 = לא בטוח
4 = נגד הוצאתה
5 = בהחלט נגד הוצאתה</t>
  </si>
  <si>
    <t>1 = בהחלט מסכים
2 = מסכים
3 = לא בטוח
4 = לא מסכים
5 = בהחלט לא מסכים</t>
  </si>
  <si>
    <t>1 = קולותיהם של הבוחרים יכולים במידה רבה לשנות את המדיניות
2 = יכולים לשנות במידה מסוימת
3 = במידה מועטה
4 = בכלל לא יכולים לשנות</t>
  </si>
  <si>
    <t>1 = מאוד מסכים עם הטענה
2 = מסכים עם הטענה
3 = מסתייג מהטענה
4 = מתנגד בהחלט לטענה</t>
  </si>
  <si>
    <t>1 = אני בטוח שאנו זקוקים למפלגה שקיבלה רוב מוחלט
2 = ייתכן שאנו זקוקים למפלגה שקיבלה רוב מוחלט
3 = ייתכן שמפלגה הקיבלה רוב מוחלט מסכנת את הדמוקרטיה
4 = אני בטוח שמפלגה שקיבלה רוב מוחלט מסכנת את הדמוקרטיה</t>
  </si>
  <si>
    <t>1 = בהחלט צריך להצביע
2 = יתכן שצריך
3 = יתכן שלא צריך
4 = בהחלט לא צריך</t>
  </si>
  <si>
    <t>1 = מסכים בהחלט
2 = מסכים
3 = לא כ"כ מסכים
4 = לא מסכים כלל</t>
  </si>
  <si>
    <t>1 = בהחלט מסכים
2 = מסכים
3 = לא כ"כ מסכים
4 = בכלל לא מסכים</t>
  </si>
  <si>
    <t>1 = בהחלט כן
2 = אולי כן
3 = אולי לא
4 = בהחלט לא</t>
  </si>
  <si>
    <t>1 = מאוד חשוב
2 = חשוב
3 = לא כ"כ חשוב
4 = לא חשוב כלל</t>
  </si>
  <si>
    <t>1 = מוטב מפלגה אחת
2 = מוטב מס' מפלגות
3 = הבחירות אינן פוגעות בליכוד העם</t>
  </si>
  <si>
    <t>1 = כלל לא ברור לי
2 = לא כ"כ ברור
3 = ברור לי
4 = ברור בהחלט</t>
  </si>
  <si>
    <t>1 = יציבה מאוד
2 = יציבה
3 = כמו אחרות
4 = לא יציבה
5 = מאד לא יציבה</t>
  </si>
  <si>
    <t>1 = רוצה להשפיע
2 = בהחלט רוצה להשפיע
3 = לא כ"כ רוצה
3 = בכלל לא רוצה</t>
  </si>
  <si>
    <t>1 = בהחלט צריכה לשנות
2 = חשוב שצריכה לשנות
3 = חושב שלא צריכה לשנות
4 = בהחלט לא צריכה לשנות</t>
  </si>
  <si>
    <t>1 = בהחלט להמשיך בשיטה הקיימת
2 = חושב להמשיך
3 = חושב שצריך לשנות
4 = בטוח שצריך לשנות
5 = אין לי דעה
6 = שתי השיטות לא טובות, צריך בכלל לעבור לשיטה אזורית</t>
  </si>
  <si>
    <t>1 = בהחלט עדיף בחירות אישיות
2 = עדיף בחירות אישיות
3 = עדיף רשימה מפלגתית
4 = בהחלט עדיף רשימה מפלגתית
5 = אין דעה</t>
  </si>
  <si>
    <t>1 = תגביר במידה רבה
2 = תגביר במידה מסוימת
3 = תגביר במידה מועטה
4 = תקטין במידה מועטה
5 = תקטין במידה מסוימת
6 = תקטין במידה רבה
7 = לא תשנה
8 = לא יודע</t>
  </si>
  <si>
    <t>1 = זמן ארוך מאד
2 = זמן ארוך
3 = דומה למדינות אחרות
4 = זמן קצר
5 = זמן קצר מאוד</t>
  </si>
  <si>
    <t>1 = מצליחות מאד
2 = מצליחות
3 = כמו אחרות
4 = לא מצליחות
5 = לא מצליחות כלל</t>
  </si>
  <si>
    <t>1 = אף פעם
2 = פעם בשבוע
3 = פעמים-שלוש בשבוע
4 = כמעט כל יום
5 = יותר מפעם ביום</t>
  </si>
  <si>
    <t>1 = כמעט אף פעם לא
2 = לעיתים רחוקות בלבד
3 = פעם בשבוע בערך
4 = פעמיים-שלוש בשבוע
5 = כמעט כל יום
6 = יותר מפעם ביום</t>
  </si>
  <si>
    <t>0 = לא משתמש ברשתות חברתיות
1 = אף פעם
2 = פעם אחת בשבוע
3 = פעמיים-שלוש בשבוע
4 = כמעט כל יום
5 = יותר מפעם ביום</t>
  </si>
  <si>
    <t>שאלה 92 לא מקודדת בstata
(ב2019, אין אותה ב2020)</t>
  </si>
  <si>
    <t>1 = כלל לא
2 = לעתים רחוקות
3 = מדי פעם
4 = לעתים קרובות
5 = בקביעות</t>
  </si>
  <si>
    <t>1 = כמעט אף פעם לא
2 = לעיתים רחוקות בלבד
3 = פעם בשבוע בערך
4 = פעמיים-שלוש בשבוע
5 = קורא עיתון יומי אחד כמעט כל יום
6 = קורא יותר מעיתון יומי אחד כמעט כל יום</t>
  </si>
  <si>
    <t>1 = ידיעות אחרונות
2 = מעריב
3 = הארץ
4 = וסטי
5 = נובוסטי נדלי
6 = כל אל-ערב
7 = אל-סינארה
8 = אל-אתחאד
9 = פנורמה
10 = אחר</t>
  </si>
  <si>
    <t>כולל b153 וb154
1 = מעריב
2 = ידיעות אחרונות
3 = הארץ
4 = דבר
5 = עיתון עברי אחר
6 = עיתון לועזי
7 = לא קורא עיתונים</t>
  </si>
  <si>
    <t>גם
v147
v148</t>
  </si>
  <si>
    <t>1 = כמעט אף פעם לא
2 = לעיתים רחוקות בלבד
3 = פעם בשבוע בערך
4 = פעמיים-שלוש בשבוע
5 = אני צופה בחדשות לפחות פעם ביום
6 = אני צופה בחדשות יותר מפעם ביום</t>
  </si>
  <si>
    <t>1 = ערוץ 1
2 = ערוץ 2
3 = ערוץ 9
4 = ערוץ 10
5 = RTVi
6 = אל-ג'זירה
7 = MBC דובאי
8 = אחר</t>
  </si>
  <si>
    <t>שאלות 96-103 לא מקודדת בstata
(ב2019, אין אותה ב2020)</t>
  </si>
  <si>
    <t>1 = אף פעם
2 = פעם אחת בשבוע
3 = פעמיים-שלוש בשבוע
4 = כמעט כל יום
5 = כמה פעמים ביום</t>
  </si>
  <si>
    <t>0 = לא משתמש כלל
1 = עקבת אחר מפלגת/מועמד ברשתות חברתיות
2 = כתבת בנושא הבחירות או שיתפת תוכן
3 = גם עקבת וגם כתבת
4 = משתמש באינטרהט אך לא עשיתי את הפעולות הללו</t>
  </si>
  <si>
    <t>1 = עקבת אחר מפלגת או מועמד ברשתות חברתיות או באתרים
2 = כתבת בנושא הבחירות או שיתפת בתוכן ברשת חברתית או באתר חדשות
3 = גם עקבת וגם כתבת
4 = משתמש באינטרנט אבל לא עשית אף אחת מהפעולות הללו
5 = לא משתמש באינטרנט כלל</t>
  </si>
  <si>
    <t>1 = כל יום
2 = לעיתים קרובות
3 = לפעמים
4 = לעיתים רחוקות
5 = בכלל לא</t>
  </si>
  <si>
    <t>1 = אני בדר"כ רואה את רב השידורים
2 = אני רואה בעיקר את השידורים של הליכוד
3 = אני רואה בעיקר את השידורים של המערך
4 = בעיקר של מפד"ל
5 = בעיקר של ד"ש
6 = בעיקר של מפלגות אחרות
7 = אני רואה רק קצת מהשידורים
8 = אני בכלל לא מסתכל בשידורי בחירות
9 = אין טלוויזיה/לא צופה</t>
  </si>
  <si>
    <t>1 = כן, של כל המפלגות
2 = כן, של חלק מהמפלגות
3 = כן, רק של המפלגה שאני תומך בה
4 = לא, למרות שיש לי מקלט
5 = לא, אין לי מקלט</t>
  </si>
  <si>
    <t>1 = יותר
2 = כמו עכשיו
3 = פחות
4 = בכלל לא רוצה לראות
5 = לא ראיתי אבל רוצה לראות</t>
  </si>
  <si>
    <t>1 = כן
2 = משתמש באינטרנט אבל לא בהקשר לבחירות
3 = לא משתמש באינטרנט כלל</t>
  </si>
  <si>
    <t>1 = לא משתמש
2 = מקבל מידע באמצעותו
3 = מפיץ מידע באמצעותו
4 = גם מקבל וגם מפיץ</t>
  </si>
  <si>
    <t>1 = כל ערב
2 = כמעט כל ערב
3 = מספר פעמים
4 = פעם אחת
5 = אף פעם</t>
  </si>
  <si>
    <t>1 = כן, כל ערב
2 = לעיתים קרובות
3 = לעיתים רחוקות
4 = כלל לא</t>
  </si>
  <si>
    <t>1 = לא גולש באינטרנט כלל
2 = כו, לעיתים רחוקות
3 = גולש, אבל לא באתרים של מפלגות
4 = כן, לעיתים קרובות</t>
  </si>
  <si>
    <t>רק מי שענה 3 או 4 
בשאלה קודמת</t>
  </si>
  <si>
    <t>1 = רק מפלגות שאני אוהד
2 = רק מפלגות שאני סולד מהן
3 = כל המפלגות</t>
  </si>
  <si>
    <t>1 = בהחלט לא
2 = לא
3 = לא בטוח
4 = כן
5 = בהחלט כן</t>
  </si>
  <si>
    <t>1 = בהחלט כן
2 = כן
3 = לא בטוח
4 = לא
5 = בהחלט לא</t>
  </si>
  <si>
    <t>1 = לעיתים קרובות
2 = לעיתים רחוקות
3 = אף פעם
4 = לא יודע על קיום סקרים</t>
  </si>
  <si>
    <t>1 = לעיתים קרובות
2 = לעיתים רחוקות
3 = אף פעם לא
4 = לא יודע על קיומם</t>
  </si>
  <si>
    <t>1 = כן תמיד
2 = כן בדר"כ
3 = לא בדר"כ
4 = אף פעם לא
5 = לא יודע על קיום סקרים</t>
  </si>
  <si>
    <t>1 = כן, תמיד
2 = בדר"כ כן
3 = בדר"כ לא
4 = אף פעם לא</t>
  </si>
  <si>
    <t>1 = השפעה גדולה
2 = השפעה מסויימת
3 = השפעה מועטה
4 = כלל לא
5 = לא יודע על קיום סקרים</t>
  </si>
  <si>
    <t>1 = השפעה רבה
2 = השפעה בינונית
3 = השפעה מועטה
4 = אין השפעה
5 = לא יודע על קיומם</t>
  </si>
  <si>
    <t>1 = בהחלט לאסור
2 = נוטה לאסור
3 = נוטה להתיר
4 = בהחלט להתיר</t>
  </si>
  <si>
    <t>1 = כן
2 = לא
3 = אין לנו טלוויזיה</t>
  </si>
  <si>
    <t>1 = קורא לעיתים קרובות
2 = קורא לעיתים רחוקות
3 = לא קורא כלל</t>
  </si>
  <si>
    <t>1 = כן, 8 שעות +
2 = כן, 5-8 שעות
3 = 3-5 שעות
4 = 1-5 שעות
5 = פחות משעה ביום
6 = לא מאזין כל יום</t>
  </si>
  <si>
    <t>1 = הגל הקל
2 = גל ג'
3 = גלי צה"ל
4 = גל א'
5 = קול העם
6 = לא מאזין לרדיו</t>
  </si>
  <si>
    <t>1 = בידור, תרבות, ידיעות
2 = בידור, ידיעות, תרבות
3 = תרבות, ידיעות, בידור
4 = תרבות, בידור, ידיעות
5 = ידיעות, בידור, תרבות
6 = ידיעות, תרבות, בידור</t>
  </si>
  <si>
    <t xml:space="preserve">1 = לשמוע נימוקים ע"מ שישמשו לי נשק בויכוח פוליטי
2 = ע"מ להכיר את המנהיגים
3 = ע"מ להכיר את התכנית הפוליטית של המפלגות
4 = ע"מ להבהיר לעצמי במי לבחור
5 = ע"מ לעמוד מחדש על עמדת המפלגה שאני חבר בה או אוהד אותה
6 = ע"מ לעזור לי להעריך את סיכויי ההצלחה של המפלגות
7 = ע"מ להיות מעודכן במצב הפוליטי הכללי
8 = אני נהנה מהמאבק והויכוח הפוליטי
9 = כי זה השידור היחיד שאני יכול לקלוט בטלוויזיה באותו זמן
0 = אחר
</t>
  </si>
  <si>
    <t>1 = אינני מתעניין בפוליטיקה
2 = מעדיף בידור בטלוויזיה
3 = אינני מאמין לטענת המפלגות
4 = משום שחלק מהמועמדים אינם מתייחסים ברצינות לקהל
5 = כבר החלטתי במי לבחור ואין לי צורך להסתכל
6 = משום שלעיתים קרובות קשה לי להבין מה שהמועמדים רוצים להגיד
7 = אינני רוצה לפתוח את ביתי לתעמולה פוליטית
8 = משום שאין להם שום דבר חדש לומר לי
9 = כי אינני אוהב שהפוליטיקאים יסדרו אותי
0 = אחר</t>
  </si>
  <si>
    <t>1 = מוצלחת מאד
2 = מוצלחת
3 = לא כ"כ מוצלחת
4 = בכלל לא מוצלחת</t>
  </si>
  <si>
    <t>1 = קורא את רוב/כל המודעות
2 = הרוב של הליכוד
3 = הרוב של המערך
4 = הרוב של ד"ש
5 = קורא מעט מכל המפלגות
6 = קורא רק ליכוד
7 = קורא רק מערך
8 = קורא רק ד"ש
9 = לא קורא כלל</t>
  </si>
  <si>
    <t>1 = לעיתים קרובות
2 = לעיתים
3 = לעיתים רחוקות
4 = כלל לא</t>
  </si>
  <si>
    <t>1 = כן במידה רבה
2 = במידה מסוימת
3 = במידה מועטה
4 = כלל לא</t>
  </si>
  <si>
    <t>1 = דרושה בהחלט
2 = דרושה
3 = לא כ"כ דרושה
4 = בהחלט לא דרושה</t>
  </si>
  <si>
    <t>1 = קורא הרבה יותר
2 = קורא יותר
3 = קורא פחות
4 = קורא הרבה פחות</t>
  </si>
  <si>
    <t>1 = כן, בכל יום
2 = לעיתים קרובות
3 = לעיתים רחוקות
4 = אף פעם לא</t>
  </si>
  <si>
    <t>1 = בפעילות פוליטית
2 = כאדם פרטי</t>
  </si>
  <si>
    <t>1 = שידורים לכל אחת מהמפלגות בנפרד
2 = דיונים בהשתתפות נציגים של מס' מפלגות שונות</t>
  </si>
  <si>
    <t>1 = הכי רדיו ואז טלוויזיה
2 = הכי טלוויזיה ואז רדיו
3 = הכי עיתונות ואז רדיו
4 = הכי עיתונות ואז טלוויזיה
5 = הכי רדיו ואז עיתונות
6 = הכי טלוויזיה ואז עיתונות
7 = רק עיתונות
8 = רק טלוויזיה
9 = רק רדיו</t>
  </si>
  <si>
    <t>1 = לא צופה כלל
2 = 1-2 שעות
3 = 3-5
4 = 6-10
5 = 11-15
6 = 16-20
7 = 21 +</t>
  </si>
  <si>
    <t>1 = בכל יום
2 = 2-3 פעמים בשבוע
3 = אחת לשבוע
4 = 2-3 פעמים בחודש
5 = אחת לחודש
6 = לעיתים רחוקות יותר
7 = לא צופה כלל</t>
  </si>
  <si>
    <t>1 = חשוב מאוד
2 = חשוב
3 = לא כ"כ חשוב
4 = כלל לא חשוב</t>
  </si>
  <si>
    <t>1 = קובעת מאוד
2 = קובעת
3 = לא כ"כ קובעת
4 = לא קובעת כלל</t>
  </si>
  <si>
    <t>1 = שידורים שבהם מופיע מנהיג פוליטי ומציג את עמדת המפלגה
2 = שידור שבו מוצג סרט מחיי הארץ המציג את עמדת המפלגה
3 = אחר</t>
  </si>
  <si>
    <t/>
  </si>
  <si>
    <t>1 = כל יום
2 = כמה פעמים בשבוע
3 = פעם בשבוע
4 = לעיתים רחוקות יותר
5 = לא קורא</t>
  </si>
  <si>
    <t>1 = תשובה נכונה
2 = תשובה לא נכונה
3 = לא יודע</t>
  </si>
  <si>
    <t>1 = תשובה נכונה (אסתר חיות)
2 = תשובה לא נכונה
3 = לא יודע</t>
  </si>
  <si>
    <t>1 = לא יודע
2 = בינוי ושיכון
3 = בריאות
4 = חינוך
5 = תחבורה</t>
  </si>
  <si>
    <t>1 = יולי אדלשטיין
2 = תשובה לא נכונה
3 = לא יודע</t>
  </si>
  <si>
    <t>1 = יולי אדלשטיין
2 = לא נכון
8 = לא יודע</t>
  </si>
  <si>
    <t>1 = לא יודע
2 = ברזיל
3 = סעודיה
4 = צפון קוריאה
5 = צ'אד (תשובה נכונה)</t>
  </si>
  <si>
    <t>1 = פחות מ10%
2 = בין 10% ל40%
3 = בין 40% ל75%
4 = יותר מ75%
8 = לא יודע</t>
  </si>
  <si>
    <t>1 = ישראל
2 = צרפת
3 = ארה"ב
4 = בריטניה</t>
  </si>
  <si>
    <t>1 = פחות ממיליארד דולר בשנה
2 = בין 1-2 מיליארד דולר בשנה
3 = בין 3-5 מיליארד דולר בשנה
4 = יותר מ-5 מיליארד דולר בשנה</t>
  </si>
  <si>
    <t>1 = 58
2 = 140
3 = 485
4 = 1150
5 = 3900</t>
  </si>
  <si>
    <t>1 = בכלל לא
2 = במידה מועטה
3 = במידה רבה
4 = במידה רבה מאד</t>
  </si>
  <si>
    <t>1 = אני עושה יותר מבן/בת זוגי
2 = החלוקה פחות או יותר שוויונית
3 = אני עושה פחות מבן/בת זוגי</t>
  </si>
  <si>
    <t>1 = בטוח שכן
2 = חושב שכן
3 = ככה ככה
4 = חושב שלא
5 = בטוח שלא</t>
  </si>
  <si>
    <t>שאלות: 31,33,34,36,37,39,40,42,43,44
אין קידוד בstata, האם אבד??
גם ב2020 וגם ב2019
גם ב2021</t>
  </si>
  <si>
    <t>1 = בטוח שלא
2 = חושב שלא
3 = חושב שכן
4 = בטוח שכן</t>
  </si>
  <si>
    <t>1 = שהמפלגה תייצג את עמדותיך בנושאים החשובים לך
2 = שבמפלגה יש אנשים שהמאפיינים והרקע שלהם דומים לשלך
3 = שהמפלגה תגרום לך להרגיש שייכות וגאווה בזהות שלך
4 = שהמפלגה תשתמש בסמכות שנתת לה בצורה אחראית</t>
  </si>
  <si>
    <t>1 = שהחוקים של הכנסת ייצגו את עמדותיך בנושאים החשובים לך
2 = שבכנסת יהיה ייצוג לאנשים עם מאפיינים ורקע כמו שלך
3 = שהכנסת תגרום לך להרגיש שייכות וגאווה בזהות שלך
4 = שהכנסת תשתמש בסמכות שאנחנו נתנו לה בצורה אחראית למען הציבור</t>
  </si>
  <si>
    <t>שאלות 109 + 110
לא מקודדות אצלי בstata
גם ב2020 וגם ב2019
גם ב2021</t>
  </si>
  <si>
    <t>שאלה של אחרי הבחירות.
שאלה E110 לא מקודדת בstata
גם ב2020 וגם ב2019
גם ב2021</t>
  </si>
  <si>
    <t>1 = במידה רבה
2 = במידה מסוימת
3 = במידה מועטה
4 = בכלל לא
8 = לא יודע
9 = מסרב</t>
  </si>
  <si>
    <t>1 = בכלל לא מתחשב
2 = מתחשב במידה מועטה
3 = מתחשב במידה מסויימת
4 = מתחשב במידה רבה</t>
  </si>
  <si>
    <t>1 = בהחלט לא מתחשב
2 = אולי לא מתחשב
3 = אולי מתחשב
4 = בהחלט מתחשב</t>
  </si>
  <si>
    <t>שאלות 80-85 לא מקודדות בstata
(בשנת 2019, אין אותם ב2020)</t>
  </si>
  <si>
    <t>שאלה 91 לא מקודדת בstata
(בשנת 2019, אין אותה ב2020)</t>
  </si>
  <si>
    <t>1 = שיש לו רמת השכלה כמו שלך
2 = שהיא אישה כמוך/שהוא גבר כמוך
3 = שהוא שומר, או לא שומר על המסורת הדתית באותה מידה כמוך
4 = שהוא ממוצא עדתי כמו שלך
5 = שהוא ממעמד כלכלי דומה לשלך
6 = שהוא יהודי/ערבי
7 = אף אחד מהדברים האלה לא חשוב לך
8 = אחר</t>
  </si>
  <si>
    <t>שאלות 86-90
לא מקודדות אצלי בstata
גם ב2020 וגם ב2019
גם ב2021</t>
  </si>
  <si>
    <t>סולם 1-5
1 = לא משנה עבור מי מצביעים
5 = כן משנה</t>
  </si>
  <si>
    <t>1 = היא קודם כל מפלגה שמייצגת את העולים מברה"מ לשעבר
2 = היא לא מפלגה כזו</t>
  </si>
  <si>
    <t>1 = צעירים
2 = נשים
3 = עדות המזרח
4 = אנשי רוח
5 = פועלים
6 = אנשי צבא
7 = אנשי עסקים
8 = עולים חדשים
9 = אף קבוצה</t>
  </si>
  <si>
    <t>אין קידוד
2021</t>
  </si>
  <si>
    <t>1 = מי שהצביע לו
2 = מי שלא הצביע לו
3 = גם וגם
4 = אף אחד
5 = לא הצביע</t>
  </si>
  <si>
    <t>1 = מפלגות ופוליטיקאים מהמערכת הפוליטית
2 = גופים ואנשים מחוץ למערכת הפוליטית
3 = גם וגם
4 = אף אחד מהם</t>
  </si>
  <si>
    <t>מי שענה 2/3 בשאלה הקודמת
אין קידוד
2021</t>
  </si>
  <si>
    <t>1 = בהחלט יכול
2 = יכול
3 = לא יכול
4 = בהחלט לא יכול</t>
  </si>
  <si>
    <t>1 = כלל לא מסכים
2 = לא כ"כ מסכים
3 = די מסכים
4 = מאוד מסכים</t>
  </si>
  <si>
    <t>1 = שכתב האישום נגד ראש הממשלה הוא חלק ממסע רדיפה נגדו
2 = שהגופים הללו פועלים כנדרש</t>
  </si>
  <si>
    <t>1 = שחקירות ראש הממשלה הן חלק ממסע רדיפה שמנהלות נגדו התקשורת, מערכת המשפט והמשטרה
2 = שהתקשורת, מערכת המשפט והמשטרה פועלים כנדרש</t>
  </si>
  <si>
    <t>1 = בהחלט מסכים
2 = מסכים
3 = לא כ"כ מסכים
4 = כלל לא מסכים</t>
  </si>
  <si>
    <t>1 = במצב של פיתוח כלכלי אין להמנע ממקרים כאלה
2 = מקרים אלה מראים על הדרדרות מוסרית ויש לעקור אותם מן השורש</t>
  </si>
  <si>
    <t>1 = מדינה פלסטינית לצד מדינת ישראל היא הדרך הטובה ביותר
2 = מדינה אחת בין הים לירדן היא הדרך הטובה ביותר</t>
  </si>
  <si>
    <t xml:space="preserve">1 = כלל לא מסכים
2 = לא כ"כ מסכים
3 = די מסכים
4 = מאוד מסכים </t>
  </si>
  <si>
    <t>1 = ישראלי
2 = פלסטיני
3 = ערבי
4 = הדת שלי</t>
  </si>
  <si>
    <t>1 = מאד מסכים
2 = די מסכים
3 = לא כ"כ מסכים
4 = לא מסכים כלל</t>
  </si>
  <si>
    <t>Question Id</t>
  </si>
  <si>
    <t>category</t>
  </si>
  <si>
    <t>record</t>
  </si>
  <si>
    <t>columns</t>
  </si>
  <si>
    <t>question_title</t>
  </si>
  <si>
    <t>question_description</t>
  </si>
  <si>
    <t>answers</t>
  </si>
  <si>
    <t>Affected Surveys</t>
  </si>
  <si>
    <t>Answers but better</t>
  </si>
  <si>
    <t>2006</t>
  </si>
  <si>
    <t>1988_N=873</t>
  </si>
  <si>
    <t>1969_1</t>
  </si>
  <si>
    <t>1999_1</t>
  </si>
  <si>
    <t>1996_Jews</t>
  </si>
  <si>
    <t>1981_3</t>
  </si>
  <si>
    <t>1988_Panel_N=416</t>
  </si>
  <si>
    <t>1981_1</t>
  </si>
  <si>
    <t>2003</t>
  </si>
  <si>
    <t>1973_2</t>
  </si>
  <si>
    <t>1973_5</t>
  </si>
  <si>
    <t>1992</t>
  </si>
  <si>
    <t>2001</t>
  </si>
  <si>
    <t>1973_4</t>
  </si>
  <si>
    <t>1973_3</t>
  </si>
  <si>
    <t>1977_4</t>
  </si>
  <si>
    <t>1984</t>
  </si>
  <si>
    <t>1977_1</t>
  </si>
  <si>
    <t>1977_2</t>
  </si>
  <si>
    <t>1977_3</t>
  </si>
  <si>
    <t>1973_1</t>
  </si>
  <si>
    <t>1969_2</t>
  </si>
  <si>
    <t>INDEX</t>
  </si>
  <si>
    <t>CODEBOOK</t>
  </si>
  <si>
    <t>INDEX-MISSING</t>
  </si>
  <si>
    <t>Survey - Index</t>
  </si>
  <si>
    <t>Survey - Codebook</t>
  </si>
  <si>
    <t>PrevCodebook</t>
  </si>
  <si>
    <t>cb_id_curr</t>
  </si>
  <si>
    <t>cb_id_prev</t>
  </si>
  <si>
    <t>2022_STATA</t>
  </si>
  <si>
    <t>1969-1</t>
  </si>
  <si>
    <t>1969-2</t>
  </si>
  <si>
    <t>1969-3</t>
  </si>
  <si>
    <t>1973-1</t>
  </si>
  <si>
    <t>1973-2</t>
  </si>
  <si>
    <t>1973-3</t>
  </si>
  <si>
    <t>1973-4</t>
  </si>
  <si>
    <t>1973-5</t>
  </si>
  <si>
    <t>1977-1</t>
  </si>
  <si>
    <t>1977-2</t>
  </si>
  <si>
    <t>1977-3</t>
  </si>
  <si>
    <t>1977-4</t>
  </si>
  <si>
    <t>1981-1</t>
  </si>
  <si>
    <t>1981-3</t>
  </si>
  <si>
    <t>1996j</t>
  </si>
  <si>
    <t>1999-1</t>
  </si>
  <si>
    <t>Apr-Sep_2019_update_STATA</t>
  </si>
  <si>
    <t>March_2020_data</t>
  </si>
  <si>
    <t>March_2021_data_website_STATA</t>
  </si>
  <si>
    <t>WXL_SURVEY_ID</t>
  </si>
  <si>
    <t>DTA_SURVEY_ID</t>
  </si>
  <si>
    <t>SERIAL_NUM</t>
  </si>
  <si>
    <t>year</t>
  </si>
  <si>
    <t>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</si>
</sst>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0"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77"/>
    </font>
    <font>
      <b/>
      <sz val="9"/>
      <color indexed="81"/>
      <name val="Tahoma"/>
      <charset val="177"/>
    </font>
    <font>
      <sz val="11"/>
      <color rgb="FF0070C0"/>
      <name val="Calibri"/>
      <family val="2"/>
      <charset val="177"/>
      <scheme val="minor"/>
    </font>
    <font>
      <sz val="11"/>
      <color rgb="FFFF0000"/>
      <name val="Calibri"/>
      <family val="2"/>
      <charset val="177"/>
      <scheme val="minor"/>
    </font>
    <font>
      <sz val="8"/>
      <name val="Calibri"/>
      <family val="2"/>
      <charset val="177"/>
      <scheme val="minor"/>
    </font>
    <font>
      <sz val="11"/>
      <name val="Calibri"/>
      <family val="2"/>
      <charset val="177"/>
      <scheme val="minor"/>
    </font>
    <font>
      <sz val="11"/>
      <color rgb="FFFFC000"/>
      <name val="Calibri"/>
      <family val="2"/>
      <charset val="177"/>
      <scheme val="minor"/>
    </font>
    <font>
      <sz val="11"/>
      <color theme="1"/>
      <name val="Calibri"/>
      <family val="2"/>
      <scheme val="minor"/>
    </font>
    <font>
      <sz val="11"/>
      <color rgb="FF7030A0"/>
      <name val="Calibri"/>
      <family val="2"/>
      <charset val="177"/>
      <scheme val="minor"/>
    </font>
    <font>
      <b/>
      <u/>
      <sz val="9"/>
      <color indexed="81"/>
      <name val="Tahoma"/>
      <family val="2"/>
    </font>
    <font>
      <u/>
      <sz val="11"/>
      <color theme="1"/>
      <name val="Calibri"/>
      <family val="2"/>
      <scheme val="minor"/>
    </font>
    <font>
      <sz val="11"/>
      <color theme="4"/>
      <name val="Calibri"/>
      <family val="2"/>
      <charset val="177"/>
      <scheme val="minor"/>
    </font>
    <font>
      <sz val="9"/>
      <color indexed="81"/>
      <name val="Tahoma"/>
    </font>
    <font>
      <b/>
      <sz val="9"/>
      <color indexed="81"/>
      <name val="Tahoma"/>
    </font>
    <font>
      <sz val="11"/>
      <color theme="4"/>
      <name val="Calibri"/>
      <family val="2"/>
      <scheme val="minor"/>
    </font>
    <font>
      <sz val="11"/>
      <color theme="8"/>
      <name val="Calibri"/>
      <family val="2"/>
      <charset val="177"/>
      <scheme val="minor"/>
    </font>
    <font>
      <sz val="11"/>
      <color theme="8" tint="-0.249977111117893"/>
      <name val="Calibri"/>
      <family val="2"/>
      <charset val="177"/>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theme="0"/>
      <name val="Calibri"/>
      <family val="2"/>
    </font>
  </fonts>
  <fills count="42">
    <fill>
      <patternFill patternType="none"/>
    </fill>
    <fill>
      <patternFill patternType="gray125"/>
    </fill>
    <fill>
      <patternFill patternType="solid">
        <fgColor theme="5"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4"/>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43">
    <xf numFmtId="0" fontId="0" fillId="0" borderId="0"/>
    <xf numFmtId="0" fontId="24" fillId="0" borderId="0" applyNumberFormat="0" applyFill="0" applyBorder="0" applyAlignment="0" applyProtection="0"/>
    <xf numFmtId="0" fontId="25" fillId="0" borderId="14" applyNumberFormat="0" applyFill="0" applyAlignment="0" applyProtection="0"/>
    <xf numFmtId="0" fontId="26" fillId="0" borderId="15" applyNumberFormat="0" applyFill="0" applyAlignment="0" applyProtection="0"/>
    <xf numFmtId="0" fontId="27" fillId="0" borderId="16" applyNumberFormat="0" applyFill="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10" borderId="0" applyNumberFormat="0" applyBorder="0" applyAlignment="0" applyProtection="0"/>
    <xf numFmtId="0" fontId="30" fillId="11" borderId="0" applyNumberFormat="0" applyBorder="0" applyAlignment="0" applyProtection="0"/>
    <xf numFmtId="0" fontId="31" fillId="12" borderId="17" applyNumberFormat="0" applyAlignment="0" applyProtection="0"/>
    <xf numFmtId="0" fontId="32" fillId="13" borderId="18" applyNumberFormat="0" applyAlignment="0" applyProtection="0"/>
    <xf numFmtId="0" fontId="33" fillId="13" borderId="17" applyNumberFormat="0" applyAlignment="0" applyProtection="0"/>
    <xf numFmtId="0" fontId="34" fillId="0" borderId="19" applyNumberFormat="0" applyFill="0" applyAlignment="0" applyProtection="0"/>
    <xf numFmtId="0" fontId="35" fillId="14" borderId="20"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4" fillId="0" borderId="22" applyNumberFormat="0" applyFill="0" applyAlignment="0" applyProtection="0"/>
    <xf numFmtId="0" fontId="38"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8"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38"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38"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38"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38"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0" borderId="0"/>
    <xf numFmtId="0" fontId="2" fillId="15" borderId="21" applyNumberFormat="0" applyFont="0" applyAlignment="0" applyProtection="0"/>
  </cellStyleXfs>
  <cellXfs count="113">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4" fillId="2" borderId="2" xfId="0" applyFont="1"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2" borderId="2" xfId="0" applyFont="1" applyFill="1" applyBorder="1" applyAlignment="1">
      <alignment horizontal="center" vertical="center" wrapText="1"/>
    </xf>
    <xf numFmtId="0" fontId="0" fillId="0" borderId="0" xfId="0" applyAlignment="1">
      <alignment horizontal="center" vertical="center" wrapText="1"/>
    </xf>
    <xf numFmtId="17" fontId="4" fillId="2" borderId="2"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4" fillId="2"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xf numFmtId="0" fontId="13" fillId="0" borderId="1" xfId="0" applyFont="1" applyBorder="1" applyAlignment="1">
      <alignment horizontal="center" vertical="center"/>
    </xf>
    <xf numFmtId="0" fontId="15" fillId="0" borderId="1" xfId="0" applyFont="1" applyBorder="1" applyAlignment="1">
      <alignment horizontal="center" vertical="center"/>
    </xf>
    <xf numFmtId="0" fontId="4" fillId="2" borderId="8" xfId="0" applyFont="1" applyFill="1" applyBorder="1" applyAlignment="1">
      <alignment horizontal="center" vertical="center"/>
    </xf>
    <xf numFmtId="0" fontId="0" fillId="0" borderId="9" xfId="0" applyBorder="1" applyAlignment="1">
      <alignment horizontal="center" vertical="center"/>
    </xf>
    <xf numFmtId="0" fontId="4" fillId="2" borderId="7" xfId="0" applyFont="1" applyFill="1"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4" fillId="2" borderId="7" xfId="0" applyFont="1" applyFill="1" applyBorder="1" applyAlignment="1">
      <alignment horizontal="center" vertical="center" wrapText="1"/>
    </xf>
    <xf numFmtId="0" fontId="0" fillId="0" borderId="11" xfId="0" applyBorder="1" applyAlignment="1">
      <alignment horizontal="center" vertical="center" wrapText="1"/>
    </xf>
    <xf numFmtId="0" fontId="4" fillId="3"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xf numFmtId="0" fontId="0" fillId="0" borderId="12" xfId="0" applyBorder="1" applyAlignment="1">
      <alignment horizontal="center" vertical="center" wrapText="1"/>
    </xf>
    <xf numFmtId="0" fontId="4" fillId="2" borderId="13" xfId="0" applyFont="1" applyFill="1" applyBorder="1" applyAlignment="1">
      <alignment horizontal="center" vertical="center" wrapText="1"/>
    </xf>
    <xf numFmtId="0" fontId="0" fillId="0" borderId="9" xfId="0" applyBorder="1" applyAlignment="1">
      <alignment horizontal="center" vertical="center" wrapText="1"/>
    </xf>
    <xf numFmtId="0" fontId="4" fillId="2" borderId="13" xfId="0" applyFont="1" applyFill="1" applyBorder="1" applyAlignment="1">
      <alignment horizontal="center" vertical="center"/>
    </xf>
    <xf numFmtId="0" fontId="0" fillId="0" borderId="12" xfId="0" applyBorder="1" applyAlignment="1">
      <alignment horizontal="center"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12" xfId="0" applyFont="1" applyBorder="1" applyAlignment="1">
      <alignment horizontal="center" vertical="center"/>
    </xf>
    <xf numFmtId="0" fontId="14" fillId="0" borderId="1" xfId="0" applyFont="1" applyBorder="1" applyAlignment="1">
      <alignment horizontal="center" vertical="center" wrapText="1"/>
    </xf>
    <xf numFmtId="0" fontId="4" fillId="4" borderId="0" xfId="0" applyFont="1" applyFill="1" applyAlignment="1">
      <alignment horizontal="center" vertical="center"/>
    </xf>
    <xf numFmtId="0" fontId="4" fillId="0" borderId="0" xfId="0" applyFont="1" applyAlignment="1">
      <alignment horizontal="center" vertical="center"/>
    </xf>
    <xf numFmtId="0" fontId="21" fillId="0" borderId="3" xfId="0" applyFont="1" applyBorder="1" applyAlignment="1">
      <alignment horizontal="center" vertical="center" wrapText="1"/>
    </xf>
    <xf numFmtId="0" fontId="18" fillId="0" borderId="1" xfId="0" applyFont="1" applyBorder="1" applyAlignment="1">
      <alignment horizontal="center" vertical="center"/>
    </xf>
    <xf numFmtId="0" fontId="21" fillId="0" borderId="1" xfId="0" applyFont="1" applyBorder="1" applyAlignment="1">
      <alignment horizontal="center" vertical="center"/>
    </xf>
    <xf numFmtId="0" fontId="18"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5" borderId="3" xfId="0" applyFill="1" applyBorder="1" applyAlignment="1">
      <alignment horizontal="center" vertical="center"/>
    </xf>
    <xf numFmtId="0" fontId="0" fillId="5" borderId="3" xfId="0" applyFill="1" applyBorder="1" applyAlignment="1">
      <alignment horizontal="center" vertical="center" wrapText="1"/>
    </xf>
    <xf numFmtId="0" fontId="0" fillId="5" borderId="5"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5" borderId="6" xfId="0" applyFill="1" applyBorder="1" applyAlignment="1">
      <alignment horizontal="center" vertical="center"/>
    </xf>
    <xf numFmtId="0" fontId="0" fillId="6" borderId="3" xfId="0" applyFill="1" applyBorder="1" applyAlignment="1">
      <alignment horizontal="center" vertical="center"/>
    </xf>
    <xf numFmtId="0" fontId="0" fillId="7" borderId="3" xfId="0" applyFill="1" applyBorder="1" applyAlignment="1">
      <alignment horizontal="center" vertical="center"/>
    </xf>
    <xf numFmtId="0" fontId="0" fillId="6" borderId="3" xfId="0" applyFill="1" applyBorder="1" applyAlignment="1">
      <alignment horizontal="center" vertical="center" wrapText="1"/>
    </xf>
    <xf numFmtId="0" fontId="0" fillId="7" borderId="1" xfId="0" applyFill="1" applyBorder="1" applyAlignment="1">
      <alignment horizontal="center" vertical="center"/>
    </xf>
    <xf numFmtId="0" fontId="0" fillId="6" borderId="6" xfId="0" applyFill="1" applyBorder="1" applyAlignment="1">
      <alignment horizontal="center" vertical="center"/>
    </xf>
    <xf numFmtId="0" fontId="9" fillId="5" borderId="1" xfId="0" applyFont="1" applyFill="1" applyBorder="1" applyAlignment="1">
      <alignment horizontal="center" vertical="center"/>
    </xf>
    <xf numFmtId="0" fontId="22"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9" fillId="6" borderId="1" xfId="0" applyFont="1" applyFill="1" applyBorder="1" applyAlignment="1">
      <alignment horizontal="center" vertical="center"/>
    </xf>
    <xf numFmtId="0" fontId="10" fillId="5" borderId="1" xfId="0" applyFont="1" applyFill="1" applyBorder="1" applyAlignment="1">
      <alignment horizontal="center" vertical="center"/>
    </xf>
    <xf numFmtId="0" fontId="9" fillId="5" borderId="3" xfId="0" applyFont="1" applyFill="1" applyBorder="1" applyAlignment="1">
      <alignment horizontal="center" vertical="center"/>
    </xf>
    <xf numFmtId="0" fontId="18" fillId="7" borderId="3" xfId="0" applyFont="1" applyFill="1" applyBorder="1" applyAlignment="1">
      <alignment horizontal="center" vertical="center" wrapText="1"/>
    </xf>
    <xf numFmtId="0" fontId="13" fillId="6" borderId="1" xfId="0" applyFont="1" applyFill="1" applyBorder="1" applyAlignment="1">
      <alignment horizontal="center" vertical="center"/>
    </xf>
    <xf numFmtId="0" fontId="18" fillId="5" borderId="1"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3" xfId="0" applyFont="1" applyFill="1" applyBorder="1" applyAlignment="1">
      <alignment horizontal="center" vertical="center"/>
    </xf>
    <xf numFmtId="0" fontId="0" fillId="7" borderId="1" xfId="0" applyFill="1" applyBorder="1" applyAlignment="1">
      <alignment horizontal="center" vertical="center" wrapText="1"/>
    </xf>
    <xf numFmtId="0" fontId="15"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0" fillId="6" borderId="3" xfId="0" applyFont="1" applyFill="1" applyBorder="1" applyAlignment="1">
      <alignment horizontal="center" vertical="center"/>
    </xf>
    <xf numFmtId="0" fontId="15" fillId="6" borderId="1" xfId="0" applyFont="1" applyFill="1" applyBorder="1" applyAlignment="1">
      <alignment horizontal="center" vertical="center"/>
    </xf>
    <xf numFmtId="0" fontId="0" fillId="8" borderId="1" xfId="0" applyFill="1" applyBorder="1" applyAlignment="1">
      <alignment horizontal="center" vertical="center"/>
    </xf>
    <xf numFmtId="0" fontId="10" fillId="7" borderId="1" xfId="0" applyFont="1" applyFill="1" applyBorder="1" applyAlignment="1">
      <alignment horizontal="center" vertical="center" wrapText="1"/>
    </xf>
    <xf numFmtId="0" fontId="0" fillId="7" borderId="3" xfId="0" applyFill="1" applyBorder="1" applyAlignment="1">
      <alignment horizontal="center" vertical="center" wrapText="1"/>
    </xf>
    <xf numFmtId="0" fontId="12" fillId="5"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6" borderId="3" xfId="0" applyFont="1" applyFill="1" applyBorder="1" applyAlignment="1">
      <alignment horizontal="center" vertical="center"/>
    </xf>
    <xf numFmtId="0" fontId="0" fillId="7" borderId="9" xfId="0" applyFill="1" applyBorder="1" applyAlignment="1">
      <alignment horizontal="center" vertical="center"/>
    </xf>
    <xf numFmtId="0" fontId="18" fillId="5" borderId="3"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6" fontId="0" fillId="0" borderId="0" xfId="0" applyNumberFormat="1" applyAlignment="1">
      <alignment wrapText="1"/>
    </xf>
    <xf numFmtId="6" fontId="0" fillId="0" borderId="0" xfId="0" applyNumberFormat="1"/>
    <xf numFmtId="6" fontId="0" fillId="0" borderId="0" xfId="0" quotePrefix="1" applyNumberFormat="1"/>
    <xf numFmtId="6" fontId="0" fillId="0" borderId="0" xfId="0" quotePrefix="1" applyNumberFormat="1" applyAlignment="1">
      <alignment wrapText="1"/>
    </xf>
    <xf numFmtId="0" fontId="0" fillId="41" borderId="23" xfId="0" applyFill="1" applyBorder="1"/>
    <xf numFmtId="0" fontId="0" fillId="0" borderId="23" xfId="0" applyBorder="1"/>
    <xf numFmtId="17" fontId="0" fillId="0" borderId="0" xfId="0" applyNumberFormat="1"/>
    <xf numFmtId="0" fontId="0" fillId="0" borderId="3" xfId="0" applyBorder="1"/>
    <xf numFmtId="17" fontId="0" fillId="41" borderId="23" xfId="0" applyNumberFormat="1" applyFill="1" applyBorder="1"/>
    <xf numFmtId="17" fontId="0" fillId="0" borderId="23" xfId="0" applyNumberFormat="1" applyBorder="1"/>
    <xf numFmtId="0" fontId="2" fillId="0" borderId="0" xfId="41" applyAlignment="1">
      <alignment wrapText="1"/>
    </xf>
    <xf numFmtId="0" fontId="2" fillId="0" borderId="0" xfId="41"/>
    <xf numFmtId="0" fontId="39" fillId="0" borderId="1" xfId="41" applyFont="1" applyBorder="1" applyAlignment="1">
      <alignment horizontal="center" vertical="top"/>
    </xf>
    <xf numFmtId="0" fontId="39" fillId="0" borderId="3" xfId="41" applyFont="1" applyBorder="1" applyAlignment="1">
      <alignment horizontal="center" vertical="top"/>
    </xf>
    <xf numFmtId="0" fontId="39" fillId="40" borderId="3" xfId="41" applyFont="1" applyFill="1" applyBorder="1" applyAlignment="1">
      <alignment horizontal="center" vertical="top"/>
    </xf>
    <xf numFmtId="0" fontId="0" fillId="41" borderId="24" xfId="0" applyFont="1" applyFill="1" applyBorder="1"/>
    <xf numFmtId="0" fontId="0" fillId="0" borderId="24" xfId="0" applyFont="1" applyBorder="1"/>
    <xf numFmtId="0" fontId="0" fillId="41" borderId="0" xfId="0" applyFill="1" applyBorder="1"/>
    <xf numFmtId="0" fontId="0" fillId="0" borderId="0" xfId="0" applyBorder="1"/>
    <xf numFmtId="0" fontId="0" fillId="0" borderId="25" xfId="0" applyBorder="1"/>
    <xf numFmtId="17" fontId="0" fillId="0" borderId="0" xfId="0" applyNumberFormat="1" applyBorder="1"/>
    <xf numFmtId="17" fontId="0" fillId="41" borderId="0" xfId="0" applyNumberFormat="1" applyFill="1" applyBorder="1"/>
  </cellXfs>
  <cellStyles count="43">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08B64596-FE6E-4015-B0C4-CB6C85DEDDD3}"/>
    <cellStyle name="Note 2" xfId="42" xr:uid="{F24938BC-ABA9-40B5-87B8-E8C1F256D389}"/>
    <cellStyle name="Output" xfId="10" builtinId="21" customBuiltin="1"/>
    <cellStyle name="Title" xfId="1" builtinId="15" customBuiltin="1"/>
    <cellStyle name="Total" xfId="16"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10" formatCode="&quot;₪&quot;#,##0;[Red]\-&quot;₪&quot;#,##0"/>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EA329F-159E-48F2-B291-03B8DF5BD195}" name="Table2" displayName="Table2" ref="A1:L1472" totalsRowShown="0">
  <autoFilter ref="A1:L1472" xr:uid="{B0EA329F-159E-48F2-B291-03B8DF5BD195}"/>
  <tableColumns count="12">
    <tableColumn id="1" xr3:uid="{8DC38767-0CCF-4A60-81CA-DE4D8F39AECA}" name="Sheet Name"/>
    <tableColumn id="2" xr3:uid="{913615DE-5DE2-42AB-BC05-172B1E319E82}" name="Cell Address"/>
    <tableColumn id="3" xr3:uid="{88BC5740-56D6-4E7E-A376-67C86711F370}" name="Comment" dataDxfId="11"/>
    <tableColumn id="4" xr3:uid="{AB6E2921-CB5B-4D27-81DB-A01D01D0ECC8}" name="Name"/>
    <tableColumn id="5" xr3:uid="{C59E1C8C-5A42-4889-AB3B-EABD3E7EF11E}" name="type"/>
    <tableColumn id="6" xr3:uid="{86CF8105-B372-4D8A-A4BC-614C57421B21}" name="Comment Content" dataDxfId="10"/>
    <tableColumn id="7" xr3:uid="{E4364D15-D818-4EF9-91AD-79E1541D7AFB}" name="isSector"/>
    <tableColumn id="8" xr3:uid="{21BA486E-E68D-4ACF-A333-5AAAF3E54501}" name="isOpen" dataDxfId="9">
      <calculatedColumnFormula>IF(EXACT(F2,$W$1), "open", IF(EXACT(F2,$X$1), "open", "unknown"))</calculatedColumnFormula>
    </tableColumn>
    <tableColumn id="9" xr3:uid="{D8F48880-BC8F-421E-97A3-1B63503759AB}" name="otherType"/>
    <tableColumn id="10" xr3:uid="{F5F3DF78-3C6E-4A75-B857-D56146E54478}" name="comment2"/>
    <tableColumn id="11" xr3:uid="{1C43DAD5-4648-4FF4-B8CC-8208549C543A}" name="finalType" dataDxfId="8">
      <calculatedColumnFormula>IF(AND(E2&lt;&gt;"", E2&lt;&gt;"unknown"), E2,
   IF(AND(G2&lt;&gt;"", G2&lt;&gt;"unknown"), G2,
   IF(AND(H2&lt;&gt;"", H2&lt;&gt;"unknown"), H2,
   IF(I2&lt;&gt;"", I2, "ERROR"))))</calculatedColumnFormula>
    </tableColumn>
    <tableColumn id="12" xr3:uid="{3C2FDE85-98D4-4E5A-90DB-A4A0380E24EC}" name="Content Onl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DE924B-0939-42E4-8218-E87806ECD45D}" name="Table36" displayName="Table36" ref="A1:S1472" totalsRowShown="0">
  <autoFilter ref="A1:S1472" xr:uid="{F725875B-1380-41FC-B72E-3BCD67E04C1F}"/>
  <tableColumns count="19">
    <tableColumn id="1" xr3:uid="{1DF1C7EF-95EA-4FB0-92B5-5A7E1FBB383D}" name="Sheet Name"/>
    <tableColumn id="2" xr3:uid="{9DBB8806-0799-4243-AD2B-8AE68BFD047A}" name="Cell Address"/>
    <tableColumn id="3" xr3:uid="{CDE3A01B-E41C-4B8A-AE85-F4813ACB7031}" name="Comment" dataDxfId="7"/>
    <tableColumn id="4" xr3:uid="{80DF7576-8E8E-4816-B29C-BDF4B7CB9C8C}" name="finalType"/>
    <tableColumn id="5" xr3:uid="{AC48C250-1809-4ABE-9698-DF905248DFB7}" name="Content Only" dataDxfId="6" dataCellStyle="Normal 2"/>
    <tableColumn id="6" xr3:uid="{7E403C9B-2BEA-45C6-906C-E11DD5907006}" name="Question Id" dataDxfId="5" dataCellStyle="Normal 2">
      <calculatedColumnFormula array="1">INDIRECT("'" &amp; A2 &amp; "'!" &amp; B2)</calculatedColumnFormula>
    </tableColumn>
    <tableColumn id="16" xr3:uid="{49B08FA5-155A-4A96-9156-E39C17806ED2}" name="Survey - Index" dataDxfId="4">
      <calculatedColumnFormula array="1">INDIRECT("'" &amp; A2 &amp; "'!" &amp; ADDRESS(1, COLUMN(INDIRECT("'" &amp; A2 &amp; "'!" &amp; B2))))</calculatedColumnFormula>
    </tableColumn>
    <tableColumn id="17" xr3:uid="{3CD50530-B810-4D49-A228-CA8B437AE939}" name="Survey - Codebook" dataDxfId="3">
      <calculatedColumnFormula>VLOOKUP($G2, survey_codes_dict!A:C, 2, FALSE)</calculatedColumnFormula>
    </tableColumn>
    <tableColumn id="7" xr3:uid="{C3820A75-B4D7-4852-9C2E-F25C42003FCB}" name="PrevCodebook" dataDxfId="2" dataCellStyle="Normal 2">
      <calculatedColumnFormula>VLOOKUP($G2, survey_codes_dict!A:D, 4, FALSE)</calculatedColumnFormula>
    </tableColumn>
    <tableColumn id="19" xr3:uid="{804AA75A-CA86-4BF2-BDC8-8C98FEA2D53A}" name="cb_id_curr" dataDxfId="1" dataCellStyle="Normal 2">
      <calculatedColumnFormula>_xlfn.CONCAT($H2, "__", F2)</calculatedColumnFormula>
    </tableColumn>
    <tableColumn id="18" xr3:uid="{FD29377B-3F18-41A9-BFC1-065327689797}" name="cb_id_prev" dataDxfId="0" dataCellStyle="Normal 2">
      <calculatedColumnFormula>_xlfn.CONCAT($I2, "__", F2)</calculatedColumnFormula>
    </tableColumn>
    <tableColumn id="8" xr3:uid="{2A99BA71-61F5-4CF0-B0B9-B25950567154}" name="category" dataCellStyle="Normal 2"/>
    <tableColumn id="9" xr3:uid="{C0832EF9-8590-4D5C-80D9-61B2AEB04D5A}" name="record" dataCellStyle="Normal 2"/>
    <tableColumn id="10" xr3:uid="{9360E0B5-225F-4CC5-85A0-4FFCBE8E75BA}" name="columns" dataCellStyle="Normal 2"/>
    <tableColumn id="11" xr3:uid="{687962EA-CF69-47D7-93B9-10F3CDDD00E4}" name="question_title" dataCellStyle="Normal 2"/>
    <tableColumn id="12" xr3:uid="{189A0D95-084D-4789-9FE1-FE9FADD41711}" name="question_description" dataCellStyle="Normal 2"/>
    <tableColumn id="13" xr3:uid="{C2051E28-C267-4A2A-81D9-8B381F283550}" name="answers" dataCellStyle="Normal 2"/>
    <tableColumn id="14" xr3:uid="{FCD5E72D-9094-446E-A84B-E9A4A4B937CB}" name="Affected Surveys" dataCellStyle="Normal 2"/>
    <tableColumn id="15" xr3:uid="{165E078B-C739-4C15-996E-89A229F221EC}" name="Answers but better"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5DF733-34D1-4B9A-B760-92BFA4ACC657}" name="Table1" displayName="Table1" ref="A1:D35" totalsRowShown="0">
  <autoFilter ref="A1:D35" xr:uid="{A45DF733-34D1-4B9A-B760-92BFA4ACC657}"/>
  <tableColumns count="4">
    <tableColumn id="1" xr3:uid="{D4A09823-6695-4457-9CD9-FEB236D4470B}" name="INDEX"/>
    <tableColumn id="2" xr3:uid="{230AC7B5-8060-4435-80BD-FA486B2134D2}" name="CODEBOOK"/>
    <tableColumn id="3" xr3:uid="{AD224448-8736-4904-98B6-B7F5FBE205D7}" name="INDEX-MISSING"/>
    <tableColumn id="4" xr3:uid="{97A86845-2E60-4C21-9754-1025D7621E1C}" name="PrevCodeboo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A065F4-FAEE-4982-A929-7DBADC4219AA}" name="Table14" displayName="Table14" ref="J1:N34" totalsRowShown="0">
  <autoFilter ref="J1:N34" xr:uid="{D1A065F4-FAEE-4982-A929-7DBADC4219AA}"/>
  <sortState xmlns:xlrd2="http://schemas.microsoft.com/office/spreadsheetml/2017/richdata2" ref="J2:N19">
    <sortCondition ref="J2:J19"/>
  </sortState>
  <tableColumns count="5">
    <tableColumn id="1" xr3:uid="{ADEE4EC1-62D4-4C34-8747-343DFB9D2F92}" name="WXL_SURVEY_ID"/>
    <tableColumn id="5" xr3:uid="{589F8B78-43AD-4A05-9CDA-108BDD1A651B}" name="DTA_SURVEY_ID"/>
    <tableColumn id="2" xr3:uid="{3FDB3E87-7A7E-4196-B90E-D6438A23885F}" name="year"/>
    <tableColumn id="3" xr3:uid="{6715654C-A982-40E0-A700-AE6CA63E566C}" name="iteration"/>
    <tableColumn id="4" xr3:uid="{DF626740-105C-4A58-AE3C-992040EB320C}" name="SERIAL_NUM"/>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CE30-6387-48EB-A77F-E3E34376E17B}">
  <sheetPr codeName="Sheet22"/>
  <dimension ref="A1:Z1472"/>
  <sheetViews>
    <sheetView topLeftCell="A1325" workbookViewId="0">
      <selection activeCell="A1326" sqref="A1326"/>
    </sheetView>
  </sheetViews>
  <sheetFormatPr defaultRowHeight="14.4" x14ac:dyDescent="0.3"/>
  <cols>
    <col min="1" max="1" width="13.44140625" customWidth="1"/>
    <col min="2" max="2" width="13.6640625" customWidth="1"/>
    <col min="3" max="3" width="11.44140625" customWidth="1"/>
    <col min="6" max="6" width="18.77734375" customWidth="1"/>
    <col min="12" max="12" width="14.33203125" bestFit="1" customWidth="1"/>
  </cols>
  <sheetData>
    <row r="1" spans="1:26" x14ac:dyDescent="0.3">
      <c r="A1" t="s">
        <v>3308</v>
      </c>
      <c r="B1" t="s">
        <v>3309</v>
      </c>
      <c r="C1" t="s">
        <v>3310</v>
      </c>
      <c r="D1" t="s">
        <v>5559</v>
      </c>
      <c r="E1" t="s">
        <v>5674</v>
      </c>
      <c r="F1" t="s">
        <v>5564</v>
      </c>
      <c r="G1" t="s">
        <v>5658</v>
      </c>
      <c r="H1" t="s">
        <v>5657</v>
      </c>
      <c r="I1" t="s">
        <v>5659</v>
      </c>
      <c r="J1" t="s">
        <v>5669</v>
      </c>
      <c r="K1" t="s">
        <v>5673</v>
      </c>
      <c r="L1" t="s">
        <v>5676</v>
      </c>
      <c r="Q1" t="s">
        <v>5567</v>
      </c>
      <c r="R1" t="s">
        <v>5593</v>
      </c>
      <c r="T1" t="s">
        <v>5551</v>
      </c>
      <c r="U1" t="s">
        <v>5595</v>
      </c>
      <c r="W1" t="s">
        <v>5566</v>
      </c>
      <c r="X1" t="s">
        <v>5637</v>
      </c>
      <c r="Z1" t="s">
        <v>5576</v>
      </c>
    </row>
    <row r="2" spans="1:26" ht="43.2" x14ac:dyDescent="0.3">
      <c r="A2" t="s">
        <v>3311</v>
      </c>
      <c r="B2" t="s">
        <v>3312</v>
      </c>
      <c r="C2" s="90" t="s">
        <v>3313</v>
      </c>
      <c r="E2" t="s">
        <v>5562</v>
      </c>
      <c r="F2" s="91" t="s">
        <v>3313</v>
      </c>
      <c r="G2" t="str">
        <f t="shared" ref="G2:G19" si="0">IF(EXACT($F2, $Q$1), "sector", "unknown")</f>
        <v>unknown</v>
      </c>
      <c r="H2" t="str">
        <f t="shared" ref="H2:H65" si="1">IF(EXACT(F2,$W$1), "open", IF(EXACT(F2,$X$1), "open", "unknown"))</f>
        <v>unknown</v>
      </c>
      <c r="K2" t="str">
        <f t="shared" ref="K2:K65" si="2">IF(AND(E2&lt;&gt;"", E2&lt;&gt;"unknown"), E2,
   IF(AND(G2&lt;&gt;"", G2&lt;&gt;"unknown"), G2,
   IF(AND(H2&lt;&gt;"", H2&lt;&gt;"unknown"), H2,
   IF(I2&lt;&gt;"", I2, "ERROR"))))</f>
        <v>scale</v>
      </c>
    </row>
    <row r="3" spans="1:26" ht="100.8" x14ac:dyDescent="0.3">
      <c r="A3" t="s">
        <v>3311</v>
      </c>
      <c r="B3" t="s">
        <v>3314</v>
      </c>
      <c r="C3" s="90" t="s">
        <v>3315</v>
      </c>
      <c r="E3" t="s">
        <v>5562</v>
      </c>
      <c r="F3" s="91" t="s">
        <v>3315</v>
      </c>
      <c r="G3" t="str">
        <f t="shared" si="0"/>
        <v>unknown</v>
      </c>
      <c r="H3" t="str">
        <f t="shared" si="1"/>
        <v>unknown</v>
      </c>
      <c r="K3" t="str">
        <f t="shared" si="2"/>
        <v>scale</v>
      </c>
    </row>
    <row r="4" spans="1:26" ht="43.2" x14ac:dyDescent="0.3">
      <c r="A4" t="s">
        <v>3311</v>
      </c>
      <c r="B4" t="s">
        <v>3316</v>
      </c>
      <c r="C4" s="90" t="s">
        <v>3317</v>
      </c>
      <c r="E4" t="s">
        <v>5562</v>
      </c>
      <c r="F4" s="91" t="s">
        <v>3317</v>
      </c>
      <c r="G4" t="str">
        <f t="shared" si="0"/>
        <v>unknown</v>
      </c>
      <c r="H4" t="str">
        <f t="shared" si="1"/>
        <v>unknown</v>
      </c>
      <c r="K4" t="str">
        <f t="shared" si="2"/>
        <v>scale</v>
      </c>
    </row>
    <row r="5" spans="1:26" ht="43.2" x14ac:dyDescent="0.3">
      <c r="A5" t="s">
        <v>3311</v>
      </c>
      <c r="B5" t="s">
        <v>3318</v>
      </c>
      <c r="C5" s="90" t="s">
        <v>3319</v>
      </c>
      <c r="E5" t="s">
        <v>5562</v>
      </c>
      <c r="F5" s="91" t="s">
        <v>3319</v>
      </c>
      <c r="G5" t="str">
        <f t="shared" si="0"/>
        <v>unknown</v>
      </c>
      <c r="H5" t="str">
        <f t="shared" si="1"/>
        <v>unknown</v>
      </c>
      <c r="K5" t="str">
        <f t="shared" si="2"/>
        <v>scale</v>
      </c>
    </row>
    <row r="6" spans="1:26" ht="28.8" x14ac:dyDescent="0.3">
      <c r="A6" t="s">
        <v>3311</v>
      </c>
      <c r="B6" t="s">
        <v>3320</v>
      </c>
      <c r="C6" s="90" t="s">
        <v>3321</v>
      </c>
      <c r="D6" t="s">
        <v>5561</v>
      </c>
      <c r="E6" t="s">
        <v>5562</v>
      </c>
      <c r="F6" s="92" t="s">
        <v>5565</v>
      </c>
      <c r="G6" t="str">
        <f t="shared" si="0"/>
        <v>unknown</v>
      </c>
      <c r="H6" t="str">
        <f t="shared" si="1"/>
        <v>unknown</v>
      </c>
      <c r="K6" t="str">
        <f t="shared" si="2"/>
        <v>scale</v>
      </c>
    </row>
    <row r="7" spans="1:26" ht="57.6" x14ac:dyDescent="0.3">
      <c r="A7" t="s">
        <v>3311</v>
      </c>
      <c r="B7" t="s">
        <v>3322</v>
      </c>
      <c r="C7" s="90" t="s">
        <v>3323</v>
      </c>
      <c r="E7" t="s">
        <v>5562</v>
      </c>
      <c r="F7" s="91" t="s">
        <v>3323</v>
      </c>
      <c r="G7" t="str">
        <f t="shared" si="0"/>
        <v>unknown</v>
      </c>
      <c r="H7" t="str">
        <f t="shared" si="1"/>
        <v>unknown</v>
      </c>
      <c r="K7" t="str">
        <f t="shared" si="2"/>
        <v>scale</v>
      </c>
    </row>
    <row r="8" spans="1:26" ht="144" x14ac:dyDescent="0.3">
      <c r="A8" t="s">
        <v>3311</v>
      </c>
      <c r="B8" t="s">
        <v>3324</v>
      </c>
      <c r="C8" s="90" t="s">
        <v>3325</v>
      </c>
      <c r="E8" t="s">
        <v>5562</v>
      </c>
      <c r="F8" s="91" t="s">
        <v>3325</v>
      </c>
      <c r="G8" t="str">
        <f t="shared" si="0"/>
        <v>unknown</v>
      </c>
      <c r="H8" t="str">
        <f t="shared" si="1"/>
        <v>unknown</v>
      </c>
      <c r="K8" t="str">
        <f t="shared" si="2"/>
        <v>scale</v>
      </c>
    </row>
    <row r="9" spans="1:26" ht="144" x14ac:dyDescent="0.3">
      <c r="A9" t="s">
        <v>3311</v>
      </c>
      <c r="B9" t="s">
        <v>3326</v>
      </c>
      <c r="C9" s="90" t="s">
        <v>3327</v>
      </c>
      <c r="E9" t="s">
        <v>5562</v>
      </c>
      <c r="F9" s="91" t="s">
        <v>3327</v>
      </c>
      <c r="G9" t="str">
        <f t="shared" si="0"/>
        <v>unknown</v>
      </c>
      <c r="H9" t="str">
        <f t="shared" si="1"/>
        <v>unknown</v>
      </c>
      <c r="K9" t="str">
        <f t="shared" si="2"/>
        <v>scale</v>
      </c>
    </row>
    <row r="10" spans="1:26" ht="144" x14ac:dyDescent="0.3">
      <c r="A10" t="s">
        <v>3311</v>
      </c>
      <c r="B10" t="s">
        <v>3328</v>
      </c>
      <c r="C10" s="90" t="s">
        <v>3329</v>
      </c>
      <c r="E10" t="s">
        <v>5562</v>
      </c>
      <c r="F10" s="91" t="s">
        <v>3329</v>
      </c>
      <c r="G10" t="str">
        <f t="shared" si="0"/>
        <v>unknown</v>
      </c>
      <c r="H10" t="str">
        <f t="shared" si="1"/>
        <v>unknown</v>
      </c>
      <c r="K10" t="str">
        <f t="shared" si="2"/>
        <v>scale</v>
      </c>
    </row>
    <row r="11" spans="1:26" ht="129.6" x14ac:dyDescent="0.3">
      <c r="A11" t="s">
        <v>3311</v>
      </c>
      <c r="B11" t="s">
        <v>3330</v>
      </c>
      <c r="C11" s="90" t="s">
        <v>3331</v>
      </c>
      <c r="E11" t="s">
        <v>5562</v>
      </c>
      <c r="F11" s="91" t="s">
        <v>3331</v>
      </c>
      <c r="G11" t="str">
        <f t="shared" si="0"/>
        <v>unknown</v>
      </c>
      <c r="H11" t="str">
        <f t="shared" si="1"/>
        <v>unknown</v>
      </c>
      <c r="K11" t="str">
        <f t="shared" si="2"/>
        <v>scale</v>
      </c>
    </row>
    <row r="12" spans="1:26" ht="43.2" x14ac:dyDescent="0.3">
      <c r="A12" t="s">
        <v>3311</v>
      </c>
      <c r="B12" t="s">
        <v>3332</v>
      </c>
      <c r="C12" s="90" t="s">
        <v>3333</v>
      </c>
      <c r="E12" t="s">
        <v>5562</v>
      </c>
      <c r="F12" s="91" t="s">
        <v>3333</v>
      </c>
      <c r="G12" t="str">
        <f t="shared" si="0"/>
        <v>unknown</v>
      </c>
      <c r="H12" t="str">
        <f t="shared" si="1"/>
        <v>unknown</v>
      </c>
      <c r="K12" t="str">
        <f t="shared" si="2"/>
        <v>scale</v>
      </c>
    </row>
    <row r="13" spans="1:26" ht="43.2" x14ac:dyDescent="0.3">
      <c r="A13" t="s">
        <v>3311</v>
      </c>
      <c r="B13" t="s">
        <v>3334</v>
      </c>
      <c r="C13" s="90" t="s">
        <v>3335</v>
      </c>
      <c r="E13" t="s">
        <v>5562</v>
      </c>
      <c r="F13" s="91" t="s">
        <v>3335</v>
      </c>
      <c r="G13" t="str">
        <f t="shared" si="0"/>
        <v>unknown</v>
      </c>
      <c r="H13" t="str">
        <f t="shared" si="1"/>
        <v>unknown</v>
      </c>
      <c r="K13" t="str">
        <f t="shared" si="2"/>
        <v>scale</v>
      </c>
    </row>
    <row r="14" spans="1:26" ht="43.2" x14ac:dyDescent="0.3">
      <c r="A14" t="s">
        <v>3311</v>
      </c>
      <c r="B14" t="s">
        <v>3336</v>
      </c>
      <c r="C14" s="90" t="s">
        <v>3337</v>
      </c>
      <c r="E14" t="s">
        <v>5562</v>
      </c>
      <c r="F14" s="91" t="s">
        <v>3337</v>
      </c>
      <c r="G14" t="str">
        <f t="shared" si="0"/>
        <v>unknown</v>
      </c>
      <c r="H14" t="str">
        <f t="shared" si="1"/>
        <v>unknown</v>
      </c>
      <c r="K14" t="str">
        <f t="shared" si="2"/>
        <v>scale</v>
      </c>
    </row>
    <row r="15" spans="1:26" ht="43.2" x14ac:dyDescent="0.3">
      <c r="A15" t="s">
        <v>3311</v>
      </c>
      <c r="B15" t="s">
        <v>3338</v>
      </c>
      <c r="C15" s="90" t="s">
        <v>3335</v>
      </c>
      <c r="E15" t="s">
        <v>5562</v>
      </c>
      <c r="F15" s="91" t="s">
        <v>3335</v>
      </c>
      <c r="G15" t="str">
        <f t="shared" si="0"/>
        <v>unknown</v>
      </c>
      <c r="H15" t="str">
        <f t="shared" si="1"/>
        <v>unknown</v>
      </c>
      <c r="K15" t="str">
        <f t="shared" si="2"/>
        <v>scale</v>
      </c>
    </row>
    <row r="16" spans="1:26" ht="43.2" x14ac:dyDescent="0.3">
      <c r="A16" t="s">
        <v>3311</v>
      </c>
      <c r="B16" t="s">
        <v>3339</v>
      </c>
      <c r="C16" s="90" t="s">
        <v>3340</v>
      </c>
      <c r="E16" t="s">
        <v>5562</v>
      </c>
      <c r="F16" s="91" t="s">
        <v>3340</v>
      </c>
      <c r="G16" t="str">
        <f t="shared" si="0"/>
        <v>unknown</v>
      </c>
      <c r="H16" t="str">
        <f t="shared" si="1"/>
        <v>unknown</v>
      </c>
      <c r="K16" t="str">
        <f t="shared" si="2"/>
        <v>scale</v>
      </c>
    </row>
    <row r="17" spans="1:11" ht="288" x14ac:dyDescent="0.3">
      <c r="A17" t="s">
        <v>3311</v>
      </c>
      <c r="B17" t="s">
        <v>3341</v>
      </c>
      <c r="C17" s="90" t="s">
        <v>3342</v>
      </c>
      <c r="E17" t="s">
        <v>5562</v>
      </c>
      <c r="F17" s="91" t="s">
        <v>3342</v>
      </c>
      <c r="G17" t="str">
        <f t="shared" si="0"/>
        <v>unknown</v>
      </c>
      <c r="H17" t="str">
        <f t="shared" si="1"/>
        <v>unknown</v>
      </c>
      <c r="K17" t="str">
        <f t="shared" si="2"/>
        <v>scale</v>
      </c>
    </row>
    <row r="18" spans="1:11" ht="158.4" x14ac:dyDescent="0.3">
      <c r="A18" t="s">
        <v>3311</v>
      </c>
      <c r="B18" t="s">
        <v>3343</v>
      </c>
      <c r="C18" s="90" t="s">
        <v>3344</v>
      </c>
      <c r="E18" t="s">
        <v>5562</v>
      </c>
      <c r="F18" s="91" t="s">
        <v>3344</v>
      </c>
      <c r="G18" t="str">
        <f t="shared" si="0"/>
        <v>unknown</v>
      </c>
      <c r="H18" t="str">
        <f t="shared" si="1"/>
        <v>unknown</v>
      </c>
      <c r="K18" t="str">
        <f t="shared" si="2"/>
        <v>scale</v>
      </c>
    </row>
    <row r="19" spans="1:11" ht="43.2" x14ac:dyDescent="0.3">
      <c r="A19" t="s">
        <v>3311</v>
      </c>
      <c r="B19" t="s">
        <v>3345</v>
      </c>
      <c r="C19" s="90" t="s">
        <v>3346</v>
      </c>
      <c r="E19" t="s">
        <v>5562</v>
      </c>
      <c r="F19" s="91" t="s">
        <v>3346</v>
      </c>
      <c r="G19" t="str">
        <f t="shared" si="0"/>
        <v>unknown</v>
      </c>
      <c r="H19" t="str">
        <f t="shared" si="1"/>
        <v>unknown</v>
      </c>
      <c r="K19" t="str">
        <f t="shared" si="2"/>
        <v>scale</v>
      </c>
    </row>
    <row r="20" spans="1:11" ht="28.8" x14ac:dyDescent="0.3">
      <c r="A20" t="s">
        <v>3311</v>
      </c>
      <c r="B20" t="s">
        <v>3347</v>
      </c>
      <c r="C20" s="90" t="s">
        <v>3348</v>
      </c>
      <c r="D20" t="s">
        <v>5561</v>
      </c>
      <c r="E20" t="s">
        <v>5560</v>
      </c>
      <c r="F20" s="92" t="s">
        <v>5566</v>
      </c>
      <c r="G20" t="str">
        <f>IF(EXACT($F20, $Q$1), "sector", IF(EXACT($F20, $R$1), "sector", IF(EXACT($F20, $T$1), "sector", IF(EXACT($F20, $U$1), "sector", "unknown"))))</f>
        <v>unknown</v>
      </c>
      <c r="H20" t="str">
        <f t="shared" si="1"/>
        <v>open</v>
      </c>
      <c r="K20" t="str">
        <f t="shared" si="2"/>
        <v>open</v>
      </c>
    </row>
    <row r="21" spans="1:11" ht="57.6" x14ac:dyDescent="0.3">
      <c r="A21" t="s">
        <v>3311</v>
      </c>
      <c r="B21" t="s">
        <v>3349</v>
      </c>
      <c r="C21" s="90" t="s">
        <v>3350</v>
      </c>
      <c r="E21" t="s">
        <v>5562</v>
      </c>
      <c r="F21" s="91" t="s">
        <v>3350</v>
      </c>
      <c r="G21" t="str">
        <f t="shared" ref="G21:G28" si="3">IF(EXACT($F21, $Q$1), "sector", "unknown")</f>
        <v>unknown</v>
      </c>
      <c r="H21" t="str">
        <f t="shared" si="1"/>
        <v>unknown</v>
      </c>
      <c r="K21" t="str">
        <f t="shared" si="2"/>
        <v>scale</v>
      </c>
    </row>
    <row r="22" spans="1:11" ht="288" x14ac:dyDescent="0.3">
      <c r="A22" t="s">
        <v>3311</v>
      </c>
      <c r="B22" t="s">
        <v>3351</v>
      </c>
      <c r="C22" s="90" t="s">
        <v>3352</v>
      </c>
      <c r="E22" t="s">
        <v>5562</v>
      </c>
      <c r="F22" s="91" t="s">
        <v>3352</v>
      </c>
      <c r="G22" t="str">
        <f t="shared" si="3"/>
        <v>unknown</v>
      </c>
      <c r="H22" t="str">
        <f t="shared" si="1"/>
        <v>unknown</v>
      </c>
      <c r="K22" t="str">
        <f t="shared" si="2"/>
        <v>scale</v>
      </c>
    </row>
    <row r="23" spans="1:11" ht="28.8" x14ac:dyDescent="0.3">
      <c r="A23" t="s">
        <v>3311</v>
      </c>
      <c r="B23" t="s">
        <v>3353</v>
      </c>
      <c r="C23" s="90" t="s">
        <v>3354</v>
      </c>
      <c r="D23" t="s">
        <v>5561</v>
      </c>
      <c r="E23" t="str">
        <f>IF(EXACT($F23, $Q$1), "sector", "unknown")</f>
        <v>sector</v>
      </c>
      <c r="F23" s="92" t="s">
        <v>5567</v>
      </c>
      <c r="G23" t="str">
        <f t="shared" si="3"/>
        <v>sector</v>
      </c>
      <c r="H23" t="str">
        <f t="shared" si="1"/>
        <v>unknown</v>
      </c>
      <c r="K23" t="str">
        <f t="shared" si="2"/>
        <v>sector</v>
      </c>
    </row>
    <row r="24" spans="1:11" ht="403.2" x14ac:dyDescent="0.3">
      <c r="A24" t="s">
        <v>3311</v>
      </c>
      <c r="B24" t="s">
        <v>3355</v>
      </c>
      <c r="C24" s="90" t="s">
        <v>3356</v>
      </c>
      <c r="E24" t="s">
        <v>5562</v>
      </c>
      <c r="F24" s="91" t="s">
        <v>3356</v>
      </c>
      <c r="G24" t="str">
        <f t="shared" si="3"/>
        <v>unknown</v>
      </c>
      <c r="H24" t="str">
        <f t="shared" si="1"/>
        <v>unknown</v>
      </c>
      <c r="K24" t="str">
        <f t="shared" si="2"/>
        <v>scale</v>
      </c>
    </row>
    <row r="25" spans="1:11" ht="129.6" x14ac:dyDescent="0.3">
      <c r="A25" t="s">
        <v>3311</v>
      </c>
      <c r="B25" t="s">
        <v>3357</v>
      </c>
      <c r="C25" s="90" t="s">
        <v>3358</v>
      </c>
      <c r="E25" t="s">
        <v>5562</v>
      </c>
      <c r="F25" s="91" t="s">
        <v>3358</v>
      </c>
      <c r="G25" t="str">
        <f t="shared" si="3"/>
        <v>unknown</v>
      </c>
      <c r="H25" t="str">
        <f t="shared" si="1"/>
        <v>unknown</v>
      </c>
      <c r="K25" t="str">
        <f t="shared" si="2"/>
        <v>scale</v>
      </c>
    </row>
    <row r="26" spans="1:11" ht="403.2" x14ac:dyDescent="0.3">
      <c r="A26" t="s">
        <v>3311</v>
      </c>
      <c r="B26" t="s">
        <v>3359</v>
      </c>
      <c r="C26" s="90" t="s">
        <v>3360</v>
      </c>
      <c r="E26" t="s">
        <v>5562</v>
      </c>
      <c r="F26" s="91" t="s">
        <v>3360</v>
      </c>
      <c r="G26" t="str">
        <f t="shared" si="3"/>
        <v>unknown</v>
      </c>
      <c r="H26" t="str">
        <f t="shared" si="1"/>
        <v>unknown</v>
      </c>
      <c r="K26" t="str">
        <f t="shared" si="2"/>
        <v>scale</v>
      </c>
    </row>
    <row r="27" spans="1:11" ht="273.60000000000002" x14ac:dyDescent="0.3">
      <c r="A27" t="s">
        <v>3311</v>
      </c>
      <c r="B27" t="s">
        <v>3361</v>
      </c>
      <c r="C27" s="90" t="s">
        <v>3362</v>
      </c>
      <c r="E27" t="s">
        <v>5562</v>
      </c>
      <c r="F27" s="91" t="s">
        <v>3362</v>
      </c>
      <c r="G27" t="str">
        <f t="shared" si="3"/>
        <v>unknown</v>
      </c>
      <c r="H27" t="str">
        <f t="shared" si="1"/>
        <v>unknown</v>
      </c>
      <c r="K27" t="str">
        <f t="shared" si="2"/>
        <v>scale</v>
      </c>
    </row>
    <row r="28" spans="1:11" ht="216" x14ac:dyDescent="0.3">
      <c r="A28" t="s">
        <v>3311</v>
      </c>
      <c r="B28" t="s">
        <v>3363</v>
      </c>
      <c r="C28" s="90" t="s">
        <v>3364</v>
      </c>
      <c r="E28" t="s">
        <v>5562</v>
      </c>
      <c r="F28" s="91" t="s">
        <v>3364</v>
      </c>
      <c r="G28" t="str">
        <f t="shared" si="3"/>
        <v>unknown</v>
      </c>
      <c r="H28" t="str">
        <f t="shared" si="1"/>
        <v>unknown</v>
      </c>
      <c r="K28" t="str">
        <f t="shared" si="2"/>
        <v>scale</v>
      </c>
    </row>
    <row r="29" spans="1:11" ht="28.8" x14ac:dyDescent="0.3">
      <c r="A29" t="s">
        <v>3311</v>
      </c>
      <c r="B29" t="s">
        <v>3365</v>
      </c>
      <c r="C29" s="90" t="s">
        <v>3354</v>
      </c>
      <c r="D29" t="s">
        <v>5561</v>
      </c>
      <c r="E29" t="s">
        <v>5560</v>
      </c>
      <c r="F29" s="92" t="s">
        <v>5567</v>
      </c>
      <c r="G29" t="str">
        <f>IF(EXACT($F29, $Q$1), "sector", IF(EXACT($F29, $R$1), "sector", IF(EXACT($F29, $T$1), "sector", IF(EXACT($F29, $U$1), "sector", "unknown"))))</f>
        <v>sector</v>
      </c>
      <c r="H29" t="str">
        <f t="shared" si="1"/>
        <v>unknown</v>
      </c>
      <c r="K29" t="str">
        <f t="shared" si="2"/>
        <v>sector</v>
      </c>
    </row>
    <row r="30" spans="1:11" ht="187.2" x14ac:dyDescent="0.3">
      <c r="A30" t="s">
        <v>3311</v>
      </c>
      <c r="B30" t="s">
        <v>3366</v>
      </c>
      <c r="C30" s="90" t="s">
        <v>3367</v>
      </c>
      <c r="E30" t="s">
        <v>5562</v>
      </c>
      <c r="F30" s="91" t="s">
        <v>3367</v>
      </c>
      <c r="G30" t="str">
        <f>IF(EXACT($F30, $Q$1), "sector", "unknown")</f>
        <v>unknown</v>
      </c>
      <c r="H30" t="str">
        <f t="shared" si="1"/>
        <v>unknown</v>
      </c>
      <c r="K30" t="str">
        <f t="shared" si="2"/>
        <v>scale</v>
      </c>
    </row>
    <row r="31" spans="1:11" ht="187.2" x14ac:dyDescent="0.3">
      <c r="A31" t="s">
        <v>3311</v>
      </c>
      <c r="B31" t="s">
        <v>3368</v>
      </c>
      <c r="C31" s="90" t="s">
        <v>3369</v>
      </c>
      <c r="E31" t="s">
        <v>5562</v>
      </c>
      <c r="F31" s="91" t="s">
        <v>3369</v>
      </c>
      <c r="G31" t="str">
        <f>IF(EXACT($F31, $Q$1), "sector", "unknown")</f>
        <v>unknown</v>
      </c>
      <c r="H31" t="str">
        <f t="shared" si="1"/>
        <v>unknown</v>
      </c>
      <c r="K31" t="str">
        <f t="shared" si="2"/>
        <v>scale</v>
      </c>
    </row>
    <row r="32" spans="1:11" ht="28.8" x14ac:dyDescent="0.3">
      <c r="A32" t="s">
        <v>3311</v>
      </c>
      <c r="B32" t="s">
        <v>3370</v>
      </c>
      <c r="C32" s="90" t="s">
        <v>3354</v>
      </c>
      <c r="D32" t="s">
        <v>5561</v>
      </c>
      <c r="E32" t="s">
        <v>5560</v>
      </c>
      <c r="F32" s="92" t="s">
        <v>5567</v>
      </c>
      <c r="G32" t="str">
        <f>IF(EXACT($F32, $Q$1), "sector", IF(EXACT($F32, $R$1), "sector", IF(EXACT($F32, $T$1), "sector", IF(EXACT($F32, $U$1), "sector", "unknown"))))</f>
        <v>sector</v>
      </c>
      <c r="H32" t="str">
        <f t="shared" si="1"/>
        <v>unknown</v>
      </c>
      <c r="K32" t="str">
        <f t="shared" si="2"/>
        <v>sector</v>
      </c>
    </row>
    <row r="33" spans="1:11" ht="86.4" x14ac:dyDescent="0.3">
      <c r="A33" t="s">
        <v>3311</v>
      </c>
      <c r="B33" t="s">
        <v>3371</v>
      </c>
      <c r="C33" s="90" t="s">
        <v>3372</v>
      </c>
      <c r="E33" t="s">
        <v>5562</v>
      </c>
      <c r="F33" s="91" t="s">
        <v>3372</v>
      </c>
      <c r="G33" t="str">
        <f t="shared" ref="G33:G44" si="4">IF(EXACT($F33, $Q$1), "sector", "unknown")</f>
        <v>unknown</v>
      </c>
      <c r="H33" t="str">
        <f t="shared" si="1"/>
        <v>unknown</v>
      </c>
      <c r="K33" t="str">
        <f t="shared" si="2"/>
        <v>scale</v>
      </c>
    </row>
    <row r="34" spans="1:11" ht="144" x14ac:dyDescent="0.3">
      <c r="A34" t="s">
        <v>3311</v>
      </c>
      <c r="B34" t="s">
        <v>3373</v>
      </c>
      <c r="C34" s="90" t="s">
        <v>3374</v>
      </c>
      <c r="E34" t="s">
        <v>5562</v>
      </c>
      <c r="F34" s="91" t="s">
        <v>3374</v>
      </c>
      <c r="G34" t="str">
        <f t="shared" si="4"/>
        <v>unknown</v>
      </c>
      <c r="H34" t="str">
        <f t="shared" si="1"/>
        <v>unknown</v>
      </c>
      <c r="K34" t="str">
        <f t="shared" si="2"/>
        <v>scale</v>
      </c>
    </row>
    <row r="35" spans="1:11" ht="72" x14ac:dyDescent="0.3">
      <c r="A35" t="s">
        <v>3311</v>
      </c>
      <c r="B35" t="s">
        <v>3375</v>
      </c>
      <c r="C35" s="90" t="s">
        <v>3376</v>
      </c>
      <c r="E35" t="s">
        <v>5562</v>
      </c>
      <c r="F35" s="91" t="s">
        <v>3376</v>
      </c>
      <c r="G35" t="str">
        <f t="shared" si="4"/>
        <v>unknown</v>
      </c>
      <c r="H35" t="str">
        <f t="shared" si="1"/>
        <v>unknown</v>
      </c>
      <c r="K35" t="str">
        <f t="shared" si="2"/>
        <v>scale</v>
      </c>
    </row>
    <row r="36" spans="1:11" ht="86.4" x14ac:dyDescent="0.3">
      <c r="A36" t="s">
        <v>3311</v>
      </c>
      <c r="B36" t="s">
        <v>3377</v>
      </c>
      <c r="C36" s="90" t="s">
        <v>3378</v>
      </c>
      <c r="E36" t="s">
        <v>5562</v>
      </c>
      <c r="F36" s="91" t="s">
        <v>3378</v>
      </c>
      <c r="G36" t="str">
        <f t="shared" si="4"/>
        <v>unknown</v>
      </c>
      <c r="H36" t="str">
        <f t="shared" si="1"/>
        <v>unknown</v>
      </c>
      <c r="K36" t="str">
        <f t="shared" si="2"/>
        <v>scale</v>
      </c>
    </row>
    <row r="37" spans="1:11" ht="72" x14ac:dyDescent="0.3">
      <c r="A37" t="s">
        <v>3311</v>
      </c>
      <c r="B37" t="s">
        <v>3379</v>
      </c>
      <c r="C37" s="90" t="s">
        <v>3376</v>
      </c>
      <c r="E37" t="s">
        <v>5562</v>
      </c>
      <c r="F37" s="91" t="s">
        <v>3376</v>
      </c>
      <c r="G37" t="str">
        <f t="shared" si="4"/>
        <v>unknown</v>
      </c>
      <c r="H37" t="str">
        <f t="shared" si="1"/>
        <v>unknown</v>
      </c>
      <c r="K37" t="str">
        <f t="shared" si="2"/>
        <v>scale</v>
      </c>
    </row>
    <row r="38" spans="1:11" ht="86.4" x14ac:dyDescent="0.3">
      <c r="A38" t="s">
        <v>3311</v>
      </c>
      <c r="B38" t="s">
        <v>3380</v>
      </c>
      <c r="C38" s="90" t="s">
        <v>3378</v>
      </c>
      <c r="E38" t="s">
        <v>5562</v>
      </c>
      <c r="F38" s="91" t="s">
        <v>3378</v>
      </c>
      <c r="G38" t="str">
        <f t="shared" si="4"/>
        <v>unknown</v>
      </c>
      <c r="H38" t="str">
        <f t="shared" si="1"/>
        <v>unknown</v>
      </c>
      <c r="K38" t="str">
        <f t="shared" si="2"/>
        <v>scale</v>
      </c>
    </row>
    <row r="39" spans="1:11" ht="72" x14ac:dyDescent="0.3">
      <c r="A39" t="s">
        <v>3311</v>
      </c>
      <c r="B39" t="s">
        <v>3381</v>
      </c>
      <c r="C39" s="90" t="s">
        <v>3376</v>
      </c>
      <c r="E39" t="s">
        <v>5562</v>
      </c>
      <c r="F39" s="91" t="s">
        <v>3376</v>
      </c>
      <c r="G39" t="str">
        <f t="shared" si="4"/>
        <v>unknown</v>
      </c>
      <c r="H39" t="str">
        <f t="shared" si="1"/>
        <v>unknown</v>
      </c>
      <c r="K39" t="str">
        <f t="shared" si="2"/>
        <v>scale</v>
      </c>
    </row>
    <row r="40" spans="1:11" ht="43.2" x14ac:dyDescent="0.3">
      <c r="A40" t="s">
        <v>3311</v>
      </c>
      <c r="B40" t="s">
        <v>3382</v>
      </c>
      <c r="C40" s="90" t="s">
        <v>3383</v>
      </c>
      <c r="E40" t="s">
        <v>5562</v>
      </c>
      <c r="F40" s="91" t="s">
        <v>3383</v>
      </c>
      <c r="G40" t="str">
        <f t="shared" si="4"/>
        <v>unknown</v>
      </c>
      <c r="H40" t="str">
        <f t="shared" si="1"/>
        <v>unknown</v>
      </c>
      <c r="K40" t="str">
        <f t="shared" si="2"/>
        <v>scale</v>
      </c>
    </row>
    <row r="41" spans="1:11" ht="158.4" x14ac:dyDescent="0.3">
      <c r="A41" t="s">
        <v>3311</v>
      </c>
      <c r="B41" t="s">
        <v>3384</v>
      </c>
      <c r="C41" s="90" t="s">
        <v>3385</v>
      </c>
      <c r="E41" t="s">
        <v>5562</v>
      </c>
      <c r="F41" s="91" t="s">
        <v>3385</v>
      </c>
      <c r="G41" t="str">
        <f t="shared" si="4"/>
        <v>unknown</v>
      </c>
      <c r="H41" t="str">
        <f t="shared" si="1"/>
        <v>unknown</v>
      </c>
      <c r="K41" t="str">
        <f t="shared" si="2"/>
        <v>scale</v>
      </c>
    </row>
    <row r="42" spans="1:11" ht="115.2" x14ac:dyDescent="0.3">
      <c r="A42" t="s">
        <v>3311</v>
      </c>
      <c r="B42" t="s">
        <v>3386</v>
      </c>
      <c r="C42" s="90" t="s">
        <v>3387</v>
      </c>
      <c r="E42" t="s">
        <v>5562</v>
      </c>
      <c r="F42" s="91" t="s">
        <v>3387</v>
      </c>
      <c r="G42" t="str">
        <f t="shared" si="4"/>
        <v>unknown</v>
      </c>
      <c r="H42" t="str">
        <f t="shared" si="1"/>
        <v>unknown</v>
      </c>
      <c r="K42" t="str">
        <f t="shared" si="2"/>
        <v>scale</v>
      </c>
    </row>
    <row r="43" spans="1:11" ht="216" x14ac:dyDescent="0.3">
      <c r="A43" t="s">
        <v>3311</v>
      </c>
      <c r="B43" t="s">
        <v>3388</v>
      </c>
      <c r="C43" s="90" t="s">
        <v>3389</v>
      </c>
      <c r="E43" t="s">
        <v>5562</v>
      </c>
      <c r="F43" s="91" t="s">
        <v>3389</v>
      </c>
      <c r="G43" t="str">
        <f t="shared" si="4"/>
        <v>unknown</v>
      </c>
      <c r="H43" t="str">
        <f t="shared" si="1"/>
        <v>unknown</v>
      </c>
      <c r="K43" t="str">
        <f t="shared" si="2"/>
        <v>scale</v>
      </c>
    </row>
    <row r="44" spans="1:11" ht="100.8" x14ac:dyDescent="0.3">
      <c r="A44" t="s">
        <v>3311</v>
      </c>
      <c r="B44" t="s">
        <v>3390</v>
      </c>
      <c r="C44" s="90" t="s">
        <v>3391</v>
      </c>
      <c r="E44" t="s">
        <v>5562</v>
      </c>
      <c r="F44" s="91" t="s">
        <v>3391</v>
      </c>
      <c r="G44" t="str">
        <f t="shared" si="4"/>
        <v>unknown</v>
      </c>
      <c r="H44" t="str">
        <f t="shared" si="1"/>
        <v>unknown</v>
      </c>
      <c r="K44" t="str">
        <f t="shared" si="2"/>
        <v>scale</v>
      </c>
    </row>
    <row r="45" spans="1:11" ht="28.8" x14ac:dyDescent="0.3">
      <c r="A45" t="s">
        <v>3311</v>
      </c>
      <c r="B45" t="s">
        <v>3392</v>
      </c>
      <c r="C45" s="90" t="s">
        <v>3354</v>
      </c>
      <c r="D45" t="s">
        <v>5561</v>
      </c>
      <c r="E45" t="s">
        <v>5560</v>
      </c>
      <c r="F45" s="92" t="s">
        <v>5567</v>
      </c>
      <c r="G45" t="str">
        <f>IF(EXACT($F45, $Q$1), "sector", IF(EXACT($F45, $R$1), "sector", IF(EXACT($F45, $T$1), "sector", IF(EXACT($F45, $U$1), "sector", "unknown"))))</f>
        <v>sector</v>
      </c>
      <c r="H45" t="str">
        <f t="shared" si="1"/>
        <v>unknown</v>
      </c>
      <c r="K45" t="str">
        <f t="shared" si="2"/>
        <v>sector</v>
      </c>
    </row>
    <row r="46" spans="1:11" ht="57.6" x14ac:dyDescent="0.3">
      <c r="A46" t="s">
        <v>3311</v>
      </c>
      <c r="B46" t="s">
        <v>3393</v>
      </c>
      <c r="C46" s="90" t="s">
        <v>3394</v>
      </c>
      <c r="E46" t="s">
        <v>5562</v>
      </c>
      <c r="F46" s="91" t="s">
        <v>3394</v>
      </c>
      <c r="G46" t="str">
        <f t="shared" ref="G46:G53" si="5">IF(EXACT($F46, $Q$1), "sector", "unknown")</f>
        <v>unknown</v>
      </c>
      <c r="H46" t="str">
        <f t="shared" si="1"/>
        <v>unknown</v>
      </c>
      <c r="K46" t="str">
        <f t="shared" si="2"/>
        <v>scale</v>
      </c>
    </row>
    <row r="47" spans="1:11" ht="158.4" x14ac:dyDescent="0.3">
      <c r="A47" t="s">
        <v>3311</v>
      </c>
      <c r="B47" t="s">
        <v>3395</v>
      </c>
      <c r="C47" s="90" t="s">
        <v>3396</v>
      </c>
      <c r="E47" t="s">
        <v>5562</v>
      </c>
      <c r="F47" s="91" t="s">
        <v>3396</v>
      </c>
      <c r="G47" t="str">
        <f t="shared" si="5"/>
        <v>unknown</v>
      </c>
      <c r="H47" t="str">
        <f t="shared" si="1"/>
        <v>unknown</v>
      </c>
      <c r="K47" t="str">
        <f t="shared" si="2"/>
        <v>scale</v>
      </c>
    </row>
    <row r="48" spans="1:11" ht="187.2" x14ac:dyDescent="0.3">
      <c r="A48" t="s">
        <v>3311</v>
      </c>
      <c r="B48" t="s">
        <v>3397</v>
      </c>
      <c r="C48" s="90" t="s">
        <v>3398</v>
      </c>
      <c r="E48" t="s">
        <v>5562</v>
      </c>
      <c r="F48" s="91" t="s">
        <v>3398</v>
      </c>
      <c r="G48" t="str">
        <f t="shared" si="5"/>
        <v>unknown</v>
      </c>
      <c r="H48" t="str">
        <f t="shared" si="1"/>
        <v>unknown</v>
      </c>
      <c r="K48" t="str">
        <f t="shared" si="2"/>
        <v>scale</v>
      </c>
    </row>
    <row r="49" spans="1:11" ht="187.2" x14ac:dyDescent="0.3">
      <c r="A49" t="s">
        <v>3311</v>
      </c>
      <c r="B49" t="s">
        <v>3399</v>
      </c>
      <c r="C49" s="90" t="s">
        <v>3400</v>
      </c>
      <c r="E49" t="s">
        <v>5562</v>
      </c>
      <c r="F49" s="91" t="s">
        <v>3400</v>
      </c>
      <c r="G49" t="str">
        <f t="shared" si="5"/>
        <v>unknown</v>
      </c>
      <c r="H49" t="str">
        <f t="shared" si="1"/>
        <v>unknown</v>
      </c>
      <c r="K49" t="str">
        <f t="shared" si="2"/>
        <v>scale</v>
      </c>
    </row>
    <row r="50" spans="1:11" ht="187.2" x14ac:dyDescent="0.3">
      <c r="A50" t="s">
        <v>3311</v>
      </c>
      <c r="B50" t="s">
        <v>3401</v>
      </c>
      <c r="C50" s="90" t="s">
        <v>3398</v>
      </c>
      <c r="E50" t="s">
        <v>5562</v>
      </c>
      <c r="F50" s="91" t="s">
        <v>3398</v>
      </c>
      <c r="G50" t="str">
        <f t="shared" si="5"/>
        <v>unknown</v>
      </c>
      <c r="H50" t="str">
        <f t="shared" si="1"/>
        <v>unknown</v>
      </c>
      <c r="K50" t="str">
        <f t="shared" si="2"/>
        <v>scale</v>
      </c>
    </row>
    <row r="51" spans="1:11" ht="273.60000000000002" x14ac:dyDescent="0.3">
      <c r="A51" t="s">
        <v>3311</v>
      </c>
      <c r="B51" t="s">
        <v>3402</v>
      </c>
      <c r="C51" s="90" t="s">
        <v>3403</v>
      </c>
      <c r="E51" t="s">
        <v>5562</v>
      </c>
      <c r="F51" s="91" t="s">
        <v>3403</v>
      </c>
      <c r="G51" t="str">
        <f t="shared" si="5"/>
        <v>unknown</v>
      </c>
      <c r="H51" t="str">
        <f t="shared" si="1"/>
        <v>unknown</v>
      </c>
      <c r="K51" t="str">
        <f t="shared" si="2"/>
        <v>scale</v>
      </c>
    </row>
    <row r="52" spans="1:11" ht="244.8" x14ac:dyDescent="0.3">
      <c r="A52" t="s">
        <v>3311</v>
      </c>
      <c r="B52" t="s">
        <v>3404</v>
      </c>
      <c r="C52" s="90" t="s">
        <v>3405</v>
      </c>
      <c r="E52" t="s">
        <v>5562</v>
      </c>
      <c r="F52" s="91" t="s">
        <v>3405</v>
      </c>
      <c r="G52" t="str">
        <f t="shared" si="5"/>
        <v>unknown</v>
      </c>
      <c r="H52" t="str">
        <f t="shared" si="1"/>
        <v>unknown</v>
      </c>
      <c r="K52" t="str">
        <f t="shared" si="2"/>
        <v>scale</v>
      </c>
    </row>
    <row r="53" spans="1:11" ht="144" x14ac:dyDescent="0.3">
      <c r="A53" t="s">
        <v>3311</v>
      </c>
      <c r="B53" t="s">
        <v>3406</v>
      </c>
      <c r="C53" s="90" t="s">
        <v>3407</v>
      </c>
      <c r="E53" t="s">
        <v>5562</v>
      </c>
      <c r="F53" s="91" t="s">
        <v>3407</v>
      </c>
      <c r="G53" t="str">
        <f t="shared" si="5"/>
        <v>unknown</v>
      </c>
      <c r="H53" t="str">
        <f t="shared" si="1"/>
        <v>unknown</v>
      </c>
      <c r="K53" t="str">
        <f t="shared" si="2"/>
        <v>scale</v>
      </c>
    </row>
    <row r="54" spans="1:11" ht="43.2" x14ac:dyDescent="0.3">
      <c r="A54" t="s">
        <v>3311</v>
      </c>
      <c r="B54" t="s">
        <v>3408</v>
      </c>
      <c r="C54" s="90" t="s">
        <v>3409</v>
      </c>
      <c r="D54" t="s">
        <v>5561</v>
      </c>
      <c r="E54" t="s">
        <v>5560</v>
      </c>
      <c r="F54" s="92" t="s">
        <v>5568</v>
      </c>
      <c r="G54" t="str">
        <f>IF(EXACT($F54, $Q$1), "sector", IF(EXACT($F54, $R$1), "sector", IF(EXACT($F54, $T$1), "sector", IF(EXACT($F54, $U$1), "sector", "unknown"))))</f>
        <v>unknown</v>
      </c>
      <c r="H54" t="str">
        <f t="shared" si="1"/>
        <v>unknown</v>
      </c>
      <c r="I54" t="s">
        <v>5660</v>
      </c>
      <c r="K54" t="str">
        <f t="shared" si="2"/>
        <v>rephrase</v>
      </c>
    </row>
    <row r="55" spans="1:11" ht="72" x14ac:dyDescent="0.3">
      <c r="A55" t="s">
        <v>3311</v>
      </c>
      <c r="B55" t="s">
        <v>3410</v>
      </c>
      <c r="C55" s="90" t="s">
        <v>3411</v>
      </c>
      <c r="E55" t="s">
        <v>5562</v>
      </c>
      <c r="F55" s="91" t="s">
        <v>3411</v>
      </c>
      <c r="G55" t="str">
        <f t="shared" ref="G55:G86" si="6">IF(EXACT($F55, $Q$1), "sector", "unknown")</f>
        <v>unknown</v>
      </c>
      <c r="H55" t="str">
        <f t="shared" si="1"/>
        <v>unknown</v>
      </c>
      <c r="K55" t="str">
        <f t="shared" si="2"/>
        <v>scale</v>
      </c>
    </row>
    <row r="56" spans="1:11" ht="100.8" x14ac:dyDescent="0.3">
      <c r="A56" t="s">
        <v>3311</v>
      </c>
      <c r="B56" t="s">
        <v>3412</v>
      </c>
      <c r="C56" s="90" t="s">
        <v>3413</v>
      </c>
      <c r="E56" t="s">
        <v>5562</v>
      </c>
      <c r="F56" s="91" t="s">
        <v>3413</v>
      </c>
      <c r="G56" t="str">
        <f t="shared" si="6"/>
        <v>unknown</v>
      </c>
      <c r="H56" t="str">
        <f t="shared" si="1"/>
        <v>unknown</v>
      </c>
      <c r="K56" t="str">
        <f t="shared" si="2"/>
        <v>scale</v>
      </c>
    </row>
    <row r="57" spans="1:11" ht="86.4" x14ac:dyDescent="0.3">
      <c r="A57" t="s">
        <v>3311</v>
      </c>
      <c r="B57" t="s">
        <v>3414</v>
      </c>
      <c r="C57" s="90" t="s">
        <v>3415</v>
      </c>
      <c r="E57" t="s">
        <v>5562</v>
      </c>
      <c r="F57" s="91" t="s">
        <v>3415</v>
      </c>
      <c r="G57" t="str">
        <f t="shared" si="6"/>
        <v>unknown</v>
      </c>
      <c r="H57" t="str">
        <f t="shared" si="1"/>
        <v>unknown</v>
      </c>
      <c r="K57" t="str">
        <f t="shared" si="2"/>
        <v>scale</v>
      </c>
    </row>
    <row r="58" spans="1:11" ht="72" x14ac:dyDescent="0.3">
      <c r="A58" t="s">
        <v>3311</v>
      </c>
      <c r="B58" t="s">
        <v>3416</v>
      </c>
      <c r="C58" s="90" t="s">
        <v>3417</v>
      </c>
      <c r="E58" t="s">
        <v>5562</v>
      </c>
      <c r="F58" s="91" t="s">
        <v>3417</v>
      </c>
      <c r="G58" t="str">
        <f t="shared" si="6"/>
        <v>unknown</v>
      </c>
      <c r="H58" t="str">
        <f t="shared" si="1"/>
        <v>unknown</v>
      </c>
      <c r="K58" t="str">
        <f t="shared" si="2"/>
        <v>scale</v>
      </c>
    </row>
    <row r="59" spans="1:11" ht="57.6" x14ac:dyDescent="0.3">
      <c r="A59" t="s">
        <v>3311</v>
      </c>
      <c r="B59" t="s">
        <v>3418</v>
      </c>
      <c r="C59" s="90" t="s">
        <v>3419</v>
      </c>
      <c r="E59" t="s">
        <v>5562</v>
      </c>
      <c r="F59" s="91" t="s">
        <v>3419</v>
      </c>
      <c r="G59" t="str">
        <f t="shared" si="6"/>
        <v>unknown</v>
      </c>
      <c r="H59" t="str">
        <f t="shared" si="1"/>
        <v>unknown</v>
      </c>
      <c r="K59" t="str">
        <f t="shared" si="2"/>
        <v>scale</v>
      </c>
    </row>
    <row r="60" spans="1:11" ht="144" x14ac:dyDescent="0.3">
      <c r="A60" t="s">
        <v>3311</v>
      </c>
      <c r="B60" t="s">
        <v>3420</v>
      </c>
      <c r="C60" s="90" t="s">
        <v>3421</v>
      </c>
      <c r="E60" t="s">
        <v>5562</v>
      </c>
      <c r="F60" s="91" t="s">
        <v>3421</v>
      </c>
      <c r="G60" t="str">
        <f t="shared" si="6"/>
        <v>unknown</v>
      </c>
      <c r="H60" t="str">
        <f t="shared" si="1"/>
        <v>unknown</v>
      </c>
      <c r="K60" t="str">
        <f t="shared" si="2"/>
        <v>scale</v>
      </c>
    </row>
    <row r="61" spans="1:11" ht="72" x14ac:dyDescent="0.3">
      <c r="A61" t="s">
        <v>3311</v>
      </c>
      <c r="B61" t="s">
        <v>3422</v>
      </c>
      <c r="C61" s="90" t="s">
        <v>3423</v>
      </c>
      <c r="E61" t="s">
        <v>5562</v>
      </c>
      <c r="F61" s="91" t="s">
        <v>3423</v>
      </c>
      <c r="G61" t="str">
        <f t="shared" si="6"/>
        <v>unknown</v>
      </c>
      <c r="H61" t="str">
        <f t="shared" si="1"/>
        <v>unknown</v>
      </c>
      <c r="K61" t="str">
        <f t="shared" si="2"/>
        <v>scale</v>
      </c>
    </row>
    <row r="62" spans="1:11" ht="158.4" x14ac:dyDescent="0.3">
      <c r="A62" t="s">
        <v>3311</v>
      </c>
      <c r="B62" t="s">
        <v>3424</v>
      </c>
      <c r="C62" s="90" t="s">
        <v>3425</v>
      </c>
      <c r="E62" t="s">
        <v>5562</v>
      </c>
      <c r="F62" s="91" t="s">
        <v>3425</v>
      </c>
      <c r="G62" t="str">
        <f t="shared" si="6"/>
        <v>unknown</v>
      </c>
      <c r="H62" t="str">
        <f t="shared" si="1"/>
        <v>unknown</v>
      </c>
      <c r="K62" t="str">
        <f t="shared" si="2"/>
        <v>scale</v>
      </c>
    </row>
    <row r="63" spans="1:11" ht="72" x14ac:dyDescent="0.3">
      <c r="A63" t="s">
        <v>3311</v>
      </c>
      <c r="B63" t="s">
        <v>3426</v>
      </c>
      <c r="C63" s="90" t="s">
        <v>3427</v>
      </c>
      <c r="E63" t="s">
        <v>5562</v>
      </c>
      <c r="F63" s="91" t="s">
        <v>3427</v>
      </c>
      <c r="G63" t="str">
        <f t="shared" si="6"/>
        <v>unknown</v>
      </c>
      <c r="H63" t="str">
        <f t="shared" si="1"/>
        <v>unknown</v>
      </c>
      <c r="K63" t="str">
        <f t="shared" si="2"/>
        <v>scale</v>
      </c>
    </row>
    <row r="64" spans="1:11" ht="273.60000000000002" x14ac:dyDescent="0.3">
      <c r="A64" t="s">
        <v>3311</v>
      </c>
      <c r="B64" t="s">
        <v>3428</v>
      </c>
      <c r="C64" s="90" t="s">
        <v>3429</v>
      </c>
      <c r="E64" t="s">
        <v>5562</v>
      </c>
      <c r="F64" s="91" t="s">
        <v>3429</v>
      </c>
      <c r="G64" t="str">
        <f t="shared" si="6"/>
        <v>unknown</v>
      </c>
      <c r="H64" t="str">
        <f t="shared" si="1"/>
        <v>unknown</v>
      </c>
      <c r="K64" t="str">
        <f t="shared" si="2"/>
        <v>scale</v>
      </c>
    </row>
    <row r="65" spans="1:11" ht="273.60000000000002" x14ac:dyDescent="0.3">
      <c r="A65" t="s">
        <v>3311</v>
      </c>
      <c r="B65" t="s">
        <v>3430</v>
      </c>
      <c r="C65" s="90" t="s">
        <v>3431</v>
      </c>
      <c r="E65" t="s">
        <v>5562</v>
      </c>
      <c r="F65" s="91" t="s">
        <v>3431</v>
      </c>
      <c r="G65" t="str">
        <f t="shared" si="6"/>
        <v>unknown</v>
      </c>
      <c r="H65" t="str">
        <f t="shared" si="1"/>
        <v>unknown</v>
      </c>
      <c r="K65" t="str">
        <f t="shared" si="2"/>
        <v>scale</v>
      </c>
    </row>
    <row r="66" spans="1:11" ht="72" x14ac:dyDescent="0.3">
      <c r="A66" t="s">
        <v>3311</v>
      </c>
      <c r="B66" t="s">
        <v>3432</v>
      </c>
      <c r="C66" s="90" t="s">
        <v>3433</v>
      </c>
      <c r="E66" t="s">
        <v>5562</v>
      </c>
      <c r="F66" s="91" t="s">
        <v>3433</v>
      </c>
      <c r="G66" t="str">
        <f t="shared" si="6"/>
        <v>unknown</v>
      </c>
      <c r="H66" t="str">
        <f t="shared" ref="H66:H129" si="7">IF(EXACT(F66,$W$1), "open", IF(EXACT(F66,$X$1), "open", "unknown"))</f>
        <v>unknown</v>
      </c>
      <c r="K66" t="str">
        <f t="shared" ref="K66:K129" si="8">IF(AND(E66&lt;&gt;"", E66&lt;&gt;"unknown"), E66,
   IF(AND(G66&lt;&gt;"", G66&lt;&gt;"unknown"), G66,
   IF(AND(H66&lt;&gt;"", H66&lt;&gt;"unknown"), H66,
   IF(I66&lt;&gt;"", I66, "ERROR"))))</f>
        <v>scale</v>
      </c>
    </row>
    <row r="67" spans="1:11" ht="172.8" x14ac:dyDescent="0.3">
      <c r="A67" t="s">
        <v>3311</v>
      </c>
      <c r="B67" t="s">
        <v>3434</v>
      </c>
      <c r="C67" s="90" t="s">
        <v>3435</v>
      </c>
      <c r="E67" t="s">
        <v>5562</v>
      </c>
      <c r="F67" s="91" t="s">
        <v>3435</v>
      </c>
      <c r="G67" t="str">
        <f t="shared" si="6"/>
        <v>unknown</v>
      </c>
      <c r="H67" t="str">
        <f t="shared" si="7"/>
        <v>unknown</v>
      </c>
      <c r="K67" t="str">
        <f t="shared" si="8"/>
        <v>scale</v>
      </c>
    </row>
    <row r="68" spans="1:11" ht="216" x14ac:dyDescent="0.3">
      <c r="A68" t="s">
        <v>3311</v>
      </c>
      <c r="B68" t="s">
        <v>3436</v>
      </c>
      <c r="C68" s="90" t="s">
        <v>3437</v>
      </c>
      <c r="E68" t="s">
        <v>5562</v>
      </c>
      <c r="F68" s="91" t="s">
        <v>3437</v>
      </c>
      <c r="G68" t="str">
        <f t="shared" si="6"/>
        <v>unknown</v>
      </c>
      <c r="H68" t="str">
        <f t="shared" si="7"/>
        <v>unknown</v>
      </c>
      <c r="K68" t="str">
        <f t="shared" si="8"/>
        <v>scale</v>
      </c>
    </row>
    <row r="69" spans="1:11" ht="144" x14ac:dyDescent="0.3">
      <c r="A69" t="s">
        <v>3311</v>
      </c>
      <c r="B69" t="s">
        <v>3438</v>
      </c>
      <c r="C69" s="90" t="s">
        <v>3439</v>
      </c>
      <c r="E69" t="s">
        <v>5562</v>
      </c>
      <c r="F69" s="91" t="s">
        <v>3439</v>
      </c>
      <c r="G69" t="str">
        <f t="shared" si="6"/>
        <v>unknown</v>
      </c>
      <c r="H69" t="str">
        <f t="shared" si="7"/>
        <v>unknown</v>
      </c>
      <c r="K69" t="str">
        <f t="shared" si="8"/>
        <v>scale</v>
      </c>
    </row>
    <row r="70" spans="1:11" ht="43.2" x14ac:dyDescent="0.3">
      <c r="A70" t="s">
        <v>3311</v>
      </c>
      <c r="B70" t="s">
        <v>3440</v>
      </c>
      <c r="C70" s="90" t="s">
        <v>3383</v>
      </c>
      <c r="E70" t="s">
        <v>5562</v>
      </c>
      <c r="F70" s="91" t="s">
        <v>3383</v>
      </c>
      <c r="G70" t="str">
        <f t="shared" si="6"/>
        <v>unknown</v>
      </c>
      <c r="H70" t="str">
        <f t="shared" si="7"/>
        <v>unknown</v>
      </c>
      <c r="K70" t="str">
        <f t="shared" si="8"/>
        <v>scale</v>
      </c>
    </row>
    <row r="71" spans="1:11" ht="43.2" x14ac:dyDescent="0.3">
      <c r="A71" t="s">
        <v>3311</v>
      </c>
      <c r="B71" t="s">
        <v>3441</v>
      </c>
      <c r="C71" s="90" t="s">
        <v>3442</v>
      </c>
      <c r="E71" t="s">
        <v>5562</v>
      </c>
      <c r="F71" s="91" t="s">
        <v>3442</v>
      </c>
      <c r="G71" t="str">
        <f t="shared" si="6"/>
        <v>unknown</v>
      </c>
      <c r="H71" t="str">
        <f t="shared" si="7"/>
        <v>unknown</v>
      </c>
      <c r="K71" t="str">
        <f t="shared" si="8"/>
        <v>scale</v>
      </c>
    </row>
    <row r="72" spans="1:11" ht="129.6" x14ac:dyDescent="0.3">
      <c r="A72" t="s">
        <v>3311</v>
      </c>
      <c r="B72" t="s">
        <v>3443</v>
      </c>
      <c r="C72" s="90" t="s">
        <v>3444</v>
      </c>
      <c r="E72" t="s">
        <v>5562</v>
      </c>
      <c r="F72" s="91" t="s">
        <v>3444</v>
      </c>
      <c r="G72" t="str">
        <f t="shared" si="6"/>
        <v>unknown</v>
      </c>
      <c r="H72" t="str">
        <f t="shared" si="7"/>
        <v>unknown</v>
      </c>
      <c r="K72" t="str">
        <f t="shared" si="8"/>
        <v>scale</v>
      </c>
    </row>
    <row r="73" spans="1:11" ht="129.6" x14ac:dyDescent="0.3">
      <c r="A73" t="s">
        <v>3311</v>
      </c>
      <c r="B73" t="s">
        <v>3445</v>
      </c>
      <c r="C73" s="90" t="s">
        <v>3446</v>
      </c>
      <c r="E73" t="s">
        <v>5562</v>
      </c>
      <c r="F73" s="91" t="s">
        <v>3446</v>
      </c>
      <c r="G73" t="str">
        <f t="shared" si="6"/>
        <v>unknown</v>
      </c>
      <c r="H73" t="str">
        <f t="shared" si="7"/>
        <v>unknown</v>
      </c>
      <c r="K73" t="str">
        <f t="shared" si="8"/>
        <v>scale</v>
      </c>
    </row>
    <row r="74" spans="1:11" ht="57.6" x14ac:dyDescent="0.3">
      <c r="A74" t="s">
        <v>3311</v>
      </c>
      <c r="B74" t="s">
        <v>3447</v>
      </c>
      <c r="C74" s="90" t="s">
        <v>3448</v>
      </c>
      <c r="E74" t="s">
        <v>5562</v>
      </c>
      <c r="F74" s="91" t="s">
        <v>3448</v>
      </c>
      <c r="G74" t="str">
        <f t="shared" si="6"/>
        <v>unknown</v>
      </c>
      <c r="H74" t="str">
        <f t="shared" si="7"/>
        <v>unknown</v>
      </c>
      <c r="K74" t="str">
        <f t="shared" si="8"/>
        <v>scale</v>
      </c>
    </row>
    <row r="75" spans="1:11" ht="43.2" x14ac:dyDescent="0.3">
      <c r="A75" t="s">
        <v>3311</v>
      </c>
      <c r="B75" t="s">
        <v>3449</v>
      </c>
      <c r="C75" s="90" t="s">
        <v>3450</v>
      </c>
      <c r="E75" t="s">
        <v>5562</v>
      </c>
      <c r="F75" s="91" t="s">
        <v>3450</v>
      </c>
      <c r="G75" t="str">
        <f t="shared" si="6"/>
        <v>unknown</v>
      </c>
      <c r="H75" t="str">
        <f t="shared" si="7"/>
        <v>unknown</v>
      </c>
      <c r="K75" t="str">
        <f t="shared" si="8"/>
        <v>scale</v>
      </c>
    </row>
    <row r="76" spans="1:11" ht="288" x14ac:dyDescent="0.3">
      <c r="A76" t="s">
        <v>3311</v>
      </c>
      <c r="B76" t="s">
        <v>3451</v>
      </c>
      <c r="C76" s="90" t="s">
        <v>3352</v>
      </c>
      <c r="E76" t="s">
        <v>5562</v>
      </c>
      <c r="F76" s="91" t="s">
        <v>3352</v>
      </c>
      <c r="G76" t="str">
        <f t="shared" si="6"/>
        <v>unknown</v>
      </c>
      <c r="H76" t="str">
        <f t="shared" si="7"/>
        <v>unknown</v>
      </c>
      <c r="K76" t="str">
        <f t="shared" si="8"/>
        <v>scale</v>
      </c>
    </row>
    <row r="77" spans="1:11" ht="72" x14ac:dyDescent="0.3">
      <c r="A77" t="s">
        <v>3311</v>
      </c>
      <c r="B77" t="s">
        <v>3452</v>
      </c>
      <c r="C77" s="90" t="s">
        <v>3453</v>
      </c>
      <c r="E77" t="s">
        <v>5562</v>
      </c>
      <c r="F77" s="91" t="s">
        <v>3453</v>
      </c>
      <c r="G77" t="str">
        <f t="shared" si="6"/>
        <v>unknown</v>
      </c>
      <c r="H77" t="str">
        <f t="shared" si="7"/>
        <v>unknown</v>
      </c>
      <c r="K77" t="str">
        <f t="shared" si="8"/>
        <v>scale</v>
      </c>
    </row>
    <row r="78" spans="1:11" ht="43.2" x14ac:dyDescent="0.3">
      <c r="A78" t="s">
        <v>3311</v>
      </c>
      <c r="B78" t="s">
        <v>3454</v>
      </c>
      <c r="C78" s="90" t="s">
        <v>3450</v>
      </c>
      <c r="E78" t="s">
        <v>5562</v>
      </c>
      <c r="F78" s="91" t="s">
        <v>3450</v>
      </c>
      <c r="G78" t="str">
        <f t="shared" si="6"/>
        <v>unknown</v>
      </c>
      <c r="H78" t="str">
        <f t="shared" si="7"/>
        <v>unknown</v>
      </c>
      <c r="K78" t="str">
        <f t="shared" si="8"/>
        <v>scale</v>
      </c>
    </row>
    <row r="79" spans="1:11" ht="288" x14ac:dyDescent="0.3">
      <c r="A79" t="s">
        <v>3311</v>
      </c>
      <c r="B79" t="s">
        <v>3455</v>
      </c>
      <c r="C79" s="90" t="s">
        <v>3352</v>
      </c>
      <c r="E79" t="s">
        <v>5562</v>
      </c>
      <c r="F79" s="91" t="s">
        <v>3352</v>
      </c>
      <c r="G79" t="str">
        <f t="shared" si="6"/>
        <v>unknown</v>
      </c>
      <c r="H79" t="str">
        <f t="shared" si="7"/>
        <v>unknown</v>
      </c>
      <c r="K79" t="str">
        <f t="shared" si="8"/>
        <v>scale</v>
      </c>
    </row>
    <row r="80" spans="1:11" ht="43.2" x14ac:dyDescent="0.3">
      <c r="A80" t="s">
        <v>3311</v>
      </c>
      <c r="B80" t="s">
        <v>3456</v>
      </c>
      <c r="C80" s="90" t="s">
        <v>3383</v>
      </c>
      <c r="E80" t="s">
        <v>5562</v>
      </c>
      <c r="F80" s="91" t="s">
        <v>3383</v>
      </c>
      <c r="G80" t="str">
        <f t="shared" si="6"/>
        <v>unknown</v>
      </c>
      <c r="H80" t="str">
        <f t="shared" si="7"/>
        <v>unknown</v>
      </c>
      <c r="K80" t="str">
        <f t="shared" si="8"/>
        <v>scale</v>
      </c>
    </row>
    <row r="81" spans="1:11" ht="158.4" x14ac:dyDescent="0.3">
      <c r="A81" t="s">
        <v>3311</v>
      </c>
      <c r="B81" t="s">
        <v>3457</v>
      </c>
      <c r="C81" s="90" t="s">
        <v>3458</v>
      </c>
      <c r="E81" t="s">
        <v>5562</v>
      </c>
      <c r="F81" s="91" t="s">
        <v>3458</v>
      </c>
      <c r="G81" t="str">
        <f t="shared" si="6"/>
        <v>unknown</v>
      </c>
      <c r="H81" t="str">
        <f t="shared" si="7"/>
        <v>unknown</v>
      </c>
      <c r="K81" t="str">
        <f t="shared" si="8"/>
        <v>scale</v>
      </c>
    </row>
    <row r="82" spans="1:11" ht="144" x14ac:dyDescent="0.3">
      <c r="A82" t="s">
        <v>3311</v>
      </c>
      <c r="B82" t="s">
        <v>3459</v>
      </c>
      <c r="C82" s="90" t="s">
        <v>3460</v>
      </c>
      <c r="E82" t="s">
        <v>5562</v>
      </c>
      <c r="F82" s="91" t="s">
        <v>3460</v>
      </c>
      <c r="G82" t="str">
        <f t="shared" si="6"/>
        <v>unknown</v>
      </c>
      <c r="H82" t="str">
        <f t="shared" si="7"/>
        <v>unknown</v>
      </c>
      <c r="K82" t="str">
        <f t="shared" si="8"/>
        <v>scale</v>
      </c>
    </row>
    <row r="83" spans="1:11" ht="158.4" x14ac:dyDescent="0.3">
      <c r="A83" t="s">
        <v>3311</v>
      </c>
      <c r="B83" t="s">
        <v>3461</v>
      </c>
      <c r="C83" s="90" t="s">
        <v>3462</v>
      </c>
      <c r="E83" t="s">
        <v>5562</v>
      </c>
      <c r="F83" s="91" t="s">
        <v>3462</v>
      </c>
      <c r="G83" t="str">
        <f t="shared" si="6"/>
        <v>unknown</v>
      </c>
      <c r="H83" t="str">
        <f t="shared" si="7"/>
        <v>unknown</v>
      </c>
      <c r="K83" t="str">
        <f t="shared" si="8"/>
        <v>scale</v>
      </c>
    </row>
    <row r="84" spans="1:11" ht="172.8" x14ac:dyDescent="0.3">
      <c r="A84" t="s">
        <v>3311</v>
      </c>
      <c r="B84" t="s">
        <v>3463</v>
      </c>
      <c r="C84" s="90" t="s">
        <v>3464</v>
      </c>
      <c r="E84" t="s">
        <v>5562</v>
      </c>
      <c r="F84" s="91" t="s">
        <v>3464</v>
      </c>
      <c r="G84" t="str">
        <f t="shared" si="6"/>
        <v>unknown</v>
      </c>
      <c r="H84" t="str">
        <f t="shared" si="7"/>
        <v>unknown</v>
      </c>
      <c r="K84" t="str">
        <f t="shared" si="8"/>
        <v>scale</v>
      </c>
    </row>
    <row r="85" spans="1:11" ht="57.6" x14ac:dyDescent="0.3">
      <c r="A85" t="s">
        <v>3311</v>
      </c>
      <c r="B85" t="s">
        <v>3465</v>
      </c>
      <c r="C85" s="90" t="s">
        <v>3466</v>
      </c>
      <c r="E85" t="s">
        <v>5562</v>
      </c>
      <c r="F85" s="91" t="s">
        <v>3466</v>
      </c>
      <c r="G85" t="str">
        <f t="shared" si="6"/>
        <v>unknown</v>
      </c>
      <c r="H85" t="str">
        <f t="shared" si="7"/>
        <v>unknown</v>
      </c>
      <c r="K85" t="str">
        <f t="shared" si="8"/>
        <v>scale</v>
      </c>
    </row>
    <row r="86" spans="1:11" ht="201.6" x14ac:dyDescent="0.3">
      <c r="A86" t="s">
        <v>3311</v>
      </c>
      <c r="B86" t="s">
        <v>3467</v>
      </c>
      <c r="C86" s="90" t="s">
        <v>3468</v>
      </c>
      <c r="E86" t="s">
        <v>5562</v>
      </c>
      <c r="F86" s="91" t="s">
        <v>3468</v>
      </c>
      <c r="G86" t="str">
        <f t="shared" si="6"/>
        <v>unknown</v>
      </c>
      <c r="H86" t="str">
        <f t="shared" si="7"/>
        <v>unknown</v>
      </c>
      <c r="K86" t="str">
        <f t="shared" si="8"/>
        <v>scale</v>
      </c>
    </row>
    <row r="87" spans="1:11" ht="172.8" x14ac:dyDescent="0.3">
      <c r="A87" t="s">
        <v>3311</v>
      </c>
      <c r="B87" t="s">
        <v>3469</v>
      </c>
      <c r="C87" s="90" t="s">
        <v>3464</v>
      </c>
      <c r="E87" t="s">
        <v>5562</v>
      </c>
      <c r="F87" s="91" t="s">
        <v>3464</v>
      </c>
      <c r="G87" t="str">
        <f t="shared" ref="G87:G118" si="9">IF(EXACT($F87, $Q$1), "sector", "unknown")</f>
        <v>unknown</v>
      </c>
      <c r="H87" t="str">
        <f t="shared" si="7"/>
        <v>unknown</v>
      </c>
      <c r="K87" t="str">
        <f t="shared" si="8"/>
        <v>scale</v>
      </c>
    </row>
    <row r="88" spans="1:11" ht="86.4" x14ac:dyDescent="0.3">
      <c r="A88" t="s">
        <v>3311</v>
      </c>
      <c r="B88" t="s">
        <v>3470</v>
      </c>
      <c r="C88" s="90" t="s">
        <v>3471</v>
      </c>
      <c r="E88" t="s">
        <v>5562</v>
      </c>
      <c r="F88" s="91" t="s">
        <v>3471</v>
      </c>
      <c r="G88" t="str">
        <f t="shared" si="9"/>
        <v>unknown</v>
      </c>
      <c r="H88" t="str">
        <f t="shared" si="7"/>
        <v>unknown</v>
      </c>
      <c r="K88" t="str">
        <f t="shared" si="8"/>
        <v>scale</v>
      </c>
    </row>
    <row r="89" spans="1:11" ht="288" x14ac:dyDescent="0.3">
      <c r="A89" t="s">
        <v>3311</v>
      </c>
      <c r="B89" t="s">
        <v>3472</v>
      </c>
      <c r="C89" s="90" t="s">
        <v>3352</v>
      </c>
      <c r="E89" t="s">
        <v>5562</v>
      </c>
      <c r="F89" s="91" t="s">
        <v>3352</v>
      </c>
      <c r="G89" t="str">
        <f t="shared" si="9"/>
        <v>unknown</v>
      </c>
      <c r="H89" t="str">
        <f t="shared" si="7"/>
        <v>unknown</v>
      </c>
      <c r="K89" t="str">
        <f t="shared" si="8"/>
        <v>scale</v>
      </c>
    </row>
    <row r="90" spans="1:11" ht="187.2" x14ac:dyDescent="0.3">
      <c r="A90" t="s">
        <v>3311</v>
      </c>
      <c r="B90" t="s">
        <v>3473</v>
      </c>
      <c r="C90" s="90" t="s">
        <v>3474</v>
      </c>
      <c r="E90" t="s">
        <v>5562</v>
      </c>
      <c r="F90" s="91" t="s">
        <v>3474</v>
      </c>
      <c r="G90" t="str">
        <f t="shared" si="9"/>
        <v>unknown</v>
      </c>
      <c r="H90" t="str">
        <f t="shared" si="7"/>
        <v>unknown</v>
      </c>
      <c r="K90" t="str">
        <f t="shared" si="8"/>
        <v>scale</v>
      </c>
    </row>
    <row r="91" spans="1:11" ht="43.2" x14ac:dyDescent="0.3">
      <c r="A91" t="s">
        <v>3311</v>
      </c>
      <c r="B91" t="s">
        <v>3475</v>
      </c>
      <c r="C91" s="90" t="s">
        <v>3476</v>
      </c>
      <c r="D91" t="s">
        <v>5561</v>
      </c>
      <c r="E91" t="s">
        <v>399</v>
      </c>
      <c r="F91" s="92" t="s">
        <v>5569</v>
      </c>
      <c r="G91" t="str">
        <f t="shared" si="9"/>
        <v>unknown</v>
      </c>
      <c r="H91" t="str">
        <f t="shared" si="7"/>
        <v>unknown</v>
      </c>
      <c r="K91" t="str">
        <f t="shared" si="8"/>
        <v>sector</v>
      </c>
    </row>
    <row r="92" spans="1:11" ht="72" x14ac:dyDescent="0.3">
      <c r="A92" t="s">
        <v>3311</v>
      </c>
      <c r="B92" t="s">
        <v>3477</v>
      </c>
      <c r="C92" s="90" t="s">
        <v>3478</v>
      </c>
      <c r="E92" t="s">
        <v>5562</v>
      </c>
      <c r="F92" s="91" t="s">
        <v>3478</v>
      </c>
      <c r="G92" t="str">
        <f t="shared" si="9"/>
        <v>unknown</v>
      </c>
      <c r="H92" t="str">
        <f t="shared" si="7"/>
        <v>unknown</v>
      </c>
      <c r="K92" t="str">
        <f t="shared" si="8"/>
        <v>scale</v>
      </c>
    </row>
    <row r="93" spans="1:11" ht="360" x14ac:dyDescent="0.3">
      <c r="A93" t="s">
        <v>3311</v>
      </c>
      <c r="B93" t="s">
        <v>3479</v>
      </c>
      <c r="C93" s="90" t="s">
        <v>3480</v>
      </c>
      <c r="E93" t="s">
        <v>5562</v>
      </c>
      <c r="F93" s="91" t="s">
        <v>3480</v>
      </c>
      <c r="G93" t="str">
        <f t="shared" si="9"/>
        <v>unknown</v>
      </c>
      <c r="H93" t="str">
        <f t="shared" si="7"/>
        <v>unknown</v>
      </c>
      <c r="K93" t="str">
        <f t="shared" si="8"/>
        <v>scale</v>
      </c>
    </row>
    <row r="94" spans="1:11" ht="216" x14ac:dyDescent="0.3">
      <c r="A94" t="s">
        <v>3311</v>
      </c>
      <c r="B94" t="s">
        <v>3481</v>
      </c>
      <c r="C94" s="90" t="s">
        <v>3482</v>
      </c>
      <c r="E94" t="s">
        <v>5562</v>
      </c>
      <c r="F94" s="91" t="s">
        <v>3482</v>
      </c>
      <c r="G94" t="str">
        <f t="shared" si="9"/>
        <v>unknown</v>
      </c>
      <c r="H94" t="str">
        <f t="shared" si="7"/>
        <v>unknown</v>
      </c>
      <c r="K94" t="str">
        <f t="shared" si="8"/>
        <v>scale</v>
      </c>
    </row>
    <row r="95" spans="1:11" ht="86.4" x14ac:dyDescent="0.3">
      <c r="A95" t="s">
        <v>3311</v>
      </c>
      <c r="B95" t="s">
        <v>3483</v>
      </c>
      <c r="C95" s="90" t="s">
        <v>3484</v>
      </c>
      <c r="E95" t="s">
        <v>5562</v>
      </c>
      <c r="F95" s="91" t="s">
        <v>3484</v>
      </c>
      <c r="G95" t="str">
        <f t="shared" si="9"/>
        <v>unknown</v>
      </c>
      <c r="H95" t="str">
        <f t="shared" si="7"/>
        <v>unknown</v>
      </c>
      <c r="K95" t="str">
        <f t="shared" si="8"/>
        <v>scale</v>
      </c>
    </row>
    <row r="96" spans="1:11" ht="216" x14ac:dyDescent="0.3">
      <c r="A96" t="s">
        <v>3311</v>
      </c>
      <c r="B96" t="s">
        <v>3485</v>
      </c>
      <c r="C96" s="90" t="s">
        <v>3486</v>
      </c>
      <c r="E96" t="s">
        <v>5562</v>
      </c>
      <c r="F96" s="91" t="s">
        <v>3486</v>
      </c>
      <c r="G96" t="str">
        <f t="shared" si="9"/>
        <v>unknown</v>
      </c>
      <c r="H96" t="str">
        <f t="shared" si="7"/>
        <v>unknown</v>
      </c>
      <c r="K96" t="str">
        <f t="shared" si="8"/>
        <v>scale</v>
      </c>
    </row>
    <row r="97" spans="1:11" ht="86.4" x14ac:dyDescent="0.3">
      <c r="A97" t="s">
        <v>3311</v>
      </c>
      <c r="B97" t="s">
        <v>3487</v>
      </c>
      <c r="C97" s="90" t="s">
        <v>3488</v>
      </c>
      <c r="E97" t="s">
        <v>5562</v>
      </c>
      <c r="F97" s="91" t="s">
        <v>3488</v>
      </c>
      <c r="G97" t="str">
        <f t="shared" si="9"/>
        <v>unknown</v>
      </c>
      <c r="H97" t="str">
        <f t="shared" si="7"/>
        <v>unknown</v>
      </c>
      <c r="K97" t="str">
        <f t="shared" si="8"/>
        <v>scale</v>
      </c>
    </row>
    <row r="98" spans="1:11" ht="144" x14ac:dyDescent="0.3">
      <c r="A98" t="s">
        <v>3311</v>
      </c>
      <c r="B98" t="s">
        <v>3489</v>
      </c>
      <c r="C98" s="90" t="s">
        <v>3490</v>
      </c>
      <c r="E98" t="s">
        <v>5562</v>
      </c>
      <c r="F98" s="91" t="s">
        <v>3490</v>
      </c>
      <c r="G98" t="str">
        <f t="shared" si="9"/>
        <v>unknown</v>
      </c>
      <c r="H98" t="str">
        <f t="shared" si="7"/>
        <v>unknown</v>
      </c>
      <c r="K98" t="str">
        <f t="shared" si="8"/>
        <v>scale</v>
      </c>
    </row>
    <row r="99" spans="1:11" ht="158.4" x14ac:dyDescent="0.3">
      <c r="A99" t="s">
        <v>3311</v>
      </c>
      <c r="B99" t="s">
        <v>3491</v>
      </c>
      <c r="C99" s="90" t="s">
        <v>3492</v>
      </c>
      <c r="E99" t="s">
        <v>5562</v>
      </c>
      <c r="F99" s="91" t="s">
        <v>3492</v>
      </c>
      <c r="G99" t="str">
        <f t="shared" si="9"/>
        <v>unknown</v>
      </c>
      <c r="H99" t="str">
        <f t="shared" si="7"/>
        <v>unknown</v>
      </c>
      <c r="K99" t="str">
        <f t="shared" si="8"/>
        <v>scale</v>
      </c>
    </row>
    <row r="100" spans="1:11" ht="158.4" x14ac:dyDescent="0.3">
      <c r="A100" t="s">
        <v>3311</v>
      </c>
      <c r="B100" t="s">
        <v>3493</v>
      </c>
      <c r="C100" s="90" t="s">
        <v>3494</v>
      </c>
      <c r="E100" t="s">
        <v>5562</v>
      </c>
      <c r="F100" s="91" t="s">
        <v>3494</v>
      </c>
      <c r="G100" t="str">
        <f t="shared" si="9"/>
        <v>unknown</v>
      </c>
      <c r="H100" t="str">
        <f t="shared" si="7"/>
        <v>unknown</v>
      </c>
      <c r="K100" t="str">
        <f t="shared" si="8"/>
        <v>scale</v>
      </c>
    </row>
    <row r="101" spans="1:11" ht="43.2" x14ac:dyDescent="0.3">
      <c r="A101" t="s">
        <v>3311</v>
      </c>
      <c r="B101" t="s">
        <v>3495</v>
      </c>
      <c r="C101" s="90" t="s">
        <v>3496</v>
      </c>
      <c r="E101" t="s">
        <v>5562</v>
      </c>
      <c r="F101" s="91" t="s">
        <v>3496</v>
      </c>
      <c r="G101" t="str">
        <f t="shared" si="9"/>
        <v>unknown</v>
      </c>
      <c r="H101" t="str">
        <f t="shared" si="7"/>
        <v>unknown</v>
      </c>
      <c r="K101" t="str">
        <f t="shared" si="8"/>
        <v>scale</v>
      </c>
    </row>
    <row r="102" spans="1:11" ht="43.2" x14ac:dyDescent="0.3">
      <c r="A102" t="s">
        <v>3311</v>
      </c>
      <c r="B102" t="s">
        <v>3497</v>
      </c>
      <c r="C102" s="90" t="s">
        <v>3498</v>
      </c>
      <c r="E102" t="s">
        <v>5562</v>
      </c>
      <c r="F102" s="91" t="s">
        <v>3498</v>
      </c>
      <c r="G102" t="str">
        <f t="shared" si="9"/>
        <v>unknown</v>
      </c>
      <c r="H102" t="str">
        <f t="shared" si="7"/>
        <v>unknown</v>
      </c>
      <c r="K102" t="str">
        <f t="shared" si="8"/>
        <v>scale</v>
      </c>
    </row>
    <row r="103" spans="1:11" ht="100.8" x14ac:dyDescent="0.3">
      <c r="A103" t="s">
        <v>3311</v>
      </c>
      <c r="B103" t="s">
        <v>3499</v>
      </c>
      <c r="C103" s="90" t="s">
        <v>3500</v>
      </c>
      <c r="E103" t="s">
        <v>5562</v>
      </c>
      <c r="F103" s="91" t="s">
        <v>3500</v>
      </c>
      <c r="G103" t="str">
        <f t="shared" si="9"/>
        <v>unknown</v>
      </c>
      <c r="H103" t="str">
        <f t="shared" si="7"/>
        <v>unknown</v>
      </c>
      <c r="K103" t="str">
        <f t="shared" si="8"/>
        <v>scale</v>
      </c>
    </row>
    <row r="104" spans="1:11" ht="43.2" x14ac:dyDescent="0.3">
      <c r="A104" t="s">
        <v>3311</v>
      </c>
      <c r="B104" t="s">
        <v>3501</v>
      </c>
      <c r="C104" s="90" t="s">
        <v>3502</v>
      </c>
      <c r="D104" t="s">
        <v>5561</v>
      </c>
      <c r="E104" t="s">
        <v>399</v>
      </c>
      <c r="F104" s="92" t="s">
        <v>5570</v>
      </c>
      <c r="G104" t="str">
        <f t="shared" si="9"/>
        <v>unknown</v>
      </c>
      <c r="H104" t="str">
        <f t="shared" si="7"/>
        <v>unknown</v>
      </c>
      <c r="K104" t="str">
        <f t="shared" si="8"/>
        <v>sector</v>
      </c>
    </row>
    <row r="105" spans="1:11" ht="43.2" x14ac:dyDescent="0.3">
      <c r="A105" t="s">
        <v>3311</v>
      </c>
      <c r="B105" t="s">
        <v>3503</v>
      </c>
      <c r="C105" s="90" t="s">
        <v>3498</v>
      </c>
      <c r="E105" t="s">
        <v>5562</v>
      </c>
      <c r="F105" s="91" t="s">
        <v>3498</v>
      </c>
      <c r="G105" t="str">
        <f t="shared" si="9"/>
        <v>unknown</v>
      </c>
      <c r="H105" t="str">
        <f t="shared" si="7"/>
        <v>unknown</v>
      </c>
      <c r="K105" t="str">
        <f t="shared" si="8"/>
        <v>scale</v>
      </c>
    </row>
    <row r="106" spans="1:11" ht="216" x14ac:dyDescent="0.3">
      <c r="A106" t="s">
        <v>3311</v>
      </c>
      <c r="B106" t="s">
        <v>3504</v>
      </c>
      <c r="C106" s="90" t="s">
        <v>3505</v>
      </c>
      <c r="E106" t="s">
        <v>5562</v>
      </c>
      <c r="F106" s="91" t="s">
        <v>3505</v>
      </c>
      <c r="G106" t="str">
        <f t="shared" si="9"/>
        <v>unknown</v>
      </c>
      <c r="H106" t="str">
        <f t="shared" si="7"/>
        <v>unknown</v>
      </c>
      <c r="K106" t="str">
        <f t="shared" si="8"/>
        <v>scale</v>
      </c>
    </row>
    <row r="107" spans="1:11" ht="302.39999999999998" x14ac:dyDescent="0.3">
      <c r="A107" t="s">
        <v>3311</v>
      </c>
      <c r="B107" t="s">
        <v>3506</v>
      </c>
      <c r="C107" s="90" t="s">
        <v>3507</v>
      </c>
      <c r="E107" t="s">
        <v>5562</v>
      </c>
      <c r="F107" s="91" t="s">
        <v>3507</v>
      </c>
      <c r="G107" t="str">
        <f t="shared" si="9"/>
        <v>unknown</v>
      </c>
      <c r="H107" t="str">
        <f t="shared" si="7"/>
        <v>unknown</v>
      </c>
      <c r="K107" t="str">
        <f t="shared" si="8"/>
        <v>scale</v>
      </c>
    </row>
    <row r="108" spans="1:11" ht="230.4" x14ac:dyDescent="0.3">
      <c r="A108" t="s">
        <v>3311</v>
      </c>
      <c r="B108" t="s">
        <v>3508</v>
      </c>
      <c r="C108" s="90" t="s">
        <v>3509</v>
      </c>
      <c r="E108" t="s">
        <v>5562</v>
      </c>
      <c r="F108" s="91" t="s">
        <v>3509</v>
      </c>
      <c r="G108" t="str">
        <f t="shared" si="9"/>
        <v>unknown</v>
      </c>
      <c r="H108" t="str">
        <f t="shared" si="7"/>
        <v>unknown</v>
      </c>
      <c r="K108" t="str">
        <f t="shared" si="8"/>
        <v>scale</v>
      </c>
    </row>
    <row r="109" spans="1:11" ht="158.4" x14ac:dyDescent="0.3">
      <c r="A109" t="s">
        <v>3311</v>
      </c>
      <c r="B109" t="s">
        <v>3510</v>
      </c>
      <c r="C109" s="90" t="s">
        <v>3511</v>
      </c>
      <c r="E109" t="s">
        <v>5562</v>
      </c>
      <c r="F109" s="91" t="s">
        <v>3511</v>
      </c>
      <c r="G109" t="str">
        <f t="shared" si="9"/>
        <v>unknown</v>
      </c>
      <c r="H109" t="str">
        <f t="shared" si="7"/>
        <v>unknown</v>
      </c>
      <c r="K109" t="str">
        <f t="shared" si="8"/>
        <v>scale</v>
      </c>
    </row>
    <row r="110" spans="1:11" ht="43.2" x14ac:dyDescent="0.3">
      <c r="A110" t="s">
        <v>3311</v>
      </c>
      <c r="B110" t="s">
        <v>3512</v>
      </c>
      <c r="C110" s="90" t="s">
        <v>3383</v>
      </c>
      <c r="E110" t="s">
        <v>5562</v>
      </c>
      <c r="F110" s="91" t="s">
        <v>3383</v>
      </c>
      <c r="G110" t="str">
        <f t="shared" si="9"/>
        <v>unknown</v>
      </c>
      <c r="H110" t="str">
        <f t="shared" si="7"/>
        <v>unknown</v>
      </c>
      <c r="K110" t="str">
        <f t="shared" si="8"/>
        <v>scale</v>
      </c>
    </row>
    <row r="111" spans="1:11" ht="230.4" x14ac:dyDescent="0.3">
      <c r="A111" t="s">
        <v>3311</v>
      </c>
      <c r="B111" t="s">
        <v>3513</v>
      </c>
      <c r="C111" s="90" t="s">
        <v>3514</v>
      </c>
      <c r="E111" t="s">
        <v>5562</v>
      </c>
      <c r="F111" s="91" t="s">
        <v>3514</v>
      </c>
      <c r="G111" t="str">
        <f t="shared" si="9"/>
        <v>unknown</v>
      </c>
      <c r="H111" t="str">
        <f t="shared" si="7"/>
        <v>unknown</v>
      </c>
      <c r="K111" t="str">
        <f t="shared" si="8"/>
        <v>scale</v>
      </c>
    </row>
    <row r="112" spans="1:11" ht="43.2" x14ac:dyDescent="0.3">
      <c r="A112" t="s">
        <v>3311</v>
      </c>
      <c r="B112" t="s">
        <v>3515</v>
      </c>
      <c r="C112" s="90" t="s">
        <v>3516</v>
      </c>
      <c r="D112" t="s">
        <v>5561</v>
      </c>
      <c r="E112" t="s">
        <v>399</v>
      </c>
      <c r="F112" s="92" t="s">
        <v>5571</v>
      </c>
      <c r="G112" t="str">
        <f t="shared" si="9"/>
        <v>unknown</v>
      </c>
      <c r="H112" t="str">
        <f t="shared" si="7"/>
        <v>unknown</v>
      </c>
      <c r="K112" t="str">
        <f t="shared" si="8"/>
        <v>sector</v>
      </c>
    </row>
    <row r="113" spans="1:11" ht="43.2" x14ac:dyDescent="0.3">
      <c r="A113" t="s">
        <v>3311</v>
      </c>
      <c r="B113" t="s">
        <v>3517</v>
      </c>
      <c r="C113" s="90" t="s">
        <v>3516</v>
      </c>
      <c r="D113" t="s">
        <v>5561</v>
      </c>
      <c r="E113" t="s">
        <v>399</v>
      </c>
      <c r="F113" s="92" t="s">
        <v>5571</v>
      </c>
      <c r="G113" t="str">
        <f t="shared" si="9"/>
        <v>unknown</v>
      </c>
      <c r="H113" t="str">
        <f t="shared" si="7"/>
        <v>unknown</v>
      </c>
      <c r="K113" t="str">
        <f t="shared" si="8"/>
        <v>sector</v>
      </c>
    </row>
    <row r="114" spans="1:11" ht="43.2" x14ac:dyDescent="0.3">
      <c r="A114" t="s">
        <v>3311</v>
      </c>
      <c r="B114" t="s">
        <v>3518</v>
      </c>
      <c r="C114" s="90" t="s">
        <v>3516</v>
      </c>
      <c r="D114" t="s">
        <v>5561</v>
      </c>
      <c r="E114" t="s">
        <v>399</v>
      </c>
      <c r="F114" s="92" t="s">
        <v>5571</v>
      </c>
      <c r="G114" t="str">
        <f t="shared" si="9"/>
        <v>unknown</v>
      </c>
      <c r="H114" t="str">
        <f t="shared" si="7"/>
        <v>unknown</v>
      </c>
      <c r="K114" t="str">
        <f t="shared" si="8"/>
        <v>sector</v>
      </c>
    </row>
    <row r="115" spans="1:11" ht="86.4" x14ac:dyDescent="0.3">
      <c r="A115" t="s">
        <v>3311</v>
      </c>
      <c r="B115" t="s">
        <v>3519</v>
      </c>
      <c r="C115" s="90" t="s">
        <v>3520</v>
      </c>
      <c r="E115" t="s">
        <v>5562</v>
      </c>
      <c r="F115" s="91" t="s">
        <v>3520</v>
      </c>
      <c r="G115" t="str">
        <f t="shared" si="9"/>
        <v>unknown</v>
      </c>
      <c r="H115" t="str">
        <f t="shared" si="7"/>
        <v>unknown</v>
      </c>
      <c r="K115" t="str">
        <f t="shared" si="8"/>
        <v>scale</v>
      </c>
    </row>
    <row r="116" spans="1:11" ht="158.4" x14ac:dyDescent="0.3">
      <c r="A116" t="s">
        <v>3311</v>
      </c>
      <c r="B116" t="s">
        <v>3521</v>
      </c>
      <c r="C116" s="90" t="s">
        <v>3522</v>
      </c>
      <c r="E116" t="s">
        <v>5562</v>
      </c>
      <c r="F116" s="91" t="s">
        <v>3522</v>
      </c>
      <c r="G116" t="str">
        <f t="shared" si="9"/>
        <v>unknown</v>
      </c>
      <c r="H116" t="str">
        <f t="shared" si="7"/>
        <v>unknown</v>
      </c>
      <c r="K116" t="str">
        <f t="shared" si="8"/>
        <v>scale</v>
      </c>
    </row>
    <row r="117" spans="1:11" ht="302.39999999999998" x14ac:dyDescent="0.3">
      <c r="A117" t="s">
        <v>3311</v>
      </c>
      <c r="B117" t="s">
        <v>3523</v>
      </c>
      <c r="C117" s="90" t="s">
        <v>3524</v>
      </c>
      <c r="E117" t="s">
        <v>5562</v>
      </c>
      <c r="F117" s="91" t="s">
        <v>3524</v>
      </c>
      <c r="G117" t="str">
        <f t="shared" si="9"/>
        <v>unknown</v>
      </c>
      <c r="H117" t="str">
        <f t="shared" si="7"/>
        <v>unknown</v>
      </c>
      <c r="K117" t="str">
        <f t="shared" si="8"/>
        <v>scale</v>
      </c>
    </row>
    <row r="118" spans="1:11" ht="43.2" x14ac:dyDescent="0.3">
      <c r="A118" t="s">
        <v>3311</v>
      </c>
      <c r="B118" t="s">
        <v>3525</v>
      </c>
      <c r="C118" s="90" t="s">
        <v>3383</v>
      </c>
      <c r="E118" t="s">
        <v>5562</v>
      </c>
      <c r="F118" s="91" t="s">
        <v>3383</v>
      </c>
      <c r="G118" t="str">
        <f t="shared" si="9"/>
        <v>unknown</v>
      </c>
      <c r="H118" t="str">
        <f t="shared" si="7"/>
        <v>unknown</v>
      </c>
      <c r="K118" t="str">
        <f t="shared" si="8"/>
        <v>scale</v>
      </c>
    </row>
    <row r="119" spans="1:11" ht="43.2" x14ac:dyDescent="0.3">
      <c r="A119" t="s">
        <v>3311</v>
      </c>
      <c r="B119" t="s">
        <v>3526</v>
      </c>
      <c r="C119" s="90" t="s">
        <v>3527</v>
      </c>
      <c r="E119" t="s">
        <v>5562</v>
      </c>
      <c r="F119" s="91" t="s">
        <v>3527</v>
      </c>
      <c r="G119" t="str">
        <f t="shared" ref="G119:G145" si="10">IF(EXACT($F119, $Q$1), "sector", "unknown")</f>
        <v>unknown</v>
      </c>
      <c r="H119" t="str">
        <f t="shared" si="7"/>
        <v>unknown</v>
      </c>
      <c r="K119" t="str">
        <f t="shared" si="8"/>
        <v>scale</v>
      </c>
    </row>
    <row r="120" spans="1:11" ht="216" x14ac:dyDescent="0.3">
      <c r="A120" t="s">
        <v>3311</v>
      </c>
      <c r="B120" t="s">
        <v>3528</v>
      </c>
      <c r="C120" s="90" t="s">
        <v>3529</v>
      </c>
      <c r="E120" t="s">
        <v>5562</v>
      </c>
      <c r="F120" s="91" t="s">
        <v>3529</v>
      </c>
      <c r="G120" t="str">
        <f t="shared" si="10"/>
        <v>unknown</v>
      </c>
      <c r="H120" t="str">
        <f t="shared" si="7"/>
        <v>unknown</v>
      </c>
      <c r="K120" t="str">
        <f t="shared" si="8"/>
        <v>scale</v>
      </c>
    </row>
    <row r="121" spans="1:11" ht="43.2" x14ac:dyDescent="0.3">
      <c r="A121" t="s">
        <v>3311</v>
      </c>
      <c r="B121" t="s">
        <v>3530</v>
      </c>
      <c r="C121" s="90" t="s">
        <v>3527</v>
      </c>
      <c r="E121" t="s">
        <v>5562</v>
      </c>
      <c r="F121" s="91" t="s">
        <v>3527</v>
      </c>
      <c r="G121" t="str">
        <f t="shared" si="10"/>
        <v>unknown</v>
      </c>
      <c r="H121" t="str">
        <f t="shared" si="7"/>
        <v>unknown</v>
      </c>
      <c r="K121" t="str">
        <f t="shared" si="8"/>
        <v>scale</v>
      </c>
    </row>
    <row r="122" spans="1:11" ht="273.60000000000002" x14ac:dyDescent="0.3">
      <c r="A122" t="s">
        <v>3311</v>
      </c>
      <c r="B122" t="s">
        <v>3531</v>
      </c>
      <c r="C122" s="90" t="s">
        <v>3532</v>
      </c>
      <c r="E122" t="s">
        <v>5562</v>
      </c>
      <c r="F122" s="91" t="s">
        <v>3532</v>
      </c>
      <c r="G122" t="str">
        <f t="shared" si="10"/>
        <v>unknown</v>
      </c>
      <c r="H122" t="str">
        <f t="shared" si="7"/>
        <v>unknown</v>
      </c>
      <c r="K122" t="str">
        <f t="shared" si="8"/>
        <v>scale</v>
      </c>
    </row>
    <row r="123" spans="1:11" ht="129.6" x14ac:dyDescent="0.3">
      <c r="A123" t="s">
        <v>3311</v>
      </c>
      <c r="B123" t="s">
        <v>3533</v>
      </c>
      <c r="C123" s="90" t="s">
        <v>3534</v>
      </c>
      <c r="E123" t="s">
        <v>5562</v>
      </c>
      <c r="F123" s="91" t="s">
        <v>3534</v>
      </c>
      <c r="G123" t="str">
        <f t="shared" si="10"/>
        <v>unknown</v>
      </c>
      <c r="H123" t="str">
        <f t="shared" si="7"/>
        <v>unknown</v>
      </c>
      <c r="K123" t="str">
        <f t="shared" si="8"/>
        <v>scale</v>
      </c>
    </row>
    <row r="124" spans="1:11" ht="216" x14ac:dyDescent="0.3">
      <c r="A124" t="s">
        <v>3311</v>
      </c>
      <c r="B124" t="s">
        <v>3535</v>
      </c>
      <c r="C124" s="90" t="s">
        <v>3536</v>
      </c>
      <c r="E124" t="s">
        <v>5562</v>
      </c>
      <c r="F124" s="91" t="s">
        <v>3536</v>
      </c>
      <c r="G124" t="str">
        <f t="shared" si="10"/>
        <v>unknown</v>
      </c>
      <c r="H124" t="str">
        <f t="shared" si="7"/>
        <v>unknown</v>
      </c>
      <c r="K124" t="str">
        <f t="shared" si="8"/>
        <v>scale</v>
      </c>
    </row>
    <row r="125" spans="1:11" ht="216" x14ac:dyDescent="0.3">
      <c r="A125" t="s">
        <v>3311</v>
      </c>
      <c r="B125" t="s">
        <v>3537</v>
      </c>
      <c r="C125" s="90" t="s">
        <v>3536</v>
      </c>
      <c r="E125" t="s">
        <v>5562</v>
      </c>
      <c r="F125" s="91" t="s">
        <v>3536</v>
      </c>
      <c r="G125" t="str">
        <f t="shared" si="10"/>
        <v>unknown</v>
      </c>
      <c r="H125" t="str">
        <f t="shared" si="7"/>
        <v>unknown</v>
      </c>
      <c r="K125" t="str">
        <f t="shared" si="8"/>
        <v>scale</v>
      </c>
    </row>
    <row r="126" spans="1:11" ht="360" x14ac:dyDescent="0.3">
      <c r="A126" t="s">
        <v>3311</v>
      </c>
      <c r="B126" t="s">
        <v>3538</v>
      </c>
      <c r="C126" s="90" t="s">
        <v>3539</v>
      </c>
      <c r="E126" t="s">
        <v>5562</v>
      </c>
      <c r="F126" s="91" t="s">
        <v>3539</v>
      </c>
      <c r="G126" t="str">
        <f t="shared" si="10"/>
        <v>unknown</v>
      </c>
      <c r="H126" t="str">
        <f t="shared" si="7"/>
        <v>unknown</v>
      </c>
      <c r="K126" t="str">
        <f t="shared" si="8"/>
        <v>scale</v>
      </c>
    </row>
    <row r="127" spans="1:11" ht="216" x14ac:dyDescent="0.3">
      <c r="A127" t="s">
        <v>3311</v>
      </c>
      <c r="B127" t="s">
        <v>3540</v>
      </c>
      <c r="C127" s="90" t="s">
        <v>3482</v>
      </c>
      <c r="E127" t="s">
        <v>5562</v>
      </c>
      <c r="F127" s="91" t="s">
        <v>3482</v>
      </c>
      <c r="G127" t="str">
        <f t="shared" si="10"/>
        <v>unknown</v>
      </c>
      <c r="H127" t="str">
        <f t="shared" si="7"/>
        <v>unknown</v>
      </c>
      <c r="K127" t="str">
        <f t="shared" si="8"/>
        <v>scale</v>
      </c>
    </row>
    <row r="128" spans="1:11" ht="201.6" x14ac:dyDescent="0.3">
      <c r="A128" t="s">
        <v>3311</v>
      </c>
      <c r="B128" t="s">
        <v>3541</v>
      </c>
      <c r="C128" s="90" t="s">
        <v>3542</v>
      </c>
      <c r="E128" t="s">
        <v>5562</v>
      </c>
      <c r="F128" s="91" t="s">
        <v>3542</v>
      </c>
      <c r="G128" t="str">
        <f t="shared" si="10"/>
        <v>unknown</v>
      </c>
      <c r="H128" t="str">
        <f t="shared" si="7"/>
        <v>unknown</v>
      </c>
      <c r="K128" t="str">
        <f t="shared" si="8"/>
        <v>scale</v>
      </c>
    </row>
    <row r="129" spans="1:11" ht="158.4" x14ac:dyDescent="0.3">
      <c r="A129" t="s">
        <v>3311</v>
      </c>
      <c r="B129" t="s">
        <v>3543</v>
      </c>
      <c r="C129" s="90" t="s">
        <v>3544</v>
      </c>
      <c r="E129" t="s">
        <v>5562</v>
      </c>
      <c r="F129" s="91" t="s">
        <v>3544</v>
      </c>
      <c r="G129" t="str">
        <f t="shared" si="10"/>
        <v>unknown</v>
      </c>
      <c r="H129" t="str">
        <f t="shared" si="7"/>
        <v>unknown</v>
      </c>
      <c r="K129" t="str">
        <f t="shared" si="8"/>
        <v>scale</v>
      </c>
    </row>
    <row r="130" spans="1:11" ht="57.6" x14ac:dyDescent="0.3">
      <c r="A130" t="s">
        <v>3311</v>
      </c>
      <c r="B130" t="s">
        <v>3545</v>
      </c>
      <c r="C130" s="90" t="s">
        <v>3546</v>
      </c>
      <c r="E130" t="s">
        <v>5562</v>
      </c>
      <c r="F130" s="91" t="s">
        <v>3546</v>
      </c>
      <c r="G130" t="str">
        <f t="shared" si="10"/>
        <v>unknown</v>
      </c>
      <c r="H130" t="str">
        <f t="shared" ref="H130:H193" si="11">IF(EXACT(F130,$W$1), "open", IF(EXACT(F130,$X$1), "open", "unknown"))</f>
        <v>unknown</v>
      </c>
      <c r="K130" t="str">
        <f t="shared" ref="K130:K193" si="12">IF(AND(E130&lt;&gt;"", E130&lt;&gt;"unknown"), E130,
   IF(AND(G130&lt;&gt;"", G130&lt;&gt;"unknown"), G130,
   IF(AND(H130&lt;&gt;"", H130&lt;&gt;"unknown"), H130,
   IF(I130&lt;&gt;"", I130, "ERROR"))))</f>
        <v>scale</v>
      </c>
    </row>
    <row r="131" spans="1:11" ht="43.2" x14ac:dyDescent="0.3">
      <c r="A131" t="s">
        <v>3311</v>
      </c>
      <c r="B131" t="s">
        <v>3547</v>
      </c>
      <c r="C131" s="90" t="s">
        <v>3383</v>
      </c>
      <c r="E131" t="s">
        <v>5562</v>
      </c>
      <c r="F131" s="91" t="s">
        <v>3383</v>
      </c>
      <c r="G131" t="str">
        <f t="shared" si="10"/>
        <v>unknown</v>
      </c>
      <c r="H131" t="str">
        <f t="shared" si="11"/>
        <v>unknown</v>
      </c>
      <c r="K131" t="str">
        <f t="shared" si="12"/>
        <v>scale</v>
      </c>
    </row>
    <row r="132" spans="1:11" ht="43.2" x14ac:dyDescent="0.3">
      <c r="A132" t="s">
        <v>3311</v>
      </c>
      <c r="B132" t="s">
        <v>3548</v>
      </c>
      <c r="C132" s="90" t="s">
        <v>3383</v>
      </c>
      <c r="E132" t="s">
        <v>5562</v>
      </c>
      <c r="F132" s="91" t="s">
        <v>3383</v>
      </c>
      <c r="G132" t="str">
        <f t="shared" si="10"/>
        <v>unknown</v>
      </c>
      <c r="H132" t="str">
        <f t="shared" si="11"/>
        <v>unknown</v>
      </c>
      <c r="K132" t="str">
        <f t="shared" si="12"/>
        <v>scale</v>
      </c>
    </row>
    <row r="133" spans="1:11" ht="230.4" x14ac:dyDescent="0.3">
      <c r="A133" t="s">
        <v>3311</v>
      </c>
      <c r="B133" t="s">
        <v>3549</v>
      </c>
      <c r="C133" s="90" t="s">
        <v>3550</v>
      </c>
      <c r="E133" t="s">
        <v>5562</v>
      </c>
      <c r="F133" s="91" t="s">
        <v>3550</v>
      </c>
      <c r="G133" t="str">
        <f t="shared" si="10"/>
        <v>unknown</v>
      </c>
      <c r="H133" t="str">
        <f t="shared" si="11"/>
        <v>unknown</v>
      </c>
      <c r="K133" t="str">
        <f t="shared" si="12"/>
        <v>scale</v>
      </c>
    </row>
    <row r="134" spans="1:11" ht="187.2" x14ac:dyDescent="0.3">
      <c r="A134" t="s">
        <v>3311</v>
      </c>
      <c r="B134" t="s">
        <v>3551</v>
      </c>
      <c r="C134" s="90" t="s">
        <v>3552</v>
      </c>
      <c r="E134" t="s">
        <v>5562</v>
      </c>
      <c r="F134" s="91" t="s">
        <v>3552</v>
      </c>
      <c r="G134" t="str">
        <f t="shared" si="10"/>
        <v>unknown</v>
      </c>
      <c r="H134" t="str">
        <f t="shared" si="11"/>
        <v>unknown</v>
      </c>
      <c r="K134" t="str">
        <f t="shared" si="12"/>
        <v>scale</v>
      </c>
    </row>
    <row r="135" spans="1:11" ht="43.2" x14ac:dyDescent="0.3">
      <c r="A135" t="s">
        <v>3311</v>
      </c>
      <c r="B135" t="s">
        <v>3553</v>
      </c>
      <c r="C135" s="90" t="s">
        <v>3383</v>
      </c>
      <c r="E135" t="s">
        <v>5562</v>
      </c>
      <c r="F135" s="91" t="s">
        <v>3383</v>
      </c>
      <c r="G135" t="str">
        <f t="shared" si="10"/>
        <v>unknown</v>
      </c>
      <c r="H135" t="str">
        <f t="shared" si="11"/>
        <v>unknown</v>
      </c>
      <c r="K135" t="str">
        <f t="shared" si="12"/>
        <v>scale</v>
      </c>
    </row>
    <row r="136" spans="1:11" ht="43.2" x14ac:dyDescent="0.3">
      <c r="A136" t="s">
        <v>3311</v>
      </c>
      <c r="B136" t="s">
        <v>3554</v>
      </c>
      <c r="C136" s="90" t="s">
        <v>3383</v>
      </c>
      <c r="E136" t="s">
        <v>5562</v>
      </c>
      <c r="F136" s="91" t="s">
        <v>3383</v>
      </c>
      <c r="G136" t="str">
        <f t="shared" si="10"/>
        <v>unknown</v>
      </c>
      <c r="H136" t="str">
        <f t="shared" si="11"/>
        <v>unknown</v>
      </c>
      <c r="K136" t="str">
        <f t="shared" si="12"/>
        <v>scale</v>
      </c>
    </row>
    <row r="137" spans="1:11" ht="43.2" x14ac:dyDescent="0.3">
      <c r="A137" t="s">
        <v>3311</v>
      </c>
      <c r="B137" t="s">
        <v>3555</v>
      </c>
      <c r="C137" s="90" t="s">
        <v>3556</v>
      </c>
      <c r="E137" t="s">
        <v>5562</v>
      </c>
      <c r="F137" s="91" t="s">
        <v>3556</v>
      </c>
      <c r="G137" t="str">
        <f t="shared" si="10"/>
        <v>unknown</v>
      </c>
      <c r="H137" t="str">
        <f t="shared" si="11"/>
        <v>unknown</v>
      </c>
      <c r="K137" t="str">
        <f t="shared" si="12"/>
        <v>scale</v>
      </c>
    </row>
    <row r="138" spans="1:11" ht="388.8" x14ac:dyDescent="0.3">
      <c r="A138" t="s">
        <v>3311</v>
      </c>
      <c r="B138" t="s">
        <v>3557</v>
      </c>
      <c r="C138" s="90" t="s">
        <v>3558</v>
      </c>
      <c r="E138" t="s">
        <v>5562</v>
      </c>
      <c r="F138" s="91" t="s">
        <v>3558</v>
      </c>
      <c r="G138" t="str">
        <f t="shared" si="10"/>
        <v>unknown</v>
      </c>
      <c r="H138" t="str">
        <f t="shared" si="11"/>
        <v>unknown</v>
      </c>
      <c r="K138" t="str">
        <f t="shared" si="12"/>
        <v>scale</v>
      </c>
    </row>
    <row r="139" spans="1:11" ht="244.8" x14ac:dyDescent="0.3">
      <c r="A139" t="s">
        <v>3311</v>
      </c>
      <c r="B139" t="s">
        <v>3559</v>
      </c>
      <c r="C139" s="90" t="s">
        <v>3560</v>
      </c>
      <c r="E139" t="s">
        <v>5562</v>
      </c>
      <c r="F139" s="91" t="s">
        <v>3560</v>
      </c>
      <c r="G139" t="str">
        <f t="shared" si="10"/>
        <v>unknown</v>
      </c>
      <c r="H139" t="str">
        <f t="shared" si="11"/>
        <v>unknown</v>
      </c>
      <c r="K139" t="str">
        <f t="shared" si="12"/>
        <v>scale</v>
      </c>
    </row>
    <row r="140" spans="1:11" ht="86.4" x14ac:dyDescent="0.3">
      <c r="A140" t="s">
        <v>3561</v>
      </c>
      <c r="B140" t="s">
        <v>3562</v>
      </c>
      <c r="C140" s="90" t="s">
        <v>3563</v>
      </c>
      <c r="E140" t="s">
        <v>5562</v>
      </c>
      <c r="F140" s="91" t="s">
        <v>3563</v>
      </c>
      <c r="G140" t="str">
        <f t="shared" si="10"/>
        <v>unknown</v>
      </c>
      <c r="H140" t="str">
        <f t="shared" si="11"/>
        <v>unknown</v>
      </c>
      <c r="K140" t="str">
        <f t="shared" si="12"/>
        <v>scale</v>
      </c>
    </row>
    <row r="141" spans="1:11" ht="86.4" x14ac:dyDescent="0.3">
      <c r="A141" t="s">
        <v>3561</v>
      </c>
      <c r="B141" t="s">
        <v>3564</v>
      </c>
      <c r="C141" s="90" t="s">
        <v>3565</v>
      </c>
      <c r="E141" t="s">
        <v>5562</v>
      </c>
      <c r="F141" s="91" t="s">
        <v>3565</v>
      </c>
      <c r="G141" t="str">
        <f t="shared" si="10"/>
        <v>unknown</v>
      </c>
      <c r="H141" t="str">
        <f t="shared" si="11"/>
        <v>unknown</v>
      </c>
      <c r="K141" t="str">
        <f t="shared" si="12"/>
        <v>scale</v>
      </c>
    </row>
    <row r="142" spans="1:11" ht="86.4" x14ac:dyDescent="0.3">
      <c r="A142" t="s">
        <v>3561</v>
      </c>
      <c r="B142" t="s">
        <v>3566</v>
      </c>
      <c r="C142" s="90" t="s">
        <v>3567</v>
      </c>
      <c r="E142" t="s">
        <v>5562</v>
      </c>
      <c r="F142" s="91" t="s">
        <v>3567</v>
      </c>
      <c r="G142" t="str">
        <f t="shared" si="10"/>
        <v>unknown</v>
      </c>
      <c r="H142" t="str">
        <f t="shared" si="11"/>
        <v>unknown</v>
      </c>
      <c r="K142" t="str">
        <f t="shared" si="12"/>
        <v>scale</v>
      </c>
    </row>
    <row r="143" spans="1:11" ht="172.8" x14ac:dyDescent="0.3">
      <c r="A143" t="s">
        <v>3561</v>
      </c>
      <c r="B143" t="s">
        <v>3568</v>
      </c>
      <c r="C143" s="90" t="s">
        <v>3569</v>
      </c>
      <c r="E143" t="s">
        <v>5562</v>
      </c>
      <c r="F143" s="91" t="s">
        <v>3569</v>
      </c>
      <c r="G143" t="str">
        <f t="shared" si="10"/>
        <v>unknown</v>
      </c>
      <c r="H143" t="str">
        <f t="shared" si="11"/>
        <v>unknown</v>
      </c>
      <c r="K143" t="str">
        <f t="shared" si="12"/>
        <v>scale</v>
      </c>
    </row>
    <row r="144" spans="1:11" ht="115.2" x14ac:dyDescent="0.3">
      <c r="A144" t="s">
        <v>3561</v>
      </c>
      <c r="B144" t="s">
        <v>3312</v>
      </c>
      <c r="C144" s="90" t="s">
        <v>3570</v>
      </c>
      <c r="E144" t="s">
        <v>5562</v>
      </c>
      <c r="F144" s="91" t="s">
        <v>3570</v>
      </c>
      <c r="G144" t="str">
        <f t="shared" si="10"/>
        <v>unknown</v>
      </c>
      <c r="H144" t="str">
        <f t="shared" si="11"/>
        <v>unknown</v>
      </c>
      <c r="K144" t="str">
        <f t="shared" si="12"/>
        <v>scale</v>
      </c>
    </row>
    <row r="145" spans="1:11" ht="115.2" x14ac:dyDescent="0.3">
      <c r="A145" t="s">
        <v>3561</v>
      </c>
      <c r="B145" t="s">
        <v>3571</v>
      </c>
      <c r="C145" s="90" t="s">
        <v>3572</v>
      </c>
      <c r="E145" t="s">
        <v>5562</v>
      </c>
      <c r="F145" s="91" t="s">
        <v>3572</v>
      </c>
      <c r="G145" t="str">
        <f t="shared" si="10"/>
        <v>unknown</v>
      </c>
      <c r="H145" t="str">
        <f t="shared" si="11"/>
        <v>unknown</v>
      </c>
      <c r="K145" t="str">
        <f t="shared" si="12"/>
        <v>scale</v>
      </c>
    </row>
    <row r="146" spans="1:11" ht="28.8" x14ac:dyDescent="0.3">
      <c r="A146" t="s">
        <v>3561</v>
      </c>
      <c r="B146" t="s">
        <v>3573</v>
      </c>
      <c r="C146" s="90" t="s">
        <v>3574</v>
      </c>
      <c r="D146" t="s">
        <v>5563</v>
      </c>
      <c r="E146" t="s">
        <v>5560</v>
      </c>
      <c r="F146" s="92" t="s">
        <v>5572</v>
      </c>
      <c r="G146" t="str">
        <f>IF(EXACT($F146, $Q$1), "sector", IF(EXACT($F146, $R$1), "sector", IF(EXACT($F146, $T$1), "sector", IF(EXACT($F146, $U$1), "sector", "unknown"))))</f>
        <v>unknown</v>
      </c>
      <c r="H146" t="str">
        <f t="shared" si="11"/>
        <v>unknown</v>
      </c>
      <c r="I146" t="s">
        <v>5661</v>
      </c>
      <c r="K146" t="str">
        <f t="shared" si="12"/>
        <v>specialScale</v>
      </c>
    </row>
    <row r="147" spans="1:11" ht="43.2" x14ac:dyDescent="0.3">
      <c r="A147" t="s">
        <v>3561</v>
      </c>
      <c r="B147" t="s">
        <v>3575</v>
      </c>
      <c r="C147" s="90" t="s">
        <v>3576</v>
      </c>
      <c r="E147" t="s">
        <v>5562</v>
      </c>
      <c r="F147" s="91" t="s">
        <v>3576</v>
      </c>
      <c r="G147" t="str">
        <f t="shared" ref="G147:G161" si="13">IF(EXACT($F147, $Q$1), "sector", "unknown")</f>
        <v>unknown</v>
      </c>
      <c r="H147" t="str">
        <f t="shared" si="11"/>
        <v>unknown</v>
      </c>
      <c r="K147" t="str">
        <f t="shared" si="12"/>
        <v>scale</v>
      </c>
    </row>
    <row r="148" spans="1:11" ht="72" x14ac:dyDescent="0.3">
      <c r="A148" t="s">
        <v>3561</v>
      </c>
      <c r="B148" t="s">
        <v>3577</v>
      </c>
      <c r="C148" s="90" t="s">
        <v>3578</v>
      </c>
      <c r="E148" t="s">
        <v>5562</v>
      </c>
      <c r="F148" s="91" t="s">
        <v>3578</v>
      </c>
      <c r="G148" t="str">
        <f t="shared" si="13"/>
        <v>unknown</v>
      </c>
      <c r="H148" t="str">
        <f t="shared" si="11"/>
        <v>unknown</v>
      </c>
      <c r="K148" t="str">
        <f t="shared" si="12"/>
        <v>scale</v>
      </c>
    </row>
    <row r="149" spans="1:11" ht="72" x14ac:dyDescent="0.3">
      <c r="A149" t="s">
        <v>3561</v>
      </c>
      <c r="B149" t="s">
        <v>3579</v>
      </c>
      <c r="C149" s="90" t="s">
        <v>3580</v>
      </c>
      <c r="E149" t="s">
        <v>5562</v>
      </c>
      <c r="F149" s="91" t="s">
        <v>3580</v>
      </c>
      <c r="G149" t="str">
        <f t="shared" si="13"/>
        <v>unknown</v>
      </c>
      <c r="H149" t="str">
        <f t="shared" si="11"/>
        <v>unknown</v>
      </c>
      <c r="K149" t="str">
        <f t="shared" si="12"/>
        <v>scale</v>
      </c>
    </row>
    <row r="150" spans="1:11" ht="216" x14ac:dyDescent="0.3">
      <c r="A150" t="s">
        <v>3561</v>
      </c>
      <c r="B150" t="s">
        <v>3581</v>
      </c>
      <c r="C150" s="90" t="s">
        <v>3582</v>
      </c>
      <c r="E150" t="s">
        <v>5562</v>
      </c>
      <c r="F150" s="91" t="s">
        <v>3582</v>
      </c>
      <c r="G150" t="str">
        <f t="shared" si="13"/>
        <v>unknown</v>
      </c>
      <c r="H150" t="str">
        <f t="shared" si="11"/>
        <v>unknown</v>
      </c>
      <c r="K150" t="str">
        <f t="shared" si="12"/>
        <v>scale</v>
      </c>
    </row>
    <row r="151" spans="1:11" ht="216" x14ac:dyDescent="0.3">
      <c r="A151" t="s">
        <v>3561</v>
      </c>
      <c r="B151" t="s">
        <v>3583</v>
      </c>
      <c r="C151" s="90" t="s">
        <v>3584</v>
      </c>
      <c r="E151" t="s">
        <v>5562</v>
      </c>
      <c r="F151" s="91" t="s">
        <v>3584</v>
      </c>
      <c r="G151" t="str">
        <f t="shared" si="13"/>
        <v>unknown</v>
      </c>
      <c r="H151" t="str">
        <f t="shared" si="11"/>
        <v>unknown</v>
      </c>
      <c r="K151" t="str">
        <f t="shared" si="12"/>
        <v>scale</v>
      </c>
    </row>
    <row r="152" spans="1:11" ht="187.2" x14ac:dyDescent="0.3">
      <c r="A152" t="s">
        <v>3561</v>
      </c>
      <c r="B152" t="s">
        <v>3585</v>
      </c>
      <c r="C152" s="90" t="s">
        <v>3586</v>
      </c>
      <c r="E152" t="s">
        <v>5562</v>
      </c>
      <c r="F152" s="91" t="s">
        <v>3586</v>
      </c>
      <c r="G152" t="str">
        <f t="shared" si="13"/>
        <v>unknown</v>
      </c>
      <c r="H152" t="str">
        <f t="shared" si="11"/>
        <v>unknown</v>
      </c>
      <c r="K152" t="str">
        <f t="shared" si="12"/>
        <v>scale</v>
      </c>
    </row>
    <row r="153" spans="1:11" ht="288" x14ac:dyDescent="0.3">
      <c r="A153" t="s">
        <v>3561</v>
      </c>
      <c r="B153" t="s">
        <v>3587</v>
      </c>
      <c r="C153" s="90" t="s">
        <v>3588</v>
      </c>
      <c r="E153" t="s">
        <v>5562</v>
      </c>
      <c r="F153" s="91" t="s">
        <v>3588</v>
      </c>
      <c r="G153" t="str">
        <f t="shared" si="13"/>
        <v>unknown</v>
      </c>
      <c r="H153" t="str">
        <f t="shared" si="11"/>
        <v>unknown</v>
      </c>
      <c r="K153" t="str">
        <f t="shared" si="12"/>
        <v>scale</v>
      </c>
    </row>
    <row r="154" spans="1:11" ht="187.2" x14ac:dyDescent="0.3">
      <c r="A154" t="s">
        <v>3561</v>
      </c>
      <c r="B154" t="s">
        <v>3589</v>
      </c>
      <c r="C154" s="90" t="s">
        <v>3590</v>
      </c>
      <c r="E154" t="s">
        <v>5562</v>
      </c>
      <c r="F154" s="91" t="s">
        <v>3590</v>
      </c>
      <c r="G154" t="str">
        <f t="shared" si="13"/>
        <v>unknown</v>
      </c>
      <c r="H154" t="str">
        <f t="shared" si="11"/>
        <v>unknown</v>
      </c>
      <c r="K154" t="str">
        <f t="shared" si="12"/>
        <v>scale</v>
      </c>
    </row>
    <row r="155" spans="1:11" ht="129.6" x14ac:dyDescent="0.3">
      <c r="A155" t="s">
        <v>3561</v>
      </c>
      <c r="B155" t="s">
        <v>3591</v>
      </c>
      <c r="C155" s="90" t="s">
        <v>3592</v>
      </c>
      <c r="E155" t="s">
        <v>5562</v>
      </c>
      <c r="F155" s="91" t="s">
        <v>3592</v>
      </c>
      <c r="G155" t="str">
        <f t="shared" si="13"/>
        <v>unknown</v>
      </c>
      <c r="H155" t="str">
        <f t="shared" si="11"/>
        <v>unknown</v>
      </c>
      <c r="K155" t="str">
        <f t="shared" si="12"/>
        <v>scale</v>
      </c>
    </row>
    <row r="156" spans="1:11" ht="72" x14ac:dyDescent="0.3">
      <c r="A156" t="s">
        <v>3561</v>
      </c>
      <c r="B156" t="s">
        <v>3593</v>
      </c>
      <c r="C156" s="90" t="s">
        <v>3594</v>
      </c>
      <c r="E156" t="s">
        <v>5562</v>
      </c>
      <c r="F156" s="91" t="s">
        <v>3594</v>
      </c>
      <c r="G156" t="str">
        <f t="shared" si="13"/>
        <v>unknown</v>
      </c>
      <c r="H156" t="str">
        <f t="shared" si="11"/>
        <v>unknown</v>
      </c>
      <c r="K156" t="str">
        <f t="shared" si="12"/>
        <v>scale</v>
      </c>
    </row>
    <row r="157" spans="1:11" ht="43.2" x14ac:dyDescent="0.3">
      <c r="A157" t="s">
        <v>3561</v>
      </c>
      <c r="B157" t="s">
        <v>3595</v>
      </c>
      <c r="C157" s="90" t="s">
        <v>3596</v>
      </c>
      <c r="E157" t="s">
        <v>5562</v>
      </c>
      <c r="F157" s="91" t="s">
        <v>3596</v>
      </c>
      <c r="G157" t="str">
        <f t="shared" si="13"/>
        <v>unknown</v>
      </c>
      <c r="H157" t="str">
        <f t="shared" si="11"/>
        <v>unknown</v>
      </c>
      <c r="K157" t="str">
        <f t="shared" si="12"/>
        <v>scale</v>
      </c>
    </row>
    <row r="158" spans="1:11" ht="100.8" x14ac:dyDescent="0.3">
      <c r="A158" t="s">
        <v>3561</v>
      </c>
      <c r="B158" t="s">
        <v>3597</v>
      </c>
      <c r="C158" s="90" t="s">
        <v>3598</v>
      </c>
      <c r="E158" t="s">
        <v>5562</v>
      </c>
      <c r="F158" s="91" t="s">
        <v>3598</v>
      </c>
      <c r="G158" t="str">
        <f t="shared" si="13"/>
        <v>unknown</v>
      </c>
      <c r="H158" t="str">
        <f t="shared" si="11"/>
        <v>unknown</v>
      </c>
      <c r="K158" t="str">
        <f t="shared" si="12"/>
        <v>scale</v>
      </c>
    </row>
    <row r="159" spans="1:11" ht="57.6" x14ac:dyDescent="0.3">
      <c r="A159" t="s">
        <v>3561</v>
      </c>
      <c r="B159" t="s">
        <v>3599</v>
      </c>
      <c r="C159" s="90" t="s">
        <v>3600</v>
      </c>
      <c r="E159" t="s">
        <v>5562</v>
      </c>
      <c r="F159" s="91" t="s">
        <v>3600</v>
      </c>
      <c r="G159" t="str">
        <f t="shared" si="13"/>
        <v>unknown</v>
      </c>
      <c r="H159" t="str">
        <f t="shared" si="11"/>
        <v>unknown</v>
      </c>
      <c r="K159" t="str">
        <f t="shared" si="12"/>
        <v>scale</v>
      </c>
    </row>
    <row r="160" spans="1:11" ht="244.8" x14ac:dyDescent="0.3">
      <c r="A160" t="s">
        <v>3561</v>
      </c>
      <c r="B160" t="s">
        <v>3330</v>
      </c>
      <c r="C160" s="90" t="s">
        <v>3601</v>
      </c>
      <c r="E160" t="s">
        <v>5562</v>
      </c>
      <c r="F160" s="91" t="s">
        <v>3601</v>
      </c>
      <c r="G160" t="str">
        <f t="shared" si="13"/>
        <v>unknown</v>
      </c>
      <c r="H160" t="str">
        <f t="shared" si="11"/>
        <v>unknown</v>
      </c>
      <c r="K160" t="str">
        <f t="shared" si="12"/>
        <v>scale</v>
      </c>
    </row>
    <row r="161" spans="1:11" ht="86.4" x14ac:dyDescent="0.3">
      <c r="A161" t="s">
        <v>3561</v>
      </c>
      <c r="B161" t="s">
        <v>3332</v>
      </c>
      <c r="C161" s="90" t="s">
        <v>3602</v>
      </c>
      <c r="E161" t="s">
        <v>5562</v>
      </c>
      <c r="F161" s="91" t="s">
        <v>3602</v>
      </c>
      <c r="G161" t="str">
        <f t="shared" si="13"/>
        <v>unknown</v>
      </c>
      <c r="H161" t="str">
        <f t="shared" si="11"/>
        <v>unknown</v>
      </c>
      <c r="K161" t="str">
        <f t="shared" si="12"/>
        <v>scale</v>
      </c>
    </row>
    <row r="162" spans="1:11" ht="86.4" x14ac:dyDescent="0.3">
      <c r="A162" t="s">
        <v>3561</v>
      </c>
      <c r="B162" t="s">
        <v>3603</v>
      </c>
      <c r="C162" s="90" t="s">
        <v>3604</v>
      </c>
      <c r="D162" t="s">
        <v>5561</v>
      </c>
      <c r="E162" t="s">
        <v>5560</v>
      </c>
      <c r="F162" s="92" t="s">
        <v>5573</v>
      </c>
      <c r="G162" t="str">
        <f>IF(EXACT($F162, $Q$1), "sector", IF(EXACT($F162, $R$1), "sector", IF(EXACT($F162, $T$1), "sector", IF(EXACT($F162, $U$1), "sector", "unknown"))))</f>
        <v>unknown</v>
      </c>
      <c r="H162" t="str">
        <f t="shared" si="11"/>
        <v>unknown</v>
      </c>
      <c r="I162" t="s">
        <v>5662</v>
      </c>
      <c r="K162" t="str">
        <f t="shared" si="12"/>
        <v>stataIsNotCoded</v>
      </c>
    </row>
    <row r="163" spans="1:11" ht="72" x14ac:dyDescent="0.3">
      <c r="A163" t="s">
        <v>3561</v>
      </c>
      <c r="B163" t="s">
        <v>3605</v>
      </c>
      <c r="C163" s="90" t="s">
        <v>3606</v>
      </c>
      <c r="D163" t="s">
        <v>5563</v>
      </c>
      <c r="E163" t="s">
        <v>5560</v>
      </c>
      <c r="F163" s="92" t="s">
        <v>5574</v>
      </c>
      <c r="G163" t="str">
        <f>IF(EXACT($F163, $Q$1), "sector", IF(EXACT($F163, $R$1), "sector", IF(EXACT($F163, $T$1), "sector", IF(EXACT($F163, $U$1), "sector", "unknown"))))</f>
        <v>unknown</v>
      </c>
      <c r="H163" t="str">
        <f t="shared" si="11"/>
        <v>unknown</v>
      </c>
      <c r="I163" t="s">
        <v>5662</v>
      </c>
      <c r="K163" t="str">
        <f t="shared" si="12"/>
        <v>stataIsNotCoded</v>
      </c>
    </row>
    <row r="164" spans="1:11" ht="72" x14ac:dyDescent="0.3">
      <c r="A164" t="s">
        <v>3561</v>
      </c>
      <c r="B164" t="s">
        <v>3607</v>
      </c>
      <c r="C164" s="90" t="s">
        <v>3606</v>
      </c>
      <c r="D164" t="s">
        <v>5563</v>
      </c>
      <c r="E164" t="s">
        <v>5560</v>
      </c>
      <c r="F164" s="92" t="s">
        <v>5574</v>
      </c>
      <c r="G164" t="str">
        <f>IF(EXACT($F164, $Q$1), "sector", IF(EXACT($F164, $R$1), "sector", IF(EXACT($F164, $T$1), "sector", IF(EXACT($F164, $U$1), "sector", "unknown"))))</f>
        <v>unknown</v>
      </c>
      <c r="H164" t="str">
        <f t="shared" si="11"/>
        <v>unknown</v>
      </c>
      <c r="I164" t="s">
        <v>5662</v>
      </c>
      <c r="K164" t="str">
        <f t="shared" si="12"/>
        <v>stataIsNotCoded</v>
      </c>
    </row>
    <row r="165" spans="1:11" ht="72" x14ac:dyDescent="0.3">
      <c r="A165" t="s">
        <v>3561</v>
      </c>
      <c r="B165" t="s">
        <v>3608</v>
      </c>
      <c r="C165" s="90" t="s">
        <v>3606</v>
      </c>
      <c r="D165" t="s">
        <v>5563</v>
      </c>
      <c r="E165" t="s">
        <v>5560</v>
      </c>
      <c r="F165" s="92" t="s">
        <v>5574</v>
      </c>
      <c r="G165" t="str">
        <f>IF(EXACT($F165, $Q$1), "sector", IF(EXACT($F165, $R$1), "sector", IF(EXACT($F165, $T$1), "sector", IF(EXACT($F165, $U$1), "sector", "unknown"))))</f>
        <v>unknown</v>
      </c>
      <c r="H165" t="str">
        <f t="shared" si="11"/>
        <v>unknown</v>
      </c>
      <c r="I165" t="s">
        <v>5662</v>
      </c>
      <c r="K165" t="str">
        <f t="shared" si="12"/>
        <v>stataIsNotCoded</v>
      </c>
    </row>
    <row r="166" spans="1:11" ht="100.8" x14ac:dyDescent="0.3">
      <c r="A166" t="s">
        <v>3561</v>
      </c>
      <c r="B166" t="s">
        <v>3609</v>
      </c>
      <c r="C166" s="90" t="s">
        <v>3610</v>
      </c>
      <c r="E166" t="s">
        <v>5562</v>
      </c>
      <c r="F166" s="91" t="s">
        <v>3610</v>
      </c>
      <c r="G166" t="str">
        <f t="shared" ref="G166:G197" si="14">IF(EXACT($F166, $Q$1), "sector", "unknown")</f>
        <v>unknown</v>
      </c>
      <c r="H166" t="str">
        <f t="shared" si="11"/>
        <v>unknown</v>
      </c>
      <c r="K166" t="str">
        <f t="shared" si="12"/>
        <v>scale</v>
      </c>
    </row>
    <row r="167" spans="1:11" ht="100.8" x14ac:dyDescent="0.3">
      <c r="A167" t="s">
        <v>3561</v>
      </c>
      <c r="B167" t="s">
        <v>3611</v>
      </c>
      <c r="C167" s="90" t="s">
        <v>3610</v>
      </c>
      <c r="E167" t="s">
        <v>5562</v>
      </c>
      <c r="F167" s="91" t="s">
        <v>3610</v>
      </c>
      <c r="G167" t="str">
        <f t="shared" si="14"/>
        <v>unknown</v>
      </c>
      <c r="H167" t="str">
        <f t="shared" si="11"/>
        <v>unknown</v>
      </c>
      <c r="K167" t="str">
        <f t="shared" si="12"/>
        <v>scale</v>
      </c>
    </row>
    <row r="168" spans="1:11" ht="230.4" x14ac:dyDescent="0.3">
      <c r="A168" t="s">
        <v>3561</v>
      </c>
      <c r="B168" t="s">
        <v>3612</v>
      </c>
      <c r="C168" s="90" t="s">
        <v>3613</v>
      </c>
      <c r="E168" t="s">
        <v>5562</v>
      </c>
      <c r="F168" s="91" t="s">
        <v>3613</v>
      </c>
      <c r="G168" t="str">
        <f t="shared" si="14"/>
        <v>unknown</v>
      </c>
      <c r="H168" t="str">
        <f t="shared" si="11"/>
        <v>unknown</v>
      </c>
      <c r="K168" t="str">
        <f t="shared" si="12"/>
        <v>scale</v>
      </c>
    </row>
    <row r="169" spans="1:11" ht="86.4" x14ac:dyDescent="0.3">
      <c r="A169" t="s">
        <v>3561</v>
      </c>
      <c r="B169" t="s">
        <v>3614</v>
      </c>
      <c r="C169" s="90" t="s">
        <v>3615</v>
      </c>
      <c r="E169" t="s">
        <v>5562</v>
      </c>
      <c r="F169" s="91" t="s">
        <v>3615</v>
      </c>
      <c r="G169" t="str">
        <f t="shared" si="14"/>
        <v>unknown</v>
      </c>
      <c r="H169" t="str">
        <f t="shared" si="11"/>
        <v>unknown</v>
      </c>
      <c r="K169" t="str">
        <f t="shared" si="12"/>
        <v>scale</v>
      </c>
    </row>
    <row r="170" spans="1:11" ht="115.2" x14ac:dyDescent="0.3">
      <c r="A170" t="s">
        <v>3561</v>
      </c>
      <c r="B170" t="s">
        <v>3616</v>
      </c>
      <c r="C170" s="90" t="s">
        <v>3617</v>
      </c>
      <c r="E170" t="s">
        <v>5562</v>
      </c>
      <c r="F170" s="91" t="s">
        <v>3617</v>
      </c>
      <c r="G170" t="str">
        <f t="shared" si="14"/>
        <v>unknown</v>
      </c>
      <c r="H170" t="str">
        <f t="shared" si="11"/>
        <v>unknown</v>
      </c>
      <c r="K170" t="str">
        <f t="shared" si="12"/>
        <v>scale</v>
      </c>
    </row>
    <row r="171" spans="1:11" ht="115.2" x14ac:dyDescent="0.3">
      <c r="A171" t="s">
        <v>3561</v>
      </c>
      <c r="B171" t="s">
        <v>3618</v>
      </c>
      <c r="C171" s="90" t="s">
        <v>3617</v>
      </c>
      <c r="E171" t="s">
        <v>5562</v>
      </c>
      <c r="F171" s="91" t="s">
        <v>3617</v>
      </c>
      <c r="G171" t="str">
        <f t="shared" si="14"/>
        <v>unknown</v>
      </c>
      <c r="H171" t="str">
        <f t="shared" si="11"/>
        <v>unknown</v>
      </c>
      <c r="K171" t="str">
        <f t="shared" si="12"/>
        <v>scale</v>
      </c>
    </row>
    <row r="172" spans="1:11" ht="86.4" x14ac:dyDescent="0.3">
      <c r="A172" t="s">
        <v>3561</v>
      </c>
      <c r="B172" t="s">
        <v>3619</v>
      </c>
      <c r="C172" s="90" t="s">
        <v>3620</v>
      </c>
      <c r="E172" t="s">
        <v>5562</v>
      </c>
      <c r="F172" s="91" t="s">
        <v>3620</v>
      </c>
      <c r="G172" t="str">
        <f t="shared" si="14"/>
        <v>unknown</v>
      </c>
      <c r="H172" t="str">
        <f t="shared" si="11"/>
        <v>unknown</v>
      </c>
      <c r="K172" t="str">
        <f t="shared" si="12"/>
        <v>scale</v>
      </c>
    </row>
    <row r="173" spans="1:11" ht="158.4" x14ac:dyDescent="0.3">
      <c r="A173" t="s">
        <v>3561</v>
      </c>
      <c r="B173" t="s">
        <v>3621</v>
      </c>
      <c r="C173" s="90" t="s">
        <v>3622</v>
      </c>
      <c r="E173" t="s">
        <v>5562</v>
      </c>
      <c r="F173" s="91" t="s">
        <v>3622</v>
      </c>
      <c r="G173" t="str">
        <f t="shared" si="14"/>
        <v>unknown</v>
      </c>
      <c r="H173" t="str">
        <f t="shared" si="11"/>
        <v>unknown</v>
      </c>
      <c r="K173" t="str">
        <f t="shared" si="12"/>
        <v>scale</v>
      </c>
    </row>
    <row r="174" spans="1:11" ht="374.4" x14ac:dyDescent="0.3">
      <c r="A174" t="s">
        <v>3561</v>
      </c>
      <c r="B174" t="s">
        <v>3623</v>
      </c>
      <c r="C174" s="90" t="s">
        <v>3624</v>
      </c>
      <c r="E174" t="s">
        <v>5562</v>
      </c>
      <c r="F174" s="91" t="s">
        <v>3624</v>
      </c>
      <c r="G174" t="str">
        <f t="shared" si="14"/>
        <v>unknown</v>
      </c>
      <c r="H174" t="str">
        <f t="shared" si="11"/>
        <v>unknown</v>
      </c>
      <c r="K174" t="str">
        <f t="shared" si="12"/>
        <v>scale</v>
      </c>
    </row>
    <row r="175" spans="1:11" ht="115.2" x14ac:dyDescent="0.3">
      <c r="A175" t="s">
        <v>3561</v>
      </c>
      <c r="B175" t="s">
        <v>3625</v>
      </c>
      <c r="C175" s="90" t="s">
        <v>3626</v>
      </c>
      <c r="E175" t="s">
        <v>5562</v>
      </c>
      <c r="F175" s="91" t="s">
        <v>3626</v>
      </c>
      <c r="G175" t="str">
        <f t="shared" si="14"/>
        <v>unknown</v>
      </c>
      <c r="H175" t="str">
        <f t="shared" si="11"/>
        <v>unknown</v>
      </c>
      <c r="K175" t="str">
        <f t="shared" si="12"/>
        <v>scale</v>
      </c>
    </row>
    <row r="176" spans="1:11" ht="115.2" x14ac:dyDescent="0.3">
      <c r="A176" t="s">
        <v>3561</v>
      </c>
      <c r="B176" t="s">
        <v>3627</v>
      </c>
      <c r="C176" s="90" t="s">
        <v>3628</v>
      </c>
      <c r="E176" t="s">
        <v>5562</v>
      </c>
      <c r="F176" s="91" t="s">
        <v>3628</v>
      </c>
      <c r="G176" t="str">
        <f t="shared" si="14"/>
        <v>unknown</v>
      </c>
      <c r="H176" t="str">
        <f t="shared" si="11"/>
        <v>unknown</v>
      </c>
      <c r="K176" t="str">
        <f t="shared" si="12"/>
        <v>scale</v>
      </c>
    </row>
    <row r="177" spans="1:11" ht="158.4" x14ac:dyDescent="0.3">
      <c r="A177" t="s">
        <v>3561</v>
      </c>
      <c r="B177" t="s">
        <v>3629</v>
      </c>
      <c r="C177" s="90" t="s">
        <v>3630</v>
      </c>
      <c r="E177" t="s">
        <v>5562</v>
      </c>
      <c r="F177" s="91" t="s">
        <v>3630</v>
      </c>
      <c r="G177" t="str">
        <f t="shared" si="14"/>
        <v>unknown</v>
      </c>
      <c r="H177" t="str">
        <f t="shared" si="11"/>
        <v>unknown</v>
      </c>
      <c r="K177" t="str">
        <f t="shared" si="12"/>
        <v>scale</v>
      </c>
    </row>
    <row r="178" spans="1:11" ht="216" x14ac:dyDescent="0.3">
      <c r="A178" t="s">
        <v>3561</v>
      </c>
      <c r="B178" t="s">
        <v>3631</v>
      </c>
      <c r="C178" s="90" t="s">
        <v>3632</v>
      </c>
      <c r="E178" t="s">
        <v>5562</v>
      </c>
      <c r="F178" s="91" t="s">
        <v>3632</v>
      </c>
      <c r="G178" t="str">
        <f t="shared" si="14"/>
        <v>unknown</v>
      </c>
      <c r="H178" t="str">
        <f t="shared" si="11"/>
        <v>unknown</v>
      </c>
      <c r="K178" t="str">
        <f t="shared" si="12"/>
        <v>scale</v>
      </c>
    </row>
    <row r="179" spans="1:11" ht="216" x14ac:dyDescent="0.3">
      <c r="A179" t="s">
        <v>3561</v>
      </c>
      <c r="B179" t="s">
        <v>3633</v>
      </c>
      <c r="C179" s="90" t="s">
        <v>3634</v>
      </c>
      <c r="E179" t="s">
        <v>5562</v>
      </c>
      <c r="F179" s="91" t="s">
        <v>3634</v>
      </c>
      <c r="G179" t="str">
        <f t="shared" si="14"/>
        <v>unknown</v>
      </c>
      <c r="H179" t="str">
        <f t="shared" si="11"/>
        <v>unknown</v>
      </c>
      <c r="K179" t="str">
        <f t="shared" si="12"/>
        <v>scale</v>
      </c>
    </row>
    <row r="180" spans="1:11" ht="115.2" x14ac:dyDescent="0.3">
      <c r="A180" t="s">
        <v>3561</v>
      </c>
      <c r="B180" t="s">
        <v>3635</v>
      </c>
      <c r="C180" s="90" t="s">
        <v>3636</v>
      </c>
      <c r="E180" t="s">
        <v>5562</v>
      </c>
      <c r="F180" s="91" t="s">
        <v>3636</v>
      </c>
      <c r="G180" t="str">
        <f t="shared" si="14"/>
        <v>unknown</v>
      </c>
      <c r="H180" t="str">
        <f t="shared" si="11"/>
        <v>unknown</v>
      </c>
      <c r="K180" t="str">
        <f t="shared" si="12"/>
        <v>scale</v>
      </c>
    </row>
    <row r="181" spans="1:11" ht="100.8" x14ac:dyDescent="0.3">
      <c r="A181" t="s">
        <v>3561</v>
      </c>
      <c r="B181" t="s">
        <v>3637</v>
      </c>
      <c r="C181" s="90" t="s">
        <v>3638</v>
      </c>
      <c r="E181" t="s">
        <v>5562</v>
      </c>
      <c r="F181" s="91" t="s">
        <v>3638</v>
      </c>
      <c r="G181" t="str">
        <f t="shared" si="14"/>
        <v>unknown</v>
      </c>
      <c r="H181" t="str">
        <f t="shared" si="11"/>
        <v>unknown</v>
      </c>
      <c r="K181" t="str">
        <f t="shared" si="12"/>
        <v>scale</v>
      </c>
    </row>
    <row r="182" spans="1:11" ht="115.2" x14ac:dyDescent="0.3">
      <c r="A182" t="s">
        <v>3561</v>
      </c>
      <c r="B182" t="s">
        <v>3639</v>
      </c>
      <c r="C182" s="90" t="s">
        <v>3640</v>
      </c>
      <c r="E182" t="s">
        <v>5562</v>
      </c>
      <c r="F182" s="91" t="s">
        <v>3640</v>
      </c>
      <c r="G182" t="str">
        <f t="shared" si="14"/>
        <v>unknown</v>
      </c>
      <c r="H182" t="str">
        <f t="shared" si="11"/>
        <v>unknown</v>
      </c>
      <c r="K182" t="str">
        <f t="shared" si="12"/>
        <v>scale</v>
      </c>
    </row>
    <row r="183" spans="1:11" ht="115.2" x14ac:dyDescent="0.3">
      <c r="A183" t="s">
        <v>3561</v>
      </c>
      <c r="B183" t="s">
        <v>3641</v>
      </c>
      <c r="C183" s="90" t="s">
        <v>3642</v>
      </c>
      <c r="E183" t="s">
        <v>5562</v>
      </c>
      <c r="F183" s="91" t="s">
        <v>3642</v>
      </c>
      <c r="G183" t="str">
        <f t="shared" si="14"/>
        <v>unknown</v>
      </c>
      <c r="H183" t="str">
        <f t="shared" si="11"/>
        <v>unknown</v>
      </c>
      <c r="K183" t="str">
        <f t="shared" si="12"/>
        <v>scale</v>
      </c>
    </row>
    <row r="184" spans="1:11" ht="43.2" x14ac:dyDescent="0.3">
      <c r="A184" t="s">
        <v>3561</v>
      </c>
      <c r="B184" t="s">
        <v>3643</v>
      </c>
      <c r="C184" s="90" t="s">
        <v>3644</v>
      </c>
      <c r="E184" t="s">
        <v>5562</v>
      </c>
      <c r="F184" s="91" t="s">
        <v>3644</v>
      </c>
      <c r="G184" t="str">
        <f t="shared" si="14"/>
        <v>unknown</v>
      </c>
      <c r="H184" t="str">
        <f t="shared" si="11"/>
        <v>unknown</v>
      </c>
      <c r="K184" t="str">
        <f t="shared" si="12"/>
        <v>scale</v>
      </c>
    </row>
    <row r="185" spans="1:11" ht="100.8" x14ac:dyDescent="0.3">
      <c r="A185" t="s">
        <v>3561</v>
      </c>
      <c r="B185" t="s">
        <v>3645</v>
      </c>
      <c r="C185" s="90" t="s">
        <v>3646</v>
      </c>
      <c r="E185" t="s">
        <v>5562</v>
      </c>
      <c r="F185" s="91" t="s">
        <v>3646</v>
      </c>
      <c r="G185" t="str">
        <f t="shared" si="14"/>
        <v>unknown</v>
      </c>
      <c r="H185" t="str">
        <f t="shared" si="11"/>
        <v>unknown</v>
      </c>
      <c r="K185" t="str">
        <f t="shared" si="12"/>
        <v>scale</v>
      </c>
    </row>
    <row r="186" spans="1:11" ht="115.2" x14ac:dyDescent="0.3">
      <c r="A186" t="s">
        <v>3561</v>
      </c>
      <c r="B186" t="s">
        <v>3647</v>
      </c>
      <c r="C186" s="90" t="s">
        <v>3648</v>
      </c>
      <c r="E186" t="s">
        <v>5562</v>
      </c>
      <c r="F186" s="91" t="s">
        <v>3648</v>
      </c>
      <c r="G186" t="str">
        <f t="shared" si="14"/>
        <v>unknown</v>
      </c>
      <c r="H186" t="str">
        <f t="shared" si="11"/>
        <v>unknown</v>
      </c>
      <c r="K186" t="str">
        <f t="shared" si="12"/>
        <v>scale</v>
      </c>
    </row>
    <row r="187" spans="1:11" ht="43.2" x14ac:dyDescent="0.3">
      <c r="A187" t="s">
        <v>3561</v>
      </c>
      <c r="B187" t="s">
        <v>3649</v>
      </c>
      <c r="C187" s="90" t="s">
        <v>3650</v>
      </c>
      <c r="E187" t="s">
        <v>5562</v>
      </c>
      <c r="F187" s="91" t="s">
        <v>3650</v>
      </c>
      <c r="G187" t="str">
        <f t="shared" si="14"/>
        <v>unknown</v>
      </c>
      <c r="H187" t="str">
        <f t="shared" si="11"/>
        <v>unknown</v>
      </c>
      <c r="K187" t="str">
        <f t="shared" si="12"/>
        <v>scale</v>
      </c>
    </row>
    <row r="188" spans="1:11" ht="72" x14ac:dyDescent="0.3">
      <c r="A188" t="s">
        <v>3561</v>
      </c>
      <c r="B188" t="s">
        <v>3651</v>
      </c>
      <c r="C188" s="90" t="s">
        <v>3652</v>
      </c>
      <c r="E188" t="s">
        <v>5562</v>
      </c>
      <c r="F188" s="91" t="s">
        <v>3652</v>
      </c>
      <c r="G188" t="str">
        <f t="shared" si="14"/>
        <v>unknown</v>
      </c>
      <c r="H188" t="str">
        <f t="shared" si="11"/>
        <v>unknown</v>
      </c>
      <c r="K188" t="str">
        <f t="shared" si="12"/>
        <v>scale</v>
      </c>
    </row>
    <row r="189" spans="1:11" ht="72" x14ac:dyDescent="0.3">
      <c r="A189" t="s">
        <v>3561</v>
      </c>
      <c r="B189" t="s">
        <v>3653</v>
      </c>
      <c r="C189" s="90" t="s">
        <v>3654</v>
      </c>
      <c r="E189" t="s">
        <v>5562</v>
      </c>
      <c r="F189" s="91" t="s">
        <v>3654</v>
      </c>
      <c r="G189" t="str">
        <f t="shared" si="14"/>
        <v>unknown</v>
      </c>
      <c r="H189" t="str">
        <f t="shared" si="11"/>
        <v>unknown</v>
      </c>
      <c r="K189" t="str">
        <f t="shared" si="12"/>
        <v>scale</v>
      </c>
    </row>
    <row r="190" spans="1:11" ht="100.8" x14ac:dyDescent="0.3">
      <c r="A190" t="s">
        <v>3561</v>
      </c>
      <c r="B190" t="s">
        <v>3655</v>
      </c>
      <c r="C190" s="90" t="s">
        <v>3646</v>
      </c>
      <c r="E190" t="s">
        <v>5562</v>
      </c>
      <c r="F190" s="91" t="s">
        <v>3646</v>
      </c>
      <c r="G190" t="str">
        <f t="shared" si="14"/>
        <v>unknown</v>
      </c>
      <c r="H190" t="str">
        <f t="shared" si="11"/>
        <v>unknown</v>
      </c>
      <c r="K190" t="str">
        <f t="shared" si="12"/>
        <v>scale</v>
      </c>
    </row>
    <row r="191" spans="1:11" ht="158.4" x14ac:dyDescent="0.3">
      <c r="A191" t="s">
        <v>3561</v>
      </c>
      <c r="B191" t="s">
        <v>3656</v>
      </c>
      <c r="C191" s="90" t="s">
        <v>3657</v>
      </c>
      <c r="E191" t="s">
        <v>5562</v>
      </c>
      <c r="F191" s="91" t="s">
        <v>3657</v>
      </c>
      <c r="G191" t="str">
        <f t="shared" si="14"/>
        <v>unknown</v>
      </c>
      <c r="H191" t="str">
        <f t="shared" si="11"/>
        <v>unknown</v>
      </c>
      <c r="K191" t="str">
        <f t="shared" si="12"/>
        <v>scale</v>
      </c>
    </row>
    <row r="192" spans="1:11" ht="201.6" x14ac:dyDescent="0.3">
      <c r="A192" t="s">
        <v>3561</v>
      </c>
      <c r="B192" t="s">
        <v>3499</v>
      </c>
      <c r="C192" s="90" t="s">
        <v>3658</v>
      </c>
      <c r="E192" t="s">
        <v>5562</v>
      </c>
      <c r="F192" s="91" t="s">
        <v>3658</v>
      </c>
      <c r="G192" t="str">
        <f t="shared" si="14"/>
        <v>unknown</v>
      </c>
      <c r="H192" t="str">
        <f t="shared" si="11"/>
        <v>unknown</v>
      </c>
      <c r="K192" t="str">
        <f t="shared" si="12"/>
        <v>scale</v>
      </c>
    </row>
    <row r="193" spans="1:11" ht="100.8" x14ac:dyDescent="0.3">
      <c r="A193" t="s">
        <v>3561</v>
      </c>
      <c r="B193" t="s">
        <v>3659</v>
      </c>
      <c r="C193" s="90" t="s">
        <v>3646</v>
      </c>
      <c r="E193" t="s">
        <v>5562</v>
      </c>
      <c r="F193" s="91" t="s">
        <v>3646</v>
      </c>
      <c r="G193" t="str">
        <f t="shared" si="14"/>
        <v>unknown</v>
      </c>
      <c r="H193" t="str">
        <f t="shared" si="11"/>
        <v>unknown</v>
      </c>
      <c r="K193" t="str">
        <f t="shared" si="12"/>
        <v>scale</v>
      </c>
    </row>
    <row r="194" spans="1:11" ht="72" x14ac:dyDescent="0.3">
      <c r="A194" t="s">
        <v>3561</v>
      </c>
      <c r="B194" t="s">
        <v>3660</v>
      </c>
      <c r="C194" s="90" t="s">
        <v>3661</v>
      </c>
      <c r="E194" t="s">
        <v>5562</v>
      </c>
      <c r="F194" s="91" t="s">
        <v>3661</v>
      </c>
      <c r="G194" t="str">
        <f t="shared" si="14"/>
        <v>unknown</v>
      </c>
      <c r="H194" t="str">
        <f t="shared" ref="H194:H257" si="15">IF(EXACT(F194,$W$1), "open", IF(EXACT(F194,$X$1), "open", "unknown"))</f>
        <v>unknown</v>
      </c>
      <c r="K194" t="str">
        <f t="shared" ref="K194:K257" si="16">IF(AND(E194&lt;&gt;"", E194&lt;&gt;"unknown"), E194,
   IF(AND(G194&lt;&gt;"", G194&lt;&gt;"unknown"), G194,
   IF(AND(H194&lt;&gt;"", H194&lt;&gt;"unknown"), H194,
   IF(I194&lt;&gt;"", I194, "ERROR"))))</f>
        <v>scale</v>
      </c>
    </row>
    <row r="195" spans="1:11" ht="72" x14ac:dyDescent="0.3">
      <c r="A195" t="s">
        <v>3561</v>
      </c>
      <c r="B195" t="s">
        <v>3662</v>
      </c>
      <c r="C195" s="90" t="s">
        <v>3663</v>
      </c>
      <c r="E195" t="s">
        <v>5562</v>
      </c>
      <c r="F195" s="91" t="s">
        <v>3663</v>
      </c>
      <c r="G195" t="str">
        <f t="shared" si="14"/>
        <v>unknown</v>
      </c>
      <c r="H195" t="str">
        <f t="shared" si="15"/>
        <v>unknown</v>
      </c>
      <c r="K195" t="str">
        <f t="shared" si="16"/>
        <v>scale</v>
      </c>
    </row>
    <row r="196" spans="1:11" ht="158.4" x14ac:dyDescent="0.3">
      <c r="A196" t="s">
        <v>3561</v>
      </c>
      <c r="B196" t="s">
        <v>3664</v>
      </c>
      <c r="C196" s="90" t="s">
        <v>3665</v>
      </c>
      <c r="E196" t="s">
        <v>5562</v>
      </c>
      <c r="F196" s="91" t="s">
        <v>3665</v>
      </c>
      <c r="G196" t="str">
        <f t="shared" si="14"/>
        <v>unknown</v>
      </c>
      <c r="H196" t="str">
        <f t="shared" si="15"/>
        <v>unknown</v>
      </c>
      <c r="K196" t="str">
        <f t="shared" si="16"/>
        <v>scale</v>
      </c>
    </row>
    <row r="197" spans="1:11" ht="100.8" x14ac:dyDescent="0.3">
      <c r="A197" t="s">
        <v>3561</v>
      </c>
      <c r="B197" t="s">
        <v>3666</v>
      </c>
      <c r="C197" s="90" t="s">
        <v>3646</v>
      </c>
      <c r="E197" t="s">
        <v>5562</v>
      </c>
      <c r="F197" s="91" t="s">
        <v>3646</v>
      </c>
      <c r="G197" t="str">
        <f t="shared" si="14"/>
        <v>unknown</v>
      </c>
      <c r="H197" t="str">
        <f t="shared" si="15"/>
        <v>unknown</v>
      </c>
      <c r="K197" t="str">
        <f t="shared" si="16"/>
        <v>scale</v>
      </c>
    </row>
    <row r="198" spans="1:11" ht="158.4" x14ac:dyDescent="0.3">
      <c r="A198" t="s">
        <v>3561</v>
      </c>
      <c r="B198" t="s">
        <v>3526</v>
      </c>
      <c r="C198" s="90" t="s">
        <v>3667</v>
      </c>
      <c r="E198" t="s">
        <v>5562</v>
      </c>
      <c r="F198" s="91" t="s">
        <v>3667</v>
      </c>
      <c r="G198" t="str">
        <f t="shared" ref="G198:G221" si="17">IF(EXACT($F198, $Q$1), "sector", "unknown")</f>
        <v>unknown</v>
      </c>
      <c r="H198" t="str">
        <f t="shared" si="15"/>
        <v>unknown</v>
      </c>
      <c r="K198" t="str">
        <f t="shared" si="16"/>
        <v>scale</v>
      </c>
    </row>
    <row r="199" spans="1:11" ht="57.6" x14ac:dyDescent="0.3">
      <c r="A199" t="s">
        <v>3561</v>
      </c>
      <c r="B199" t="s">
        <v>3668</v>
      </c>
      <c r="C199" s="90" t="s">
        <v>3669</v>
      </c>
      <c r="D199" t="s">
        <v>5561</v>
      </c>
      <c r="E199" t="s">
        <v>399</v>
      </c>
      <c r="F199" s="92" t="s">
        <v>5575</v>
      </c>
      <c r="G199" t="str">
        <f t="shared" si="17"/>
        <v>unknown</v>
      </c>
      <c r="H199" t="str">
        <f t="shared" si="15"/>
        <v>unknown</v>
      </c>
      <c r="K199" t="str">
        <f t="shared" si="16"/>
        <v>sector</v>
      </c>
    </row>
    <row r="200" spans="1:11" ht="72" x14ac:dyDescent="0.3">
      <c r="A200" t="s">
        <v>3561</v>
      </c>
      <c r="B200" t="s">
        <v>3528</v>
      </c>
      <c r="C200" s="90" t="s">
        <v>3670</v>
      </c>
      <c r="E200" t="s">
        <v>5562</v>
      </c>
      <c r="F200" s="91" t="s">
        <v>3670</v>
      </c>
      <c r="G200" t="str">
        <f t="shared" si="17"/>
        <v>unknown</v>
      </c>
      <c r="H200" t="str">
        <f t="shared" si="15"/>
        <v>unknown</v>
      </c>
      <c r="K200" t="str">
        <f t="shared" si="16"/>
        <v>scale</v>
      </c>
    </row>
    <row r="201" spans="1:11" ht="115.2" x14ac:dyDescent="0.3">
      <c r="A201" t="s">
        <v>3561</v>
      </c>
      <c r="B201" t="s">
        <v>3530</v>
      </c>
      <c r="C201" s="90" t="s">
        <v>3671</v>
      </c>
      <c r="E201" t="s">
        <v>5562</v>
      </c>
      <c r="F201" s="91" t="s">
        <v>3671</v>
      </c>
      <c r="G201" t="str">
        <f t="shared" si="17"/>
        <v>unknown</v>
      </c>
      <c r="H201" t="str">
        <f t="shared" si="15"/>
        <v>unknown</v>
      </c>
      <c r="K201" t="str">
        <f t="shared" si="16"/>
        <v>scale</v>
      </c>
    </row>
    <row r="202" spans="1:11" ht="115.2" x14ac:dyDescent="0.3">
      <c r="A202" t="s">
        <v>3561</v>
      </c>
      <c r="B202" t="s">
        <v>3531</v>
      </c>
      <c r="C202" s="90" t="s">
        <v>3672</v>
      </c>
      <c r="E202" t="s">
        <v>5562</v>
      </c>
      <c r="F202" s="91" t="s">
        <v>3672</v>
      </c>
      <c r="G202" t="str">
        <f t="shared" si="17"/>
        <v>unknown</v>
      </c>
      <c r="H202" t="str">
        <f t="shared" si="15"/>
        <v>unknown</v>
      </c>
      <c r="K202" t="str">
        <f t="shared" si="16"/>
        <v>scale</v>
      </c>
    </row>
    <row r="203" spans="1:11" ht="129.6" x14ac:dyDescent="0.3">
      <c r="A203" t="s">
        <v>3561</v>
      </c>
      <c r="B203" t="s">
        <v>3673</v>
      </c>
      <c r="C203" s="90" t="s">
        <v>3674</v>
      </c>
      <c r="E203" t="s">
        <v>5562</v>
      </c>
      <c r="F203" s="91" t="s">
        <v>3674</v>
      </c>
      <c r="G203" t="str">
        <f t="shared" si="17"/>
        <v>unknown</v>
      </c>
      <c r="H203" t="str">
        <f t="shared" si="15"/>
        <v>unknown</v>
      </c>
      <c r="K203" t="str">
        <f t="shared" si="16"/>
        <v>scale</v>
      </c>
    </row>
    <row r="204" spans="1:11" ht="172.8" x14ac:dyDescent="0.3">
      <c r="A204" t="s">
        <v>3561</v>
      </c>
      <c r="B204" t="s">
        <v>3675</v>
      </c>
      <c r="C204" s="90" t="s">
        <v>3676</v>
      </c>
      <c r="E204" t="s">
        <v>5562</v>
      </c>
      <c r="F204" s="91" t="s">
        <v>3676</v>
      </c>
      <c r="G204" t="str">
        <f t="shared" si="17"/>
        <v>unknown</v>
      </c>
      <c r="H204" t="str">
        <f t="shared" si="15"/>
        <v>unknown</v>
      </c>
      <c r="K204" t="str">
        <f t="shared" si="16"/>
        <v>scale</v>
      </c>
    </row>
    <row r="205" spans="1:11" ht="86.4" x14ac:dyDescent="0.3">
      <c r="A205" t="s">
        <v>3561</v>
      </c>
      <c r="B205" t="s">
        <v>3677</v>
      </c>
      <c r="C205" s="90" t="s">
        <v>3678</v>
      </c>
      <c r="E205" t="s">
        <v>5562</v>
      </c>
      <c r="F205" s="91" t="s">
        <v>3678</v>
      </c>
      <c r="G205" t="str">
        <f t="shared" si="17"/>
        <v>unknown</v>
      </c>
      <c r="H205" t="str">
        <f t="shared" si="15"/>
        <v>unknown</v>
      </c>
      <c r="K205" t="str">
        <f t="shared" si="16"/>
        <v>scale</v>
      </c>
    </row>
    <row r="206" spans="1:11" ht="115.2" x14ac:dyDescent="0.3">
      <c r="A206" t="s">
        <v>3561</v>
      </c>
      <c r="B206" t="s">
        <v>3679</v>
      </c>
      <c r="C206" s="90" t="s">
        <v>3680</v>
      </c>
      <c r="E206" t="s">
        <v>5562</v>
      </c>
      <c r="F206" s="91" t="s">
        <v>3680</v>
      </c>
      <c r="G206" t="str">
        <f t="shared" si="17"/>
        <v>unknown</v>
      </c>
      <c r="H206" t="str">
        <f t="shared" si="15"/>
        <v>unknown</v>
      </c>
      <c r="K206" t="str">
        <f t="shared" si="16"/>
        <v>scale</v>
      </c>
    </row>
    <row r="207" spans="1:11" ht="216" x14ac:dyDescent="0.3">
      <c r="A207" t="s">
        <v>3561</v>
      </c>
      <c r="B207" t="s">
        <v>3681</v>
      </c>
      <c r="C207" s="90" t="s">
        <v>3682</v>
      </c>
      <c r="E207" t="s">
        <v>5562</v>
      </c>
      <c r="F207" s="91" t="s">
        <v>3682</v>
      </c>
      <c r="G207" t="str">
        <f t="shared" si="17"/>
        <v>unknown</v>
      </c>
      <c r="H207" t="str">
        <f t="shared" si="15"/>
        <v>unknown</v>
      </c>
      <c r="K207" t="str">
        <f t="shared" si="16"/>
        <v>scale</v>
      </c>
    </row>
    <row r="208" spans="1:11" ht="43.2" x14ac:dyDescent="0.3">
      <c r="A208" t="s">
        <v>3561</v>
      </c>
      <c r="B208" t="s">
        <v>3683</v>
      </c>
      <c r="C208" s="90" t="s">
        <v>3383</v>
      </c>
      <c r="E208" t="s">
        <v>5562</v>
      </c>
      <c r="F208" s="91" t="s">
        <v>3383</v>
      </c>
      <c r="G208" t="str">
        <f t="shared" si="17"/>
        <v>unknown</v>
      </c>
      <c r="H208" t="str">
        <f t="shared" si="15"/>
        <v>unknown</v>
      </c>
      <c r="K208" t="str">
        <f t="shared" si="16"/>
        <v>scale</v>
      </c>
    </row>
    <row r="209" spans="1:11" ht="216" x14ac:dyDescent="0.3">
      <c r="A209" t="s">
        <v>3561</v>
      </c>
      <c r="B209" t="s">
        <v>3684</v>
      </c>
      <c r="C209" s="90" t="s">
        <v>3685</v>
      </c>
      <c r="E209" t="s">
        <v>5562</v>
      </c>
      <c r="F209" s="91" t="s">
        <v>3685</v>
      </c>
      <c r="G209" t="str">
        <f t="shared" si="17"/>
        <v>unknown</v>
      </c>
      <c r="H209" t="str">
        <f t="shared" si="15"/>
        <v>unknown</v>
      </c>
      <c r="K209" t="str">
        <f t="shared" si="16"/>
        <v>scale</v>
      </c>
    </row>
    <row r="210" spans="1:11" ht="43.2" x14ac:dyDescent="0.3">
      <c r="A210" t="s">
        <v>3561</v>
      </c>
      <c r="B210" t="s">
        <v>3686</v>
      </c>
      <c r="C210" s="90" t="s">
        <v>3383</v>
      </c>
      <c r="E210" t="s">
        <v>5562</v>
      </c>
      <c r="F210" s="91" t="s">
        <v>3383</v>
      </c>
      <c r="G210" t="str">
        <f t="shared" si="17"/>
        <v>unknown</v>
      </c>
      <c r="H210" t="str">
        <f t="shared" si="15"/>
        <v>unknown</v>
      </c>
      <c r="K210" t="str">
        <f t="shared" si="16"/>
        <v>scale</v>
      </c>
    </row>
    <row r="211" spans="1:11" ht="115.2" x14ac:dyDescent="0.3">
      <c r="A211" t="s">
        <v>3561</v>
      </c>
      <c r="B211" t="s">
        <v>3687</v>
      </c>
      <c r="C211" s="90" t="s">
        <v>3672</v>
      </c>
      <c r="E211" t="s">
        <v>5562</v>
      </c>
      <c r="F211" s="91" t="s">
        <v>3672</v>
      </c>
      <c r="G211" t="str">
        <f t="shared" si="17"/>
        <v>unknown</v>
      </c>
      <c r="H211" t="str">
        <f t="shared" si="15"/>
        <v>unknown</v>
      </c>
      <c r="K211" t="str">
        <f t="shared" si="16"/>
        <v>scale</v>
      </c>
    </row>
    <row r="212" spans="1:11" ht="43.2" x14ac:dyDescent="0.3">
      <c r="A212" t="s">
        <v>3561</v>
      </c>
      <c r="B212" t="s">
        <v>3688</v>
      </c>
      <c r="C212" s="90" t="s">
        <v>3383</v>
      </c>
      <c r="E212" t="s">
        <v>5562</v>
      </c>
      <c r="F212" s="91" t="s">
        <v>3383</v>
      </c>
      <c r="G212" t="str">
        <f t="shared" si="17"/>
        <v>unknown</v>
      </c>
      <c r="H212" t="str">
        <f t="shared" si="15"/>
        <v>unknown</v>
      </c>
      <c r="K212" t="str">
        <f t="shared" si="16"/>
        <v>scale</v>
      </c>
    </row>
    <row r="213" spans="1:11" ht="43.2" x14ac:dyDescent="0.3">
      <c r="A213" t="s">
        <v>3561</v>
      </c>
      <c r="B213" t="s">
        <v>3689</v>
      </c>
      <c r="C213" s="90" t="s">
        <v>3690</v>
      </c>
      <c r="E213" t="s">
        <v>5562</v>
      </c>
      <c r="F213" s="91" t="s">
        <v>3690</v>
      </c>
      <c r="G213" t="str">
        <f t="shared" si="17"/>
        <v>unknown</v>
      </c>
      <c r="H213" t="str">
        <f t="shared" si="15"/>
        <v>unknown</v>
      </c>
      <c r="K213" t="str">
        <f t="shared" si="16"/>
        <v>scale</v>
      </c>
    </row>
    <row r="214" spans="1:11" ht="43.2" x14ac:dyDescent="0.3">
      <c r="A214" t="s">
        <v>3561</v>
      </c>
      <c r="B214" t="s">
        <v>3691</v>
      </c>
      <c r="C214" s="90" t="s">
        <v>3383</v>
      </c>
      <c r="E214" t="s">
        <v>5562</v>
      </c>
      <c r="F214" s="91" t="s">
        <v>3383</v>
      </c>
      <c r="G214" t="str">
        <f t="shared" si="17"/>
        <v>unknown</v>
      </c>
      <c r="H214" t="str">
        <f t="shared" si="15"/>
        <v>unknown</v>
      </c>
      <c r="K214" t="str">
        <f t="shared" si="16"/>
        <v>scale</v>
      </c>
    </row>
    <row r="215" spans="1:11" ht="115.2" x14ac:dyDescent="0.3">
      <c r="A215" t="s">
        <v>3561</v>
      </c>
      <c r="B215" t="s">
        <v>3692</v>
      </c>
      <c r="C215" s="90" t="s">
        <v>3693</v>
      </c>
      <c r="E215" t="s">
        <v>5562</v>
      </c>
      <c r="F215" s="91" t="s">
        <v>3693</v>
      </c>
      <c r="G215" t="str">
        <f t="shared" si="17"/>
        <v>unknown</v>
      </c>
      <c r="H215" t="str">
        <f t="shared" si="15"/>
        <v>unknown</v>
      </c>
      <c r="K215" t="str">
        <f t="shared" si="16"/>
        <v>scale</v>
      </c>
    </row>
    <row r="216" spans="1:11" ht="129.6" x14ac:dyDescent="0.3">
      <c r="A216" t="s">
        <v>3561</v>
      </c>
      <c r="B216" t="s">
        <v>3694</v>
      </c>
      <c r="C216" s="90" t="s">
        <v>3695</v>
      </c>
      <c r="E216" t="s">
        <v>5562</v>
      </c>
      <c r="F216" s="91" t="s">
        <v>3695</v>
      </c>
      <c r="G216" t="str">
        <f t="shared" si="17"/>
        <v>unknown</v>
      </c>
      <c r="H216" t="str">
        <f t="shared" si="15"/>
        <v>unknown</v>
      </c>
      <c r="K216" t="str">
        <f t="shared" si="16"/>
        <v>scale</v>
      </c>
    </row>
    <row r="217" spans="1:11" ht="288" x14ac:dyDescent="0.3">
      <c r="A217" t="s">
        <v>3561</v>
      </c>
      <c r="B217" t="s">
        <v>3696</v>
      </c>
      <c r="C217" s="90" t="s">
        <v>3697</v>
      </c>
      <c r="E217" t="s">
        <v>5562</v>
      </c>
      <c r="F217" s="91" t="s">
        <v>3697</v>
      </c>
      <c r="G217" t="str">
        <f t="shared" si="17"/>
        <v>unknown</v>
      </c>
      <c r="H217" t="str">
        <f t="shared" si="15"/>
        <v>unknown</v>
      </c>
      <c r="K217" t="str">
        <f t="shared" si="16"/>
        <v>scale</v>
      </c>
    </row>
    <row r="218" spans="1:11" ht="115.2" x14ac:dyDescent="0.3">
      <c r="A218" t="s">
        <v>3561</v>
      </c>
      <c r="B218" t="s">
        <v>3698</v>
      </c>
      <c r="C218" s="90" t="s">
        <v>3699</v>
      </c>
      <c r="E218" t="s">
        <v>5562</v>
      </c>
      <c r="F218" s="91" t="s">
        <v>3699</v>
      </c>
      <c r="G218" t="str">
        <f t="shared" si="17"/>
        <v>unknown</v>
      </c>
      <c r="H218" t="str">
        <f t="shared" si="15"/>
        <v>unknown</v>
      </c>
      <c r="K218" t="str">
        <f t="shared" si="16"/>
        <v>scale</v>
      </c>
    </row>
    <row r="219" spans="1:11" ht="115.2" x14ac:dyDescent="0.3">
      <c r="A219" t="s">
        <v>3561</v>
      </c>
      <c r="B219" t="s">
        <v>3700</v>
      </c>
      <c r="C219" s="90" t="s">
        <v>3701</v>
      </c>
      <c r="E219" t="s">
        <v>5562</v>
      </c>
      <c r="F219" s="91" t="s">
        <v>3701</v>
      </c>
      <c r="G219" t="str">
        <f t="shared" si="17"/>
        <v>unknown</v>
      </c>
      <c r="H219" t="str">
        <f t="shared" si="15"/>
        <v>unknown</v>
      </c>
      <c r="K219" t="str">
        <f t="shared" si="16"/>
        <v>scale</v>
      </c>
    </row>
    <row r="220" spans="1:11" ht="129.6" x14ac:dyDescent="0.3">
      <c r="A220" t="s">
        <v>3561</v>
      </c>
      <c r="B220" t="s">
        <v>3702</v>
      </c>
      <c r="C220" s="90" t="s">
        <v>3703</v>
      </c>
      <c r="E220" t="s">
        <v>5562</v>
      </c>
      <c r="F220" s="91" t="s">
        <v>3703</v>
      </c>
      <c r="G220" t="str">
        <f t="shared" si="17"/>
        <v>unknown</v>
      </c>
      <c r="H220" t="str">
        <f t="shared" si="15"/>
        <v>unknown</v>
      </c>
      <c r="K220" t="str">
        <f t="shared" si="16"/>
        <v>scale</v>
      </c>
    </row>
    <row r="221" spans="1:11" ht="129.6" x14ac:dyDescent="0.3">
      <c r="A221" t="s">
        <v>3561</v>
      </c>
      <c r="B221" t="s">
        <v>3704</v>
      </c>
      <c r="C221" s="90" t="s">
        <v>3703</v>
      </c>
      <c r="E221" t="s">
        <v>5562</v>
      </c>
      <c r="F221" s="91" t="s">
        <v>3703</v>
      </c>
      <c r="G221" t="str">
        <f t="shared" si="17"/>
        <v>unknown</v>
      </c>
      <c r="H221" t="str">
        <f t="shared" si="15"/>
        <v>unknown</v>
      </c>
      <c r="K221" t="str">
        <f t="shared" si="16"/>
        <v>scale</v>
      </c>
    </row>
    <row r="222" spans="1:11" ht="28.8" x14ac:dyDescent="0.3">
      <c r="A222" t="s">
        <v>3561</v>
      </c>
      <c r="B222" t="s">
        <v>3705</v>
      </c>
      <c r="C222" s="90" t="s">
        <v>3706</v>
      </c>
      <c r="D222" t="s">
        <v>5561</v>
      </c>
      <c r="E222" t="s">
        <v>5560</v>
      </c>
      <c r="F222" s="92" t="s">
        <v>5576</v>
      </c>
      <c r="G222" t="str">
        <f>IF(EXACT($F222, $Q$1), "sector", IF(EXACT($F222, $R$1), "sector", IF(EXACT($F222, $T$1), "sector", IF(EXACT($F222, $U$1), "sector", "unknown"))))</f>
        <v>unknown</v>
      </c>
      <c r="H222" t="str">
        <f t="shared" si="15"/>
        <v>unknown</v>
      </c>
      <c r="I222" t="s">
        <v>5663</v>
      </c>
      <c r="J222" t="s">
        <v>5666</v>
      </c>
      <c r="K222" t="str">
        <f t="shared" si="16"/>
        <v>specialSector</v>
      </c>
    </row>
    <row r="223" spans="1:11" ht="144" x14ac:dyDescent="0.3">
      <c r="A223" t="s">
        <v>3561</v>
      </c>
      <c r="B223" t="s">
        <v>3707</v>
      </c>
      <c r="C223" s="90" t="s">
        <v>3708</v>
      </c>
      <c r="E223" t="s">
        <v>5562</v>
      </c>
      <c r="F223" s="91" t="s">
        <v>3708</v>
      </c>
      <c r="G223" t="str">
        <f t="shared" ref="G223:G254" si="18">IF(EXACT($F223, $Q$1), "sector", "unknown")</f>
        <v>unknown</v>
      </c>
      <c r="H223" t="str">
        <f t="shared" si="15"/>
        <v>unknown</v>
      </c>
      <c r="K223" t="str">
        <f t="shared" si="16"/>
        <v>scale</v>
      </c>
    </row>
    <row r="224" spans="1:11" ht="158.4" x14ac:dyDescent="0.3">
      <c r="A224" t="s">
        <v>3561</v>
      </c>
      <c r="B224" t="s">
        <v>3709</v>
      </c>
      <c r="C224" s="90" t="s">
        <v>3710</v>
      </c>
      <c r="E224" t="s">
        <v>5562</v>
      </c>
      <c r="F224" s="91" t="s">
        <v>3710</v>
      </c>
      <c r="G224" t="str">
        <f t="shared" si="18"/>
        <v>unknown</v>
      </c>
      <c r="H224" t="str">
        <f t="shared" si="15"/>
        <v>unknown</v>
      </c>
      <c r="K224" t="str">
        <f t="shared" si="16"/>
        <v>scale</v>
      </c>
    </row>
    <row r="225" spans="1:11" ht="115.2" x14ac:dyDescent="0.3">
      <c r="A225" t="s">
        <v>3561</v>
      </c>
      <c r="B225" t="s">
        <v>3711</v>
      </c>
      <c r="C225" s="90" t="s">
        <v>3712</v>
      </c>
      <c r="E225" t="s">
        <v>5562</v>
      </c>
      <c r="F225" s="91" t="s">
        <v>3712</v>
      </c>
      <c r="G225" t="str">
        <f t="shared" si="18"/>
        <v>unknown</v>
      </c>
      <c r="H225" t="str">
        <f t="shared" si="15"/>
        <v>unknown</v>
      </c>
      <c r="K225" t="str">
        <f t="shared" si="16"/>
        <v>scale</v>
      </c>
    </row>
    <row r="226" spans="1:11" ht="115.2" x14ac:dyDescent="0.3">
      <c r="A226" t="s">
        <v>3561</v>
      </c>
      <c r="B226" t="s">
        <v>3713</v>
      </c>
      <c r="C226" s="90" t="s">
        <v>3712</v>
      </c>
      <c r="E226" t="s">
        <v>5562</v>
      </c>
      <c r="F226" s="91" t="s">
        <v>3712</v>
      </c>
      <c r="G226" t="str">
        <f t="shared" si="18"/>
        <v>unknown</v>
      </c>
      <c r="H226" t="str">
        <f t="shared" si="15"/>
        <v>unknown</v>
      </c>
      <c r="K226" t="str">
        <f t="shared" si="16"/>
        <v>scale</v>
      </c>
    </row>
    <row r="227" spans="1:11" ht="129.6" x14ac:dyDescent="0.3">
      <c r="A227" t="s">
        <v>3561</v>
      </c>
      <c r="B227" t="s">
        <v>3714</v>
      </c>
      <c r="C227" s="90" t="s">
        <v>3715</v>
      </c>
      <c r="E227" t="s">
        <v>5562</v>
      </c>
      <c r="F227" s="91" t="s">
        <v>3715</v>
      </c>
      <c r="G227" t="str">
        <f t="shared" si="18"/>
        <v>unknown</v>
      </c>
      <c r="H227" t="str">
        <f t="shared" si="15"/>
        <v>unknown</v>
      </c>
      <c r="K227" t="str">
        <f t="shared" si="16"/>
        <v>scale</v>
      </c>
    </row>
    <row r="228" spans="1:11" ht="115.2" x14ac:dyDescent="0.3">
      <c r="A228" t="s">
        <v>3561</v>
      </c>
      <c r="B228" t="s">
        <v>3716</v>
      </c>
      <c r="C228" s="90" t="s">
        <v>3712</v>
      </c>
      <c r="E228" t="s">
        <v>5562</v>
      </c>
      <c r="F228" s="91" t="s">
        <v>3712</v>
      </c>
      <c r="G228" t="str">
        <f t="shared" si="18"/>
        <v>unknown</v>
      </c>
      <c r="H228" t="str">
        <f t="shared" si="15"/>
        <v>unknown</v>
      </c>
      <c r="K228" t="str">
        <f t="shared" si="16"/>
        <v>scale</v>
      </c>
    </row>
    <row r="229" spans="1:11" ht="115.2" x14ac:dyDescent="0.3">
      <c r="A229" t="s">
        <v>3561</v>
      </c>
      <c r="B229" t="s">
        <v>3717</v>
      </c>
      <c r="C229" s="90" t="s">
        <v>3712</v>
      </c>
      <c r="E229" t="s">
        <v>5562</v>
      </c>
      <c r="F229" s="91" t="s">
        <v>3712</v>
      </c>
      <c r="G229" t="str">
        <f t="shared" si="18"/>
        <v>unknown</v>
      </c>
      <c r="H229" t="str">
        <f t="shared" si="15"/>
        <v>unknown</v>
      </c>
      <c r="K229" t="str">
        <f t="shared" si="16"/>
        <v>scale</v>
      </c>
    </row>
    <row r="230" spans="1:11" ht="115.2" x14ac:dyDescent="0.3">
      <c r="A230" t="s">
        <v>3561</v>
      </c>
      <c r="B230" t="s">
        <v>3718</v>
      </c>
      <c r="C230" s="90" t="s">
        <v>3712</v>
      </c>
      <c r="E230" t="s">
        <v>5562</v>
      </c>
      <c r="F230" s="91" t="s">
        <v>3712</v>
      </c>
      <c r="G230" t="str">
        <f t="shared" si="18"/>
        <v>unknown</v>
      </c>
      <c r="H230" t="str">
        <f t="shared" si="15"/>
        <v>unknown</v>
      </c>
      <c r="K230" t="str">
        <f t="shared" si="16"/>
        <v>scale</v>
      </c>
    </row>
    <row r="231" spans="1:11" ht="115.2" x14ac:dyDescent="0.3">
      <c r="A231" t="s">
        <v>3561</v>
      </c>
      <c r="B231" t="s">
        <v>3719</v>
      </c>
      <c r="C231" s="90" t="s">
        <v>3712</v>
      </c>
      <c r="E231" t="s">
        <v>5562</v>
      </c>
      <c r="F231" s="91" t="s">
        <v>3712</v>
      </c>
      <c r="G231" t="str">
        <f t="shared" si="18"/>
        <v>unknown</v>
      </c>
      <c r="H231" t="str">
        <f t="shared" si="15"/>
        <v>unknown</v>
      </c>
      <c r="K231" t="str">
        <f t="shared" si="16"/>
        <v>scale</v>
      </c>
    </row>
    <row r="232" spans="1:11" ht="115.2" x14ac:dyDescent="0.3">
      <c r="A232" t="s">
        <v>3561</v>
      </c>
      <c r="B232" t="s">
        <v>3720</v>
      </c>
      <c r="C232" s="90" t="s">
        <v>3712</v>
      </c>
      <c r="E232" t="s">
        <v>5562</v>
      </c>
      <c r="F232" s="91" t="s">
        <v>3712</v>
      </c>
      <c r="G232" t="str">
        <f t="shared" si="18"/>
        <v>unknown</v>
      </c>
      <c r="H232" t="str">
        <f t="shared" si="15"/>
        <v>unknown</v>
      </c>
      <c r="K232" t="str">
        <f t="shared" si="16"/>
        <v>scale</v>
      </c>
    </row>
    <row r="233" spans="1:11" ht="115.2" x14ac:dyDescent="0.3">
      <c r="A233" t="s">
        <v>3561</v>
      </c>
      <c r="B233" t="s">
        <v>3721</v>
      </c>
      <c r="C233" s="90" t="s">
        <v>3712</v>
      </c>
      <c r="E233" t="s">
        <v>5562</v>
      </c>
      <c r="F233" s="91" t="s">
        <v>3712</v>
      </c>
      <c r="G233" t="str">
        <f t="shared" si="18"/>
        <v>unknown</v>
      </c>
      <c r="H233" t="str">
        <f t="shared" si="15"/>
        <v>unknown</v>
      </c>
      <c r="K233" t="str">
        <f t="shared" si="16"/>
        <v>scale</v>
      </c>
    </row>
    <row r="234" spans="1:11" ht="115.2" x14ac:dyDescent="0.3">
      <c r="A234" t="s">
        <v>3561</v>
      </c>
      <c r="B234" t="s">
        <v>3722</v>
      </c>
      <c r="C234" s="90" t="s">
        <v>3712</v>
      </c>
      <c r="E234" t="s">
        <v>5562</v>
      </c>
      <c r="F234" s="91" t="s">
        <v>3712</v>
      </c>
      <c r="G234" t="str">
        <f t="shared" si="18"/>
        <v>unknown</v>
      </c>
      <c r="H234" t="str">
        <f t="shared" si="15"/>
        <v>unknown</v>
      </c>
      <c r="K234" t="str">
        <f t="shared" si="16"/>
        <v>scale</v>
      </c>
    </row>
    <row r="235" spans="1:11" ht="129.6" x14ac:dyDescent="0.3">
      <c r="A235" t="s">
        <v>3561</v>
      </c>
      <c r="B235" t="s">
        <v>3723</v>
      </c>
      <c r="C235" s="90" t="s">
        <v>3724</v>
      </c>
      <c r="E235" t="s">
        <v>5562</v>
      </c>
      <c r="F235" s="91" t="s">
        <v>3724</v>
      </c>
      <c r="G235" t="str">
        <f t="shared" si="18"/>
        <v>unknown</v>
      </c>
      <c r="H235" t="str">
        <f t="shared" si="15"/>
        <v>unknown</v>
      </c>
      <c r="K235" t="str">
        <f t="shared" si="16"/>
        <v>scale</v>
      </c>
    </row>
    <row r="236" spans="1:11" ht="115.2" x14ac:dyDescent="0.3">
      <c r="A236" t="s">
        <v>3561</v>
      </c>
      <c r="B236" t="s">
        <v>3725</v>
      </c>
      <c r="C236" s="90" t="s">
        <v>3726</v>
      </c>
      <c r="E236" t="s">
        <v>5562</v>
      </c>
      <c r="F236" s="91" t="s">
        <v>3726</v>
      </c>
      <c r="G236" t="str">
        <f t="shared" si="18"/>
        <v>unknown</v>
      </c>
      <c r="H236" t="str">
        <f t="shared" si="15"/>
        <v>unknown</v>
      </c>
      <c r="K236" t="str">
        <f t="shared" si="16"/>
        <v>scale</v>
      </c>
    </row>
    <row r="237" spans="1:11" ht="100.8" x14ac:dyDescent="0.3">
      <c r="A237" t="s">
        <v>3561</v>
      </c>
      <c r="B237" t="s">
        <v>3727</v>
      </c>
      <c r="C237" s="90" t="s">
        <v>3728</v>
      </c>
      <c r="E237" t="s">
        <v>5562</v>
      </c>
      <c r="F237" s="91" t="s">
        <v>3728</v>
      </c>
      <c r="G237" t="str">
        <f t="shared" si="18"/>
        <v>unknown</v>
      </c>
      <c r="H237" t="str">
        <f t="shared" si="15"/>
        <v>unknown</v>
      </c>
      <c r="K237" t="str">
        <f t="shared" si="16"/>
        <v>scale</v>
      </c>
    </row>
    <row r="238" spans="1:11" ht="115.2" x14ac:dyDescent="0.3">
      <c r="A238" t="s">
        <v>3561</v>
      </c>
      <c r="B238" t="s">
        <v>3729</v>
      </c>
      <c r="C238" s="90" t="s">
        <v>3730</v>
      </c>
      <c r="E238" t="s">
        <v>5562</v>
      </c>
      <c r="F238" s="91" t="s">
        <v>3730</v>
      </c>
      <c r="G238" t="str">
        <f t="shared" si="18"/>
        <v>unknown</v>
      </c>
      <c r="H238" t="str">
        <f t="shared" si="15"/>
        <v>unknown</v>
      </c>
      <c r="K238" t="str">
        <f t="shared" si="16"/>
        <v>scale</v>
      </c>
    </row>
    <row r="239" spans="1:11" ht="100.8" x14ac:dyDescent="0.3">
      <c r="A239" t="s">
        <v>3561</v>
      </c>
      <c r="B239" t="s">
        <v>3731</v>
      </c>
      <c r="C239" s="90" t="s">
        <v>3732</v>
      </c>
      <c r="E239" t="s">
        <v>5562</v>
      </c>
      <c r="F239" s="91" t="s">
        <v>3732</v>
      </c>
      <c r="G239" t="str">
        <f t="shared" si="18"/>
        <v>unknown</v>
      </c>
      <c r="H239" t="str">
        <f t="shared" si="15"/>
        <v>unknown</v>
      </c>
      <c r="K239" t="str">
        <f t="shared" si="16"/>
        <v>scale</v>
      </c>
    </row>
    <row r="240" spans="1:11" ht="158.4" x14ac:dyDescent="0.3">
      <c r="A240" t="s">
        <v>3561</v>
      </c>
      <c r="B240" t="s">
        <v>3733</v>
      </c>
      <c r="C240" s="90" t="s">
        <v>3734</v>
      </c>
      <c r="E240" t="s">
        <v>5562</v>
      </c>
      <c r="F240" s="91" t="s">
        <v>3734</v>
      </c>
      <c r="G240" t="str">
        <f t="shared" si="18"/>
        <v>unknown</v>
      </c>
      <c r="H240" t="str">
        <f t="shared" si="15"/>
        <v>unknown</v>
      </c>
      <c r="K240" t="str">
        <f t="shared" si="16"/>
        <v>scale</v>
      </c>
    </row>
    <row r="241" spans="1:11" ht="72" x14ac:dyDescent="0.3">
      <c r="A241" t="s">
        <v>3561</v>
      </c>
      <c r="B241" t="s">
        <v>3735</v>
      </c>
      <c r="C241" s="90" t="s">
        <v>3736</v>
      </c>
      <c r="E241" t="s">
        <v>5562</v>
      </c>
      <c r="F241" s="91" t="s">
        <v>3736</v>
      </c>
      <c r="G241" t="str">
        <f t="shared" si="18"/>
        <v>unknown</v>
      </c>
      <c r="H241" t="str">
        <f t="shared" si="15"/>
        <v>unknown</v>
      </c>
      <c r="K241" t="str">
        <f t="shared" si="16"/>
        <v>scale</v>
      </c>
    </row>
    <row r="242" spans="1:11" ht="115.2" x14ac:dyDescent="0.3">
      <c r="A242" t="s">
        <v>3561</v>
      </c>
      <c r="B242" t="s">
        <v>3737</v>
      </c>
      <c r="C242" s="90" t="s">
        <v>3738</v>
      </c>
      <c r="E242" t="s">
        <v>5562</v>
      </c>
      <c r="F242" s="91" t="s">
        <v>3738</v>
      </c>
      <c r="G242" t="str">
        <f t="shared" si="18"/>
        <v>unknown</v>
      </c>
      <c r="H242" t="str">
        <f t="shared" si="15"/>
        <v>unknown</v>
      </c>
      <c r="K242" t="str">
        <f t="shared" si="16"/>
        <v>scale</v>
      </c>
    </row>
    <row r="243" spans="1:11" ht="115.2" x14ac:dyDescent="0.3">
      <c r="A243" t="s">
        <v>3561</v>
      </c>
      <c r="B243" t="s">
        <v>3739</v>
      </c>
      <c r="C243" s="90" t="s">
        <v>3738</v>
      </c>
      <c r="E243" t="s">
        <v>5562</v>
      </c>
      <c r="F243" s="91" t="s">
        <v>3738</v>
      </c>
      <c r="G243" t="str">
        <f t="shared" si="18"/>
        <v>unknown</v>
      </c>
      <c r="H243" t="str">
        <f t="shared" si="15"/>
        <v>unknown</v>
      </c>
      <c r="K243" t="str">
        <f t="shared" si="16"/>
        <v>scale</v>
      </c>
    </row>
    <row r="244" spans="1:11" ht="288" x14ac:dyDescent="0.3">
      <c r="A244" t="s">
        <v>3561</v>
      </c>
      <c r="B244" t="s">
        <v>3740</v>
      </c>
      <c r="C244" s="90" t="s">
        <v>3588</v>
      </c>
      <c r="E244" t="s">
        <v>5562</v>
      </c>
      <c r="F244" s="91" t="s">
        <v>3588</v>
      </c>
      <c r="G244" t="str">
        <f t="shared" si="18"/>
        <v>unknown</v>
      </c>
      <c r="H244" t="str">
        <f t="shared" si="15"/>
        <v>unknown</v>
      </c>
      <c r="K244" t="str">
        <f t="shared" si="16"/>
        <v>scale</v>
      </c>
    </row>
    <row r="245" spans="1:11" ht="86.4" x14ac:dyDescent="0.3">
      <c r="A245" t="s">
        <v>3561</v>
      </c>
      <c r="B245" t="s">
        <v>3741</v>
      </c>
      <c r="C245" s="90" t="s">
        <v>3742</v>
      </c>
      <c r="E245" t="s">
        <v>5562</v>
      </c>
      <c r="F245" s="91" t="s">
        <v>3742</v>
      </c>
      <c r="G245" t="str">
        <f t="shared" si="18"/>
        <v>unknown</v>
      </c>
      <c r="H245" t="str">
        <f t="shared" si="15"/>
        <v>unknown</v>
      </c>
      <c r="K245" t="str">
        <f t="shared" si="16"/>
        <v>scale</v>
      </c>
    </row>
    <row r="246" spans="1:11" ht="115.2" x14ac:dyDescent="0.3">
      <c r="A246" t="s">
        <v>3561</v>
      </c>
      <c r="B246" t="s">
        <v>3743</v>
      </c>
      <c r="C246" s="90" t="s">
        <v>3744</v>
      </c>
      <c r="E246" t="s">
        <v>5562</v>
      </c>
      <c r="F246" s="91" t="s">
        <v>3744</v>
      </c>
      <c r="G246" t="str">
        <f t="shared" si="18"/>
        <v>unknown</v>
      </c>
      <c r="H246" t="str">
        <f t="shared" si="15"/>
        <v>unknown</v>
      </c>
      <c r="K246" t="str">
        <f t="shared" si="16"/>
        <v>scale</v>
      </c>
    </row>
    <row r="247" spans="1:11" ht="100.8" x14ac:dyDescent="0.3">
      <c r="A247" t="s">
        <v>3561</v>
      </c>
      <c r="B247" t="s">
        <v>3745</v>
      </c>
      <c r="C247" s="90" t="s">
        <v>3746</v>
      </c>
      <c r="E247" t="s">
        <v>5562</v>
      </c>
      <c r="F247" s="91" t="s">
        <v>3746</v>
      </c>
      <c r="G247" t="str">
        <f t="shared" si="18"/>
        <v>unknown</v>
      </c>
      <c r="H247" t="str">
        <f t="shared" si="15"/>
        <v>unknown</v>
      </c>
      <c r="K247" t="str">
        <f t="shared" si="16"/>
        <v>scale</v>
      </c>
    </row>
    <row r="248" spans="1:11" ht="86.4" x14ac:dyDescent="0.3">
      <c r="A248" t="s">
        <v>3561</v>
      </c>
      <c r="B248" t="s">
        <v>3747</v>
      </c>
      <c r="C248" s="90" t="s">
        <v>3742</v>
      </c>
      <c r="E248" t="s">
        <v>5562</v>
      </c>
      <c r="F248" s="91" t="s">
        <v>3742</v>
      </c>
      <c r="G248" t="str">
        <f t="shared" si="18"/>
        <v>unknown</v>
      </c>
      <c r="H248" t="str">
        <f t="shared" si="15"/>
        <v>unknown</v>
      </c>
      <c r="K248" t="str">
        <f t="shared" si="16"/>
        <v>scale</v>
      </c>
    </row>
    <row r="249" spans="1:11" ht="115.2" x14ac:dyDescent="0.3">
      <c r="A249" t="s">
        <v>3561</v>
      </c>
      <c r="B249" t="s">
        <v>3748</v>
      </c>
      <c r="C249" s="90" t="s">
        <v>3744</v>
      </c>
      <c r="E249" t="s">
        <v>5562</v>
      </c>
      <c r="F249" s="91" t="s">
        <v>3744</v>
      </c>
      <c r="G249" t="str">
        <f t="shared" si="18"/>
        <v>unknown</v>
      </c>
      <c r="H249" t="str">
        <f t="shared" si="15"/>
        <v>unknown</v>
      </c>
      <c r="K249" t="str">
        <f t="shared" si="16"/>
        <v>scale</v>
      </c>
    </row>
    <row r="250" spans="1:11" ht="100.8" x14ac:dyDescent="0.3">
      <c r="A250" t="s">
        <v>3561</v>
      </c>
      <c r="B250" t="s">
        <v>3749</v>
      </c>
      <c r="C250" s="90" t="s">
        <v>3746</v>
      </c>
      <c r="E250" t="s">
        <v>5562</v>
      </c>
      <c r="F250" s="91" t="s">
        <v>3746</v>
      </c>
      <c r="G250" t="str">
        <f t="shared" si="18"/>
        <v>unknown</v>
      </c>
      <c r="H250" t="str">
        <f t="shared" si="15"/>
        <v>unknown</v>
      </c>
      <c r="K250" t="str">
        <f t="shared" si="16"/>
        <v>scale</v>
      </c>
    </row>
    <row r="251" spans="1:11" ht="86.4" x14ac:dyDescent="0.3">
      <c r="A251" t="s">
        <v>3561</v>
      </c>
      <c r="B251" t="s">
        <v>3750</v>
      </c>
      <c r="C251" s="90" t="s">
        <v>3742</v>
      </c>
      <c r="E251" t="s">
        <v>5562</v>
      </c>
      <c r="F251" s="91" t="s">
        <v>3742</v>
      </c>
      <c r="G251" t="str">
        <f t="shared" si="18"/>
        <v>unknown</v>
      </c>
      <c r="H251" t="str">
        <f t="shared" si="15"/>
        <v>unknown</v>
      </c>
      <c r="K251" t="str">
        <f t="shared" si="16"/>
        <v>scale</v>
      </c>
    </row>
    <row r="252" spans="1:11" ht="115.2" x14ac:dyDescent="0.3">
      <c r="A252" t="s">
        <v>3561</v>
      </c>
      <c r="B252" t="s">
        <v>3751</v>
      </c>
      <c r="C252" s="90" t="s">
        <v>3744</v>
      </c>
      <c r="E252" t="s">
        <v>5562</v>
      </c>
      <c r="F252" s="91" t="s">
        <v>3744</v>
      </c>
      <c r="G252" t="str">
        <f t="shared" si="18"/>
        <v>unknown</v>
      </c>
      <c r="H252" t="str">
        <f t="shared" si="15"/>
        <v>unknown</v>
      </c>
      <c r="K252" t="str">
        <f t="shared" si="16"/>
        <v>scale</v>
      </c>
    </row>
    <row r="253" spans="1:11" ht="100.8" x14ac:dyDescent="0.3">
      <c r="A253" t="s">
        <v>3561</v>
      </c>
      <c r="B253" t="s">
        <v>3752</v>
      </c>
      <c r="C253" s="90" t="s">
        <v>3746</v>
      </c>
      <c r="E253" t="s">
        <v>5562</v>
      </c>
      <c r="F253" s="91" t="s">
        <v>3746</v>
      </c>
      <c r="G253" t="str">
        <f t="shared" si="18"/>
        <v>unknown</v>
      </c>
      <c r="H253" t="str">
        <f t="shared" si="15"/>
        <v>unknown</v>
      </c>
      <c r="K253" t="str">
        <f t="shared" si="16"/>
        <v>scale</v>
      </c>
    </row>
    <row r="254" spans="1:11" ht="360" x14ac:dyDescent="0.3">
      <c r="A254" t="s">
        <v>3561</v>
      </c>
      <c r="B254" t="s">
        <v>3753</v>
      </c>
      <c r="C254" s="90" t="s">
        <v>3754</v>
      </c>
      <c r="E254" t="s">
        <v>5562</v>
      </c>
      <c r="F254" s="91" t="s">
        <v>3754</v>
      </c>
      <c r="G254" t="str">
        <f t="shared" si="18"/>
        <v>unknown</v>
      </c>
      <c r="H254" t="str">
        <f t="shared" si="15"/>
        <v>unknown</v>
      </c>
      <c r="K254" t="str">
        <f t="shared" si="16"/>
        <v>scale</v>
      </c>
    </row>
    <row r="255" spans="1:11" ht="288" x14ac:dyDescent="0.3">
      <c r="A255" t="s">
        <v>3561</v>
      </c>
      <c r="B255" t="s">
        <v>3755</v>
      </c>
      <c r="C255" s="90" t="s">
        <v>3352</v>
      </c>
      <c r="E255" t="s">
        <v>5562</v>
      </c>
      <c r="F255" s="91" t="s">
        <v>3352</v>
      </c>
      <c r="G255" t="str">
        <f t="shared" ref="G255:G286" si="19">IF(EXACT($F255, $Q$1), "sector", "unknown")</f>
        <v>unknown</v>
      </c>
      <c r="H255" t="str">
        <f t="shared" si="15"/>
        <v>unknown</v>
      </c>
      <c r="K255" t="str">
        <f t="shared" si="16"/>
        <v>scale</v>
      </c>
    </row>
    <row r="256" spans="1:11" ht="216" x14ac:dyDescent="0.3">
      <c r="A256" t="s">
        <v>3561</v>
      </c>
      <c r="B256" t="s">
        <v>3756</v>
      </c>
      <c r="C256" s="90" t="s">
        <v>3482</v>
      </c>
      <c r="E256" t="s">
        <v>5562</v>
      </c>
      <c r="F256" s="91" t="s">
        <v>3482</v>
      </c>
      <c r="G256" t="str">
        <f t="shared" si="19"/>
        <v>unknown</v>
      </c>
      <c r="H256" t="str">
        <f t="shared" si="15"/>
        <v>unknown</v>
      </c>
      <c r="K256" t="str">
        <f t="shared" si="16"/>
        <v>scale</v>
      </c>
    </row>
    <row r="257" spans="1:11" ht="172.8" x14ac:dyDescent="0.3">
      <c r="A257" t="s">
        <v>3561</v>
      </c>
      <c r="B257" t="s">
        <v>3757</v>
      </c>
      <c r="C257" s="90" t="s">
        <v>3758</v>
      </c>
      <c r="E257" t="s">
        <v>5562</v>
      </c>
      <c r="F257" s="91" t="s">
        <v>3758</v>
      </c>
      <c r="G257" t="str">
        <f t="shared" si="19"/>
        <v>unknown</v>
      </c>
      <c r="H257" t="str">
        <f t="shared" si="15"/>
        <v>unknown</v>
      </c>
      <c r="K257" t="str">
        <f t="shared" si="16"/>
        <v>scale</v>
      </c>
    </row>
    <row r="258" spans="1:11" ht="288" x14ac:dyDescent="0.3">
      <c r="A258" t="s">
        <v>3561</v>
      </c>
      <c r="B258" t="s">
        <v>3759</v>
      </c>
      <c r="C258" s="90" t="s">
        <v>3352</v>
      </c>
      <c r="E258" t="s">
        <v>5562</v>
      </c>
      <c r="F258" s="91" t="s">
        <v>3352</v>
      </c>
      <c r="G258" t="str">
        <f t="shared" si="19"/>
        <v>unknown</v>
      </c>
      <c r="H258" t="str">
        <f t="shared" ref="H258:H321" si="20">IF(EXACT(F258,$W$1), "open", IF(EXACT(F258,$X$1), "open", "unknown"))</f>
        <v>unknown</v>
      </c>
      <c r="K258" t="str">
        <f t="shared" ref="K258:K321" si="21">IF(AND(E258&lt;&gt;"", E258&lt;&gt;"unknown"), E258,
   IF(AND(G258&lt;&gt;"", G258&lt;&gt;"unknown"), G258,
   IF(AND(H258&lt;&gt;"", H258&lt;&gt;"unknown"), H258,
   IF(I258&lt;&gt;"", I258, "ERROR"))))</f>
        <v>scale</v>
      </c>
    </row>
    <row r="259" spans="1:11" ht="216" x14ac:dyDescent="0.3">
      <c r="A259" t="s">
        <v>3561</v>
      </c>
      <c r="B259" t="s">
        <v>3760</v>
      </c>
      <c r="C259" s="90" t="s">
        <v>3482</v>
      </c>
      <c r="E259" t="s">
        <v>5562</v>
      </c>
      <c r="F259" s="91" t="s">
        <v>3482</v>
      </c>
      <c r="G259" t="str">
        <f t="shared" si="19"/>
        <v>unknown</v>
      </c>
      <c r="H259" t="str">
        <f t="shared" si="20"/>
        <v>unknown</v>
      </c>
      <c r="K259" t="str">
        <f t="shared" si="21"/>
        <v>scale</v>
      </c>
    </row>
    <row r="260" spans="1:11" ht="158.4" x14ac:dyDescent="0.3">
      <c r="A260" t="s">
        <v>3561</v>
      </c>
      <c r="B260" t="s">
        <v>3761</v>
      </c>
      <c r="C260" s="90" t="s">
        <v>3762</v>
      </c>
      <c r="E260" t="s">
        <v>5562</v>
      </c>
      <c r="F260" s="91" t="s">
        <v>3762</v>
      </c>
      <c r="G260" t="str">
        <f t="shared" si="19"/>
        <v>unknown</v>
      </c>
      <c r="H260" t="str">
        <f t="shared" si="20"/>
        <v>unknown</v>
      </c>
      <c r="K260" t="str">
        <f t="shared" si="21"/>
        <v>scale</v>
      </c>
    </row>
    <row r="261" spans="1:11" ht="115.2" x14ac:dyDescent="0.3">
      <c r="A261" t="s">
        <v>3561</v>
      </c>
      <c r="B261" t="s">
        <v>3763</v>
      </c>
      <c r="C261" s="90" t="s">
        <v>3712</v>
      </c>
      <c r="E261" t="s">
        <v>5562</v>
      </c>
      <c r="F261" s="91" t="s">
        <v>3712</v>
      </c>
      <c r="G261" t="str">
        <f t="shared" si="19"/>
        <v>unknown</v>
      </c>
      <c r="H261" t="str">
        <f t="shared" si="20"/>
        <v>unknown</v>
      </c>
      <c r="K261" t="str">
        <f t="shared" si="21"/>
        <v>scale</v>
      </c>
    </row>
    <row r="262" spans="1:11" ht="115.2" x14ac:dyDescent="0.3">
      <c r="A262" t="s">
        <v>3561</v>
      </c>
      <c r="B262" t="s">
        <v>3764</v>
      </c>
      <c r="C262" s="90" t="s">
        <v>3712</v>
      </c>
      <c r="E262" t="s">
        <v>5562</v>
      </c>
      <c r="F262" s="91" t="s">
        <v>3712</v>
      </c>
      <c r="G262" t="str">
        <f t="shared" si="19"/>
        <v>unknown</v>
      </c>
      <c r="H262" t="str">
        <f t="shared" si="20"/>
        <v>unknown</v>
      </c>
      <c r="K262" t="str">
        <f t="shared" si="21"/>
        <v>scale</v>
      </c>
    </row>
    <row r="263" spans="1:11" ht="129.6" x14ac:dyDescent="0.3">
      <c r="A263" t="s">
        <v>3561</v>
      </c>
      <c r="B263" t="s">
        <v>3765</v>
      </c>
      <c r="C263" s="90" t="s">
        <v>3766</v>
      </c>
      <c r="E263" t="s">
        <v>5562</v>
      </c>
      <c r="F263" s="91" t="s">
        <v>3766</v>
      </c>
      <c r="G263" t="str">
        <f t="shared" si="19"/>
        <v>unknown</v>
      </c>
      <c r="H263" t="str">
        <f t="shared" si="20"/>
        <v>unknown</v>
      </c>
      <c r="K263" t="str">
        <f t="shared" si="21"/>
        <v>scale</v>
      </c>
    </row>
    <row r="264" spans="1:11" ht="100.8" x14ac:dyDescent="0.3">
      <c r="A264" t="s">
        <v>3561</v>
      </c>
      <c r="B264" t="s">
        <v>3767</v>
      </c>
      <c r="C264" s="90" t="s">
        <v>3768</v>
      </c>
      <c r="E264" t="s">
        <v>5562</v>
      </c>
      <c r="F264" s="91" t="s">
        <v>3768</v>
      </c>
      <c r="G264" t="str">
        <f t="shared" si="19"/>
        <v>unknown</v>
      </c>
      <c r="H264" t="str">
        <f t="shared" si="20"/>
        <v>unknown</v>
      </c>
      <c r="K264" t="str">
        <f t="shared" si="21"/>
        <v>scale</v>
      </c>
    </row>
    <row r="265" spans="1:11" ht="115.2" x14ac:dyDescent="0.3">
      <c r="A265" t="s">
        <v>3769</v>
      </c>
      <c r="B265" t="s">
        <v>3562</v>
      </c>
      <c r="C265" s="90" t="s">
        <v>3636</v>
      </c>
      <c r="E265" t="s">
        <v>5562</v>
      </c>
      <c r="F265" s="91" t="s">
        <v>3636</v>
      </c>
      <c r="G265" t="str">
        <f t="shared" si="19"/>
        <v>unknown</v>
      </c>
      <c r="H265" t="str">
        <f t="shared" si="20"/>
        <v>unknown</v>
      </c>
      <c r="K265" t="str">
        <f t="shared" si="21"/>
        <v>scale</v>
      </c>
    </row>
    <row r="266" spans="1:11" ht="115.2" x14ac:dyDescent="0.3">
      <c r="A266" t="s">
        <v>3769</v>
      </c>
      <c r="B266" t="s">
        <v>3564</v>
      </c>
      <c r="C266" s="90" t="s">
        <v>3770</v>
      </c>
      <c r="E266" t="s">
        <v>5562</v>
      </c>
      <c r="F266" s="91" t="s">
        <v>3770</v>
      </c>
      <c r="G266" t="str">
        <f t="shared" si="19"/>
        <v>unknown</v>
      </c>
      <c r="H266" t="str">
        <f t="shared" si="20"/>
        <v>unknown</v>
      </c>
      <c r="K266" t="str">
        <f t="shared" si="21"/>
        <v>scale</v>
      </c>
    </row>
    <row r="267" spans="1:11" ht="115.2" x14ac:dyDescent="0.3">
      <c r="A267" t="s">
        <v>3769</v>
      </c>
      <c r="B267" t="s">
        <v>3566</v>
      </c>
      <c r="C267" s="90" t="s">
        <v>3636</v>
      </c>
      <c r="E267" t="s">
        <v>5562</v>
      </c>
      <c r="F267" s="91" t="s">
        <v>3636</v>
      </c>
      <c r="G267" t="str">
        <f t="shared" si="19"/>
        <v>unknown</v>
      </c>
      <c r="H267" t="str">
        <f t="shared" si="20"/>
        <v>unknown</v>
      </c>
      <c r="K267" t="str">
        <f t="shared" si="21"/>
        <v>scale</v>
      </c>
    </row>
    <row r="268" spans="1:11" ht="72" x14ac:dyDescent="0.3">
      <c r="A268" t="s">
        <v>3769</v>
      </c>
      <c r="B268" t="s">
        <v>3771</v>
      </c>
      <c r="C268" s="90" t="s">
        <v>3772</v>
      </c>
      <c r="E268" t="s">
        <v>5562</v>
      </c>
      <c r="F268" s="91" t="s">
        <v>3772</v>
      </c>
      <c r="G268" t="str">
        <f t="shared" si="19"/>
        <v>unknown</v>
      </c>
      <c r="H268" t="str">
        <f t="shared" si="20"/>
        <v>unknown</v>
      </c>
      <c r="K268" t="str">
        <f t="shared" si="21"/>
        <v>scale</v>
      </c>
    </row>
    <row r="269" spans="1:11" ht="115.2" x14ac:dyDescent="0.3">
      <c r="A269" t="s">
        <v>3769</v>
      </c>
      <c r="B269" t="s">
        <v>3773</v>
      </c>
      <c r="C269" s="90" t="s">
        <v>3712</v>
      </c>
      <c r="E269" t="s">
        <v>5562</v>
      </c>
      <c r="F269" s="91" t="s">
        <v>3712</v>
      </c>
      <c r="G269" t="str">
        <f t="shared" si="19"/>
        <v>unknown</v>
      </c>
      <c r="H269" t="str">
        <f t="shared" si="20"/>
        <v>unknown</v>
      </c>
      <c r="K269" t="str">
        <f t="shared" si="21"/>
        <v>scale</v>
      </c>
    </row>
    <row r="270" spans="1:11" ht="115.2" x14ac:dyDescent="0.3">
      <c r="A270" t="s">
        <v>3769</v>
      </c>
      <c r="B270" t="s">
        <v>3774</v>
      </c>
      <c r="C270" s="90" t="s">
        <v>3636</v>
      </c>
      <c r="E270" t="s">
        <v>5562</v>
      </c>
      <c r="F270" s="91" t="s">
        <v>3636</v>
      </c>
      <c r="G270" t="str">
        <f t="shared" si="19"/>
        <v>unknown</v>
      </c>
      <c r="H270" t="str">
        <f t="shared" si="20"/>
        <v>unknown</v>
      </c>
      <c r="K270" t="str">
        <f t="shared" si="21"/>
        <v>scale</v>
      </c>
    </row>
    <row r="271" spans="1:11" ht="115.2" x14ac:dyDescent="0.3">
      <c r="A271" t="s">
        <v>3769</v>
      </c>
      <c r="B271" t="s">
        <v>3312</v>
      </c>
      <c r="C271" s="90" t="s">
        <v>3770</v>
      </c>
      <c r="E271" t="s">
        <v>5562</v>
      </c>
      <c r="F271" s="91" t="s">
        <v>3770</v>
      </c>
      <c r="G271" t="str">
        <f t="shared" si="19"/>
        <v>unknown</v>
      </c>
      <c r="H271" t="str">
        <f t="shared" si="20"/>
        <v>unknown</v>
      </c>
      <c r="K271" t="str">
        <f t="shared" si="21"/>
        <v>scale</v>
      </c>
    </row>
    <row r="272" spans="1:11" ht="115.2" x14ac:dyDescent="0.3">
      <c r="A272" t="s">
        <v>3769</v>
      </c>
      <c r="B272" t="s">
        <v>3571</v>
      </c>
      <c r="C272" s="90" t="s">
        <v>3636</v>
      </c>
      <c r="E272" t="s">
        <v>5562</v>
      </c>
      <c r="F272" s="91" t="s">
        <v>3636</v>
      </c>
      <c r="G272" t="str">
        <f t="shared" si="19"/>
        <v>unknown</v>
      </c>
      <c r="H272" t="str">
        <f t="shared" si="20"/>
        <v>unknown</v>
      </c>
      <c r="K272" t="str">
        <f t="shared" si="21"/>
        <v>scale</v>
      </c>
    </row>
    <row r="273" spans="1:11" ht="129.6" x14ac:dyDescent="0.3">
      <c r="A273" t="s">
        <v>3769</v>
      </c>
      <c r="B273" t="s">
        <v>3775</v>
      </c>
      <c r="C273" s="90" t="s">
        <v>3776</v>
      </c>
      <c r="E273" t="s">
        <v>5562</v>
      </c>
      <c r="F273" s="91" t="s">
        <v>3776</v>
      </c>
      <c r="G273" t="str">
        <f t="shared" si="19"/>
        <v>unknown</v>
      </c>
      <c r="H273" t="str">
        <f t="shared" si="20"/>
        <v>unknown</v>
      </c>
      <c r="K273" t="str">
        <f t="shared" si="21"/>
        <v>scale</v>
      </c>
    </row>
    <row r="274" spans="1:11" ht="115.2" x14ac:dyDescent="0.3">
      <c r="A274" t="s">
        <v>3769</v>
      </c>
      <c r="B274" t="s">
        <v>3777</v>
      </c>
      <c r="C274" s="90" t="s">
        <v>3778</v>
      </c>
      <c r="E274" t="s">
        <v>5562</v>
      </c>
      <c r="F274" s="91" t="s">
        <v>3778</v>
      </c>
      <c r="G274" t="str">
        <f t="shared" si="19"/>
        <v>unknown</v>
      </c>
      <c r="H274" t="str">
        <f t="shared" si="20"/>
        <v>unknown</v>
      </c>
      <c r="K274" t="str">
        <f t="shared" si="21"/>
        <v>scale</v>
      </c>
    </row>
    <row r="275" spans="1:11" ht="57.6" x14ac:dyDescent="0.3">
      <c r="A275" t="s">
        <v>3769</v>
      </c>
      <c r="B275" t="s">
        <v>3779</v>
      </c>
      <c r="C275" s="90" t="s">
        <v>3780</v>
      </c>
      <c r="E275" t="s">
        <v>5562</v>
      </c>
      <c r="F275" s="91" t="s">
        <v>3780</v>
      </c>
      <c r="G275" t="str">
        <f t="shared" si="19"/>
        <v>unknown</v>
      </c>
      <c r="H275" t="str">
        <f t="shared" si="20"/>
        <v>unknown</v>
      </c>
      <c r="K275" t="str">
        <f t="shared" si="21"/>
        <v>scale</v>
      </c>
    </row>
    <row r="276" spans="1:11" ht="115.2" x14ac:dyDescent="0.3">
      <c r="A276" t="s">
        <v>3769</v>
      </c>
      <c r="B276" t="s">
        <v>3781</v>
      </c>
      <c r="C276" s="90" t="s">
        <v>3672</v>
      </c>
      <c r="E276" t="s">
        <v>5562</v>
      </c>
      <c r="F276" s="91" t="s">
        <v>3672</v>
      </c>
      <c r="G276" t="str">
        <f t="shared" si="19"/>
        <v>unknown</v>
      </c>
      <c r="H276" t="str">
        <f t="shared" si="20"/>
        <v>unknown</v>
      </c>
      <c r="K276" t="str">
        <f t="shared" si="21"/>
        <v>scale</v>
      </c>
    </row>
    <row r="277" spans="1:11" ht="115.2" x14ac:dyDescent="0.3">
      <c r="A277" t="s">
        <v>3769</v>
      </c>
      <c r="B277" t="s">
        <v>3782</v>
      </c>
      <c r="C277" s="90" t="s">
        <v>3778</v>
      </c>
      <c r="E277" t="s">
        <v>5562</v>
      </c>
      <c r="F277" s="91" t="s">
        <v>3778</v>
      </c>
      <c r="G277" t="str">
        <f t="shared" si="19"/>
        <v>unknown</v>
      </c>
      <c r="H277" t="str">
        <f t="shared" si="20"/>
        <v>unknown</v>
      </c>
      <c r="K277" t="str">
        <f t="shared" si="21"/>
        <v>scale</v>
      </c>
    </row>
    <row r="278" spans="1:11" ht="115.2" x14ac:dyDescent="0.3">
      <c r="A278" t="s">
        <v>3769</v>
      </c>
      <c r="B278" t="s">
        <v>3783</v>
      </c>
      <c r="C278" s="90" t="s">
        <v>3784</v>
      </c>
      <c r="E278" t="s">
        <v>5562</v>
      </c>
      <c r="F278" s="91" t="s">
        <v>3784</v>
      </c>
      <c r="G278" t="str">
        <f t="shared" si="19"/>
        <v>unknown</v>
      </c>
      <c r="H278" t="str">
        <f t="shared" si="20"/>
        <v>unknown</v>
      </c>
      <c r="K278" t="str">
        <f t="shared" si="21"/>
        <v>scale</v>
      </c>
    </row>
    <row r="279" spans="1:11" ht="115.2" x14ac:dyDescent="0.3">
      <c r="A279" t="s">
        <v>3769</v>
      </c>
      <c r="B279" t="s">
        <v>3785</v>
      </c>
      <c r="C279" s="90" t="s">
        <v>3712</v>
      </c>
      <c r="E279" t="s">
        <v>5562</v>
      </c>
      <c r="F279" s="91" t="s">
        <v>3712</v>
      </c>
      <c r="G279" t="str">
        <f t="shared" si="19"/>
        <v>unknown</v>
      </c>
      <c r="H279" t="str">
        <f t="shared" si="20"/>
        <v>unknown</v>
      </c>
      <c r="K279" t="str">
        <f t="shared" si="21"/>
        <v>scale</v>
      </c>
    </row>
    <row r="280" spans="1:11" ht="115.2" x14ac:dyDescent="0.3">
      <c r="A280" t="s">
        <v>3769</v>
      </c>
      <c r="B280" t="s">
        <v>3589</v>
      </c>
      <c r="C280" s="90" t="s">
        <v>3712</v>
      </c>
      <c r="E280" t="s">
        <v>5562</v>
      </c>
      <c r="F280" s="91" t="s">
        <v>3712</v>
      </c>
      <c r="G280" t="str">
        <f t="shared" si="19"/>
        <v>unknown</v>
      </c>
      <c r="H280" t="str">
        <f t="shared" si="20"/>
        <v>unknown</v>
      </c>
      <c r="K280" t="str">
        <f t="shared" si="21"/>
        <v>scale</v>
      </c>
    </row>
    <row r="281" spans="1:11" ht="288" x14ac:dyDescent="0.3">
      <c r="A281" t="s">
        <v>3769</v>
      </c>
      <c r="B281" t="s">
        <v>3786</v>
      </c>
      <c r="C281" s="90" t="s">
        <v>3787</v>
      </c>
      <c r="E281" t="s">
        <v>5562</v>
      </c>
      <c r="F281" s="91" t="s">
        <v>3787</v>
      </c>
      <c r="G281" t="str">
        <f t="shared" si="19"/>
        <v>unknown</v>
      </c>
      <c r="H281" t="str">
        <f t="shared" si="20"/>
        <v>unknown</v>
      </c>
      <c r="K281" t="str">
        <f t="shared" si="21"/>
        <v>scale</v>
      </c>
    </row>
    <row r="282" spans="1:11" ht="216" x14ac:dyDescent="0.3">
      <c r="A282" t="s">
        <v>3769</v>
      </c>
      <c r="B282" t="s">
        <v>3788</v>
      </c>
      <c r="C282" s="90" t="s">
        <v>3789</v>
      </c>
      <c r="E282" t="s">
        <v>5562</v>
      </c>
      <c r="F282" s="91" t="s">
        <v>3789</v>
      </c>
      <c r="G282" t="str">
        <f t="shared" si="19"/>
        <v>unknown</v>
      </c>
      <c r="H282" t="str">
        <f t="shared" si="20"/>
        <v>unknown</v>
      </c>
      <c r="K282" t="str">
        <f t="shared" si="21"/>
        <v>scale</v>
      </c>
    </row>
    <row r="283" spans="1:11" ht="230.4" x14ac:dyDescent="0.3">
      <c r="A283" t="s">
        <v>3769</v>
      </c>
      <c r="B283" t="s">
        <v>3790</v>
      </c>
      <c r="C283" s="90" t="s">
        <v>3791</v>
      </c>
      <c r="E283" t="s">
        <v>5562</v>
      </c>
      <c r="F283" s="91" t="s">
        <v>3791</v>
      </c>
      <c r="G283" t="str">
        <f t="shared" si="19"/>
        <v>unknown</v>
      </c>
      <c r="H283" t="str">
        <f t="shared" si="20"/>
        <v>unknown</v>
      </c>
      <c r="K283" t="str">
        <f t="shared" si="21"/>
        <v>scale</v>
      </c>
    </row>
    <row r="284" spans="1:11" ht="158.4" x14ac:dyDescent="0.3">
      <c r="A284" t="s">
        <v>3769</v>
      </c>
      <c r="B284" t="s">
        <v>3792</v>
      </c>
      <c r="C284" s="90" t="s">
        <v>3793</v>
      </c>
      <c r="E284" t="s">
        <v>5562</v>
      </c>
      <c r="F284" s="91" t="s">
        <v>3793</v>
      </c>
      <c r="G284" t="str">
        <f t="shared" si="19"/>
        <v>unknown</v>
      </c>
      <c r="H284" t="str">
        <f t="shared" si="20"/>
        <v>unknown</v>
      </c>
      <c r="K284" t="str">
        <f t="shared" si="21"/>
        <v>scale</v>
      </c>
    </row>
    <row r="285" spans="1:11" ht="201.6" x14ac:dyDescent="0.3">
      <c r="A285" t="s">
        <v>3769</v>
      </c>
      <c r="B285" t="s">
        <v>3794</v>
      </c>
      <c r="C285" s="90" t="s">
        <v>3795</v>
      </c>
      <c r="E285" t="s">
        <v>5562</v>
      </c>
      <c r="F285" s="91" t="s">
        <v>3795</v>
      </c>
      <c r="G285" t="str">
        <f t="shared" si="19"/>
        <v>unknown</v>
      </c>
      <c r="H285" t="str">
        <f t="shared" si="20"/>
        <v>unknown</v>
      </c>
      <c r="K285" t="str">
        <f t="shared" si="21"/>
        <v>scale</v>
      </c>
    </row>
    <row r="286" spans="1:11" ht="187.2" x14ac:dyDescent="0.3">
      <c r="A286" t="s">
        <v>3769</v>
      </c>
      <c r="B286" t="s">
        <v>3796</v>
      </c>
      <c r="C286" s="90" t="s">
        <v>3797</v>
      </c>
      <c r="E286" t="s">
        <v>5562</v>
      </c>
      <c r="F286" s="91" t="s">
        <v>3797</v>
      </c>
      <c r="G286" t="str">
        <f t="shared" si="19"/>
        <v>unknown</v>
      </c>
      <c r="H286" t="str">
        <f t="shared" si="20"/>
        <v>unknown</v>
      </c>
      <c r="K286" t="str">
        <f t="shared" si="21"/>
        <v>scale</v>
      </c>
    </row>
    <row r="287" spans="1:11" ht="129.6" x14ac:dyDescent="0.3">
      <c r="A287" t="s">
        <v>3769</v>
      </c>
      <c r="B287" t="s">
        <v>3798</v>
      </c>
      <c r="C287" s="90" t="s">
        <v>3799</v>
      </c>
      <c r="E287" t="s">
        <v>5562</v>
      </c>
      <c r="F287" s="91" t="s">
        <v>3799</v>
      </c>
      <c r="G287" t="str">
        <f t="shared" ref="G287:G296" si="22">IF(EXACT($F287, $Q$1), "sector", "unknown")</f>
        <v>unknown</v>
      </c>
      <c r="H287" t="str">
        <f t="shared" si="20"/>
        <v>unknown</v>
      </c>
      <c r="K287" t="str">
        <f t="shared" si="21"/>
        <v>scale</v>
      </c>
    </row>
    <row r="288" spans="1:11" ht="115.2" x14ac:dyDescent="0.3">
      <c r="A288" t="s">
        <v>3769</v>
      </c>
      <c r="B288" t="s">
        <v>3800</v>
      </c>
      <c r="C288" s="90" t="s">
        <v>3801</v>
      </c>
      <c r="E288" t="s">
        <v>5562</v>
      </c>
      <c r="F288" s="91" t="s">
        <v>3801</v>
      </c>
      <c r="G288" t="str">
        <f t="shared" si="22"/>
        <v>unknown</v>
      </c>
      <c r="H288" t="str">
        <f t="shared" si="20"/>
        <v>unknown</v>
      </c>
      <c r="K288" t="str">
        <f t="shared" si="21"/>
        <v>scale</v>
      </c>
    </row>
    <row r="289" spans="1:11" ht="129.6" x14ac:dyDescent="0.3">
      <c r="A289" t="s">
        <v>3769</v>
      </c>
      <c r="B289" t="s">
        <v>3802</v>
      </c>
      <c r="C289" s="90" t="s">
        <v>3799</v>
      </c>
      <c r="E289" t="s">
        <v>5562</v>
      </c>
      <c r="F289" s="91" t="s">
        <v>3799</v>
      </c>
      <c r="G289" t="str">
        <f t="shared" si="22"/>
        <v>unknown</v>
      </c>
      <c r="H289" t="str">
        <f t="shared" si="20"/>
        <v>unknown</v>
      </c>
      <c r="K289" t="str">
        <f t="shared" si="21"/>
        <v>scale</v>
      </c>
    </row>
    <row r="290" spans="1:11" ht="43.2" x14ac:dyDescent="0.3">
      <c r="A290" t="s">
        <v>3769</v>
      </c>
      <c r="B290" t="s">
        <v>3803</v>
      </c>
      <c r="C290" s="90" t="s">
        <v>3383</v>
      </c>
      <c r="E290" t="s">
        <v>5562</v>
      </c>
      <c r="F290" s="91" t="s">
        <v>3383</v>
      </c>
      <c r="G290" t="str">
        <f t="shared" si="22"/>
        <v>unknown</v>
      </c>
      <c r="H290" t="str">
        <f t="shared" si="20"/>
        <v>unknown</v>
      </c>
      <c r="K290" t="str">
        <f t="shared" si="21"/>
        <v>scale</v>
      </c>
    </row>
    <row r="291" spans="1:11" ht="100.8" x14ac:dyDescent="0.3">
      <c r="A291" t="s">
        <v>3769</v>
      </c>
      <c r="B291" t="s">
        <v>3804</v>
      </c>
      <c r="C291" s="90" t="s">
        <v>3805</v>
      </c>
      <c r="E291" t="s">
        <v>5562</v>
      </c>
      <c r="F291" s="91" t="s">
        <v>3805</v>
      </c>
      <c r="G291" t="str">
        <f t="shared" si="22"/>
        <v>unknown</v>
      </c>
      <c r="H291" t="str">
        <f t="shared" si="20"/>
        <v>unknown</v>
      </c>
      <c r="K291" t="str">
        <f t="shared" si="21"/>
        <v>scale</v>
      </c>
    </row>
    <row r="292" spans="1:11" ht="100.8" x14ac:dyDescent="0.3">
      <c r="A292" t="s">
        <v>3769</v>
      </c>
      <c r="B292" t="s">
        <v>3806</v>
      </c>
      <c r="C292" s="90" t="s">
        <v>3805</v>
      </c>
      <c r="E292" t="s">
        <v>5562</v>
      </c>
      <c r="F292" s="91" t="s">
        <v>3805</v>
      </c>
      <c r="G292" t="str">
        <f t="shared" si="22"/>
        <v>unknown</v>
      </c>
      <c r="H292" t="str">
        <f t="shared" si="20"/>
        <v>unknown</v>
      </c>
      <c r="K292" t="str">
        <f t="shared" si="21"/>
        <v>scale</v>
      </c>
    </row>
    <row r="293" spans="1:11" ht="115.2" x14ac:dyDescent="0.3">
      <c r="A293" t="s">
        <v>3769</v>
      </c>
      <c r="B293" t="s">
        <v>3807</v>
      </c>
      <c r="C293" s="90" t="s">
        <v>3712</v>
      </c>
      <c r="E293" t="s">
        <v>5562</v>
      </c>
      <c r="F293" s="91" t="s">
        <v>3712</v>
      </c>
      <c r="G293" t="str">
        <f t="shared" si="22"/>
        <v>unknown</v>
      </c>
      <c r="H293" t="str">
        <f t="shared" si="20"/>
        <v>unknown</v>
      </c>
      <c r="K293" t="str">
        <f t="shared" si="21"/>
        <v>scale</v>
      </c>
    </row>
    <row r="294" spans="1:11" ht="100.8" x14ac:dyDescent="0.3">
      <c r="A294" t="s">
        <v>3769</v>
      </c>
      <c r="B294" t="s">
        <v>3808</v>
      </c>
      <c r="C294" s="90" t="s">
        <v>3809</v>
      </c>
      <c r="E294" t="s">
        <v>5562</v>
      </c>
      <c r="F294" s="91" t="s">
        <v>3809</v>
      </c>
      <c r="G294" t="str">
        <f t="shared" si="22"/>
        <v>unknown</v>
      </c>
      <c r="H294" t="str">
        <f t="shared" si="20"/>
        <v>unknown</v>
      </c>
      <c r="K294" t="str">
        <f t="shared" si="21"/>
        <v>scale</v>
      </c>
    </row>
    <row r="295" spans="1:11" ht="86.4" x14ac:dyDescent="0.3">
      <c r="A295" t="s">
        <v>3769</v>
      </c>
      <c r="B295" t="s">
        <v>3810</v>
      </c>
      <c r="C295" s="90" t="s">
        <v>3811</v>
      </c>
      <c r="E295" t="s">
        <v>5562</v>
      </c>
      <c r="F295" s="91" t="s">
        <v>3811</v>
      </c>
      <c r="G295" t="str">
        <f t="shared" si="22"/>
        <v>unknown</v>
      </c>
      <c r="H295" t="str">
        <f t="shared" si="20"/>
        <v>unknown</v>
      </c>
      <c r="K295" t="str">
        <f t="shared" si="21"/>
        <v>scale</v>
      </c>
    </row>
    <row r="296" spans="1:11" ht="115.2" x14ac:dyDescent="0.3">
      <c r="A296" t="s">
        <v>3769</v>
      </c>
      <c r="B296" t="s">
        <v>3812</v>
      </c>
      <c r="C296" s="90" t="s">
        <v>3636</v>
      </c>
      <c r="E296" t="s">
        <v>5562</v>
      </c>
      <c r="F296" s="91" t="s">
        <v>3636</v>
      </c>
      <c r="G296" t="str">
        <f t="shared" si="22"/>
        <v>unknown</v>
      </c>
      <c r="H296" t="str">
        <f t="shared" si="20"/>
        <v>unknown</v>
      </c>
      <c r="K296" t="str">
        <f t="shared" si="21"/>
        <v>scale</v>
      </c>
    </row>
    <row r="297" spans="1:11" ht="28.8" x14ac:dyDescent="0.3">
      <c r="A297" t="s">
        <v>3769</v>
      </c>
      <c r="B297" t="s">
        <v>3813</v>
      </c>
      <c r="C297" s="90" t="s">
        <v>3348</v>
      </c>
      <c r="D297" t="s">
        <v>5561</v>
      </c>
      <c r="E297" t="s">
        <v>5560</v>
      </c>
      <c r="F297" s="92" t="s">
        <v>5566</v>
      </c>
      <c r="G297" t="str">
        <f>IF(EXACT($F297, $Q$1), "sector", IF(EXACT($F297, $R$1), "sector", IF(EXACT($F297, $T$1), "sector", IF(EXACT($F297, $U$1), "sector", "unknown"))))</f>
        <v>unknown</v>
      </c>
      <c r="H297" t="str">
        <f t="shared" si="20"/>
        <v>open</v>
      </c>
      <c r="K297" t="str">
        <f t="shared" si="21"/>
        <v>open</v>
      </c>
    </row>
    <row r="298" spans="1:11" ht="115.2" x14ac:dyDescent="0.3">
      <c r="A298" t="s">
        <v>3769</v>
      </c>
      <c r="B298" t="s">
        <v>3814</v>
      </c>
      <c r="C298" s="90" t="s">
        <v>3712</v>
      </c>
      <c r="E298" t="s">
        <v>5562</v>
      </c>
      <c r="F298" s="91" t="s">
        <v>3712</v>
      </c>
      <c r="G298" t="str">
        <f t="shared" ref="G298:G343" si="23">IF(EXACT($F298, $Q$1), "sector", "unknown")</f>
        <v>unknown</v>
      </c>
      <c r="H298" t="str">
        <f t="shared" si="20"/>
        <v>unknown</v>
      </c>
      <c r="K298" t="str">
        <f t="shared" si="21"/>
        <v>scale</v>
      </c>
    </row>
    <row r="299" spans="1:11" ht="86.4" x14ac:dyDescent="0.3">
      <c r="A299" t="s">
        <v>3769</v>
      </c>
      <c r="B299" t="s">
        <v>3815</v>
      </c>
      <c r="C299" s="90" t="s">
        <v>3816</v>
      </c>
      <c r="E299" t="s">
        <v>5562</v>
      </c>
      <c r="F299" s="91" t="s">
        <v>3816</v>
      </c>
      <c r="G299" t="str">
        <f t="shared" si="23"/>
        <v>unknown</v>
      </c>
      <c r="H299" t="str">
        <f t="shared" si="20"/>
        <v>unknown</v>
      </c>
      <c r="K299" t="str">
        <f t="shared" si="21"/>
        <v>scale</v>
      </c>
    </row>
    <row r="300" spans="1:11" ht="100.8" x14ac:dyDescent="0.3">
      <c r="A300" t="s">
        <v>3769</v>
      </c>
      <c r="B300" t="s">
        <v>3817</v>
      </c>
      <c r="C300" s="90" t="s">
        <v>3818</v>
      </c>
      <c r="E300" t="s">
        <v>5562</v>
      </c>
      <c r="F300" s="91" t="s">
        <v>3818</v>
      </c>
      <c r="G300" t="str">
        <f t="shared" si="23"/>
        <v>unknown</v>
      </c>
      <c r="H300" t="str">
        <f t="shared" si="20"/>
        <v>unknown</v>
      </c>
      <c r="K300" t="str">
        <f t="shared" si="21"/>
        <v>scale</v>
      </c>
    </row>
    <row r="301" spans="1:11" ht="115.2" x14ac:dyDescent="0.3">
      <c r="A301" t="s">
        <v>3769</v>
      </c>
      <c r="B301" t="s">
        <v>3819</v>
      </c>
      <c r="C301" s="90" t="s">
        <v>3712</v>
      </c>
      <c r="E301" t="s">
        <v>5562</v>
      </c>
      <c r="F301" s="91" t="s">
        <v>3712</v>
      </c>
      <c r="G301" t="str">
        <f t="shared" si="23"/>
        <v>unknown</v>
      </c>
      <c r="H301" t="str">
        <f t="shared" si="20"/>
        <v>unknown</v>
      </c>
      <c r="K301" t="str">
        <f t="shared" si="21"/>
        <v>scale</v>
      </c>
    </row>
    <row r="302" spans="1:11" ht="115.2" x14ac:dyDescent="0.3">
      <c r="A302" t="s">
        <v>3769</v>
      </c>
      <c r="B302" t="s">
        <v>3820</v>
      </c>
      <c r="C302" s="90" t="s">
        <v>3712</v>
      </c>
      <c r="E302" t="s">
        <v>5562</v>
      </c>
      <c r="F302" s="91" t="s">
        <v>3712</v>
      </c>
      <c r="G302" t="str">
        <f t="shared" si="23"/>
        <v>unknown</v>
      </c>
      <c r="H302" t="str">
        <f t="shared" si="20"/>
        <v>unknown</v>
      </c>
      <c r="K302" t="str">
        <f t="shared" si="21"/>
        <v>scale</v>
      </c>
    </row>
    <row r="303" spans="1:11" ht="115.2" x14ac:dyDescent="0.3">
      <c r="A303" t="s">
        <v>3769</v>
      </c>
      <c r="B303" t="s">
        <v>3821</v>
      </c>
      <c r="C303" s="90" t="s">
        <v>3712</v>
      </c>
      <c r="E303" t="s">
        <v>5562</v>
      </c>
      <c r="F303" s="91" t="s">
        <v>3712</v>
      </c>
      <c r="G303" t="str">
        <f t="shared" si="23"/>
        <v>unknown</v>
      </c>
      <c r="H303" t="str">
        <f t="shared" si="20"/>
        <v>unknown</v>
      </c>
      <c r="K303" t="str">
        <f t="shared" si="21"/>
        <v>scale</v>
      </c>
    </row>
    <row r="304" spans="1:11" ht="172.8" x14ac:dyDescent="0.3">
      <c r="A304" t="s">
        <v>3769</v>
      </c>
      <c r="B304" t="s">
        <v>3822</v>
      </c>
      <c r="C304" s="90" t="s">
        <v>3823</v>
      </c>
      <c r="E304" t="s">
        <v>5562</v>
      </c>
      <c r="F304" s="91" t="s">
        <v>3823</v>
      </c>
      <c r="G304" t="str">
        <f t="shared" si="23"/>
        <v>unknown</v>
      </c>
      <c r="H304" t="str">
        <f t="shared" si="20"/>
        <v>unknown</v>
      </c>
      <c r="K304" t="str">
        <f t="shared" si="21"/>
        <v>scale</v>
      </c>
    </row>
    <row r="305" spans="1:11" ht="115.2" x14ac:dyDescent="0.3">
      <c r="A305" t="s">
        <v>3769</v>
      </c>
      <c r="B305" t="s">
        <v>3824</v>
      </c>
      <c r="C305" s="90" t="s">
        <v>3825</v>
      </c>
      <c r="E305" t="s">
        <v>5562</v>
      </c>
      <c r="F305" s="91" t="s">
        <v>3825</v>
      </c>
      <c r="G305" t="str">
        <f t="shared" si="23"/>
        <v>unknown</v>
      </c>
      <c r="H305" t="str">
        <f t="shared" si="20"/>
        <v>unknown</v>
      </c>
      <c r="K305" t="str">
        <f t="shared" si="21"/>
        <v>scale</v>
      </c>
    </row>
    <row r="306" spans="1:11" ht="115.2" x14ac:dyDescent="0.3">
      <c r="A306" t="s">
        <v>3769</v>
      </c>
      <c r="B306" t="s">
        <v>3826</v>
      </c>
      <c r="C306" s="90" t="s">
        <v>3778</v>
      </c>
      <c r="E306" t="s">
        <v>5562</v>
      </c>
      <c r="F306" s="91" t="s">
        <v>3778</v>
      </c>
      <c r="G306" t="str">
        <f t="shared" si="23"/>
        <v>unknown</v>
      </c>
      <c r="H306" t="str">
        <f t="shared" si="20"/>
        <v>unknown</v>
      </c>
      <c r="K306" t="str">
        <f t="shared" si="21"/>
        <v>scale</v>
      </c>
    </row>
    <row r="307" spans="1:11" ht="115.2" x14ac:dyDescent="0.3">
      <c r="A307" t="s">
        <v>3769</v>
      </c>
      <c r="B307" t="s">
        <v>3827</v>
      </c>
      <c r="C307" s="90" t="s">
        <v>3828</v>
      </c>
      <c r="E307" t="s">
        <v>5562</v>
      </c>
      <c r="F307" s="91" t="s">
        <v>3828</v>
      </c>
      <c r="G307" t="str">
        <f t="shared" si="23"/>
        <v>unknown</v>
      </c>
      <c r="H307" t="str">
        <f t="shared" si="20"/>
        <v>unknown</v>
      </c>
      <c r="K307" t="str">
        <f t="shared" si="21"/>
        <v>scale</v>
      </c>
    </row>
    <row r="308" spans="1:11" ht="115.2" x14ac:dyDescent="0.3">
      <c r="A308" t="s">
        <v>3769</v>
      </c>
      <c r="B308" t="s">
        <v>3829</v>
      </c>
      <c r="C308" s="90" t="s">
        <v>3712</v>
      </c>
      <c r="E308" t="s">
        <v>5562</v>
      </c>
      <c r="F308" s="91" t="s">
        <v>3712</v>
      </c>
      <c r="G308" t="str">
        <f t="shared" si="23"/>
        <v>unknown</v>
      </c>
      <c r="H308" t="str">
        <f t="shared" si="20"/>
        <v>unknown</v>
      </c>
      <c r="K308" t="str">
        <f t="shared" si="21"/>
        <v>scale</v>
      </c>
    </row>
    <row r="309" spans="1:11" ht="115.2" x14ac:dyDescent="0.3">
      <c r="A309" t="s">
        <v>3769</v>
      </c>
      <c r="B309" t="s">
        <v>3432</v>
      </c>
      <c r="C309" s="90" t="s">
        <v>3830</v>
      </c>
      <c r="E309" t="s">
        <v>5562</v>
      </c>
      <c r="F309" s="91" t="s">
        <v>3830</v>
      </c>
      <c r="G309" t="str">
        <f t="shared" si="23"/>
        <v>unknown</v>
      </c>
      <c r="H309" t="str">
        <f t="shared" si="20"/>
        <v>unknown</v>
      </c>
      <c r="K309" t="str">
        <f t="shared" si="21"/>
        <v>scale</v>
      </c>
    </row>
    <row r="310" spans="1:11" ht="115.2" x14ac:dyDescent="0.3">
      <c r="A310" t="s">
        <v>3769</v>
      </c>
      <c r="B310" t="s">
        <v>3831</v>
      </c>
      <c r="C310" s="90" t="s">
        <v>3712</v>
      </c>
      <c r="E310" t="s">
        <v>5562</v>
      </c>
      <c r="F310" s="91" t="s">
        <v>3712</v>
      </c>
      <c r="G310" t="str">
        <f t="shared" si="23"/>
        <v>unknown</v>
      </c>
      <c r="H310" t="str">
        <f t="shared" si="20"/>
        <v>unknown</v>
      </c>
      <c r="K310" t="str">
        <f t="shared" si="21"/>
        <v>scale</v>
      </c>
    </row>
    <row r="311" spans="1:11" ht="129.6" x14ac:dyDescent="0.3">
      <c r="A311" t="s">
        <v>3769</v>
      </c>
      <c r="B311" t="s">
        <v>3832</v>
      </c>
      <c r="C311" s="90" t="s">
        <v>3833</v>
      </c>
      <c r="E311" t="s">
        <v>5562</v>
      </c>
      <c r="F311" s="91" t="s">
        <v>3833</v>
      </c>
      <c r="G311" t="str">
        <f t="shared" si="23"/>
        <v>unknown</v>
      </c>
      <c r="H311" t="str">
        <f t="shared" si="20"/>
        <v>unknown</v>
      </c>
      <c r="K311" t="str">
        <f t="shared" si="21"/>
        <v>scale</v>
      </c>
    </row>
    <row r="312" spans="1:11" ht="115.2" x14ac:dyDescent="0.3">
      <c r="A312" t="s">
        <v>3769</v>
      </c>
      <c r="B312" t="s">
        <v>3834</v>
      </c>
      <c r="C312" s="90" t="s">
        <v>3712</v>
      </c>
      <c r="E312" t="s">
        <v>5562</v>
      </c>
      <c r="F312" s="91" t="s">
        <v>3712</v>
      </c>
      <c r="G312" t="str">
        <f t="shared" si="23"/>
        <v>unknown</v>
      </c>
      <c r="H312" t="str">
        <f t="shared" si="20"/>
        <v>unknown</v>
      </c>
      <c r="K312" t="str">
        <f t="shared" si="21"/>
        <v>scale</v>
      </c>
    </row>
    <row r="313" spans="1:11" ht="129.6" x14ac:dyDescent="0.3">
      <c r="A313" t="s">
        <v>3769</v>
      </c>
      <c r="B313" t="s">
        <v>3835</v>
      </c>
      <c r="C313" s="90" t="s">
        <v>3833</v>
      </c>
      <c r="E313" t="s">
        <v>5562</v>
      </c>
      <c r="F313" s="91" t="s">
        <v>3833</v>
      </c>
      <c r="G313" t="str">
        <f t="shared" si="23"/>
        <v>unknown</v>
      </c>
      <c r="H313" t="str">
        <f t="shared" si="20"/>
        <v>unknown</v>
      </c>
      <c r="K313" t="str">
        <f t="shared" si="21"/>
        <v>scale</v>
      </c>
    </row>
    <row r="314" spans="1:11" ht="115.2" x14ac:dyDescent="0.3">
      <c r="A314" t="s">
        <v>3769</v>
      </c>
      <c r="B314" t="s">
        <v>3836</v>
      </c>
      <c r="C314" s="90" t="s">
        <v>3712</v>
      </c>
      <c r="E314" t="s">
        <v>5562</v>
      </c>
      <c r="F314" s="91" t="s">
        <v>3712</v>
      </c>
      <c r="G314" t="str">
        <f t="shared" si="23"/>
        <v>unknown</v>
      </c>
      <c r="H314" t="str">
        <f t="shared" si="20"/>
        <v>unknown</v>
      </c>
      <c r="K314" t="str">
        <f t="shared" si="21"/>
        <v>scale</v>
      </c>
    </row>
    <row r="315" spans="1:11" ht="129.6" x14ac:dyDescent="0.3">
      <c r="A315" t="s">
        <v>3769</v>
      </c>
      <c r="B315" t="s">
        <v>3837</v>
      </c>
      <c r="C315" s="90" t="s">
        <v>3833</v>
      </c>
      <c r="E315" t="s">
        <v>5562</v>
      </c>
      <c r="F315" s="91" t="s">
        <v>3833</v>
      </c>
      <c r="G315" t="str">
        <f t="shared" si="23"/>
        <v>unknown</v>
      </c>
      <c r="H315" t="str">
        <f t="shared" si="20"/>
        <v>unknown</v>
      </c>
      <c r="K315" t="str">
        <f t="shared" si="21"/>
        <v>scale</v>
      </c>
    </row>
    <row r="316" spans="1:11" ht="115.2" x14ac:dyDescent="0.3">
      <c r="A316" t="s">
        <v>3769</v>
      </c>
      <c r="B316" t="s">
        <v>3838</v>
      </c>
      <c r="C316" s="90" t="s">
        <v>3839</v>
      </c>
      <c r="E316" t="s">
        <v>5562</v>
      </c>
      <c r="F316" s="91" t="s">
        <v>3839</v>
      </c>
      <c r="G316" t="str">
        <f t="shared" si="23"/>
        <v>unknown</v>
      </c>
      <c r="H316" t="str">
        <f t="shared" si="20"/>
        <v>unknown</v>
      </c>
      <c r="K316" t="str">
        <f t="shared" si="21"/>
        <v>scale</v>
      </c>
    </row>
    <row r="317" spans="1:11" ht="100.8" x14ac:dyDescent="0.3">
      <c r="A317" t="s">
        <v>3769</v>
      </c>
      <c r="B317" t="s">
        <v>3840</v>
      </c>
      <c r="C317" s="90" t="s">
        <v>3841</v>
      </c>
      <c r="E317" t="s">
        <v>5562</v>
      </c>
      <c r="F317" s="91" t="s">
        <v>3841</v>
      </c>
      <c r="G317" t="str">
        <f t="shared" si="23"/>
        <v>unknown</v>
      </c>
      <c r="H317" t="str">
        <f t="shared" si="20"/>
        <v>unknown</v>
      </c>
      <c r="K317" t="str">
        <f t="shared" si="21"/>
        <v>scale</v>
      </c>
    </row>
    <row r="318" spans="1:11" ht="86.4" x14ac:dyDescent="0.3">
      <c r="A318" t="s">
        <v>3769</v>
      </c>
      <c r="B318" t="s">
        <v>3842</v>
      </c>
      <c r="C318" s="90" t="s">
        <v>3843</v>
      </c>
      <c r="E318" t="s">
        <v>5562</v>
      </c>
      <c r="F318" s="91" t="s">
        <v>3843</v>
      </c>
      <c r="G318" t="str">
        <f t="shared" si="23"/>
        <v>unknown</v>
      </c>
      <c r="H318" t="str">
        <f t="shared" si="20"/>
        <v>unknown</v>
      </c>
      <c r="K318" t="str">
        <f t="shared" si="21"/>
        <v>scale</v>
      </c>
    </row>
    <row r="319" spans="1:11" ht="86.4" x14ac:dyDescent="0.3">
      <c r="A319" t="s">
        <v>3769</v>
      </c>
      <c r="B319" t="s">
        <v>3844</v>
      </c>
      <c r="C319" s="90" t="s">
        <v>3843</v>
      </c>
      <c r="E319" t="s">
        <v>5562</v>
      </c>
      <c r="F319" s="91" t="s">
        <v>3843</v>
      </c>
      <c r="G319" t="str">
        <f t="shared" si="23"/>
        <v>unknown</v>
      </c>
      <c r="H319" t="str">
        <f t="shared" si="20"/>
        <v>unknown</v>
      </c>
      <c r="K319" t="str">
        <f t="shared" si="21"/>
        <v>scale</v>
      </c>
    </row>
    <row r="320" spans="1:11" ht="158.4" x14ac:dyDescent="0.3">
      <c r="A320" t="s">
        <v>3769</v>
      </c>
      <c r="B320" t="s">
        <v>3845</v>
      </c>
      <c r="C320" s="90" t="s">
        <v>3846</v>
      </c>
      <c r="E320" t="s">
        <v>5562</v>
      </c>
      <c r="F320" s="91" t="s">
        <v>3846</v>
      </c>
      <c r="G320" t="str">
        <f t="shared" si="23"/>
        <v>unknown</v>
      </c>
      <c r="H320" t="str">
        <f t="shared" si="20"/>
        <v>unknown</v>
      </c>
      <c r="K320" t="str">
        <f t="shared" si="21"/>
        <v>scale</v>
      </c>
    </row>
    <row r="321" spans="1:11" ht="158.4" x14ac:dyDescent="0.3">
      <c r="A321" t="s">
        <v>3847</v>
      </c>
      <c r="B321" t="s">
        <v>3562</v>
      </c>
      <c r="C321" s="90" t="s">
        <v>3848</v>
      </c>
      <c r="E321" t="s">
        <v>5562</v>
      </c>
      <c r="F321" s="91" t="s">
        <v>3848</v>
      </c>
      <c r="G321" t="str">
        <f t="shared" si="23"/>
        <v>unknown</v>
      </c>
      <c r="H321" t="str">
        <f t="shared" si="20"/>
        <v>unknown</v>
      </c>
      <c r="K321" t="str">
        <f t="shared" si="21"/>
        <v>scale</v>
      </c>
    </row>
    <row r="322" spans="1:11" ht="144" x14ac:dyDescent="0.3">
      <c r="A322" t="s">
        <v>3847</v>
      </c>
      <c r="B322" t="s">
        <v>3849</v>
      </c>
      <c r="C322" s="90" t="s">
        <v>3850</v>
      </c>
      <c r="E322" t="s">
        <v>5562</v>
      </c>
      <c r="F322" s="91" t="s">
        <v>3850</v>
      </c>
      <c r="G322" t="str">
        <f t="shared" si="23"/>
        <v>unknown</v>
      </c>
      <c r="H322" t="str">
        <f t="shared" ref="H322:H385" si="24">IF(EXACT(F322,$W$1), "open", IF(EXACT(F322,$X$1), "open", "unknown"))</f>
        <v>unknown</v>
      </c>
      <c r="K322" t="str">
        <f t="shared" ref="K322:K385" si="25">IF(AND(E322&lt;&gt;"", E322&lt;&gt;"unknown"), E322,
   IF(AND(G322&lt;&gt;"", G322&lt;&gt;"unknown"), G322,
   IF(AND(H322&lt;&gt;"", H322&lt;&gt;"unknown"), H322,
   IF(I322&lt;&gt;"", I322, "ERROR"))))</f>
        <v>scale</v>
      </c>
    </row>
    <row r="323" spans="1:11" ht="158.4" x14ac:dyDescent="0.3">
      <c r="A323" t="s">
        <v>3847</v>
      </c>
      <c r="B323" t="s">
        <v>3774</v>
      </c>
      <c r="C323" s="90" t="s">
        <v>3851</v>
      </c>
      <c r="E323" t="s">
        <v>5562</v>
      </c>
      <c r="F323" s="91" t="s">
        <v>3851</v>
      </c>
      <c r="G323" t="str">
        <f t="shared" si="23"/>
        <v>unknown</v>
      </c>
      <c r="H323" t="str">
        <f t="shared" si="24"/>
        <v>unknown</v>
      </c>
      <c r="K323" t="str">
        <f t="shared" si="25"/>
        <v>scale</v>
      </c>
    </row>
    <row r="324" spans="1:11" ht="144" x14ac:dyDescent="0.3">
      <c r="A324" t="s">
        <v>3847</v>
      </c>
      <c r="B324" t="s">
        <v>3852</v>
      </c>
      <c r="C324" s="90" t="s">
        <v>3853</v>
      </c>
      <c r="E324" t="s">
        <v>5562</v>
      </c>
      <c r="F324" s="91" t="s">
        <v>3853</v>
      </c>
      <c r="G324" t="str">
        <f t="shared" si="23"/>
        <v>unknown</v>
      </c>
      <c r="H324" t="str">
        <f t="shared" si="24"/>
        <v>unknown</v>
      </c>
      <c r="K324" t="str">
        <f t="shared" si="25"/>
        <v>scale</v>
      </c>
    </row>
    <row r="325" spans="1:11" ht="100.8" x14ac:dyDescent="0.3">
      <c r="A325" t="s">
        <v>3847</v>
      </c>
      <c r="B325" t="s">
        <v>3573</v>
      </c>
      <c r="C325" s="90" t="s">
        <v>3854</v>
      </c>
      <c r="E325" t="s">
        <v>5562</v>
      </c>
      <c r="F325" s="91" t="s">
        <v>3854</v>
      </c>
      <c r="G325" t="str">
        <f t="shared" si="23"/>
        <v>unknown</v>
      </c>
      <c r="H325" t="str">
        <f t="shared" si="24"/>
        <v>unknown</v>
      </c>
      <c r="K325" t="str">
        <f t="shared" si="25"/>
        <v>scale</v>
      </c>
    </row>
    <row r="326" spans="1:11" ht="158.4" x14ac:dyDescent="0.3">
      <c r="A326" t="s">
        <v>3847</v>
      </c>
      <c r="B326" t="s">
        <v>3579</v>
      </c>
      <c r="C326" s="90" t="s">
        <v>3855</v>
      </c>
      <c r="E326" t="s">
        <v>5562</v>
      </c>
      <c r="F326" s="91" t="s">
        <v>3855</v>
      </c>
      <c r="G326" t="str">
        <f t="shared" si="23"/>
        <v>unknown</v>
      </c>
      <c r="H326" t="str">
        <f t="shared" si="24"/>
        <v>unknown</v>
      </c>
      <c r="K326" t="str">
        <f t="shared" si="25"/>
        <v>scale</v>
      </c>
    </row>
    <row r="327" spans="1:11" ht="129.6" x14ac:dyDescent="0.3">
      <c r="A327" t="s">
        <v>3847</v>
      </c>
      <c r="B327" t="s">
        <v>3856</v>
      </c>
      <c r="C327" s="90" t="s">
        <v>3857</v>
      </c>
      <c r="E327" t="s">
        <v>5562</v>
      </c>
      <c r="F327" s="91" t="s">
        <v>3857</v>
      </c>
      <c r="G327" t="str">
        <f t="shared" si="23"/>
        <v>unknown</v>
      </c>
      <c r="H327" t="str">
        <f t="shared" si="24"/>
        <v>unknown</v>
      </c>
      <c r="K327" t="str">
        <f t="shared" si="25"/>
        <v>scale</v>
      </c>
    </row>
    <row r="328" spans="1:11" ht="72" x14ac:dyDescent="0.3">
      <c r="A328" t="s">
        <v>3847</v>
      </c>
      <c r="B328" t="s">
        <v>3858</v>
      </c>
      <c r="C328" s="90" t="s">
        <v>3859</v>
      </c>
      <c r="E328" t="s">
        <v>5562</v>
      </c>
      <c r="F328" s="91" t="s">
        <v>3859</v>
      </c>
      <c r="G328" t="str">
        <f t="shared" si="23"/>
        <v>unknown</v>
      </c>
      <c r="H328" t="str">
        <f t="shared" si="24"/>
        <v>unknown</v>
      </c>
      <c r="K328" t="str">
        <f t="shared" si="25"/>
        <v>scale</v>
      </c>
    </row>
    <row r="329" spans="1:11" ht="72" x14ac:dyDescent="0.3">
      <c r="A329" t="s">
        <v>3847</v>
      </c>
      <c r="B329" t="s">
        <v>3860</v>
      </c>
      <c r="C329" s="90" t="s">
        <v>3861</v>
      </c>
      <c r="E329" t="s">
        <v>5562</v>
      </c>
      <c r="F329" s="91" t="s">
        <v>3861</v>
      </c>
      <c r="G329" t="str">
        <f t="shared" si="23"/>
        <v>unknown</v>
      </c>
      <c r="H329" t="str">
        <f t="shared" si="24"/>
        <v>unknown</v>
      </c>
      <c r="K329" t="str">
        <f t="shared" si="25"/>
        <v>scale</v>
      </c>
    </row>
    <row r="330" spans="1:11" ht="100.8" x14ac:dyDescent="0.3">
      <c r="A330" t="s">
        <v>3847</v>
      </c>
      <c r="B330" t="s">
        <v>3862</v>
      </c>
      <c r="C330" s="90" t="s">
        <v>3863</v>
      </c>
      <c r="E330" t="s">
        <v>5562</v>
      </c>
      <c r="F330" s="91" t="s">
        <v>3863</v>
      </c>
      <c r="G330" t="str">
        <f t="shared" si="23"/>
        <v>unknown</v>
      </c>
      <c r="H330" t="str">
        <f t="shared" si="24"/>
        <v>unknown</v>
      </c>
      <c r="K330" t="str">
        <f t="shared" si="25"/>
        <v>scale</v>
      </c>
    </row>
    <row r="331" spans="1:11" ht="72" x14ac:dyDescent="0.3">
      <c r="A331" t="s">
        <v>3847</v>
      </c>
      <c r="B331" t="s">
        <v>3864</v>
      </c>
      <c r="C331" s="90" t="s">
        <v>3865</v>
      </c>
      <c r="D331" t="s">
        <v>5561</v>
      </c>
      <c r="E331" t="s">
        <v>399</v>
      </c>
      <c r="F331" s="92" t="s">
        <v>5577</v>
      </c>
      <c r="G331" t="str">
        <f t="shared" si="23"/>
        <v>unknown</v>
      </c>
      <c r="H331" t="str">
        <f t="shared" si="24"/>
        <v>unknown</v>
      </c>
      <c r="K331" t="str">
        <f t="shared" si="25"/>
        <v>sector</v>
      </c>
    </row>
    <row r="332" spans="1:11" ht="100.8" x14ac:dyDescent="0.3">
      <c r="A332" t="s">
        <v>3847</v>
      </c>
      <c r="B332" t="s">
        <v>3866</v>
      </c>
      <c r="C332" s="90" t="s">
        <v>3867</v>
      </c>
      <c r="E332" t="s">
        <v>5562</v>
      </c>
      <c r="F332" s="91" t="s">
        <v>3867</v>
      </c>
      <c r="G332" t="str">
        <f t="shared" si="23"/>
        <v>unknown</v>
      </c>
      <c r="H332" t="str">
        <f t="shared" si="24"/>
        <v>unknown</v>
      </c>
      <c r="K332" t="str">
        <f t="shared" si="25"/>
        <v>scale</v>
      </c>
    </row>
    <row r="333" spans="1:11" ht="72" x14ac:dyDescent="0.3">
      <c r="A333" t="s">
        <v>3847</v>
      </c>
      <c r="B333" t="s">
        <v>3320</v>
      </c>
      <c r="C333" s="90" t="s">
        <v>3868</v>
      </c>
      <c r="E333" t="s">
        <v>5562</v>
      </c>
      <c r="F333" s="91" t="s">
        <v>3868</v>
      </c>
      <c r="G333" t="str">
        <f t="shared" si="23"/>
        <v>unknown</v>
      </c>
      <c r="H333" t="str">
        <f t="shared" si="24"/>
        <v>unknown</v>
      </c>
      <c r="K333" t="str">
        <f t="shared" si="25"/>
        <v>scale</v>
      </c>
    </row>
    <row r="334" spans="1:11" ht="72" x14ac:dyDescent="0.3">
      <c r="A334" t="s">
        <v>3847</v>
      </c>
      <c r="B334" t="s">
        <v>3869</v>
      </c>
      <c r="C334" s="90" t="s">
        <v>3870</v>
      </c>
      <c r="E334" t="s">
        <v>5562</v>
      </c>
      <c r="F334" s="91" t="s">
        <v>3870</v>
      </c>
      <c r="G334" t="str">
        <f t="shared" si="23"/>
        <v>unknown</v>
      </c>
      <c r="H334" t="str">
        <f t="shared" si="24"/>
        <v>unknown</v>
      </c>
      <c r="K334" t="str">
        <f t="shared" si="25"/>
        <v>scale</v>
      </c>
    </row>
    <row r="335" spans="1:11" ht="57.6" x14ac:dyDescent="0.3">
      <c r="A335" t="s">
        <v>3847</v>
      </c>
      <c r="B335" t="s">
        <v>3788</v>
      </c>
      <c r="C335" s="90" t="s">
        <v>3871</v>
      </c>
      <c r="E335" t="s">
        <v>5562</v>
      </c>
      <c r="F335" s="91" t="s">
        <v>3871</v>
      </c>
      <c r="G335" t="str">
        <f t="shared" si="23"/>
        <v>unknown</v>
      </c>
      <c r="H335" t="str">
        <f t="shared" si="24"/>
        <v>unknown</v>
      </c>
      <c r="K335" t="str">
        <f t="shared" si="25"/>
        <v>scale</v>
      </c>
    </row>
    <row r="336" spans="1:11" ht="57.6" x14ac:dyDescent="0.3">
      <c r="A336" t="s">
        <v>3847</v>
      </c>
      <c r="B336" t="s">
        <v>3872</v>
      </c>
      <c r="C336" s="90" t="s">
        <v>3873</v>
      </c>
      <c r="E336" t="s">
        <v>5562</v>
      </c>
      <c r="F336" s="91" t="s">
        <v>3873</v>
      </c>
      <c r="G336" t="str">
        <f t="shared" si="23"/>
        <v>unknown</v>
      </c>
      <c r="H336" t="str">
        <f t="shared" si="24"/>
        <v>unknown</v>
      </c>
      <c r="K336" t="str">
        <f t="shared" si="25"/>
        <v>scale</v>
      </c>
    </row>
    <row r="337" spans="1:11" ht="115.2" x14ac:dyDescent="0.3">
      <c r="A337" t="s">
        <v>3847</v>
      </c>
      <c r="B337" t="s">
        <v>3874</v>
      </c>
      <c r="C337" s="90" t="s">
        <v>3875</v>
      </c>
      <c r="E337" t="s">
        <v>5562</v>
      </c>
      <c r="F337" s="91" t="s">
        <v>3875</v>
      </c>
      <c r="G337" t="str">
        <f t="shared" si="23"/>
        <v>unknown</v>
      </c>
      <c r="H337" t="str">
        <f t="shared" si="24"/>
        <v>unknown</v>
      </c>
      <c r="K337" t="str">
        <f t="shared" si="25"/>
        <v>scale</v>
      </c>
    </row>
    <row r="338" spans="1:11" ht="115.2" x14ac:dyDescent="0.3">
      <c r="A338" t="s">
        <v>3847</v>
      </c>
      <c r="B338" t="s">
        <v>3876</v>
      </c>
      <c r="C338" s="90" t="s">
        <v>3877</v>
      </c>
      <c r="E338" t="s">
        <v>5562</v>
      </c>
      <c r="F338" s="91" t="s">
        <v>3877</v>
      </c>
      <c r="G338" t="str">
        <f t="shared" si="23"/>
        <v>unknown</v>
      </c>
      <c r="H338" t="str">
        <f t="shared" si="24"/>
        <v>unknown</v>
      </c>
      <c r="K338" t="str">
        <f t="shared" si="25"/>
        <v>scale</v>
      </c>
    </row>
    <row r="339" spans="1:11" ht="144" x14ac:dyDescent="0.3">
      <c r="A339" t="s">
        <v>3847</v>
      </c>
      <c r="B339" t="s">
        <v>3878</v>
      </c>
      <c r="C339" s="90" t="s">
        <v>3879</v>
      </c>
      <c r="E339" t="s">
        <v>5562</v>
      </c>
      <c r="F339" s="91" t="s">
        <v>3879</v>
      </c>
      <c r="G339" t="str">
        <f t="shared" si="23"/>
        <v>unknown</v>
      </c>
      <c r="H339" t="str">
        <f t="shared" si="24"/>
        <v>unknown</v>
      </c>
      <c r="K339" t="str">
        <f t="shared" si="25"/>
        <v>scale</v>
      </c>
    </row>
    <row r="340" spans="1:11" ht="187.2" x14ac:dyDescent="0.3">
      <c r="A340" t="s">
        <v>3847</v>
      </c>
      <c r="B340" t="s">
        <v>3880</v>
      </c>
      <c r="C340" s="90" t="s">
        <v>3881</v>
      </c>
      <c r="E340" t="s">
        <v>5562</v>
      </c>
      <c r="F340" s="91" t="s">
        <v>3881</v>
      </c>
      <c r="G340" t="str">
        <f t="shared" si="23"/>
        <v>unknown</v>
      </c>
      <c r="H340" t="str">
        <f t="shared" si="24"/>
        <v>unknown</v>
      </c>
      <c r="K340" t="str">
        <f t="shared" si="25"/>
        <v>scale</v>
      </c>
    </row>
    <row r="341" spans="1:11" ht="72" x14ac:dyDescent="0.3">
      <c r="A341" t="s">
        <v>3847</v>
      </c>
      <c r="B341" t="s">
        <v>3882</v>
      </c>
      <c r="C341" s="90" t="s">
        <v>3883</v>
      </c>
      <c r="E341" t="s">
        <v>5562</v>
      </c>
      <c r="F341" s="91" t="s">
        <v>3883</v>
      </c>
      <c r="G341" t="str">
        <f t="shared" si="23"/>
        <v>unknown</v>
      </c>
      <c r="H341" t="str">
        <f t="shared" si="24"/>
        <v>unknown</v>
      </c>
      <c r="K341" t="str">
        <f t="shared" si="25"/>
        <v>scale</v>
      </c>
    </row>
    <row r="342" spans="1:11" ht="72" x14ac:dyDescent="0.3">
      <c r="A342" t="s">
        <v>3847</v>
      </c>
      <c r="B342" t="s">
        <v>3884</v>
      </c>
      <c r="C342" s="90" t="s">
        <v>3885</v>
      </c>
      <c r="E342" t="s">
        <v>5562</v>
      </c>
      <c r="F342" s="91" t="s">
        <v>3885</v>
      </c>
      <c r="G342" t="str">
        <f t="shared" si="23"/>
        <v>unknown</v>
      </c>
      <c r="H342" t="str">
        <f t="shared" si="24"/>
        <v>unknown</v>
      </c>
      <c r="K342" t="str">
        <f t="shared" si="25"/>
        <v>scale</v>
      </c>
    </row>
    <row r="343" spans="1:11" ht="100.8" x14ac:dyDescent="0.3">
      <c r="A343" t="s">
        <v>3847</v>
      </c>
      <c r="B343" t="s">
        <v>3886</v>
      </c>
      <c r="C343" s="90" t="s">
        <v>3887</v>
      </c>
      <c r="E343" t="s">
        <v>5562</v>
      </c>
      <c r="F343" s="91" t="s">
        <v>3887</v>
      </c>
      <c r="G343" t="str">
        <f t="shared" si="23"/>
        <v>unknown</v>
      </c>
      <c r="H343" t="str">
        <f t="shared" si="24"/>
        <v>unknown</v>
      </c>
      <c r="K343" t="str">
        <f t="shared" si="25"/>
        <v>scale</v>
      </c>
    </row>
    <row r="344" spans="1:11" ht="28.8" x14ac:dyDescent="0.3">
      <c r="A344" t="s">
        <v>3847</v>
      </c>
      <c r="B344" t="s">
        <v>3888</v>
      </c>
      <c r="C344" s="90" t="s">
        <v>3889</v>
      </c>
      <c r="D344" t="s">
        <v>5563</v>
      </c>
      <c r="E344" t="s">
        <v>5560</v>
      </c>
      <c r="F344" s="92" t="s">
        <v>5567</v>
      </c>
      <c r="G344" t="str">
        <f>IF(EXACT($F344, $Q$1), "sector", IF(EXACT($F344, $R$1), "sector", IF(EXACT($F344, $T$1), "sector", IF(EXACT($F344, $U$1), "sector", "unknown"))))</f>
        <v>sector</v>
      </c>
      <c r="H344" t="str">
        <f t="shared" si="24"/>
        <v>unknown</v>
      </c>
      <c r="K344" t="str">
        <f t="shared" si="25"/>
        <v>sector</v>
      </c>
    </row>
    <row r="345" spans="1:11" ht="158.4" x14ac:dyDescent="0.3">
      <c r="A345" t="s">
        <v>3847</v>
      </c>
      <c r="B345" t="s">
        <v>3890</v>
      </c>
      <c r="C345" s="90" t="s">
        <v>3891</v>
      </c>
      <c r="E345" t="s">
        <v>5562</v>
      </c>
      <c r="F345" s="91" t="s">
        <v>3891</v>
      </c>
      <c r="G345" t="str">
        <f t="shared" ref="G345:G350" si="26">IF(EXACT($F345, $Q$1), "sector", "unknown")</f>
        <v>unknown</v>
      </c>
      <c r="H345" t="str">
        <f t="shared" si="24"/>
        <v>unknown</v>
      </c>
      <c r="K345" t="str">
        <f t="shared" si="25"/>
        <v>scale</v>
      </c>
    </row>
    <row r="346" spans="1:11" ht="158.4" x14ac:dyDescent="0.3">
      <c r="A346" t="s">
        <v>3847</v>
      </c>
      <c r="B346" t="s">
        <v>3892</v>
      </c>
      <c r="C346" s="90" t="s">
        <v>3893</v>
      </c>
      <c r="E346" t="s">
        <v>5562</v>
      </c>
      <c r="F346" s="91" t="s">
        <v>3893</v>
      </c>
      <c r="G346" t="str">
        <f t="shared" si="26"/>
        <v>unknown</v>
      </c>
      <c r="H346" t="str">
        <f t="shared" si="24"/>
        <v>unknown</v>
      </c>
      <c r="K346" t="str">
        <f t="shared" si="25"/>
        <v>scale</v>
      </c>
    </row>
    <row r="347" spans="1:11" ht="158.4" x14ac:dyDescent="0.3">
      <c r="A347" t="s">
        <v>3847</v>
      </c>
      <c r="B347" t="s">
        <v>3894</v>
      </c>
      <c r="C347" s="90" t="s">
        <v>3895</v>
      </c>
      <c r="E347" t="s">
        <v>5562</v>
      </c>
      <c r="F347" s="91" t="s">
        <v>3895</v>
      </c>
      <c r="G347" t="str">
        <f t="shared" si="26"/>
        <v>unknown</v>
      </c>
      <c r="H347" t="str">
        <f t="shared" si="24"/>
        <v>unknown</v>
      </c>
      <c r="K347" t="str">
        <f t="shared" si="25"/>
        <v>scale</v>
      </c>
    </row>
    <row r="348" spans="1:11" ht="158.4" x14ac:dyDescent="0.3">
      <c r="A348" t="s">
        <v>3847</v>
      </c>
      <c r="B348" t="s">
        <v>3375</v>
      </c>
      <c r="C348" s="90" t="s">
        <v>3896</v>
      </c>
      <c r="E348" t="s">
        <v>5562</v>
      </c>
      <c r="F348" s="91" t="s">
        <v>3896</v>
      </c>
      <c r="G348" t="str">
        <f t="shared" si="26"/>
        <v>unknown</v>
      </c>
      <c r="H348" t="str">
        <f t="shared" si="24"/>
        <v>unknown</v>
      </c>
      <c r="K348" t="str">
        <f t="shared" si="25"/>
        <v>scale</v>
      </c>
    </row>
    <row r="349" spans="1:11" ht="172.8" x14ac:dyDescent="0.3">
      <c r="A349" t="s">
        <v>3847</v>
      </c>
      <c r="B349" t="s">
        <v>3897</v>
      </c>
      <c r="C349" s="90" t="s">
        <v>3898</v>
      </c>
      <c r="E349" t="s">
        <v>5562</v>
      </c>
      <c r="F349" s="91" t="s">
        <v>3898</v>
      </c>
      <c r="G349" t="str">
        <f t="shared" si="26"/>
        <v>unknown</v>
      </c>
      <c r="H349" t="str">
        <f t="shared" si="24"/>
        <v>unknown</v>
      </c>
      <c r="K349" t="str">
        <f t="shared" si="25"/>
        <v>scale</v>
      </c>
    </row>
    <row r="350" spans="1:11" ht="158.4" x14ac:dyDescent="0.3">
      <c r="A350" t="s">
        <v>3847</v>
      </c>
      <c r="B350" t="s">
        <v>3899</v>
      </c>
      <c r="C350" s="90" t="s">
        <v>3893</v>
      </c>
      <c r="E350" t="s">
        <v>5562</v>
      </c>
      <c r="F350" s="91" t="s">
        <v>3893</v>
      </c>
      <c r="G350" t="str">
        <f t="shared" si="26"/>
        <v>unknown</v>
      </c>
      <c r="H350" t="str">
        <f t="shared" si="24"/>
        <v>unknown</v>
      </c>
      <c r="K350" t="str">
        <f t="shared" si="25"/>
        <v>scale</v>
      </c>
    </row>
    <row r="351" spans="1:11" ht="28.8" x14ac:dyDescent="0.3">
      <c r="A351" t="s">
        <v>3847</v>
      </c>
      <c r="B351" t="s">
        <v>3384</v>
      </c>
      <c r="C351" s="90" t="s">
        <v>3889</v>
      </c>
      <c r="D351" t="s">
        <v>5563</v>
      </c>
      <c r="E351" t="s">
        <v>5560</v>
      </c>
      <c r="F351" s="92" t="s">
        <v>5567</v>
      </c>
      <c r="G351" t="str">
        <f>IF(EXACT($F351, $Q$1), "sector", IF(EXACT($F351, $R$1), "sector", IF(EXACT($F351, $T$1), "sector", IF(EXACT($F351, $U$1), "sector", "unknown"))))</f>
        <v>sector</v>
      </c>
      <c r="H351" t="str">
        <f t="shared" si="24"/>
        <v>unknown</v>
      </c>
      <c r="K351" t="str">
        <f t="shared" si="25"/>
        <v>sector</v>
      </c>
    </row>
    <row r="352" spans="1:11" ht="158.4" x14ac:dyDescent="0.3">
      <c r="A352" t="s">
        <v>3847</v>
      </c>
      <c r="B352" t="s">
        <v>3900</v>
      </c>
      <c r="C352" s="90" t="s">
        <v>3893</v>
      </c>
      <c r="E352" t="s">
        <v>5562</v>
      </c>
      <c r="F352" s="91" t="s">
        <v>3893</v>
      </c>
      <c r="G352" t="str">
        <f>IF(EXACT($F352, $Q$1), "sector", "unknown")</f>
        <v>unknown</v>
      </c>
      <c r="H352" t="str">
        <f t="shared" si="24"/>
        <v>unknown</v>
      </c>
      <c r="K352" t="str">
        <f t="shared" si="25"/>
        <v>scale</v>
      </c>
    </row>
    <row r="353" spans="1:11" ht="28.8" x14ac:dyDescent="0.3">
      <c r="A353" t="s">
        <v>3847</v>
      </c>
      <c r="B353" t="s">
        <v>3901</v>
      </c>
      <c r="C353" s="90" t="s">
        <v>3889</v>
      </c>
      <c r="D353" t="s">
        <v>5563</v>
      </c>
      <c r="E353" t="s">
        <v>5560</v>
      </c>
      <c r="F353" s="92" t="s">
        <v>5567</v>
      </c>
      <c r="G353" t="str">
        <f>IF(EXACT($F353, $Q$1), "sector", IF(EXACT($F353, $R$1), "sector", IF(EXACT($F353, $T$1), "sector", IF(EXACT($F353, $U$1), "sector", "unknown"))))</f>
        <v>sector</v>
      </c>
      <c r="H353" t="str">
        <f t="shared" si="24"/>
        <v>unknown</v>
      </c>
      <c r="K353" t="str">
        <f t="shared" si="25"/>
        <v>sector</v>
      </c>
    </row>
    <row r="354" spans="1:11" ht="57.6" x14ac:dyDescent="0.3">
      <c r="A354" t="s">
        <v>3847</v>
      </c>
      <c r="B354" t="s">
        <v>3902</v>
      </c>
      <c r="C354" s="90" t="s">
        <v>3903</v>
      </c>
      <c r="E354" t="s">
        <v>5562</v>
      </c>
      <c r="F354" s="91" t="s">
        <v>3903</v>
      </c>
      <c r="G354" t="str">
        <f>IF(EXACT($F354, $Q$1), "sector", "unknown")</f>
        <v>unknown</v>
      </c>
      <c r="H354" t="str">
        <f t="shared" si="24"/>
        <v>unknown</v>
      </c>
      <c r="K354" t="str">
        <f t="shared" si="25"/>
        <v>scale</v>
      </c>
    </row>
    <row r="355" spans="1:11" ht="158.4" x14ac:dyDescent="0.3">
      <c r="A355" t="s">
        <v>3847</v>
      </c>
      <c r="B355" t="s">
        <v>3904</v>
      </c>
      <c r="C355" s="90" t="s">
        <v>3896</v>
      </c>
      <c r="E355" t="s">
        <v>5562</v>
      </c>
      <c r="F355" s="91" t="s">
        <v>3896</v>
      </c>
      <c r="G355" t="str">
        <f>IF(EXACT($F355, $Q$1), "sector", "unknown")</f>
        <v>unknown</v>
      </c>
      <c r="H355" t="str">
        <f t="shared" si="24"/>
        <v>unknown</v>
      </c>
      <c r="K355" t="str">
        <f t="shared" si="25"/>
        <v>scale</v>
      </c>
    </row>
    <row r="356" spans="1:11" ht="172.8" x14ac:dyDescent="0.3">
      <c r="A356" t="s">
        <v>3847</v>
      </c>
      <c r="B356" t="s">
        <v>3905</v>
      </c>
      <c r="C356" s="90" t="s">
        <v>3898</v>
      </c>
      <c r="E356" t="s">
        <v>5562</v>
      </c>
      <c r="F356" s="91" t="s">
        <v>3898</v>
      </c>
      <c r="G356" t="str">
        <f>IF(EXACT($F356, $Q$1), "sector", "unknown")</f>
        <v>unknown</v>
      </c>
      <c r="H356" t="str">
        <f t="shared" si="24"/>
        <v>unknown</v>
      </c>
      <c r="K356" t="str">
        <f t="shared" si="25"/>
        <v>scale</v>
      </c>
    </row>
    <row r="357" spans="1:11" ht="100.8" x14ac:dyDescent="0.3">
      <c r="A357" t="s">
        <v>3847</v>
      </c>
      <c r="B357" t="s">
        <v>3906</v>
      </c>
      <c r="C357" s="90" t="s">
        <v>3907</v>
      </c>
      <c r="E357" t="s">
        <v>5562</v>
      </c>
      <c r="F357" s="91" t="s">
        <v>3907</v>
      </c>
      <c r="G357" t="str">
        <f>IF(EXACT($F357, $Q$1), "sector", "unknown")</f>
        <v>unknown</v>
      </c>
      <c r="H357" t="str">
        <f t="shared" si="24"/>
        <v>unknown</v>
      </c>
      <c r="K357" t="str">
        <f t="shared" si="25"/>
        <v>scale</v>
      </c>
    </row>
    <row r="358" spans="1:11" ht="28.8" x14ac:dyDescent="0.3">
      <c r="A358" t="s">
        <v>3847</v>
      </c>
      <c r="B358" t="s">
        <v>3908</v>
      </c>
      <c r="C358" s="90" t="s">
        <v>3889</v>
      </c>
      <c r="D358" t="s">
        <v>5563</v>
      </c>
      <c r="E358" t="s">
        <v>5560</v>
      </c>
      <c r="F358" s="92" t="s">
        <v>5567</v>
      </c>
      <c r="G358" t="str">
        <f>IF(EXACT($F358, $Q$1), "sector", IF(EXACT($F358, $R$1), "sector", IF(EXACT($F358, $T$1), "sector", IF(EXACT($F358, $U$1), "sector", "unknown"))))</f>
        <v>sector</v>
      </c>
      <c r="H358" t="str">
        <f t="shared" si="24"/>
        <v>unknown</v>
      </c>
      <c r="K358" t="str">
        <f t="shared" si="25"/>
        <v>sector</v>
      </c>
    </row>
    <row r="359" spans="1:11" ht="201.6" x14ac:dyDescent="0.3">
      <c r="A359" t="s">
        <v>3847</v>
      </c>
      <c r="B359" t="s">
        <v>3909</v>
      </c>
      <c r="C359" s="90" t="s">
        <v>3910</v>
      </c>
      <c r="E359" t="s">
        <v>5562</v>
      </c>
      <c r="F359" s="91" t="s">
        <v>3910</v>
      </c>
      <c r="G359" t="str">
        <f>IF(EXACT($F359, $Q$1), "sector", "unknown")</f>
        <v>unknown</v>
      </c>
      <c r="H359" t="str">
        <f t="shared" si="24"/>
        <v>unknown</v>
      </c>
      <c r="K359" t="str">
        <f t="shared" si="25"/>
        <v>scale</v>
      </c>
    </row>
    <row r="360" spans="1:11" ht="158.4" x14ac:dyDescent="0.3">
      <c r="A360" t="s">
        <v>3847</v>
      </c>
      <c r="B360" t="s">
        <v>3911</v>
      </c>
      <c r="C360" s="90" t="s">
        <v>3896</v>
      </c>
      <c r="E360" t="s">
        <v>5562</v>
      </c>
      <c r="F360" s="91" t="s">
        <v>3896</v>
      </c>
      <c r="G360" t="str">
        <f>IF(EXACT($F360, $Q$1), "sector", "unknown")</f>
        <v>unknown</v>
      </c>
      <c r="H360" t="str">
        <f t="shared" si="24"/>
        <v>unknown</v>
      </c>
      <c r="K360" t="str">
        <f t="shared" si="25"/>
        <v>scale</v>
      </c>
    </row>
    <row r="361" spans="1:11" ht="100.8" x14ac:dyDescent="0.3">
      <c r="A361" t="s">
        <v>3847</v>
      </c>
      <c r="B361" t="s">
        <v>3912</v>
      </c>
      <c r="C361" s="90" t="s">
        <v>3913</v>
      </c>
      <c r="E361" t="s">
        <v>5562</v>
      </c>
      <c r="F361" s="91" t="s">
        <v>3913</v>
      </c>
      <c r="G361" t="str">
        <f>IF(EXACT($F361, $Q$1), "sector", "unknown")</f>
        <v>unknown</v>
      </c>
      <c r="H361" t="str">
        <f t="shared" si="24"/>
        <v>unknown</v>
      </c>
      <c r="K361" t="str">
        <f t="shared" si="25"/>
        <v>scale</v>
      </c>
    </row>
    <row r="362" spans="1:11" ht="28.8" x14ac:dyDescent="0.3">
      <c r="A362" t="s">
        <v>3847</v>
      </c>
      <c r="B362" t="s">
        <v>3623</v>
      </c>
      <c r="C362" s="90" t="s">
        <v>3889</v>
      </c>
      <c r="D362" t="s">
        <v>5563</v>
      </c>
      <c r="E362" t="s">
        <v>5560</v>
      </c>
      <c r="F362" s="92" t="s">
        <v>5567</v>
      </c>
      <c r="G362" t="str">
        <f>IF(EXACT($F362, $Q$1), "sector", IF(EXACT($F362, $R$1), "sector", IF(EXACT($F362, $T$1), "sector", IF(EXACT($F362, $U$1), "sector", "unknown"))))</f>
        <v>sector</v>
      </c>
      <c r="H362" t="str">
        <f t="shared" si="24"/>
        <v>unknown</v>
      </c>
      <c r="K362" t="str">
        <f t="shared" si="25"/>
        <v>sector</v>
      </c>
    </row>
    <row r="363" spans="1:11" ht="158.4" x14ac:dyDescent="0.3">
      <c r="A363" t="s">
        <v>3847</v>
      </c>
      <c r="B363" t="s">
        <v>3914</v>
      </c>
      <c r="C363" s="90" t="s">
        <v>3893</v>
      </c>
      <c r="E363" t="s">
        <v>5562</v>
      </c>
      <c r="F363" s="91" t="s">
        <v>3893</v>
      </c>
      <c r="G363" t="str">
        <f>IF(EXACT($F363, $Q$1), "sector", "unknown")</f>
        <v>unknown</v>
      </c>
      <c r="H363" t="str">
        <f t="shared" si="24"/>
        <v>unknown</v>
      </c>
      <c r="K363" t="str">
        <f t="shared" si="25"/>
        <v>scale</v>
      </c>
    </row>
    <row r="364" spans="1:11" ht="158.4" x14ac:dyDescent="0.3">
      <c r="A364" t="s">
        <v>3847</v>
      </c>
      <c r="B364" t="s">
        <v>3399</v>
      </c>
      <c r="C364" s="90" t="s">
        <v>3893</v>
      </c>
      <c r="E364" t="s">
        <v>5562</v>
      </c>
      <c r="F364" s="91" t="s">
        <v>3893</v>
      </c>
      <c r="G364" t="str">
        <f>IF(EXACT($F364, $Q$1), "sector", "unknown")</f>
        <v>unknown</v>
      </c>
      <c r="H364" t="str">
        <f t="shared" si="24"/>
        <v>unknown</v>
      </c>
      <c r="K364" t="str">
        <f t="shared" si="25"/>
        <v>scale</v>
      </c>
    </row>
    <row r="365" spans="1:11" ht="100.8" x14ac:dyDescent="0.3">
      <c r="A365" t="s">
        <v>3847</v>
      </c>
      <c r="B365" t="s">
        <v>3821</v>
      </c>
      <c r="C365" s="90" t="s">
        <v>3907</v>
      </c>
      <c r="E365" t="s">
        <v>5562</v>
      </c>
      <c r="F365" s="91" t="s">
        <v>3907</v>
      </c>
      <c r="G365" t="str">
        <f>IF(EXACT($F365, $Q$1), "sector", "unknown")</f>
        <v>unknown</v>
      </c>
      <c r="H365" t="str">
        <f t="shared" si="24"/>
        <v>unknown</v>
      </c>
      <c r="K365" t="str">
        <f t="shared" si="25"/>
        <v>scale</v>
      </c>
    </row>
    <row r="366" spans="1:11" ht="72" x14ac:dyDescent="0.3">
      <c r="A366" t="s">
        <v>3847</v>
      </c>
      <c r="B366" t="s">
        <v>3915</v>
      </c>
      <c r="C366" s="90" t="s">
        <v>3868</v>
      </c>
      <c r="E366" t="s">
        <v>5562</v>
      </c>
      <c r="F366" s="91" t="s">
        <v>3868</v>
      </c>
      <c r="G366" t="str">
        <f>IF(EXACT($F366, $Q$1), "sector", "unknown")</f>
        <v>unknown</v>
      </c>
      <c r="H366" t="str">
        <f t="shared" si="24"/>
        <v>unknown</v>
      </c>
      <c r="K366" t="str">
        <f t="shared" si="25"/>
        <v>scale</v>
      </c>
    </row>
    <row r="367" spans="1:11" ht="43.2" x14ac:dyDescent="0.3">
      <c r="A367" t="s">
        <v>3847</v>
      </c>
      <c r="B367" t="s">
        <v>3916</v>
      </c>
      <c r="C367" s="90" t="s">
        <v>3917</v>
      </c>
      <c r="D367" t="s">
        <v>5561</v>
      </c>
      <c r="E367" t="s">
        <v>5560</v>
      </c>
      <c r="F367" s="92" t="s">
        <v>5578</v>
      </c>
      <c r="G367" t="str">
        <f>IF(EXACT($F367, $Q$1), "sector", IF(EXACT($F367, $R$1), "sector", IF(EXACT($F367, $T$1), "sector", IF(EXACT($F367, $U$1), "sector", "unknown"))))</f>
        <v>unknown</v>
      </c>
      <c r="H367" t="str">
        <f t="shared" si="24"/>
        <v>unknown</v>
      </c>
      <c r="I367" t="s">
        <v>5664</v>
      </c>
      <c r="K367" t="str">
        <f t="shared" si="25"/>
        <v>partyChange</v>
      </c>
    </row>
    <row r="368" spans="1:11" ht="57.6" x14ac:dyDescent="0.3">
      <c r="A368" t="s">
        <v>3847</v>
      </c>
      <c r="B368" t="s">
        <v>3918</v>
      </c>
      <c r="C368" s="90" t="s">
        <v>3919</v>
      </c>
      <c r="D368" t="s">
        <v>5561</v>
      </c>
      <c r="E368" t="s">
        <v>5560</v>
      </c>
      <c r="F368" s="92" t="s">
        <v>5579</v>
      </c>
      <c r="G368" t="str">
        <f>IF(EXACT($F368, $Q$1), "sector", IF(EXACT($F368, $R$1), "sector", IF(EXACT($F368, $T$1), "sector", IF(EXACT($F368, $U$1), "sector", "unknown"))))</f>
        <v>unknown</v>
      </c>
      <c r="H368" t="str">
        <f t="shared" si="24"/>
        <v>unknown</v>
      </c>
      <c r="I368" t="s">
        <v>5664</v>
      </c>
      <c r="K368" t="str">
        <f t="shared" si="25"/>
        <v>partyChange</v>
      </c>
    </row>
    <row r="369" spans="1:11" ht="72" x14ac:dyDescent="0.3">
      <c r="A369" t="s">
        <v>3847</v>
      </c>
      <c r="B369" t="s">
        <v>3920</v>
      </c>
      <c r="C369" s="90" t="s">
        <v>3921</v>
      </c>
      <c r="D369" t="s">
        <v>5563</v>
      </c>
      <c r="E369" t="s">
        <v>5562</v>
      </c>
      <c r="F369" s="92" t="s">
        <v>5580</v>
      </c>
      <c r="G369" t="str">
        <f>IF(EXACT($F369, $Q$1), "sector", "unknown")</f>
        <v>unknown</v>
      </c>
      <c r="H369" t="str">
        <f t="shared" si="24"/>
        <v>unknown</v>
      </c>
      <c r="I369" t="s">
        <v>5664</v>
      </c>
      <c r="K369" t="str">
        <f t="shared" si="25"/>
        <v>scale</v>
      </c>
    </row>
    <row r="370" spans="1:11" ht="28.8" x14ac:dyDescent="0.3">
      <c r="A370" t="s">
        <v>3847</v>
      </c>
      <c r="B370" t="s">
        <v>3922</v>
      </c>
      <c r="C370" s="90" t="s">
        <v>3923</v>
      </c>
      <c r="D370" t="s">
        <v>5563</v>
      </c>
      <c r="E370" t="s">
        <v>5560</v>
      </c>
      <c r="F370" s="92" t="s">
        <v>5581</v>
      </c>
      <c r="G370" t="str">
        <f>IF(EXACT($F370, $Q$1), "sector", IF(EXACT($F370, $R$1), "sector", IF(EXACT($F370, $T$1), "sector", IF(EXACT($F370, $U$1), "sector", "unknown"))))</f>
        <v>unknown</v>
      </c>
      <c r="H370" t="str">
        <f t="shared" si="24"/>
        <v>unknown</v>
      </c>
      <c r="I370" t="s">
        <v>5664</v>
      </c>
      <c r="K370" t="str">
        <f t="shared" si="25"/>
        <v>partyChange</v>
      </c>
    </row>
    <row r="371" spans="1:11" ht="86.4" x14ac:dyDescent="0.3">
      <c r="A371" t="s">
        <v>3847</v>
      </c>
      <c r="B371" t="s">
        <v>3924</v>
      </c>
      <c r="C371" s="90" t="s">
        <v>3925</v>
      </c>
      <c r="E371" t="s">
        <v>5562</v>
      </c>
      <c r="F371" s="91" t="s">
        <v>3925</v>
      </c>
      <c r="G371" t="str">
        <f t="shared" ref="G371:G383" si="27">IF(EXACT($F371, $Q$1), "sector", "unknown")</f>
        <v>unknown</v>
      </c>
      <c r="H371" t="str">
        <f t="shared" si="24"/>
        <v>unknown</v>
      </c>
      <c r="K371" t="str">
        <f t="shared" si="25"/>
        <v>scale</v>
      </c>
    </row>
    <row r="372" spans="1:11" ht="158.4" x14ac:dyDescent="0.3">
      <c r="A372" t="s">
        <v>3847</v>
      </c>
      <c r="B372" t="s">
        <v>3926</v>
      </c>
      <c r="C372" s="90" t="s">
        <v>3927</v>
      </c>
      <c r="E372" t="s">
        <v>5562</v>
      </c>
      <c r="F372" s="91" t="s">
        <v>3927</v>
      </c>
      <c r="G372" t="str">
        <f t="shared" si="27"/>
        <v>unknown</v>
      </c>
      <c r="H372" t="str">
        <f t="shared" si="24"/>
        <v>unknown</v>
      </c>
      <c r="K372" t="str">
        <f t="shared" si="25"/>
        <v>scale</v>
      </c>
    </row>
    <row r="373" spans="1:11" ht="216" x14ac:dyDescent="0.3">
      <c r="A373" t="s">
        <v>3847</v>
      </c>
      <c r="B373" t="s">
        <v>3928</v>
      </c>
      <c r="C373" s="90" t="s">
        <v>3929</v>
      </c>
      <c r="E373" t="s">
        <v>5562</v>
      </c>
      <c r="F373" s="91" t="s">
        <v>3929</v>
      </c>
      <c r="G373" t="str">
        <f t="shared" si="27"/>
        <v>unknown</v>
      </c>
      <c r="H373" t="str">
        <f t="shared" si="24"/>
        <v>unknown</v>
      </c>
      <c r="K373" t="str">
        <f t="shared" si="25"/>
        <v>scale</v>
      </c>
    </row>
    <row r="374" spans="1:11" ht="129.6" x14ac:dyDescent="0.3">
      <c r="A374" t="s">
        <v>3847</v>
      </c>
      <c r="B374" t="s">
        <v>3930</v>
      </c>
      <c r="C374" s="90" t="s">
        <v>3931</v>
      </c>
      <c r="E374" t="s">
        <v>5562</v>
      </c>
      <c r="F374" s="91" t="s">
        <v>3931</v>
      </c>
      <c r="G374" t="str">
        <f t="shared" si="27"/>
        <v>unknown</v>
      </c>
      <c r="H374" t="str">
        <f t="shared" si="24"/>
        <v>unknown</v>
      </c>
      <c r="K374" t="str">
        <f t="shared" si="25"/>
        <v>scale</v>
      </c>
    </row>
    <row r="375" spans="1:11" ht="115.2" x14ac:dyDescent="0.3">
      <c r="A375" t="s">
        <v>3847</v>
      </c>
      <c r="B375" t="s">
        <v>3932</v>
      </c>
      <c r="C375" s="90" t="s">
        <v>3933</v>
      </c>
      <c r="E375" t="s">
        <v>5562</v>
      </c>
      <c r="F375" s="91" t="s">
        <v>3933</v>
      </c>
      <c r="G375" t="str">
        <f t="shared" si="27"/>
        <v>unknown</v>
      </c>
      <c r="H375" t="str">
        <f t="shared" si="24"/>
        <v>unknown</v>
      </c>
      <c r="K375" t="str">
        <f t="shared" si="25"/>
        <v>scale</v>
      </c>
    </row>
    <row r="376" spans="1:11" ht="100.8" x14ac:dyDescent="0.3">
      <c r="A376" t="s">
        <v>3847</v>
      </c>
      <c r="B376" t="s">
        <v>3934</v>
      </c>
      <c r="C376" s="90" t="s">
        <v>3935</v>
      </c>
      <c r="E376" t="s">
        <v>5562</v>
      </c>
      <c r="F376" s="91" t="s">
        <v>3935</v>
      </c>
      <c r="G376" t="str">
        <f t="shared" si="27"/>
        <v>unknown</v>
      </c>
      <c r="H376" t="str">
        <f t="shared" si="24"/>
        <v>unknown</v>
      </c>
      <c r="K376" t="str">
        <f t="shared" si="25"/>
        <v>scale</v>
      </c>
    </row>
    <row r="377" spans="1:11" ht="129.6" x14ac:dyDescent="0.3">
      <c r="A377" t="s">
        <v>3847</v>
      </c>
      <c r="B377" t="s">
        <v>3936</v>
      </c>
      <c r="C377" s="90" t="s">
        <v>3937</v>
      </c>
      <c r="E377" t="s">
        <v>5562</v>
      </c>
      <c r="F377" s="91" t="s">
        <v>3937</v>
      </c>
      <c r="G377" t="str">
        <f t="shared" si="27"/>
        <v>unknown</v>
      </c>
      <c r="H377" t="str">
        <f t="shared" si="24"/>
        <v>unknown</v>
      </c>
      <c r="K377" t="str">
        <f t="shared" si="25"/>
        <v>scale</v>
      </c>
    </row>
    <row r="378" spans="1:11" ht="115.2" x14ac:dyDescent="0.3">
      <c r="A378" t="s">
        <v>3847</v>
      </c>
      <c r="B378" t="s">
        <v>3938</v>
      </c>
      <c r="C378" s="90" t="s">
        <v>3712</v>
      </c>
      <c r="E378" t="s">
        <v>5562</v>
      </c>
      <c r="F378" s="91" t="s">
        <v>3712</v>
      </c>
      <c r="G378" t="str">
        <f t="shared" si="27"/>
        <v>unknown</v>
      </c>
      <c r="H378" t="str">
        <f t="shared" si="24"/>
        <v>unknown</v>
      </c>
      <c r="K378" t="str">
        <f t="shared" si="25"/>
        <v>scale</v>
      </c>
    </row>
    <row r="379" spans="1:11" ht="115.2" x14ac:dyDescent="0.3">
      <c r="A379" t="s">
        <v>3847</v>
      </c>
      <c r="B379" t="s">
        <v>3939</v>
      </c>
      <c r="C379" s="90" t="s">
        <v>3712</v>
      </c>
      <c r="E379" t="s">
        <v>5562</v>
      </c>
      <c r="F379" s="91" t="s">
        <v>3712</v>
      </c>
      <c r="G379" t="str">
        <f t="shared" si="27"/>
        <v>unknown</v>
      </c>
      <c r="H379" t="str">
        <f t="shared" si="24"/>
        <v>unknown</v>
      </c>
      <c r="K379" t="str">
        <f t="shared" si="25"/>
        <v>scale</v>
      </c>
    </row>
    <row r="380" spans="1:11" ht="158.4" x14ac:dyDescent="0.3">
      <c r="A380" t="s">
        <v>3847</v>
      </c>
      <c r="B380" t="s">
        <v>3940</v>
      </c>
      <c r="C380" s="90" t="s">
        <v>3941</v>
      </c>
      <c r="E380" t="s">
        <v>5562</v>
      </c>
      <c r="F380" s="91" t="s">
        <v>3941</v>
      </c>
      <c r="G380" t="str">
        <f t="shared" si="27"/>
        <v>unknown</v>
      </c>
      <c r="H380" t="str">
        <f t="shared" si="24"/>
        <v>unknown</v>
      </c>
      <c r="K380" t="str">
        <f t="shared" si="25"/>
        <v>scale</v>
      </c>
    </row>
    <row r="381" spans="1:11" ht="86.4" x14ac:dyDescent="0.3">
      <c r="A381" t="s">
        <v>3847</v>
      </c>
      <c r="B381" t="s">
        <v>3942</v>
      </c>
      <c r="C381" s="90" t="s">
        <v>3943</v>
      </c>
      <c r="E381" t="s">
        <v>5562</v>
      </c>
      <c r="F381" s="91" t="s">
        <v>3943</v>
      </c>
      <c r="G381" t="str">
        <f t="shared" si="27"/>
        <v>unknown</v>
      </c>
      <c r="H381" t="str">
        <f t="shared" si="24"/>
        <v>unknown</v>
      </c>
      <c r="K381" t="str">
        <f t="shared" si="25"/>
        <v>scale</v>
      </c>
    </row>
    <row r="382" spans="1:11" ht="86.4" x14ac:dyDescent="0.3">
      <c r="A382" t="s">
        <v>3944</v>
      </c>
      <c r="B382" t="s">
        <v>3562</v>
      </c>
      <c r="C382" s="90" t="s">
        <v>3945</v>
      </c>
      <c r="E382" t="s">
        <v>5562</v>
      </c>
      <c r="F382" s="91" t="s">
        <v>3945</v>
      </c>
      <c r="G382" t="str">
        <f t="shared" si="27"/>
        <v>unknown</v>
      </c>
      <c r="H382" t="str">
        <f t="shared" si="24"/>
        <v>unknown</v>
      </c>
      <c r="K382" t="str">
        <f t="shared" si="25"/>
        <v>scale</v>
      </c>
    </row>
    <row r="383" spans="1:11" ht="72" x14ac:dyDescent="0.3">
      <c r="A383" t="s">
        <v>3944</v>
      </c>
      <c r="B383" t="s">
        <v>3946</v>
      </c>
      <c r="C383" s="90" t="s">
        <v>3947</v>
      </c>
      <c r="E383" t="s">
        <v>5562</v>
      </c>
      <c r="F383" s="91" t="s">
        <v>3947</v>
      </c>
      <c r="G383" t="str">
        <f t="shared" si="27"/>
        <v>unknown</v>
      </c>
      <c r="H383" t="str">
        <f t="shared" si="24"/>
        <v>unknown</v>
      </c>
      <c r="K383" t="str">
        <f t="shared" si="25"/>
        <v>scale</v>
      </c>
    </row>
    <row r="384" spans="1:11" ht="28.8" x14ac:dyDescent="0.3">
      <c r="A384" t="s">
        <v>3944</v>
      </c>
      <c r="B384" t="s">
        <v>3948</v>
      </c>
      <c r="C384" s="90" t="s">
        <v>3949</v>
      </c>
      <c r="D384" t="s">
        <v>5561</v>
      </c>
      <c r="E384" t="s">
        <v>5560</v>
      </c>
      <c r="F384" s="92" t="s">
        <v>5582</v>
      </c>
      <c r="G384" t="str">
        <f>IF(EXACT($F384, $Q$1), "sector", IF(EXACT($F384, $R$1), "sector", IF(EXACT($F384, $T$1), "sector", IF(EXACT($F384, $U$1), "sector", "unknown"))))</f>
        <v>unknown</v>
      </c>
      <c r="H384" t="str">
        <f t="shared" si="24"/>
        <v>unknown</v>
      </c>
      <c r="I384" t="s">
        <v>5661</v>
      </c>
      <c r="K384" t="str">
        <f t="shared" si="25"/>
        <v>specialScale</v>
      </c>
    </row>
    <row r="385" spans="1:11" ht="57.6" x14ac:dyDescent="0.3">
      <c r="A385" t="s">
        <v>3944</v>
      </c>
      <c r="B385" t="s">
        <v>3950</v>
      </c>
      <c r="C385" s="90" t="s">
        <v>3951</v>
      </c>
      <c r="E385" t="s">
        <v>5562</v>
      </c>
      <c r="F385" s="91" t="s">
        <v>3951</v>
      </c>
      <c r="G385" t="str">
        <f>IF(EXACT($F385, $Q$1), "sector", "unknown")</f>
        <v>unknown</v>
      </c>
      <c r="H385" t="str">
        <f t="shared" si="24"/>
        <v>unknown</v>
      </c>
      <c r="K385" t="str">
        <f t="shared" si="25"/>
        <v>scale</v>
      </c>
    </row>
    <row r="386" spans="1:11" ht="28.8" x14ac:dyDescent="0.3">
      <c r="A386" t="s">
        <v>3944</v>
      </c>
      <c r="B386" t="s">
        <v>3952</v>
      </c>
      <c r="C386" s="90" t="s">
        <v>3953</v>
      </c>
      <c r="D386" t="s">
        <v>5561</v>
      </c>
      <c r="E386" t="s">
        <v>399</v>
      </c>
      <c r="F386" s="92" t="s">
        <v>5583</v>
      </c>
      <c r="G386" t="str">
        <f>IF(EXACT($F386, $Q$1), "sector", "unknown")</f>
        <v>unknown</v>
      </c>
      <c r="H386" t="str">
        <f t="shared" ref="H386:H449" si="28">IF(EXACT(F386,$W$1), "open", IF(EXACT(F386,$X$1), "open", "unknown"))</f>
        <v>unknown</v>
      </c>
      <c r="K386" t="str">
        <f t="shared" ref="K386:K449" si="29">IF(AND(E386&lt;&gt;"", E386&lt;&gt;"unknown"), E386,
   IF(AND(G386&lt;&gt;"", G386&lt;&gt;"unknown"), G386,
   IF(AND(H386&lt;&gt;"", H386&lt;&gt;"unknown"), H386,
   IF(I386&lt;&gt;"", I386, "ERROR"))))</f>
        <v>sector</v>
      </c>
    </row>
    <row r="387" spans="1:11" ht="43.2" x14ac:dyDescent="0.3">
      <c r="A387" t="s">
        <v>3944</v>
      </c>
      <c r="B387" t="s">
        <v>3954</v>
      </c>
      <c r="C387" s="90" t="s">
        <v>3955</v>
      </c>
      <c r="D387" t="s">
        <v>5561</v>
      </c>
      <c r="E387" t="s">
        <v>5560</v>
      </c>
      <c r="F387" s="92" t="s">
        <v>5584</v>
      </c>
      <c r="G387" t="str">
        <f>IF(EXACT($F387, $Q$1), "sector", IF(EXACT($F387, $R$1), "sector", IF(EXACT($F387, $T$1), "sector", IF(EXACT($F387, $U$1), "sector", "unknown"))))</f>
        <v>unknown</v>
      </c>
      <c r="H387" t="str">
        <f t="shared" si="28"/>
        <v>unknown</v>
      </c>
      <c r="I387" t="s">
        <v>5664</v>
      </c>
      <c r="K387" t="str">
        <f t="shared" si="29"/>
        <v>partyChange</v>
      </c>
    </row>
    <row r="388" spans="1:11" ht="28.8" x14ac:dyDescent="0.3">
      <c r="A388" t="s">
        <v>3944</v>
      </c>
      <c r="B388" t="s">
        <v>3956</v>
      </c>
      <c r="C388" s="90" t="s">
        <v>3957</v>
      </c>
      <c r="D388" t="s">
        <v>5561</v>
      </c>
      <c r="E388" t="s">
        <v>5560</v>
      </c>
      <c r="F388" s="92" t="s">
        <v>5585</v>
      </c>
      <c r="G388" t="str">
        <f>IF(EXACT($F388, $Q$1), "sector", IF(EXACT($F388, $R$1), "sector", IF(EXACT($F388, $T$1), "sector", IF(EXACT($F388, $U$1), "sector", "unknown"))))</f>
        <v>unknown</v>
      </c>
      <c r="H388" t="str">
        <f t="shared" si="28"/>
        <v>unknown</v>
      </c>
      <c r="I388" t="s">
        <v>5664</v>
      </c>
      <c r="K388" t="str">
        <f t="shared" si="29"/>
        <v>partyChange</v>
      </c>
    </row>
    <row r="389" spans="1:11" ht="43.2" x14ac:dyDescent="0.3">
      <c r="A389" t="s">
        <v>3944</v>
      </c>
      <c r="B389" t="s">
        <v>3958</v>
      </c>
      <c r="C389" s="90" t="s">
        <v>3959</v>
      </c>
      <c r="E389" t="s">
        <v>5562</v>
      </c>
      <c r="F389" s="91" t="s">
        <v>3959</v>
      </c>
      <c r="G389" t="str">
        <f t="shared" ref="G389:G394" si="30">IF(EXACT($F389, $Q$1), "sector", "unknown")</f>
        <v>unknown</v>
      </c>
      <c r="H389" t="str">
        <f t="shared" si="28"/>
        <v>unknown</v>
      </c>
      <c r="K389" t="str">
        <f t="shared" si="29"/>
        <v>scale</v>
      </c>
    </row>
    <row r="390" spans="1:11" ht="115.2" x14ac:dyDescent="0.3">
      <c r="A390" t="s">
        <v>3944</v>
      </c>
      <c r="B390" t="s">
        <v>3960</v>
      </c>
      <c r="C390" s="90" t="s">
        <v>3961</v>
      </c>
      <c r="E390" t="s">
        <v>5562</v>
      </c>
      <c r="F390" s="91" t="s">
        <v>3961</v>
      </c>
      <c r="G390" t="str">
        <f t="shared" si="30"/>
        <v>unknown</v>
      </c>
      <c r="H390" t="str">
        <f t="shared" si="28"/>
        <v>unknown</v>
      </c>
      <c r="K390" t="str">
        <f t="shared" si="29"/>
        <v>scale</v>
      </c>
    </row>
    <row r="391" spans="1:11" ht="72" x14ac:dyDescent="0.3">
      <c r="A391" t="s">
        <v>3944</v>
      </c>
      <c r="B391" t="s">
        <v>3962</v>
      </c>
      <c r="C391" s="90" t="s">
        <v>3963</v>
      </c>
      <c r="E391" t="s">
        <v>5562</v>
      </c>
      <c r="F391" s="91" t="s">
        <v>3963</v>
      </c>
      <c r="G391" t="str">
        <f t="shared" si="30"/>
        <v>unknown</v>
      </c>
      <c r="H391" t="str">
        <f t="shared" si="28"/>
        <v>unknown</v>
      </c>
      <c r="K391" t="str">
        <f t="shared" si="29"/>
        <v>scale</v>
      </c>
    </row>
    <row r="392" spans="1:11" ht="28.8" x14ac:dyDescent="0.3">
      <c r="A392" t="s">
        <v>3944</v>
      </c>
      <c r="B392" t="s">
        <v>3599</v>
      </c>
      <c r="C392" s="90" t="s">
        <v>3964</v>
      </c>
      <c r="D392" t="s">
        <v>5561</v>
      </c>
      <c r="E392" t="s">
        <v>399</v>
      </c>
      <c r="F392" s="92" t="s">
        <v>5586</v>
      </c>
      <c r="G392" t="str">
        <f t="shared" si="30"/>
        <v>unknown</v>
      </c>
      <c r="H392" t="str">
        <f t="shared" si="28"/>
        <v>unknown</v>
      </c>
      <c r="K392" t="str">
        <f t="shared" si="29"/>
        <v>sector</v>
      </c>
    </row>
    <row r="393" spans="1:11" ht="28.8" x14ac:dyDescent="0.3">
      <c r="A393" t="s">
        <v>3944</v>
      </c>
      <c r="B393" t="s">
        <v>3965</v>
      </c>
      <c r="C393" s="90" t="s">
        <v>3953</v>
      </c>
      <c r="D393" t="s">
        <v>5561</v>
      </c>
      <c r="E393" t="s">
        <v>399</v>
      </c>
      <c r="F393" s="92" t="s">
        <v>5583</v>
      </c>
      <c r="G393" t="str">
        <f t="shared" si="30"/>
        <v>unknown</v>
      </c>
      <c r="H393" t="str">
        <f t="shared" si="28"/>
        <v>unknown</v>
      </c>
      <c r="K393" t="str">
        <f t="shared" si="29"/>
        <v>sector</v>
      </c>
    </row>
    <row r="394" spans="1:11" ht="28.8" x14ac:dyDescent="0.3">
      <c r="A394" t="s">
        <v>3944</v>
      </c>
      <c r="B394" t="s">
        <v>3603</v>
      </c>
      <c r="C394" s="90" t="s">
        <v>3953</v>
      </c>
      <c r="D394" t="s">
        <v>5561</v>
      </c>
      <c r="E394" t="s">
        <v>399</v>
      </c>
      <c r="F394" s="92" t="s">
        <v>5583</v>
      </c>
      <c r="G394" t="str">
        <f t="shared" si="30"/>
        <v>unknown</v>
      </c>
      <c r="H394" t="str">
        <f t="shared" si="28"/>
        <v>unknown</v>
      </c>
      <c r="K394" t="str">
        <f t="shared" si="29"/>
        <v>sector</v>
      </c>
    </row>
    <row r="395" spans="1:11" ht="43.2" x14ac:dyDescent="0.3">
      <c r="A395" t="s">
        <v>3944</v>
      </c>
      <c r="B395" t="s">
        <v>3605</v>
      </c>
      <c r="C395" s="90" t="s">
        <v>3966</v>
      </c>
      <c r="D395" t="s">
        <v>5563</v>
      </c>
      <c r="E395" t="s">
        <v>5560</v>
      </c>
      <c r="F395" s="92" t="s">
        <v>5587</v>
      </c>
      <c r="G395" t="str">
        <f>IF(EXACT($F395, $Q$1), "sector", IF(EXACT($F395, $R$1), "sector", IF(EXACT($F395, $T$1), "sector", IF(EXACT($F395, $U$1), "sector", "unknown"))))</f>
        <v>unknown</v>
      </c>
      <c r="H395" t="str">
        <f t="shared" si="28"/>
        <v>unknown</v>
      </c>
      <c r="I395" t="s">
        <v>5664</v>
      </c>
      <c r="K395" t="str">
        <f t="shared" si="29"/>
        <v>partyChange</v>
      </c>
    </row>
    <row r="396" spans="1:11" ht="43.2" x14ac:dyDescent="0.3">
      <c r="A396" t="s">
        <v>3944</v>
      </c>
      <c r="B396" t="s">
        <v>3967</v>
      </c>
      <c r="C396" s="90" t="s">
        <v>3917</v>
      </c>
      <c r="D396" t="s">
        <v>5561</v>
      </c>
      <c r="E396" t="s">
        <v>5560</v>
      </c>
      <c r="F396" s="92" t="s">
        <v>5578</v>
      </c>
      <c r="G396" t="str">
        <f>IF(EXACT($F396, $Q$1), "sector", IF(EXACT($F396, $R$1), "sector", IF(EXACT($F396, $T$1), "sector", IF(EXACT($F396, $U$1), "sector", "unknown"))))</f>
        <v>unknown</v>
      </c>
      <c r="H396" t="str">
        <f t="shared" si="28"/>
        <v>unknown</v>
      </c>
      <c r="I396" t="s">
        <v>5664</v>
      </c>
      <c r="K396" t="str">
        <f t="shared" si="29"/>
        <v>partyChange</v>
      </c>
    </row>
    <row r="397" spans="1:11" ht="57.6" x14ac:dyDescent="0.3">
      <c r="A397" t="s">
        <v>3944</v>
      </c>
      <c r="B397" t="s">
        <v>3968</v>
      </c>
      <c r="C397" s="90" t="s">
        <v>3969</v>
      </c>
      <c r="D397" t="s">
        <v>5561</v>
      </c>
      <c r="E397" t="s">
        <v>5560</v>
      </c>
      <c r="F397" s="92" t="s">
        <v>5588</v>
      </c>
      <c r="G397" t="str">
        <f>IF(EXACT($F397, $Q$1), "sector", IF(EXACT($F397, $R$1), "sector", IF(EXACT($F397, $T$1), "sector", IF(EXACT($F397, $U$1), "sector", "unknown"))))</f>
        <v>unknown</v>
      </c>
      <c r="H397" t="str">
        <f t="shared" si="28"/>
        <v>unknown</v>
      </c>
      <c r="I397" t="s">
        <v>5664</v>
      </c>
      <c r="K397" t="str">
        <f t="shared" si="29"/>
        <v>partyChange</v>
      </c>
    </row>
    <row r="398" spans="1:11" ht="57.6" x14ac:dyDescent="0.3">
      <c r="A398" t="s">
        <v>3944</v>
      </c>
      <c r="B398" t="s">
        <v>3970</v>
      </c>
      <c r="C398" s="90" t="s">
        <v>3971</v>
      </c>
      <c r="E398" t="s">
        <v>5562</v>
      </c>
      <c r="F398" s="91" t="s">
        <v>3971</v>
      </c>
      <c r="G398" t="str">
        <f>IF(EXACT($F398, $Q$1), "sector", "unknown")</f>
        <v>unknown</v>
      </c>
      <c r="H398" t="str">
        <f t="shared" si="28"/>
        <v>unknown</v>
      </c>
      <c r="K398" t="str">
        <f t="shared" si="29"/>
        <v>scale</v>
      </c>
    </row>
    <row r="399" spans="1:11" ht="43.2" x14ac:dyDescent="0.3">
      <c r="A399" t="s">
        <v>3944</v>
      </c>
      <c r="B399" t="s">
        <v>3972</v>
      </c>
      <c r="C399" s="90" t="s">
        <v>3973</v>
      </c>
      <c r="D399" t="s">
        <v>5561</v>
      </c>
      <c r="E399" t="s">
        <v>5560</v>
      </c>
      <c r="F399" s="92" t="s">
        <v>5589</v>
      </c>
      <c r="G399" t="str">
        <f>IF(EXACT($F399, $Q$1), "sector", IF(EXACT($F399, $R$1), "sector", IF(EXACT($F399, $T$1), "sector", IF(EXACT($F399, $U$1), "sector", "unknown"))))</f>
        <v>unknown</v>
      </c>
      <c r="H399" t="str">
        <f t="shared" si="28"/>
        <v>unknown</v>
      </c>
      <c r="I399" t="s">
        <v>5664</v>
      </c>
      <c r="K399" t="str">
        <f t="shared" si="29"/>
        <v>partyChange</v>
      </c>
    </row>
    <row r="400" spans="1:11" ht="28.8" x14ac:dyDescent="0.3">
      <c r="A400" t="s">
        <v>3944</v>
      </c>
      <c r="B400" t="s">
        <v>3974</v>
      </c>
      <c r="C400" s="90" t="s">
        <v>3964</v>
      </c>
      <c r="D400" t="s">
        <v>5561</v>
      </c>
      <c r="E400" t="s">
        <v>399</v>
      </c>
      <c r="F400" s="92" t="s">
        <v>5586</v>
      </c>
      <c r="G400" t="str">
        <f t="shared" ref="G400:G406" si="31">IF(EXACT($F400, $Q$1), "sector", "unknown")</f>
        <v>unknown</v>
      </c>
      <c r="H400" t="str">
        <f t="shared" si="28"/>
        <v>unknown</v>
      </c>
      <c r="K400" t="str">
        <f t="shared" si="29"/>
        <v>sector</v>
      </c>
    </row>
    <row r="401" spans="1:11" ht="28.8" x14ac:dyDescent="0.3">
      <c r="A401" t="s">
        <v>3944</v>
      </c>
      <c r="B401" t="s">
        <v>3353</v>
      </c>
      <c r="C401" s="90" t="s">
        <v>3964</v>
      </c>
      <c r="D401" t="s">
        <v>5561</v>
      </c>
      <c r="E401" t="s">
        <v>399</v>
      </c>
      <c r="F401" s="92" t="s">
        <v>5586</v>
      </c>
      <c r="G401" t="str">
        <f t="shared" si="31"/>
        <v>unknown</v>
      </c>
      <c r="H401" t="str">
        <f t="shared" si="28"/>
        <v>unknown</v>
      </c>
      <c r="K401" t="str">
        <f t="shared" si="29"/>
        <v>sector</v>
      </c>
    </row>
    <row r="402" spans="1:11" ht="28.8" x14ac:dyDescent="0.3">
      <c r="A402" t="s">
        <v>3944</v>
      </c>
      <c r="B402" t="s">
        <v>3365</v>
      </c>
      <c r="C402" s="90" t="s">
        <v>3964</v>
      </c>
      <c r="D402" t="s">
        <v>5561</v>
      </c>
      <c r="E402" t="s">
        <v>399</v>
      </c>
      <c r="F402" s="92" t="s">
        <v>5586</v>
      </c>
      <c r="G402" t="str">
        <f t="shared" si="31"/>
        <v>unknown</v>
      </c>
      <c r="H402" t="str">
        <f t="shared" si="28"/>
        <v>unknown</v>
      </c>
      <c r="K402" t="str">
        <f t="shared" si="29"/>
        <v>sector</v>
      </c>
    </row>
    <row r="403" spans="1:11" ht="43.2" x14ac:dyDescent="0.3">
      <c r="A403" t="s">
        <v>3944</v>
      </c>
      <c r="B403" t="s">
        <v>3975</v>
      </c>
      <c r="C403" s="90" t="s">
        <v>3976</v>
      </c>
      <c r="E403" t="s">
        <v>5562</v>
      </c>
      <c r="F403" s="91" t="s">
        <v>3976</v>
      </c>
      <c r="G403" t="str">
        <f t="shared" si="31"/>
        <v>unknown</v>
      </c>
      <c r="H403" t="str">
        <f t="shared" si="28"/>
        <v>unknown</v>
      </c>
      <c r="K403" t="str">
        <f t="shared" si="29"/>
        <v>scale</v>
      </c>
    </row>
    <row r="404" spans="1:11" ht="43.2" x14ac:dyDescent="0.3">
      <c r="A404" t="s">
        <v>3944</v>
      </c>
      <c r="B404" t="s">
        <v>3977</v>
      </c>
      <c r="C404" s="90" t="s">
        <v>3978</v>
      </c>
      <c r="D404" t="s">
        <v>5561</v>
      </c>
      <c r="E404" t="s">
        <v>399</v>
      </c>
      <c r="F404" s="92" t="s">
        <v>5590</v>
      </c>
      <c r="G404" t="str">
        <f t="shared" si="31"/>
        <v>unknown</v>
      </c>
      <c r="H404" t="str">
        <f t="shared" si="28"/>
        <v>unknown</v>
      </c>
      <c r="K404" t="str">
        <f t="shared" si="29"/>
        <v>sector</v>
      </c>
    </row>
    <row r="405" spans="1:11" ht="28.8" x14ac:dyDescent="0.3">
      <c r="A405" t="s">
        <v>3944</v>
      </c>
      <c r="B405" t="s">
        <v>3979</v>
      </c>
      <c r="C405" s="90" t="s">
        <v>3980</v>
      </c>
      <c r="D405" t="s">
        <v>5561</v>
      </c>
      <c r="E405" t="s">
        <v>399</v>
      </c>
      <c r="F405" s="92" t="s">
        <v>5591</v>
      </c>
      <c r="G405" t="str">
        <f t="shared" si="31"/>
        <v>unknown</v>
      </c>
      <c r="H405" t="str">
        <f t="shared" si="28"/>
        <v>unknown</v>
      </c>
      <c r="K405" t="str">
        <f t="shared" si="29"/>
        <v>sector</v>
      </c>
    </row>
    <row r="406" spans="1:11" ht="28.8" x14ac:dyDescent="0.3">
      <c r="A406" t="s">
        <v>3944</v>
      </c>
      <c r="B406" t="s">
        <v>3981</v>
      </c>
      <c r="C406" s="90" t="s">
        <v>3980</v>
      </c>
      <c r="D406" t="s">
        <v>5561</v>
      </c>
      <c r="E406" t="s">
        <v>399</v>
      </c>
      <c r="F406" s="92" t="s">
        <v>5591</v>
      </c>
      <c r="G406" t="str">
        <f t="shared" si="31"/>
        <v>unknown</v>
      </c>
      <c r="H406" t="str">
        <f t="shared" si="28"/>
        <v>unknown</v>
      </c>
      <c r="K406" t="str">
        <f t="shared" si="29"/>
        <v>sector</v>
      </c>
    </row>
    <row r="407" spans="1:11" ht="28.8" x14ac:dyDescent="0.3">
      <c r="A407" t="s">
        <v>3944</v>
      </c>
      <c r="B407" t="s">
        <v>3982</v>
      </c>
      <c r="C407" s="90" t="s">
        <v>3983</v>
      </c>
      <c r="D407" t="s">
        <v>5561</v>
      </c>
      <c r="E407" t="s">
        <v>5560</v>
      </c>
      <c r="F407" s="92" t="s">
        <v>5551</v>
      </c>
      <c r="G407" t="str">
        <f>IF(EXACT($F407, $Q$1), "sector", IF(EXACT($F407, $R$1), "sector", IF(EXACT($F407, $T$1), "sector", IF(EXACT($F407, $U$1), "sector", "unknown"))))</f>
        <v>sector</v>
      </c>
      <c r="H407" t="str">
        <f t="shared" si="28"/>
        <v>unknown</v>
      </c>
      <c r="K407" t="str">
        <f t="shared" si="29"/>
        <v>sector</v>
      </c>
    </row>
    <row r="408" spans="1:11" ht="28.8" x14ac:dyDescent="0.3">
      <c r="A408" t="s">
        <v>3944</v>
      </c>
      <c r="B408" t="s">
        <v>3984</v>
      </c>
      <c r="C408" s="90" t="s">
        <v>3983</v>
      </c>
      <c r="D408" t="s">
        <v>5561</v>
      </c>
      <c r="E408" t="s">
        <v>5560</v>
      </c>
      <c r="F408" s="92" t="s">
        <v>5551</v>
      </c>
      <c r="G408" t="str">
        <f>IF(EXACT($F408, $Q$1), "sector", IF(EXACT($F408, $R$1), "sector", IF(EXACT($F408, $T$1), "sector", IF(EXACT($F408, $U$1), "sector", "unknown"))))</f>
        <v>sector</v>
      </c>
      <c r="H408" t="str">
        <f t="shared" si="28"/>
        <v>unknown</v>
      </c>
      <c r="K408" t="str">
        <f t="shared" si="29"/>
        <v>sector</v>
      </c>
    </row>
    <row r="409" spans="1:11" ht="28.8" x14ac:dyDescent="0.3">
      <c r="A409" t="s">
        <v>3944</v>
      </c>
      <c r="B409" t="s">
        <v>3392</v>
      </c>
      <c r="C409" s="90" t="s">
        <v>3983</v>
      </c>
      <c r="D409" t="s">
        <v>5561</v>
      </c>
      <c r="E409" t="s">
        <v>5560</v>
      </c>
      <c r="F409" s="92" t="s">
        <v>5551</v>
      </c>
      <c r="G409" t="str">
        <f>IF(EXACT($F409, $Q$1), "sector", IF(EXACT($F409, $R$1), "sector", IF(EXACT($F409, $T$1), "sector", IF(EXACT($F409, $U$1), "sector", "unknown"))))</f>
        <v>sector</v>
      </c>
      <c r="H409" t="str">
        <f t="shared" si="28"/>
        <v>unknown</v>
      </c>
      <c r="K409" t="str">
        <f t="shared" si="29"/>
        <v>sector</v>
      </c>
    </row>
    <row r="410" spans="1:11" ht="28.8" x14ac:dyDescent="0.3">
      <c r="A410" t="s">
        <v>3944</v>
      </c>
      <c r="B410" t="s">
        <v>3395</v>
      </c>
      <c r="C410" s="90" t="s">
        <v>3983</v>
      </c>
      <c r="D410" t="s">
        <v>5561</v>
      </c>
      <c r="E410" t="s">
        <v>5560</v>
      </c>
      <c r="F410" s="92" t="s">
        <v>5551</v>
      </c>
      <c r="G410" t="str">
        <f>IF(EXACT($F410, $Q$1), "sector", IF(EXACT($F410, $R$1), "sector", IF(EXACT($F410, $T$1), "sector", IF(EXACT($F410, $U$1), "sector", "unknown"))))</f>
        <v>sector</v>
      </c>
      <c r="H410" t="str">
        <f t="shared" si="28"/>
        <v>unknown</v>
      </c>
      <c r="K410" t="str">
        <f t="shared" si="29"/>
        <v>sector</v>
      </c>
    </row>
    <row r="411" spans="1:11" ht="57.6" x14ac:dyDescent="0.3">
      <c r="A411" t="s">
        <v>3944</v>
      </c>
      <c r="B411" t="s">
        <v>3985</v>
      </c>
      <c r="C411" s="90" t="s">
        <v>3986</v>
      </c>
      <c r="E411" t="s">
        <v>5562</v>
      </c>
      <c r="F411" s="91" t="s">
        <v>3986</v>
      </c>
      <c r="G411" t="str">
        <f t="shared" ref="G411:G416" si="32">IF(EXACT($F411, $Q$1), "sector", "unknown")</f>
        <v>unknown</v>
      </c>
      <c r="H411" t="str">
        <f t="shared" si="28"/>
        <v>unknown</v>
      </c>
      <c r="K411" t="str">
        <f t="shared" si="29"/>
        <v>scale</v>
      </c>
    </row>
    <row r="412" spans="1:11" ht="115.2" x14ac:dyDescent="0.3">
      <c r="A412" t="s">
        <v>3944</v>
      </c>
      <c r="B412" t="s">
        <v>3420</v>
      </c>
      <c r="C412" s="90" t="s">
        <v>3987</v>
      </c>
      <c r="E412" t="s">
        <v>5562</v>
      </c>
      <c r="F412" s="91" t="s">
        <v>3987</v>
      </c>
      <c r="G412" t="str">
        <f t="shared" si="32"/>
        <v>unknown</v>
      </c>
      <c r="H412" t="str">
        <f t="shared" si="28"/>
        <v>unknown</v>
      </c>
      <c r="K412" t="str">
        <f t="shared" si="29"/>
        <v>scale</v>
      </c>
    </row>
    <row r="413" spans="1:11" ht="28.8" x14ac:dyDescent="0.3">
      <c r="A413" t="s">
        <v>3944</v>
      </c>
      <c r="B413" t="s">
        <v>3988</v>
      </c>
      <c r="C413" s="90" t="s">
        <v>3989</v>
      </c>
      <c r="D413" t="s">
        <v>5561</v>
      </c>
      <c r="E413" t="s">
        <v>399</v>
      </c>
      <c r="F413" s="92" t="s">
        <v>5592</v>
      </c>
      <c r="G413" t="str">
        <f t="shared" si="32"/>
        <v>unknown</v>
      </c>
      <c r="H413" t="str">
        <f t="shared" si="28"/>
        <v>unknown</v>
      </c>
      <c r="K413" t="str">
        <f t="shared" si="29"/>
        <v>sector</v>
      </c>
    </row>
    <row r="414" spans="1:11" ht="57.6" x14ac:dyDescent="0.3">
      <c r="A414" t="s">
        <v>3944</v>
      </c>
      <c r="B414" t="s">
        <v>3990</v>
      </c>
      <c r="C414" s="90" t="s">
        <v>3951</v>
      </c>
      <c r="E414" t="s">
        <v>5562</v>
      </c>
      <c r="F414" s="91" t="s">
        <v>3951</v>
      </c>
      <c r="G414" t="str">
        <f t="shared" si="32"/>
        <v>unknown</v>
      </c>
      <c r="H414" t="str">
        <f t="shared" si="28"/>
        <v>unknown</v>
      </c>
      <c r="K414" t="str">
        <f t="shared" si="29"/>
        <v>scale</v>
      </c>
    </row>
    <row r="415" spans="1:11" ht="57.6" x14ac:dyDescent="0.3">
      <c r="A415" t="s">
        <v>3944</v>
      </c>
      <c r="B415" t="s">
        <v>3991</v>
      </c>
      <c r="C415" s="90" t="s">
        <v>3992</v>
      </c>
      <c r="E415" t="s">
        <v>5562</v>
      </c>
      <c r="F415" s="91" t="s">
        <v>3992</v>
      </c>
      <c r="G415" t="str">
        <f t="shared" si="32"/>
        <v>unknown</v>
      </c>
      <c r="H415" t="str">
        <f t="shared" si="28"/>
        <v>unknown</v>
      </c>
      <c r="K415" t="str">
        <f t="shared" si="29"/>
        <v>scale</v>
      </c>
    </row>
    <row r="416" spans="1:11" ht="86.4" x14ac:dyDescent="0.3">
      <c r="A416" t="s">
        <v>3944</v>
      </c>
      <c r="B416" t="s">
        <v>3993</v>
      </c>
      <c r="C416" s="90" t="s">
        <v>3994</v>
      </c>
      <c r="E416" t="s">
        <v>5562</v>
      </c>
      <c r="F416" s="91" t="s">
        <v>3994</v>
      </c>
      <c r="G416" t="str">
        <f t="shared" si="32"/>
        <v>unknown</v>
      </c>
      <c r="H416" t="str">
        <f t="shared" si="28"/>
        <v>unknown</v>
      </c>
      <c r="K416" t="str">
        <f t="shared" si="29"/>
        <v>scale</v>
      </c>
    </row>
    <row r="417" spans="1:11" ht="28.8" x14ac:dyDescent="0.3">
      <c r="A417" t="s">
        <v>3944</v>
      </c>
      <c r="B417" t="s">
        <v>3995</v>
      </c>
      <c r="C417" s="90" t="s">
        <v>3996</v>
      </c>
      <c r="D417" t="s">
        <v>5561</v>
      </c>
      <c r="E417" t="s">
        <v>5560</v>
      </c>
      <c r="F417" s="92" t="s">
        <v>5593</v>
      </c>
      <c r="G417" t="str">
        <f t="shared" ref="G417:G434" si="33">IF(EXACT($F417, $Q$1), "sector", IF(EXACT($F417, $R$1), "sector", IF(EXACT($F417, $T$1), "sector", IF(EXACT($F417, $U$1), "sector", "unknown"))))</f>
        <v>sector</v>
      </c>
      <c r="H417" t="str">
        <f t="shared" si="28"/>
        <v>unknown</v>
      </c>
      <c r="K417" t="str">
        <f t="shared" si="29"/>
        <v>sector</v>
      </c>
    </row>
    <row r="418" spans="1:11" ht="43.2" x14ac:dyDescent="0.3">
      <c r="A418" t="s">
        <v>3944</v>
      </c>
      <c r="B418" t="s">
        <v>3997</v>
      </c>
      <c r="C418" s="90" t="s">
        <v>3998</v>
      </c>
      <c r="D418" t="s">
        <v>5561</v>
      </c>
      <c r="E418" t="s">
        <v>5560</v>
      </c>
      <c r="F418" s="92" t="s">
        <v>5594</v>
      </c>
      <c r="G418" t="str">
        <f t="shared" si="33"/>
        <v>unknown</v>
      </c>
      <c r="H418" t="str">
        <f t="shared" si="28"/>
        <v>unknown</v>
      </c>
      <c r="I418" t="s">
        <v>399</v>
      </c>
      <c r="K418" t="str">
        <f t="shared" si="29"/>
        <v>sector</v>
      </c>
    </row>
    <row r="419" spans="1:11" ht="28.8" x14ac:dyDescent="0.3">
      <c r="A419" t="s">
        <v>3944</v>
      </c>
      <c r="B419" t="s">
        <v>3999</v>
      </c>
      <c r="C419" s="90" t="s">
        <v>3996</v>
      </c>
      <c r="D419" t="s">
        <v>5561</v>
      </c>
      <c r="E419" t="s">
        <v>5560</v>
      </c>
      <c r="F419" s="92" t="s">
        <v>5593</v>
      </c>
      <c r="G419" t="str">
        <f t="shared" si="33"/>
        <v>sector</v>
      </c>
      <c r="H419" t="str">
        <f t="shared" si="28"/>
        <v>unknown</v>
      </c>
      <c r="K419" t="str">
        <f t="shared" si="29"/>
        <v>sector</v>
      </c>
    </row>
    <row r="420" spans="1:11" ht="28.8" x14ac:dyDescent="0.3">
      <c r="A420" t="s">
        <v>3944</v>
      </c>
      <c r="B420" t="s">
        <v>4000</v>
      </c>
      <c r="C420" s="90" t="s">
        <v>3996</v>
      </c>
      <c r="D420" t="s">
        <v>5561</v>
      </c>
      <c r="E420" t="s">
        <v>5560</v>
      </c>
      <c r="F420" s="92" t="s">
        <v>5593</v>
      </c>
      <c r="G420" t="str">
        <f t="shared" si="33"/>
        <v>sector</v>
      </c>
      <c r="H420" t="str">
        <f t="shared" si="28"/>
        <v>unknown</v>
      </c>
      <c r="K420" t="str">
        <f t="shared" si="29"/>
        <v>sector</v>
      </c>
    </row>
    <row r="421" spans="1:11" ht="28.8" x14ac:dyDescent="0.3">
      <c r="A421" t="s">
        <v>3944</v>
      </c>
      <c r="B421" t="s">
        <v>4001</v>
      </c>
      <c r="C421" s="90" t="s">
        <v>3996</v>
      </c>
      <c r="D421" t="s">
        <v>5561</v>
      </c>
      <c r="E421" t="s">
        <v>5560</v>
      </c>
      <c r="F421" s="92" t="s">
        <v>5593</v>
      </c>
      <c r="G421" t="str">
        <f t="shared" si="33"/>
        <v>sector</v>
      </c>
      <c r="H421" t="str">
        <f t="shared" si="28"/>
        <v>unknown</v>
      </c>
      <c r="K421" t="str">
        <f t="shared" si="29"/>
        <v>sector</v>
      </c>
    </row>
    <row r="422" spans="1:11" ht="28.8" x14ac:dyDescent="0.3">
      <c r="A422" t="s">
        <v>3944</v>
      </c>
      <c r="B422" t="s">
        <v>4002</v>
      </c>
      <c r="C422" s="90" t="s">
        <v>3996</v>
      </c>
      <c r="D422" t="s">
        <v>5561</v>
      </c>
      <c r="E422" t="s">
        <v>5560</v>
      </c>
      <c r="F422" s="92" t="s">
        <v>5593</v>
      </c>
      <c r="G422" t="str">
        <f t="shared" si="33"/>
        <v>sector</v>
      </c>
      <c r="H422" t="str">
        <f t="shared" si="28"/>
        <v>unknown</v>
      </c>
      <c r="K422" t="str">
        <f t="shared" si="29"/>
        <v>sector</v>
      </c>
    </row>
    <row r="423" spans="1:11" ht="28.8" x14ac:dyDescent="0.3">
      <c r="A423" t="s">
        <v>3944</v>
      </c>
      <c r="B423" t="s">
        <v>4003</v>
      </c>
      <c r="C423" s="90" t="s">
        <v>3996</v>
      </c>
      <c r="D423" t="s">
        <v>5561</v>
      </c>
      <c r="E423" t="s">
        <v>5560</v>
      </c>
      <c r="F423" s="92" t="s">
        <v>5593</v>
      </c>
      <c r="G423" t="str">
        <f t="shared" si="33"/>
        <v>sector</v>
      </c>
      <c r="H423" t="str">
        <f t="shared" si="28"/>
        <v>unknown</v>
      </c>
      <c r="K423" t="str">
        <f t="shared" si="29"/>
        <v>sector</v>
      </c>
    </row>
    <row r="424" spans="1:11" ht="28.8" x14ac:dyDescent="0.3">
      <c r="A424" t="s">
        <v>3944</v>
      </c>
      <c r="B424" t="s">
        <v>4004</v>
      </c>
      <c r="C424" s="90" t="s">
        <v>3996</v>
      </c>
      <c r="D424" t="s">
        <v>5561</v>
      </c>
      <c r="E424" t="s">
        <v>5560</v>
      </c>
      <c r="F424" s="92" t="s">
        <v>5593</v>
      </c>
      <c r="G424" t="str">
        <f t="shared" si="33"/>
        <v>sector</v>
      </c>
      <c r="H424" t="str">
        <f t="shared" si="28"/>
        <v>unknown</v>
      </c>
      <c r="K424" t="str">
        <f t="shared" si="29"/>
        <v>sector</v>
      </c>
    </row>
    <row r="425" spans="1:11" ht="28.8" x14ac:dyDescent="0.3">
      <c r="A425" t="s">
        <v>3944</v>
      </c>
      <c r="B425" t="s">
        <v>4005</v>
      </c>
      <c r="C425" s="90" t="s">
        <v>4006</v>
      </c>
      <c r="D425" t="s">
        <v>5561</v>
      </c>
      <c r="E425" t="s">
        <v>5560</v>
      </c>
      <c r="F425" s="92" t="s">
        <v>5595</v>
      </c>
      <c r="G425" t="str">
        <f t="shared" si="33"/>
        <v>sector</v>
      </c>
      <c r="H425" t="str">
        <f t="shared" si="28"/>
        <v>unknown</v>
      </c>
      <c r="K425" t="str">
        <f t="shared" si="29"/>
        <v>sector</v>
      </c>
    </row>
    <row r="426" spans="1:11" ht="28.8" x14ac:dyDescent="0.3">
      <c r="A426" t="s">
        <v>3944</v>
      </c>
      <c r="B426" t="s">
        <v>4007</v>
      </c>
      <c r="C426" s="90" t="s">
        <v>4006</v>
      </c>
      <c r="D426" t="s">
        <v>5561</v>
      </c>
      <c r="E426" t="s">
        <v>5560</v>
      </c>
      <c r="F426" s="92" t="s">
        <v>5595</v>
      </c>
      <c r="G426" t="str">
        <f t="shared" si="33"/>
        <v>sector</v>
      </c>
      <c r="H426" t="str">
        <f t="shared" si="28"/>
        <v>unknown</v>
      </c>
      <c r="K426" t="str">
        <f t="shared" si="29"/>
        <v>sector</v>
      </c>
    </row>
    <row r="427" spans="1:11" ht="28.8" x14ac:dyDescent="0.3">
      <c r="A427" t="s">
        <v>3944</v>
      </c>
      <c r="B427" t="s">
        <v>4008</v>
      </c>
      <c r="C427" s="90" t="s">
        <v>4006</v>
      </c>
      <c r="D427" t="s">
        <v>5561</v>
      </c>
      <c r="E427" t="s">
        <v>5560</v>
      </c>
      <c r="F427" s="92" t="s">
        <v>5595</v>
      </c>
      <c r="G427" t="str">
        <f t="shared" si="33"/>
        <v>sector</v>
      </c>
      <c r="H427" t="str">
        <f t="shared" si="28"/>
        <v>unknown</v>
      </c>
      <c r="K427" t="str">
        <f t="shared" si="29"/>
        <v>sector</v>
      </c>
    </row>
    <row r="428" spans="1:11" ht="28.8" x14ac:dyDescent="0.3">
      <c r="A428" t="s">
        <v>3944</v>
      </c>
      <c r="B428" t="s">
        <v>4009</v>
      </c>
      <c r="C428" s="90" t="s">
        <v>4006</v>
      </c>
      <c r="D428" t="s">
        <v>5561</v>
      </c>
      <c r="E428" t="s">
        <v>5560</v>
      </c>
      <c r="F428" s="92" t="s">
        <v>5595</v>
      </c>
      <c r="G428" t="str">
        <f t="shared" si="33"/>
        <v>sector</v>
      </c>
      <c r="H428" t="str">
        <f t="shared" si="28"/>
        <v>unknown</v>
      </c>
      <c r="K428" t="str">
        <f t="shared" si="29"/>
        <v>sector</v>
      </c>
    </row>
    <row r="429" spans="1:11" ht="28.8" x14ac:dyDescent="0.3">
      <c r="A429" t="s">
        <v>3944</v>
      </c>
      <c r="B429" t="s">
        <v>4010</v>
      </c>
      <c r="C429" s="90" t="s">
        <v>4006</v>
      </c>
      <c r="D429" t="s">
        <v>5561</v>
      </c>
      <c r="E429" t="s">
        <v>5560</v>
      </c>
      <c r="F429" s="92" t="s">
        <v>5595</v>
      </c>
      <c r="G429" t="str">
        <f t="shared" si="33"/>
        <v>sector</v>
      </c>
      <c r="H429" t="str">
        <f t="shared" si="28"/>
        <v>unknown</v>
      </c>
      <c r="K429" t="str">
        <f t="shared" si="29"/>
        <v>sector</v>
      </c>
    </row>
    <row r="430" spans="1:11" ht="28.8" x14ac:dyDescent="0.3">
      <c r="A430" t="s">
        <v>3944</v>
      </c>
      <c r="B430" t="s">
        <v>4011</v>
      </c>
      <c r="C430" s="90" t="s">
        <v>4006</v>
      </c>
      <c r="D430" t="s">
        <v>5561</v>
      </c>
      <c r="E430" t="s">
        <v>5560</v>
      </c>
      <c r="F430" s="92" t="s">
        <v>5595</v>
      </c>
      <c r="G430" t="str">
        <f t="shared" si="33"/>
        <v>sector</v>
      </c>
      <c r="H430" t="str">
        <f t="shared" si="28"/>
        <v>unknown</v>
      </c>
      <c r="K430" t="str">
        <f t="shared" si="29"/>
        <v>sector</v>
      </c>
    </row>
    <row r="431" spans="1:11" ht="28.8" x14ac:dyDescent="0.3">
      <c r="A431" t="s">
        <v>3944</v>
      </c>
      <c r="B431" t="s">
        <v>4012</v>
      </c>
      <c r="C431" s="90" t="s">
        <v>4006</v>
      </c>
      <c r="D431" t="s">
        <v>5561</v>
      </c>
      <c r="E431" t="s">
        <v>5560</v>
      </c>
      <c r="F431" s="92" t="s">
        <v>5595</v>
      </c>
      <c r="G431" t="str">
        <f t="shared" si="33"/>
        <v>sector</v>
      </c>
      <c r="H431" t="str">
        <f t="shared" si="28"/>
        <v>unknown</v>
      </c>
      <c r="K431" t="str">
        <f t="shared" si="29"/>
        <v>sector</v>
      </c>
    </row>
    <row r="432" spans="1:11" ht="28.8" x14ac:dyDescent="0.3">
      <c r="A432" t="s">
        <v>3944</v>
      </c>
      <c r="B432" t="s">
        <v>4013</v>
      </c>
      <c r="C432" s="90" t="s">
        <v>4006</v>
      </c>
      <c r="D432" t="s">
        <v>5561</v>
      </c>
      <c r="E432" t="s">
        <v>5560</v>
      </c>
      <c r="F432" s="92" t="s">
        <v>5595</v>
      </c>
      <c r="G432" t="str">
        <f t="shared" si="33"/>
        <v>sector</v>
      </c>
      <c r="H432" t="str">
        <f t="shared" si="28"/>
        <v>unknown</v>
      </c>
      <c r="K432" t="str">
        <f t="shared" si="29"/>
        <v>sector</v>
      </c>
    </row>
    <row r="433" spans="1:11" ht="28.8" x14ac:dyDescent="0.3">
      <c r="A433" t="s">
        <v>3944</v>
      </c>
      <c r="B433" t="s">
        <v>4014</v>
      </c>
      <c r="C433" s="90" t="s">
        <v>4006</v>
      </c>
      <c r="D433" t="s">
        <v>5561</v>
      </c>
      <c r="E433" t="s">
        <v>5560</v>
      </c>
      <c r="F433" s="92" t="s">
        <v>5595</v>
      </c>
      <c r="G433" t="str">
        <f t="shared" si="33"/>
        <v>sector</v>
      </c>
      <c r="H433" t="str">
        <f t="shared" si="28"/>
        <v>unknown</v>
      </c>
      <c r="K433" t="str">
        <f t="shared" si="29"/>
        <v>sector</v>
      </c>
    </row>
    <row r="434" spans="1:11" ht="28.8" x14ac:dyDescent="0.3">
      <c r="A434" t="s">
        <v>3944</v>
      </c>
      <c r="B434" t="s">
        <v>4015</v>
      </c>
      <c r="C434" s="90" t="s">
        <v>4006</v>
      </c>
      <c r="D434" t="s">
        <v>5561</v>
      </c>
      <c r="E434" t="s">
        <v>5560</v>
      </c>
      <c r="F434" s="92" t="s">
        <v>5595</v>
      </c>
      <c r="G434" t="str">
        <f t="shared" si="33"/>
        <v>sector</v>
      </c>
      <c r="H434" t="str">
        <f t="shared" si="28"/>
        <v>unknown</v>
      </c>
      <c r="K434" t="str">
        <f t="shared" si="29"/>
        <v>sector</v>
      </c>
    </row>
    <row r="435" spans="1:11" ht="57.6" x14ac:dyDescent="0.3">
      <c r="A435" t="s">
        <v>3944</v>
      </c>
      <c r="B435" t="s">
        <v>4016</v>
      </c>
      <c r="C435" s="90" t="s">
        <v>3992</v>
      </c>
      <c r="E435" t="s">
        <v>5562</v>
      </c>
      <c r="F435" s="91" t="s">
        <v>3992</v>
      </c>
      <c r="G435" t="str">
        <f t="shared" ref="G435:G466" si="34">IF(EXACT($F435, $Q$1), "sector", "unknown")</f>
        <v>unknown</v>
      </c>
      <c r="H435" t="str">
        <f t="shared" si="28"/>
        <v>unknown</v>
      </c>
      <c r="K435" t="str">
        <f t="shared" si="29"/>
        <v>scale</v>
      </c>
    </row>
    <row r="436" spans="1:11" ht="115.2" x14ac:dyDescent="0.3">
      <c r="A436" t="s">
        <v>3944</v>
      </c>
      <c r="B436" t="s">
        <v>4017</v>
      </c>
      <c r="C436" s="90" t="s">
        <v>4018</v>
      </c>
      <c r="E436" t="s">
        <v>5562</v>
      </c>
      <c r="F436" s="91" t="s">
        <v>4018</v>
      </c>
      <c r="G436" t="str">
        <f t="shared" si="34"/>
        <v>unknown</v>
      </c>
      <c r="H436" t="str">
        <f t="shared" si="28"/>
        <v>unknown</v>
      </c>
      <c r="K436" t="str">
        <f t="shared" si="29"/>
        <v>scale</v>
      </c>
    </row>
    <row r="437" spans="1:11" ht="115.2" x14ac:dyDescent="0.3">
      <c r="A437" t="s">
        <v>3944</v>
      </c>
      <c r="B437" t="s">
        <v>4019</v>
      </c>
      <c r="C437" s="90" t="s">
        <v>4020</v>
      </c>
      <c r="E437" t="s">
        <v>5562</v>
      </c>
      <c r="F437" s="91" t="s">
        <v>4020</v>
      </c>
      <c r="G437" t="str">
        <f t="shared" si="34"/>
        <v>unknown</v>
      </c>
      <c r="H437" t="str">
        <f t="shared" si="28"/>
        <v>unknown</v>
      </c>
      <c r="K437" t="str">
        <f t="shared" si="29"/>
        <v>scale</v>
      </c>
    </row>
    <row r="438" spans="1:11" ht="86.4" x14ac:dyDescent="0.3">
      <c r="A438" t="s">
        <v>3944</v>
      </c>
      <c r="B438" t="s">
        <v>4021</v>
      </c>
      <c r="C438" s="90" t="s">
        <v>4022</v>
      </c>
      <c r="E438" t="s">
        <v>5562</v>
      </c>
      <c r="F438" s="91" t="s">
        <v>4022</v>
      </c>
      <c r="G438" t="str">
        <f t="shared" si="34"/>
        <v>unknown</v>
      </c>
      <c r="H438" t="str">
        <f t="shared" si="28"/>
        <v>unknown</v>
      </c>
      <c r="K438" t="str">
        <f t="shared" si="29"/>
        <v>scale</v>
      </c>
    </row>
    <row r="439" spans="1:11" ht="100.8" x14ac:dyDescent="0.3">
      <c r="A439" t="s">
        <v>3944</v>
      </c>
      <c r="B439" t="s">
        <v>4023</v>
      </c>
      <c r="C439" s="90" t="s">
        <v>4024</v>
      </c>
      <c r="E439" t="s">
        <v>5562</v>
      </c>
      <c r="F439" s="91" t="s">
        <v>4024</v>
      </c>
      <c r="G439" t="str">
        <f t="shared" si="34"/>
        <v>unknown</v>
      </c>
      <c r="H439" t="str">
        <f t="shared" si="28"/>
        <v>unknown</v>
      </c>
      <c r="K439" t="str">
        <f t="shared" si="29"/>
        <v>scale</v>
      </c>
    </row>
    <row r="440" spans="1:11" ht="100.8" x14ac:dyDescent="0.3">
      <c r="A440" t="s">
        <v>3944</v>
      </c>
      <c r="B440" t="s">
        <v>4025</v>
      </c>
      <c r="C440" s="90" t="s">
        <v>4026</v>
      </c>
      <c r="E440" t="s">
        <v>5562</v>
      </c>
      <c r="F440" s="91" t="s">
        <v>4026</v>
      </c>
      <c r="G440" t="str">
        <f t="shared" si="34"/>
        <v>unknown</v>
      </c>
      <c r="H440" t="str">
        <f t="shared" si="28"/>
        <v>unknown</v>
      </c>
      <c r="K440" t="str">
        <f t="shared" si="29"/>
        <v>scale</v>
      </c>
    </row>
    <row r="441" spans="1:11" ht="115.2" x14ac:dyDescent="0.3">
      <c r="A441" t="s">
        <v>3944</v>
      </c>
      <c r="B441" t="s">
        <v>4027</v>
      </c>
      <c r="C441" s="90" t="s">
        <v>4028</v>
      </c>
      <c r="E441" t="s">
        <v>5562</v>
      </c>
      <c r="F441" s="91" t="s">
        <v>4028</v>
      </c>
      <c r="G441" t="str">
        <f t="shared" si="34"/>
        <v>unknown</v>
      </c>
      <c r="H441" t="str">
        <f t="shared" si="28"/>
        <v>unknown</v>
      </c>
      <c r="K441" t="str">
        <f t="shared" si="29"/>
        <v>scale</v>
      </c>
    </row>
    <row r="442" spans="1:11" ht="144" x14ac:dyDescent="0.3">
      <c r="A442" t="s">
        <v>3944</v>
      </c>
      <c r="B442" t="s">
        <v>4029</v>
      </c>
      <c r="C442" s="90" t="s">
        <v>4030</v>
      </c>
      <c r="E442" t="s">
        <v>5562</v>
      </c>
      <c r="F442" s="91" t="s">
        <v>4030</v>
      </c>
      <c r="G442" t="str">
        <f t="shared" si="34"/>
        <v>unknown</v>
      </c>
      <c r="H442" t="str">
        <f t="shared" si="28"/>
        <v>unknown</v>
      </c>
      <c r="K442" t="str">
        <f t="shared" si="29"/>
        <v>scale</v>
      </c>
    </row>
    <row r="443" spans="1:11" ht="43.2" x14ac:dyDescent="0.3">
      <c r="A443" t="s">
        <v>3944</v>
      </c>
      <c r="B443" t="s">
        <v>4031</v>
      </c>
      <c r="C443" s="90" t="s">
        <v>3383</v>
      </c>
      <c r="E443" t="s">
        <v>5562</v>
      </c>
      <c r="F443" s="91" t="s">
        <v>3383</v>
      </c>
      <c r="G443" t="str">
        <f t="shared" si="34"/>
        <v>unknown</v>
      </c>
      <c r="H443" t="str">
        <f t="shared" si="28"/>
        <v>unknown</v>
      </c>
      <c r="K443" t="str">
        <f t="shared" si="29"/>
        <v>scale</v>
      </c>
    </row>
    <row r="444" spans="1:11" ht="409.6" x14ac:dyDescent="0.3">
      <c r="A444" t="s">
        <v>3944</v>
      </c>
      <c r="B444" t="s">
        <v>4032</v>
      </c>
      <c r="C444" s="90" t="s">
        <v>4033</v>
      </c>
      <c r="E444" t="s">
        <v>5562</v>
      </c>
      <c r="F444" s="91" t="s">
        <v>4033</v>
      </c>
      <c r="G444" t="str">
        <f t="shared" si="34"/>
        <v>unknown</v>
      </c>
      <c r="H444" t="str">
        <f t="shared" si="28"/>
        <v>unknown</v>
      </c>
      <c r="K444" t="str">
        <f t="shared" si="29"/>
        <v>scale</v>
      </c>
    </row>
    <row r="445" spans="1:11" ht="230.4" x14ac:dyDescent="0.3">
      <c r="A445" t="s">
        <v>3944</v>
      </c>
      <c r="B445" t="s">
        <v>4034</v>
      </c>
      <c r="C445" s="90" t="s">
        <v>4035</v>
      </c>
      <c r="E445" t="s">
        <v>5562</v>
      </c>
      <c r="F445" s="91" t="s">
        <v>4035</v>
      </c>
      <c r="G445" t="str">
        <f t="shared" si="34"/>
        <v>unknown</v>
      </c>
      <c r="H445" t="str">
        <f t="shared" si="28"/>
        <v>unknown</v>
      </c>
      <c r="K445" t="str">
        <f t="shared" si="29"/>
        <v>scale</v>
      </c>
    </row>
    <row r="446" spans="1:11" ht="316.8" x14ac:dyDescent="0.3">
      <c r="A446" t="s">
        <v>3944</v>
      </c>
      <c r="B446" t="s">
        <v>4036</v>
      </c>
      <c r="C446" s="90" t="s">
        <v>4037</v>
      </c>
      <c r="E446" t="s">
        <v>5562</v>
      </c>
      <c r="F446" s="91" t="s">
        <v>4037</v>
      </c>
      <c r="G446" t="str">
        <f t="shared" si="34"/>
        <v>unknown</v>
      </c>
      <c r="H446" t="str">
        <f t="shared" si="28"/>
        <v>unknown</v>
      </c>
      <c r="K446" t="str">
        <f t="shared" si="29"/>
        <v>scale</v>
      </c>
    </row>
    <row r="447" spans="1:11" ht="216" x14ac:dyDescent="0.3">
      <c r="A447" t="s">
        <v>3944</v>
      </c>
      <c r="B447" t="s">
        <v>4038</v>
      </c>
      <c r="C447" s="90" t="s">
        <v>4039</v>
      </c>
      <c r="E447" t="s">
        <v>5562</v>
      </c>
      <c r="F447" s="91" t="s">
        <v>4039</v>
      </c>
      <c r="G447" t="str">
        <f t="shared" si="34"/>
        <v>unknown</v>
      </c>
      <c r="H447" t="str">
        <f t="shared" si="28"/>
        <v>unknown</v>
      </c>
      <c r="K447" t="str">
        <f t="shared" si="29"/>
        <v>scale</v>
      </c>
    </row>
    <row r="448" spans="1:11" ht="115.2" x14ac:dyDescent="0.3">
      <c r="A448" t="s">
        <v>3944</v>
      </c>
      <c r="B448" t="s">
        <v>4040</v>
      </c>
      <c r="C448" s="90" t="s">
        <v>3712</v>
      </c>
      <c r="E448" t="s">
        <v>5562</v>
      </c>
      <c r="F448" s="91" t="s">
        <v>3712</v>
      </c>
      <c r="G448" t="str">
        <f t="shared" si="34"/>
        <v>unknown</v>
      </c>
      <c r="H448" t="str">
        <f t="shared" si="28"/>
        <v>unknown</v>
      </c>
      <c r="K448" t="str">
        <f t="shared" si="29"/>
        <v>scale</v>
      </c>
    </row>
    <row r="449" spans="1:11" ht="115.2" x14ac:dyDescent="0.3">
      <c r="A449" t="s">
        <v>3944</v>
      </c>
      <c r="B449" t="s">
        <v>4041</v>
      </c>
      <c r="C449" s="90" t="s">
        <v>3712</v>
      </c>
      <c r="E449" t="s">
        <v>5562</v>
      </c>
      <c r="F449" s="91" t="s">
        <v>3712</v>
      </c>
      <c r="G449" t="str">
        <f t="shared" si="34"/>
        <v>unknown</v>
      </c>
      <c r="H449" t="str">
        <f t="shared" si="28"/>
        <v>unknown</v>
      </c>
      <c r="K449" t="str">
        <f t="shared" si="29"/>
        <v>scale</v>
      </c>
    </row>
    <row r="450" spans="1:11" ht="115.2" x14ac:dyDescent="0.3">
      <c r="A450" t="s">
        <v>3944</v>
      </c>
      <c r="B450" t="s">
        <v>4042</v>
      </c>
      <c r="C450" s="90" t="s">
        <v>3712</v>
      </c>
      <c r="E450" t="s">
        <v>5562</v>
      </c>
      <c r="F450" s="91" t="s">
        <v>3712</v>
      </c>
      <c r="G450" t="str">
        <f t="shared" si="34"/>
        <v>unknown</v>
      </c>
      <c r="H450" t="str">
        <f t="shared" ref="H450:H513" si="35">IF(EXACT(F450,$W$1), "open", IF(EXACT(F450,$X$1), "open", "unknown"))</f>
        <v>unknown</v>
      </c>
      <c r="K450" t="str">
        <f t="shared" ref="K450:K513" si="36">IF(AND(E450&lt;&gt;"", E450&lt;&gt;"unknown"), E450,
   IF(AND(G450&lt;&gt;"", G450&lt;&gt;"unknown"), G450,
   IF(AND(H450&lt;&gt;"", H450&lt;&gt;"unknown"), H450,
   IF(I450&lt;&gt;"", I450, "ERROR"))))</f>
        <v>scale</v>
      </c>
    </row>
    <row r="451" spans="1:11" ht="115.2" x14ac:dyDescent="0.3">
      <c r="A451" t="s">
        <v>3944</v>
      </c>
      <c r="B451" t="s">
        <v>4043</v>
      </c>
      <c r="C451" s="90" t="s">
        <v>3712</v>
      </c>
      <c r="E451" t="s">
        <v>5562</v>
      </c>
      <c r="F451" s="91" t="s">
        <v>3712</v>
      </c>
      <c r="G451" t="str">
        <f t="shared" si="34"/>
        <v>unknown</v>
      </c>
      <c r="H451" t="str">
        <f t="shared" si="35"/>
        <v>unknown</v>
      </c>
      <c r="K451" t="str">
        <f t="shared" si="36"/>
        <v>scale</v>
      </c>
    </row>
    <row r="452" spans="1:11" ht="115.2" x14ac:dyDescent="0.3">
      <c r="A452" t="s">
        <v>3944</v>
      </c>
      <c r="B452" t="s">
        <v>4044</v>
      </c>
      <c r="C452" s="90" t="s">
        <v>3712</v>
      </c>
      <c r="E452" t="s">
        <v>5562</v>
      </c>
      <c r="F452" s="91" t="s">
        <v>3712</v>
      </c>
      <c r="G452" t="str">
        <f t="shared" si="34"/>
        <v>unknown</v>
      </c>
      <c r="H452" t="str">
        <f t="shared" si="35"/>
        <v>unknown</v>
      </c>
      <c r="K452" t="str">
        <f t="shared" si="36"/>
        <v>scale</v>
      </c>
    </row>
    <row r="453" spans="1:11" ht="43.2" x14ac:dyDescent="0.3">
      <c r="A453" t="s">
        <v>3944</v>
      </c>
      <c r="B453" t="s">
        <v>4045</v>
      </c>
      <c r="C453" s="90" t="s">
        <v>3383</v>
      </c>
      <c r="E453" t="s">
        <v>5562</v>
      </c>
      <c r="F453" s="91" t="s">
        <v>3383</v>
      </c>
      <c r="G453" t="str">
        <f t="shared" si="34"/>
        <v>unknown</v>
      </c>
      <c r="H453" t="str">
        <f t="shared" si="35"/>
        <v>unknown</v>
      </c>
      <c r="K453" t="str">
        <f t="shared" si="36"/>
        <v>scale</v>
      </c>
    </row>
    <row r="454" spans="1:11" ht="43.2" x14ac:dyDescent="0.3">
      <c r="A454" t="s">
        <v>3944</v>
      </c>
      <c r="B454" t="s">
        <v>4046</v>
      </c>
      <c r="C454" s="90" t="s">
        <v>4047</v>
      </c>
      <c r="D454" t="s">
        <v>5561</v>
      </c>
      <c r="E454" t="s">
        <v>399</v>
      </c>
      <c r="F454" s="92" t="s">
        <v>5596</v>
      </c>
      <c r="G454" t="str">
        <f t="shared" si="34"/>
        <v>unknown</v>
      </c>
      <c r="H454" t="str">
        <f t="shared" si="35"/>
        <v>unknown</v>
      </c>
      <c r="K454" t="str">
        <f t="shared" si="36"/>
        <v>sector</v>
      </c>
    </row>
    <row r="455" spans="1:11" ht="72" x14ac:dyDescent="0.3">
      <c r="A455" t="s">
        <v>3944</v>
      </c>
      <c r="B455" t="s">
        <v>4048</v>
      </c>
      <c r="C455" s="90" t="s">
        <v>4049</v>
      </c>
      <c r="E455" t="s">
        <v>5562</v>
      </c>
      <c r="F455" s="91" t="s">
        <v>4049</v>
      </c>
      <c r="G455" t="str">
        <f t="shared" si="34"/>
        <v>unknown</v>
      </c>
      <c r="H455" t="str">
        <f t="shared" si="35"/>
        <v>unknown</v>
      </c>
      <c r="K455" t="str">
        <f t="shared" si="36"/>
        <v>scale</v>
      </c>
    </row>
    <row r="456" spans="1:11" ht="72" x14ac:dyDescent="0.3">
      <c r="A456" t="s">
        <v>3944</v>
      </c>
      <c r="B456" t="s">
        <v>4050</v>
      </c>
      <c r="C456" s="90" t="s">
        <v>4051</v>
      </c>
      <c r="E456" t="s">
        <v>5562</v>
      </c>
      <c r="F456" s="91" t="s">
        <v>4051</v>
      </c>
      <c r="G456" t="str">
        <f t="shared" si="34"/>
        <v>unknown</v>
      </c>
      <c r="H456" t="str">
        <f t="shared" si="35"/>
        <v>unknown</v>
      </c>
      <c r="K456" t="str">
        <f t="shared" si="36"/>
        <v>scale</v>
      </c>
    </row>
    <row r="457" spans="1:11" ht="100.8" x14ac:dyDescent="0.3">
      <c r="A457" t="s">
        <v>3944</v>
      </c>
      <c r="B457" t="s">
        <v>4052</v>
      </c>
      <c r="C457" s="90" t="s">
        <v>4053</v>
      </c>
      <c r="E457" t="s">
        <v>5562</v>
      </c>
      <c r="F457" s="91" t="s">
        <v>4053</v>
      </c>
      <c r="G457" t="str">
        <f t="shared" si="34"/>
        <v>unknown</v>
      </c>
      <c r="H457" t="str">
        <f t="shared" si="35"/>
        <v>unknown</v>
      </c>
      <c r="K457" t="str">
        <f t="shared" si="36"/>
        <v>scale</v>
      </c>
    </row>
    <row r="458" spans="1:11" ht="360" x14ac:dyDescent="0.3">
      <c r="A458" t="s">
        <v>3944</v>
      </c>
      <c r="B458" t="s">
        <v>4054</v>
      </c>
      <c r="C458" s="90" t="s">
        <v>4055</v>
      </c>
      <c r="E458" t="s">
        <v>5562</v>
      </c>
      <c r="F458" s="91" t="s">
        <v>4055</v>
      </c>
      <c r="G458" t="str">
        <f t="shared" si="34"/>
        <v>unknown</v>
      </c>
      <c r="H458" t="str">
        <f t="shared" si="35"/>
        <v>unknown</v>
      </c>
      <c r="K458" t="str">
        <f t="shared" si="36"/>
        <v>scale</v>
      </c>
    </row>
    <row r="459" spans="1:11" ht="345.6" x14ac:dyDescent="0.3">
      <c r="A459" t="s">
        <v>3944</v>
      </c>
      <c r="B459" t="s">
        <v>4056</v>
      </c>
      <c r="C459" s="90" t="s">
        <v>4057</v>
      </c>
      <c r="E459" t="s">
        <v>5562</v>
      </c>
      <c r="F459" s="91" t="s">
        <v>4057</v>
      </c>
      <c r="G459" t="str">
        <f t="shared" si="34"/>
        <v>unknown</v>
      </c>
      <c r="H459" t="str">
        <f t="shared" si="35"/>
        <v>unknown</v>
      </c>
      <c r="K459" t="str">
        <f t="shared" si="36"/>
        <v>scale</v>
      </c>
    </row>
    <row r="460" spans="1:11" ht="115.2" x14ac:dyDescent="0.3">
      <c r="A460" t="s">
        <v>4058</v>
      </c>
      <c r="B460" t="s">
        <v>4059</v>
      </c>
      <c r="C460" s="90" t="s">
        <v>4060</v>
      </c>
      <c r="E460" t="s">
        <v>5562</v>
      </c>
      <c r="F460" s="91" t="s">
        <v>4060</v>
      </c>
      <c r="G460" t="str">
        <f t="shared" si="34"/>
        <v>unknown</v>
      </c>
      <c r="H460" t="str">
        <f t="shared" si="35"/>
        <v>unknown</v>
      </c>
      <c r="K460" t="str">
        <f t="shared" si="36"/>
        <v>scale</v>
      </c>
    </row>
    <row r="461" spans="1:11" ht="100.8" x14ac:dyDescent="0.3">
      <c r="A461" t="s">
        <v>4058</v>
      </c>
      <c r="B461" t="s">
        <v>3948</v>
      </c>
      <c r="C461" s="90" t="s">
        <v>4061</v>
      </c>
      <c r="E461" t="s">
        <v>5562</v>
      </c>
      <c r="F461" s="91" t="s">
        <v>4061</v>
      </c>
      <c r="G461" t="str">
        <f t="shared" si="34"/>
        <v>unknown</v>
      </c>
      <c r="H461" t="str">
        <f t="shared" si="35"/>
        <v>unknown</v>
      </c>
      <c r="K461" t="str">
        <f t="shared" si="36"/>
        <v>scale</v>
      </c>
    </row>
    <row r="462" spans="1:11" ht="100.8" x14ac:dyDescent="0.3">
      <c r="A462" t="s">
        <v>4058</v>
      </c>
      <c r="B462" t="s">
        <v>3564</v>
      </c>
      <c r="C462" s="90" t="s">
        <v>4062</v>
      </c>
      <c r="E462" t="s">
        <v>5562</v>
      </c>
      <c r="F462" s="91" t="s">
        <v>4062</v>
      </c>
      <c r="G462" t="str">
        <f t="shared" si="34"/>
        <v>unknown</v>
      </c>
      <c r="H462" t="str">
        <f t="shared" si="35"/>
        <v>unknown</v>
      </c>
      <c r="K462" t="str">
        <f t="shared" si="36"/>
        <v>scale</v>
      </c>
    </row>
    <row r="463" spans="1:11" ht="86.4" x14ac:dyDescent="0.3">
      <c r="A463" t="s">
        <v>4058</v>
      </c>
      <c r="B463" t="s">
        <v>3566</v>
      </c>
      <c r="C463" s="90" t="s">
        <v>4063</v>
      </c>
      <c r="E463" t="s">
        <v>5562</v>
      </c>
      <c r="F463" s="91" t="s">
        <v>4063</v>
      </c>
      <c r="G463" t="str">
        <f t="shared" si="34"/>
        <v>unknown</v>
      </c>
      <c r="H463" t="str">
        <f t="shared" si="35"/>
        <v>unknown</v>
      </c>
      <c r="K463" t="str">
        <f t="shared" si="36"/>
        <v>scale</v>
      </c>
    </row>
    <row r="464" spans="1:11" ht="57.6" x14ac:dyDescent="0.3">
      <c r="A464" t="s">
        <v>4058</v>
      </c>
      <c r="B464" t="s">
        <v>4064</v>
      </c>
      <c r="C464" s="90" t="s">
        <v>4065</v>
      </c>
      <c r="D464" t="s">
        <v>5561</v>
      </c>
      <c r="E464" t="s">
        <v>399</v>
      </c>
      <c r="F464" s="92" t="s">
        <v>5597</v>
      </c>
      <c r="G464" t="str">
        <f t="shared" si="34"/>
        <v>unknown</v>
      </c>
      <c r="H464" t="str">
        <f t="shared" si="35"/>
        <v>unknown</v>
      </c>
      <c r="K464" t="str">
        <f t="shared" si="36"/>
        <v>sector</v>
      </c>
    </row>
    <row r="465" spans="1:11" ht="57.6" x14ac:dyDescent="0.3">
      <c r="A465" t="s">
        <v>4058</v>
      </c>
      <c r="B465" t="s">
        <v>4066</v>
      </c>
      <c r="C465" s="90" t="s">
        <v>4067</v>
      </c>
      <c r="E465" t="s">
        <v>5562</v>
      </c>
      <c r="F465" s="91" t="s">
        <v>4067</v>
      </c>
      <c r="G465" t="str">
        <f t="shared" si="34"/>
        <v>unknown</v>
      </c>
      <c r="H465" t="str">
        <f t="shared" si="35"/>
        <v>unknown</v>
      </c>
      <c r="K465" t="str">
        <f t="shared" si="36"/>
        <v>scale</v>
      </c>
    </row>
    <row r="466" spans="1:11" ht="57.6" x14ac:dyDescent="0.3">
      <c r="A466" t="s">
        <v>4058</v>
      </c>
      <c r="B466" t="s">
        <v>3314</v>
      </c>
      <c r="C466" s="90" t="s">
        <v>4065</v>
      </c>
      <c r="D466" t="s">
        <v>5561</v>
      </c>
      <c r="E466" t="s">
        <v>399</v>
      </c>
      <c r="F466" s="92" t="s">
        <v>5597</v>
      </c>
      <c r="G466" t="str">
        <f t="shared" si="34"/>
        <v>unknown</v>
      </c>
      <c r="H466" t="str">
        <f t="shared" si="35"/>
        <v>unknown</v>
      </c>
      <c r="K466" t="str">
        <f t="shared" si="36"/>
        <v>sector</v>
      </c>
    </row>
    <row r="467" spans="1:11" ht="57.6" x14ac:dyDescent="0.3">
      <c r="A467" t="s">
        <v>4058</v>
      </c>
      <c r="B467" t="s">
        <v>3864</v>
      </c>
      <c r="C467" s="90" t="s">
        <v>4065</v>
      </c>
      <c r="D467" t="s">
        <v>5561</v>
      </c>
      <c r="E467" t="s">
        <v>399</v>
      </c>
      <c r="F467" s="92" t="s">
        <v>5597</v>
      </c>
      <c r="G467" t="str">
        <f t="shared" ref="G467:G498" si="37">IF(EXACT($F467, $Q$1), "sector", "unknown")</f>
        <v>unknown</v>
      </c>
      <c r="H467" t="str">
        <f t="shared" si="35"/>
        <v>unknown</v>
      </c>
      <c r="K467" t="str">
        <f t="shared" si="36"/>
        <v>sector</v>
      </c>
    </row>
    <row r="468" spans="1:11" ht="72" x14ac:dyDescent="0.3">
      <c r="A468" t="s">
        <v>4058</v>
      </c>
      <c r="B468" t="s">
        <v>4068</v>
      </c>
      <c r="C468" s="90" t="s">
        <v>4069</v>
      </c>
      <c r="E468" t="s">
        <v>5562</v>
      </c>
      <c r="F468" s="91" t="s">
        <v>4069</v>
      </c>
      <c r="G468" t="str">
        <f t="shared" si="37"/>
        <v>unknown</v>
      </c>
      <c r="H468" t="str">
        <f t="shared" si="35"/>
        <v>unknown</v>
      </c>
      <c r="K468" t="str">
        <f t="shared" si="36"/>
        <v>scale</v>
      </c>
    </row>
    <row r="469" spans="1:11" ht="57.6" x14ac:dyDescent="0.3">
      <c r="A469" t="s">
        <v>4058</v>
      </c>
      <c r="B469" t="s">
        <v>4070</v>
      </c>
      <c r="C469" s="90" t="s">
        <v>4065</v>
      </c>
      <c r="D469" t="s">
        <v>5561</v>
      </c>
      <c r="E469" t="s">
        <v>399</v>
      </c>
      <c r="F469" s="92" t="s">
        <v>5597</v>
      </c>
      <c r="G469" t="str">
        <f t="shared" si="37"/>
        <v>unknown</v>
      </c>
      <c r="H469" t="str">
        <f t="shared" si="35"/>
        <v>unknown</v>
      </c>
      <c r="K469" t="str">
        <f t="shared" si="36"/>
        <v>sector</v>
      </c>
    </row>
    <row r="470" spans="1:11" ht="230.4" x14ac:dyDescent="0.3">
      <c r="A470" t="s">
        <v>4058</v>
      </c>
      <c r="B470" t="s">
        <v>4071</v>
      </c>
      <c r="C470" s="90" t="s">
        <v>4072</v>
      </c>
      <c r="E470" t="s">
        <v>5562</v>
      </c>
      <c r="F470" s="91" t="s">
        <v>4072</v>
      </c>
      <c r="G470" t="str">
        <f t="shared" si="37"/>
        <v>unknown</v>
      </c>
      <c r="H470" t="str">
        <f t="shared" si="35"/>
        <v>unknown</v>
      </c>
      <c r="K470" t="str">
        <f t="shared" si="36"/>
        <v>scale</v>
      </c>
    </row>
    <row r="471" spans="1:11" ht="57.6" x14ac:dyDescent="0.3">
      <c r="A471" t="s">
        <v>4058</v>
      </c>
      <c r="B471" t="s">
        <v>4073</v>
      </c>
      <c r="C471" s="90" t="s">
        <v>4065</v>
      </c>
      <c r="D471" t="s">
        <v>5561</v>
      </c>
      <c r="E471" t="s">
        <v>399</v>
      </c>
      <c r="F471" s="92" t="s">
        <v>5597</v>
      </c>
      <c r="G471" t="str">
        <f t="shared" si="37"/>
        <v>unknown</v>
      </c>
      <c r="H471" t="str">
        <f t="shared" si="35"/>
        <v>unknown</v>
      </c>
      <c r="K471" t="str">
        <f t="shared" si="36"/>
        <v>sector</v>
      </c>
    </row>
    <row r="472" spans="1:11" ht="57.6" x14ac:dyDescent="0.3">
      <c r="A472" t="s">
        <v>4058</v>
      </c>
      <c r="B472" t="s">
        <v>3965</v>
      </c>
      <c r="C472" s="90" t="s">
        <v>4065</v>
      </c>
      <c r="D472" t="s">
        <v>5561</v>
      </c>
      <c r="E472" t="s">
        <v>399</v>
      </c>
      <c r="F472" s="92" t="s">
        <v>5597</v>
      </c>
      <c r="G472" t="str">
        <f t="shared" si="37"/>
        <v>unknown</v>
      </c>
      <c r="H472" t="str">
        <f t="shared" si="35"/>
        <v>unknown</v>
      </c>
      <c r="K472" t="str">
        <f t="shared" si="36"/>
        <v>sector</v>
      </c>
    </row>
    <row r="473" spans="1:11" ht="57.6" x14ac:dyDescent="0.3">
      <c r="A473" t="s">
        <v>4058</v>
      </c>
      <c r="B473" t="s">
        <v>3970</v>
      </c>
      <c r="C473" s="90" t="s">
        <v>4065</v>
      </c>
      <c r="D473" t="s">
        <v>5561</v>
      </c>
      <c r="E473" t="s">
        <v>399</v>
      </c>
      <c r="F473" s="92" t="s">
        <v>5597</v>
      </c>
      <c r="G473" t="str">
        <f t="shared" si="37"/>
        <v>unknown</v>
      </c>
      <c r="H473" t="str">
        <f t="shared" si="35"/>
        <v>unknown</v>
      </c>
      <c r="K473" t="str">
        <f t="shared" si="36"/>
        <v>sector</v>
      </c>
    </row>
    <row r="474" spans="1:11" ht="86.4" x14ac:dyDescent="0.3">
      <c r="A474" t="s">
        <v>4058</v>
      </c>
      <c r="B474" t="s">
        <v>4074</v>
      </c>
      <c r="C474" s="90" t="s">
        <v>4075</v>
      </c>
      <c r="E474" t="s">
        <v>5562</v>
      </c>
      <c r="F474" s="91" t="s">
        <v>4075</v>
      </c>
      <c r="G474" t="str">
        <f t="shared" si="37"/>
        <v>unknown</v>
      </c>
      <c r="H474" t="str">
        <f t="shared" si="35"/>
        <v>unknown</v>
      </c>
      <c r="K474" t="str">
        <f t="shared" si="36"/>
        <v>scale</v>
      </c>
    </row>
    <row r="475" spans="1:11" ht="230.4" x14ac:dyDescent="0.3">
      <c r="A475" t="s">
        <v>4058</v>
      </c>
      <c r="B475" t="s">
        <v>3616</v>
      </c>
      <c r="C475" s="90" t="s">
        <v>4072</v>
      </c>
      <c r="E475" t="s">
        <v>5562</v>
      </c>
      <c r="F475" s="91" t="s">
        <v>4072</v>
      </c>
      <c r="G475" t="str">
        <f t="shared" si="37"/>
        <v>unknown</v>
      </c>
      <c r="H475" t="str">
        <f t="shared" si="35"/>
        <v>unknown</v>
      </c>
      <c r="K475" t="str">
        <f t="shared" si="36"/>
        <v>scale</v>
      </c>
    </row>
    <row r="476" spans="1:11" ht="230.4" x14ac:dyDescent="0.3">
      <c r="A476" t="s">
        <v>4058</v>
      </c>
      <c r="B476" t="s">
        <v>4076</v>
      </c>
      <c r="C476" s="90" t="s">
        <v>4072</v>
      </c>
      <c r="E476" t="s">
        <v>5562</v>
      </c>
      <c r="F476" s="91" t="s">
        <v>4072</v>
      </c>
      <c r="G476" t="str">
        <f t="shared" si="37"/>
        <v>unknown</v>
      </c>
      <c r="H476" t="str">
        <f t="shared" si="35"/>
        <v>unknown</v>
      </c>
      <c r="K476" t="str">
        <f t="shared" si="36"/>
        <v>scale</v>
      </c>
    </row>
    <row r="477" spans="1:11" ht="230.4" x14ac:dyDescent="0.3">
      <c r="A477" t="s">
        <v>4058</v>
      </c>
      <c r="B477" t="s">
        <v>4077</v>
      </c>
      <c r="C477" s="90" t="s">
        <v>4072</v>
      </c>
      <c r="E477" t="s">
        <v>5562</v>
      </c>
      <c r="F477" s="91" t="s">
        <v>4072</v>
      </c>
      <c r="G477" t="str">
        <f t="shared" si="37"/>
        <v>unknown</v>
      </c>
      <c r="H477" t="str">
        <f t="shared" si="35"/>
        <v>unknown</v>
      </c>
      <c r="K477" t="str">
        <f t="shared" si="36"/>
        <v>scale</v>
      </c>
    </row>
    <row r="478" spans="1:11" ht="230.4" x14ac:dyDescent="0.3">
      <c r="A478" t="s">
        <v>4058</v>
      </c>
      <c r="B478" t="s">
        <v>4078</v>
      </c>
      <c r="C478" s="90" t="s">
        <v>4072</v>
      </c>
      <c r="E478" t="s">
        <v>5562</v>
      </c>
      <c r="F478" s="91" t="s">
        <v>4072</v>
      </c>
      <c r="G478" t="str">
        <f t="shared" si="37"/>
        <v>unknown</v>
      </c>
      <c r="H478" t="str">
        <f t="shared" si="35"/>
        <v>unknown</v>
      </c>
      <c r="K478" t="str">
        <f t="shared" si="36"/>
        <v>scale</v>
      </c>
    </row>
    <row r="479" spans="1:11" ht="100.8" x14ac:dyDescent="0.3">
      <c r="A479" t="s">
        <v>4058</v>
      </c>
      <c r="B479" t="s">
        <v>4079</v>
      </c>
      <c r="C479" s="90" t="s">
        <v>4080</v>
      </c>
      <c r="E479" t="s">
        <v>5562</v>
      </c>
      <c r="F479" s="91" t="s">
        <v>4080</v>
      </c>
      <c r="G479" t="str">
        <f t="shared" si="37"/>
        <v>unknown</v>
      </c>
      <c r="H479" t="str">
        <f t="shared" si="35"/>
        <v>unknown</v>
      </c>
      <c r="K479" t="str">
        <f t="shared" si="36"/>
        <v>scale</v>
      </c>
    </row>
    <row r="480" spans="1:11" ht="115.2" x14ac:dyDescent="0.3">
      <c r="A480" t="s">
        <v>4058</v>
      </c>
      <c r="B480" t="s">
        <v>4081</v>
      </c>
      <c r="C480" s="90" t="s">
        <v>4082</v>
      </c>
      <c r="E480" t="s">
        <v>5562</v>
      </c>
      <c r="F480" s="91" t="s">
        <v>4082</v>
      </c>
      <c r="G480" t="str">
        <f t="shared" si="37"/>
        <v>unknown</v>
      </c>
      <c r="H480" t="str">
        <f t="shared" si="35"/>
        <v>unknown</v>
      </c>
      <c r="K480" t="str">
        <f t="shared" si="36"/>
        <v>scale</v>
      </c>
    </row>
    <row r="481" spans="1:11" ht="129.6" x14ac:dyDescent="0.3">
      <c r="A481" t="s">
        <v>4058</v>
      </c>
      <c r="B481" t="s">
        <v>4083</v>
      </c>
      <c r="C481" s="90" t="s">
        <v>4084</v>
      </c>
      <c r="E481" t="s">
        <v>5562</v>
      </c>
      <c r="F481" s="91" t="s">
        <v>4084</v>
      </c>
      <c r="G481" t="str">
        <f t="shared" si="37"/>
        <v>unknown</v>
      </c>
      <c r="H481" t="str">
        <f t="shared" si="35"/>
        <v>unknown</v>
      </c>
      <c r="K481" t="str">
        <f t="shared" si="36"/>
        <v>scale</v>
      </c>
    </row>
    <row r="482" spans="1:11" ht="100.8" x14ac:dyDescent="0.3">
      <c r="A482" t="s">
        <v>4058</v>
      </c>
      <c r="B482" t="s">
        <v>4085</v>
      </c>
      <c r="C482" s="90" t="s">
        <v>4086</v>
      </c>
      <c r="E482" t="s">
        <v>5562</v>
      </c>
      <c r="F482" s="91" t="s">
        <v>4086</v>
      </c>
      <c r="G482" t="str">
        <f t="shared" si="37"/>
        <v>unknown</v>
      </c>
      <c r="H482" t="str">
        <f t="shared" si="35"/>
        <v>unknown</v>
      </c>
      <c r="K482" t="str">
        <f t="shared" si="36"/>
        <v>scale</v>
      </c>
    </row>
    <row r="483" spans="1:11" ht="129.6" x14ac:dyDescent="0.3">
      <c r="A483" t="s">
        <v>4058</v>
      </c>
      <c r="B483" t="s">
        <v>4087</v>
      </c>
      <c r="C483" s="90" t="s">
        <v>4088</v>
      </c>
      <c r="E483" t="s">
        <v>5562</v>
      </c>
      <c r="F483" s="91" t="s">
        <v>4088</v>
      </c>
      <c r="G483" t="str">
        <f t="shared" si="37"/>
        <v>unknown</v>
      </c>
      <c r="H483" t="str">
        <f t="shared" si="35"/>
        <v>unknown</v>
      </c>
      <c r="K483" t="str">
        <f t="shared" si="36"/>
        <v>scale</v>
      </c>
    </row>
    <row r="484" spans="1:11" ht="86.4" x14ac:dyDescent="0.3">
      <c r="A484" t="s">
        <v>4058</v>
      </c>
      <c r="B484" t="s">
        <v>4089</v>
      </c>
      <c r="C484" s="90" t="s">
        <v>4090</v>
      </c>
      <c r="E484" t="s">
        <v>5562</v>
      </c>
      <c r="F484" s="91" t="s">
        <v>4090</v>
      </c>
      <c r="G484" t="str">
        <f t="shared" si="37"/>
        <v>unknown</v>
      </c>
      <c r="H484" t="str">
        <f t="shared" si="35"/>
        <v>unknown</v>
      </c>
      <c r="K484" t="str">
        <f t="shared" si="36"/>
        <v>scale</v>
      </c>
    </row>
    <row r="485" spans="1:11" ht="100.8" x14ac:dyDescent="0.3">
      <c r="A485" t="s">
        <v>4058</v>
      </c>
      <c r="B485" t="s">
        <v>4091</v>
      </c>
      <c r="C485" s="90" t="s">
        <v>4092</v>
      </c>
      <c r="E485" t="s">
        <v>5562</v>
      </c>
      <c r="F485" s="91" t="s">
        <v>4092</v>
      </c>
      <c r="G485" t="str">
        <f t="shared" si="37"/>
        <v>unknown</v>
      </c>
      <c r="H485" t="str">
        <f t="shared" si="35"/>
        <v>unknown</v>
      </c>
      <c r="K485" t="str">
        <f t="shared" si="36"/>
        <v>scale</v>
      </c>
    </row>
    <row r="486" spans="1:11" ht="86.4" x14ac:dyDescent="0.3">
      <c r="A486" t="s">
        <v>4058</v>
      </c>
      <c r="B486" t="s">
        <v>4093</v>
      </c>
      <c r="C486" s="90" t="s">
        <v>4094</v>
      </c>
      <c r="E486" t="s">
        <v>5562</v>
      </c>
      <c r="F486" s="91" t="s">
        <v>4094</v>
      </c>
      <c r="G486" t="str">
        <f t="shared" si="37"/>
        <v>unknown</v>
      </c>
      <c r="H486" t="str">
        <f t="shared" si="35"/>
        <v>unknown</v>
      </c>
      <c r="K486" t="str">
        <f t="shared" si="36"/>
        <v>scale</v>
      </c>
    </row>
    <row r="487" spans="1:11" ht="100.8" x14ac:dyDescent="0.3">
      <c r="A487" t="s">
        <v>4058</v>
      </c>
      <c r="B487" t="s">
        <v>4095</v>
      </c>
      <c r="C487" s="90" t="s">
        <v>4096</v>
      </c>
      <c r="E487" t="s">
        <v>5562</v>
      </c>
      <c r="F487" s="91" t="s">
        <v>4096</v>
      </c>
      <c r="G487" t="str">
        <f t="shared" si="37"/>
        <v>unknown</v>
      </c>
      <c r="H487" t="str">
        <f t="shared" si="35"/>
        <v>unknown</v>
      </c>
      <c r="K487" t="str">
        <f t="shared" si="36"/>
        <v>scale</v>
      </c>
    </row>
    <row r="488" spans="1:11" ht="100.8" x14ac:dyDescent="0.3">
      <c r="A488" t="s">
        <v>4058</v>
      </c>
      <c r="B488" t="s">
        <v>4097</v>
      </c>
      <c r="C488" s="90" t="s">
        <v>4080</v>
      </c>
      <c r="E488" t="s">
        <v>5562</v>
      </c>
      <c r="F488" s="91" t="s">
        <v>4080</v>
      </c>
      <c r="G488" t="str">
        <f t="shared" si="37"/>
        <v>unknown</v>
      </c>
      <c r="H488" t="str">
        <f t="shared" si="35"/>
        <v>unknown</v>
      </c>
      <c r="K488" t="str">
        <f t="shared" si="36"/>
        <v>scale</v>
      </c>
    </row>
    <row r="489" spans="1:11" ht="115.2" x14ac:dyDescent="0.3">
      <c r="A489" t="s">
        <v>4058</v>
      </c>
      <c r="B489" t="s">
        <v>4098</v>
      </c>
      <c r="C489" s="90" t="s">
        <v>4082</v>
      </c>
      <c r="E489" t="s">
        <v>5562</v>
      </c>
      <c r="F489" s="91" t="s">
        <v>4082</v>
      </c>
      <c r="G489" t="str">
        <f t="shared" si="37"/>
        <v>unknown</v>
      </c>
      <c r="H489" t="str">
        <f t="shared" si="35"/>
        <v>unknown</v>
      </c>
      <c r="K489" t="str">
        <f t="shared" si="36"/>
        <v>scale</v>
      </c>
    </row>
    <row r="490" spans="1:11" ht="129.6" x14ac:dyDescent="0.3">
      <c r="A490" t="s">
        <v>4058</v>
      </c>
      <c r="B490" t="s">
        <v>4099</v>
      </c>
      <c r="C490" s="90" t="s">
        <v>4084</v>
      </c>
      <c r="E490" t="s">
        <v>5562</v>
      </c>
      <c r="F490" s="91" t="s">
        <v>4084</v>
      </c>
      <c r="G490" t="str">
        <f t="shared" si="37"/>
        <v>unknown</v>
      </c>
      <c r="H490" t="str">
        <f t="shared" si="35"/>
        <v>unknown</v>
      </c>
      <c r="K490" t="str">
        <f t="shared" si="36"/>
        <v>scale</v>
      </c>
    </row>
    <row r="491" spans="1:11" ht="100.8" x14ac:dyDescent="0.3">
      <c r="A491" t="s">
        <v>4058</v>
      </c>
      <c r="B491" t="s">
        <v>4100</v>
      </c>
      <c r="C491" s="90" t="s">
        <v>4080</v>
      </c>
      <c r="E491" t="s">
        <v>5562</v>
      </c>
      <c r="F491" s="91" t="s">
        <v>4080</v>
      </c>
      <c r="G491" t="str">
        <f t="shared" si="37"/>
        <v>unknown</v>
      </c>
      <c r="H491" t="str">
        <f t="shared" si="35"/>
        <v>unknown</v>
      </c>
      <c r="K491" t="str">
        <f t="shared" si="36"/>
        <v>scale</v>
      </c>
    </row>
    <row r="492" spans="1:11" ht="115.2" x14ac:dyDescent="0.3">
      <c r="A492" t="s">
        <v>4058</v>
      </c>
      <c r="B492" t="s">
        <v>3477</v>
      </c>
      <c r="C492" s="90" t="s">
        <v>4082</v>
      </c>
      <c r="E492" t="s">
        <v>5562</v>
      </c>
      <c r="F492" s="91" t="s">
        <v>4082</v>
      </c>
      <c r="G492" t="str">
        <f t="shared" si="37"/>
        <v>unknown</v>
      </c>
      <c r="H492" t="str">
        <f t="shared" si="35"/>
        <v>unknown</v>
      </c>
      <c r="K492" t="str">
        <f t="shared" si="36"/>
        <v>scale</v>
      </c>
    </row>
    <row r="493" spans="1:11" ht="129.6" x14ac:dyDescent="0.3">
      <c r="A493" t="s">
        <v>4058</v>
      </c>
      <c r="B493" t="s">
        <v>4101</v>
      </c>
      <c r="C493" s="90" t="s">
        <v>4084</v>
      </c>
      <c r="E493" t="s">
        <v>5562</v>
      </c>
      <c r="F493" s="91" t="s">
        <v>4084</v>
      </c>
      <c r="G493" t="str">
        <f t="shared" si="37"/>
        <v>unknown</v>
      </c>
      <c r="H493" t="str">
        <f t="shared" si="35"/>
        <v>unknown</v>
      </c>
      <c r="K493" t="str">
        <f t="shared" si="36"/>
        <v>scale</v>
      </c>
    </row>
    <row r="494" spans="1:11" ht="86.4" x14ac:dyDescent="0.3">
      <c r="A494" t="s">
        <v>4058</v>
      </c>
      <c r="B494" t="s">
        <v>4102</v>
      </c>
      <c r="C494" s="90" t="s">
        <v>4103</v>
      </c>
      <c r="E494" t="s">
        <v>5562</v>
      </c>
      <c r="F494" s="91" t="s">
        <v>4103</v>
      </c>
      <c r="G494" t="str">
        <f t="shared" si="37"/>
        <v>unknown</v>
      </c>
      <c r="H494" t="str">
        <f t="shared" si="35"/>
        <v>unknown</v>
      </c>
      <c r="K494" t="str">
        <f t="shared" si="36"/>
        <v>scale</v>
      </c>
    </row>
    <row r="495" spans="1:11" ht="43.2" x14ac:dyDescent="0.3">
      <c r="A495" t="s">
        <v>4058</v>
      </c>
      <c r="B495" t="s">
        <v>4104</v>
      </c>
      <c r="C495" s="90" t="s">
        <v>4105</v>
      </c>
      <c r="E495" t="s">
        <v>5562</v>
      </c>
      <c r="F495" s="91" t="s">
        <v>4105</v>
      </c>
      <c r="G495" t="str">
        <f t="shared" si="37"/>
        <v>unknown</v>
      </c>
      <c r="H495" t="str">
        <f t="shared" si="35"/>
        <v>unknown</v>
      </c>
      <c r="K495" t="str">
        <f t="shared" si="36"/>
        <v>scale</v>
      </c>
    </row>
    <row r="496" spans="1:11" ht="43.2" x14ac:dyDescent="0.3">
      <c r="A496" t="s">
        <v>4058</v>
      </c>
      <c r="B496" t="s">
        <v>4106</v>
      </c>
      <c r="C496" s="90" t="s">
        <v>4107</v>
      </c>
      <c r="E496" t="s">
        <v>5562</v>
      </c>
      <c r="F496" s="91" t="s">
        <v>4107</v>
      </c>
      <c r="G496" t="str">
        <f t="shared" si="37"/>
        <v>unknown</v>
      </c>
      <c r="H496" t="str">
        <f t="shared" si="35"/>
        <v>unknown</v>
      </c>
      <c r="K496" t="str">
        <f t="shared" si="36"/>
        <v>scale</v>
      </c>
    </row>
    <row r="497" spans="1:11" ht="43.2" x14ac:dyDescent="0.3">
      <c r="A497" t="s">
        <v>4058</v>
      </c>
      <c r="B497" t="s">
        <v>4108</v>
      </c>
      <c r="C497" s="90" t="s">
        <v>4107</v>
      </c>
      <c r="E497" t="s">
        <v>5562</v>
      </c>
      <c r="F497" s="91" t="s">
        <v>4107</v>
      </c>
      <c r="G497" t="str">
        <f t="shared" si="37"/>
        <v>unknown</v>
      </c>
      <c r="H497" t="str">
        <f t="shared" si="35"/>
        <v>unknown</v>
      </c>
      <c r="K497" t="str">
        <f t="shared" si="36"/>
        <v>scale</v>
      </c>
    </row>
    <row r="498" spans="1:11" ht="43.2" x14ac:dyDescent="0.3">
      <c r="A498" t="s">
        <v>4058</v>
      </c>
      <c r="B498" t="s">
        <v>4109</v>
      </c>
      <c r="C498" s="90" t="s">
        <v>4110</v>
      </c>
      <c r="E498" t="s">
        <v>5562</v>
      </c>
      <c r="F498" s="91" t="s">
        <v>4110</v>
      </c>
      <c r="G498" t="str">
        <f t="shared" si="37"/>
        <v>unknown</v>
      </c>
      <c r="H498" t="str">
        <f t="shared" si="35"/>
        <v>unknown</v>
      </c>
      <c r="K498" t="str">
        <f t="shared" si="36"/>
        <v>scale</v>
      </c>
    </row>
    <row r="499" spans="1:11" ht="43.2" x14ac:dyDescent="0.3">
      <c r="A499" t="s">
        <v>4058</v>
      </c>
      <c r="B499" t="s">
        <v>4111</v>
      </c>
      <c r="C499" s="90" t="s">
        <v>4110</v>
      </c>
      <c r="E499" t="s">
        <v>5562</v>
      </c>
      <c r="F499" s="91" t="s">
        <v>4110</v>
      </c>
      <c r="G499" t="str">
        <f t="shared" ref="G499:G530" si="38">IF(EXACT($F499, $Q$1), "sector", "unknown")</f>
        <v>unknown</v>
      </c>
      <c r="H499" t="str">
        <f t="shared" si="35"/>
        <v>unknown</v>
      </c>
      <c r="K499" t="str">
        <f t="shared" si="36"/>
        <v>scale</v>
      </c>
    </row>
    <row r="500" spans="1:11" ht="43.2" x14ac:dyDescent="0.3">
      <c r="A500" t="s">
        <v>4058</v>
      </c>
      <c r="B500" t="s">
        <v>4112</v>
      </c>
      <c r="C500" s="90" t="s">
        <v>4113</v>
      </c>
      <c r="E500" t="s">
        <v>5562</v>
      </c>
      <c r="F500" s="91" t="s">
        <v>4113</v>
      </c>
      <c r="G500" t="str">
        <f t="shared" si="38"/>
        <v>unknown</v>
      </c>
      <c r="H500" t="str">
        <f t="shared" si="35"/>
        <v>unknown</v>
      </c>
      <c r="K500" t="str">
        <f t="shared" si="36"/>
        <v>scale</v>
      </c>
    </row>
    <row r="501" spans="1:11" ht="43.2" x14ac:dyDescent="0.3">
      <c r="A501" t="s">
        <v>4058</v>
      </c>
      <c r="B501" t="s">
        <v>4114</v>
      </c>
      <c r="C501" s="90" t="s">
        <v>4113</v>
      </c>
      <c r="E501" t="s">
        <v>5562</v>
      </c>
      <c r="F501" s="91" t="s">
        <v>4113</v>
      </c>
      <c r="G501" t="str">
        <f t="shared" si="38"/>
        <v>unknown</v>
      </c>
      <c r="H501" t="str">
        <f t="shared" si="35"/>
        <v>unknown</v>
      </c>
      <c r="K501" t="str">
        <f t="shared" si="36"/>
        <v>scale</v>
      </c>
    </row>
    <row r="502" spans="1:11" ht="72" x14ac:dyDescent="0.3">
      <c r="A502" t="s">
        <v>4058</v>
      </c>
      <c r="B502" t="s">
        <v>4115</v>
      </c>
      <c r="C502" s="90" t="s">
        <v>4116</v>
      </c>
      <c r="E502" t="s">
        <v>5562</v>
      </c>
      <c r="F502" s="91" t="s">
        <v>4116</v>
      </c>
      <c r="G502" t="str">
        <f t="shared" si="38"/>
        <v>unknown</v>
      </c>
      <c r="H502" t="str">
        <f t="shared" si="35"/>
        <v>unknown</v>
      </c>
      <c r="K502" t="str">
        <f t="shared" si="36"/>
        <v>scale</v>
      </c>
    </row>
    <row r="503" spans="1:11" ht="72" x14ac:dyDescent="0.3">
      <c r="A503" t="s">
        <v>4058</v>
      </c>
      <c r="B503" t="s">
        <v>4117</v>
      </c>
      <c r="C503" s="90" t="s">
        <v>4118</v>
      </c>
      <c r="E503" t="s">
        <v>5562</v>
      </c>
      <c r="F503" s="91" t="s">
        <v>4118</v>
      </c>
      <c r="G503" t="str">
        <f t="shared" si="38"/>
        <v>unknown</v>
      </c>
      <c r="H503" t="str">
        <f t="shared" si="35"/>
        <v>unknown</v>
      </c>
      <c r="K503" t="str">
        <f t="shared" si="36"/>
        <v>scale</v>
      </c>
    </row>
    <row r="504" spans="1:11" ht="43.2" x14ac:dyDescent="0.3">
      <c r="A504" t="s">
        <v>4058</v>
      </c>
      <c r="B504" t="s">
        <v>4119</v>
      </c>
      <c r="C504" s="90" t="s">
        <v>4120</v>
      </c>
      <c r="E504" t="s">
        <v>5562</v>
      </c>
      <c r="F504" s="91" t="s">
        <v>4120</v>
      </c>
      <c r="G504" t="str">
        <f t="shared" si="38"/>
        <v>unknown</v>
      </c>
      <c r="H504" t="str">
        <f t="shared" si="35"/>
        <v>unknown</v>
      </c>
      <c r="K504" t="str">
        <f t="shared" si="36"/>
        <v>scale</v>
      </c>
    </row>
    <row r="505" spans="1:11" ht="86.4" x14ac:dyDescent="0.3">
      <c r="A505" t="s">
        <v>4058</v>
      </c>
      <c r="B505" t="s">
        <v>4121</v>
      </c>
      <c r="C505" s="90" t="s">
        <v>4122</v>
      </c>
      <c r="E505" t="s">
        <v>5562</v>
      </c>
      <c r="F505" s="91" t="s">
        <v>4122</v>
      </c>
      <c r="G505" t="str">
        <f t="shared" si="38"/>
        <v>unknown</v>
      </c>
      <c r="H505" t="str">
        <f t="shared" si="35"/>
        <v>unknown</v>
      </c>
      <c r="K505" t="str">
        <f t="shared" si="36"/>
        <v>scale</v>
      </c>
    </row>
    <row r="506" spans="1:11" ht="72" x14ac:dyDescent="0.3">
      <c r="A506" t="s">
        <v>4058</v>
      </c>
      <c r="B506" t="s">
        <v>4123</v>
      </c>
      <c r="C506" s="90" t="s">
        <v>4124</v>
      </c>
      <c r="E506" t="s">
        <v>5562</v>
      </c>
      <c r="F506" s="91" t="s">
        <v>4124</v>
      </c>
      <c r="G506" t="str">
        <f t="shared" si="38"/>
        <v>unknown</v>
      </c>
      <c r="H506" t="str">
        <f t="shared" si="35"/>
        <v>unknown</v>
      </c>
      <c r="K506" t="str">
        <f t="shared" si="36"/>
        <v>scale</v>
      </c>
    </row>
    <row r="507" spans="1:11" ht="72" x14ac:dyDescent="0.3">
      <c r="A507" t="s">
        <v>4058</v>
      </c>
      <c r="B507" t="s">
        <v>4125</v>
      </c>
      <c r="C507" s="90" t="s">
        <v>4124</v>
      </c>
      <c r="E507" t="s">
        <v>5562</v>
      </c>
      <c r="F507" s="91" t="s">
        <v>4124</v>
      </c>
      <c r="G507" t="str">
        <f t="shared" si="38"/>
        <v>unknown</v>
      </c>
      <c r="H507" t="str">
        <f t="shared" si="35"/>
        <v>unknown</v>
      </c>
      <c r="K507" t="str">
        <f t="shared" si="36"/>
        <v>scale</v>
      </c>
    </row>
    <row r="508" spans="1:11" ht="43.2" x14ac:dyDescent="0.3">
      <c r="A508" t="s">
        <v>4058</v>
      </c>
      <c r="B508" t="s">
        <v>4126</v>
      </c>
      <c r="C508" s="90" t="s">
        <v>4127</v>
      </c>
      <c r="E508" t="s">
        <v>5562</v>
      </c>
      <c r="F508" s="91" t="s">
        <v>4127</v>
      </c>
      <c r="G508" t="str">
        <f t="shared" si="38"/>
        <v>unknown</v>
      </c>
      <c r="H508" t="str">
        <f t="shared" si="35"/>
        <v>unknown</v>
      </c>
      <c r="K508" t="str">
        <f t="shared" si="36"/>
        <v>scale</v>
      </c>
    </row>
    <row r="509" spans="1:11" ht="43.2" x14ac:dyDescent="0.3">
      <c r="A509" t="s">
        <v>4058</v>
      </c>
      <c r="B509" t="s">
        <v>4128</v>
      </c>
      <c r="C509" s="90" t="s">
        <v>4105</v>
      </c>
      <c r="E509" t="s">
        <v>5562</v>
      </c>
      <c r="F509" s="91" t="s">
        <v>4105</v>
      </c>
      <c r="G509" t="str">
        <f t="shared" si="38"/>
        <v>unknown</v>
      </c>
      <c r="H509" t="str">
        <f t="shared" si="35"/>
        <v>unknown</v>
      </c>
      <c r="K509" t="str">
        <f t="shared" si="36"/>
        <v>scale</v>
      </c>
    </row>
    <row r="510" spans="1:11" ht="43.2" x14ac:dyDescent="0.3">
      <c r="A510" t="s">
        <v>4058</v>
      </c>
      <c r="B510" t="s">
        <v>4129</v>
      </c>
      <c r="C510" s="90" t="s">
        <v>4107</v>
      </c>
      <c r="E510" t="s">
        <v>5562</v>
      </c>
      <c r="F510" s="91" t="s">
        <v>4107</v>
      </c>
      <c r="G510" t="str">
        <f t="shared" si="38"/>
        <v>unknown</v>
      </c>
      <c r="H510" t="str">
        <f t="shared" si="35"/>
        <v>unknown</v>
      </c>
      <c r="K510" t="str">
        <f t="shared" si="36"/>
        <v>scale</v>
      </c>
    </row>
    <row r="511" spans="1:11" ht="43.2" x14ac:dyDescent="0.3">
      <c r="A511" t="s">
        <v>4058</v>
      </c>
      <c r="B511" t="s">
        <v>4130</v>
      </c>
      <c r="C511" s="90" t="s">
        <v>4110</v>
      </c>
      <c r="E511" t="s">
        <v>5562</v>
      </c>
      <c r="F511" s="91" t="s">
        <v>4110</v>
      </c>
      <c r="G511" t="str">
        <f t="shared" si="38"/>
        <v>unknown</v>
      </c>
      <c r="H511" t="str">
        <f t="shared" si="35"/>
        <v>unknown</v>
      </c>
      <c r="K511" t="str">
        <f t="shared" si="36"/>
        <v>scale</v>
      </c>
    </row>
    <row r="512" spans="1:11" ht="43.2" x14ac:dyDescent="0.3">
      <c r="A512" t="s">
        <v>4058</v>
      </c>
      <c r="B512" t="s">
        <v>4131</v>
      </c>
      <c r="C512" s="90" t="s">
        <v>4113</v>
      </c>
      <c r="E512" t="s">
        <v>5562</v>
      </c>
      <c r="F512" s="91" t="s">
        <v>4113</v>
      </c>
      <c r="G512" t="str">
        <f t="shared" si="38"/>
        <v>unknown</v>
      </c>
      <c r="H512" t="str">
        <f t="shared" si="35"/>
        <v>unknown</v>
      </c>
      <c r="K512" t="str">
        <f t="shared" si="36"/>
        <v>scale</v>
      </c>
    </row>
    <row r="513" spans="1:11" ht="72" x14ac:dyDescent="0.3">
      <c r="A513" t="s">
        <v>4058</v>
      </c>
      <c r="B513" t="s">
        <v>4132</v>
      </c>
      <c r="C513" s="90" t="s">
        <v>4133</v>
      </c>
      <c r="E513" t="s">
        <v>5562</v>
      </c>
      <c r="F513" s="91" t="s">
        <v>4133</v>
      </c>
      <c r="G513" t="str">
        <f t="shared" si="38"/>
        <v>unknown</v>
      </c>
      <c r="H513" t="str">
        <f t="shared" si="35"/>
        <v>unknown</v>
      </c>
      <c r="K513" t="str">
        <f t="shared" si="36"/>
        <v>scale</v>
      </c>
    </row>
    <row r="514" spans="1:11" ht="43.2" x14ac:dyDescent="0.3">
      <c r="A514" t="s">
        <v>4058</v>
      </c>
      <c r="B514" t="s">
        <v>4134</v>
      </c>
      <c r="C514" s="90" t="s">
        <v>4120</v>
      </c>
      <c r="E514" t="s">
        <v>5562</v>
      </c>
      <c r="F514" s="91" t="s">
        <v>4120</v>
      </c>
      <c r="G514" t="str">
        <f t="shared" si="38"/>
        <v>unknown</v>
      </c>
      <c r="H514" t="str">
        <f t="shared" ref="H514:H577" si="39">IF(EXACT(F514,$W$1), "open", IF(EXACT(F514,$X$1), "open", "unknown"))</f>
        <v>unknown</v>
      </c>
      <c r="K514" t="str">
        <f t="shared" ref="K514:K577" si="40">IF(AND(E514&lt;&gt;"", E514&lt;&gt;"unknown"), E514,
   IF(AND(G514&lt;&gt;"", G514&lt;&gt;"unknown"), G514,
   IF(AND(H514&lt;&gt;"", H514&lt;&gt;"unknown"), H514,
   IF(I514&lt;&gt;"", I514, "ERROR"))))</f>
        <v>scale</v>
      </c>
    </row>
    <row r="515" spans="1:11" ht="72" x14ac:dyDescent="0.3">
      <c r="A515" t="s">
        <v>4058</v>
      </c>
      <c r="B515" t="s">
        <v>4135</v>
      </c>
      <c r="C515" s="90" t="s">
        <v>4136</v>
      </c>
      <c r="E515" t="s">
        <v>5562</v>
      </c>
      <c r="F515" s="91" t="s">
        <v>4136</v>
      </c>
      <c r="G515" t="str">
        <f t="shared" si="38"/>
        <v>unknown</v>
      </c>
      <c r="H515" t="str">
        <f t="shared" si="39"/>
        <v>unknown</v>
      </c>
      <c r="K515" t="str">
        <f t="shared" si="40"/>
        <v>scale</v>
      </c>
    </row>
    <row r="516" spans="1:11" ht="43.2" x14ac:dyDescent="0.3">
      <c r="A516" t="s">
        <v>4058</v>
      </c>
      <c r="B516" t="s">
        <v>4137</v>
      </c>
      <c r="C516" s="90" t="s">
        <v>4138</v>
      </c>
      <c r="E516" t="s">
        <v>5562</v>
      </c>
      <c r="F516" s="91" t="s">
        <v>4138</v>
      </c>
      <c r="G516" t="str">
        <f t="shared" si="38"/>
        <v>unknown</v>
      </c>
      <c r="H516" t="str">
        <f t="shared" si="39"/>
        <v>unknown</v>
      </c>
      <c r="K516" t="str">
        <f t="shared" si="40"/>
        <v>scale</v>
      </c>
    </row>
    <row r="517" spans="1:11" ht="72" x14ac:dyDescent="0.3">
      <c r="A517" t="s">
        <v>4058</v>
      </c>
      <c r="B517" t="s">
        <v>4139</v>
      </c>
      <c r="C517" s="90" t="s">
        <v>4124</v>
      </c>
      <c r="E517" t="s">
        <v>5562</v>
      </c>
      <c r="F517" s="91" t="s">
        <v>4124</v>
      </c>
      <c r="G517" t="str">
        <f t="shared" si="38"/>
        <v>unknown</v>
      </c>
      <c r="H517" t="str">
        <f t="shared" si="39"/>
        <v>unknown</v>
      </c>
      <c r="K517" t="str">
        <f t="shared" si="40"/>
        <v>scale</v>
      </c>
    </row>
    <row r="518" spans="1:11" ht="57.6" x14ac:dyDescent="0.3">
      <c r="A518" t="s">
        <v>4058</v>
      </c>
      <c r="B518" t="s">
        <v>4140</v>
      </c>
      <c r="C518" s="90" t="s">
        <v>4141</v>
      </c>
      <c r="E518" t="s">
        <v>5562</v>
      </c>
      <c r="F518" s="91" t="s">
        <v>4141</v>
      </c>
      <c r="G518" t="str">
        <f t="shared" si="38"/>
        <v>unknown</v>
      </c>
      <c r="H518" t="str">
        <f t="shared" si="39"/>
        <v>unknown</v>
      </c>
      <c r="K518" t="str">
        <f t="shared" si="40"/>
        <v>scale</v>
      </c>
    </row>
    <row r="519" spans="1:11" ht="43.2" x14ac:dyDescent="0.3">
      <c r="A519" t="s">
        <v>4058</v>
      </c>
      <c r="B519" t="s">
        <v>4142</v>
      </c>
      <c r="C519" s="90" t="s">
        <v>4127</v>
      </c>
      <c r="E519" t="s">
        <v>5562</v>
      </c>
      <c r="F519" s="91" t="s">
        <v>4127</v>
      </c>
      <c r="G519" t="str">
        <f t="shared" si="38"/>
        <v>unknown</v>
      </c>
      <c r="H519" t="str">
        <f t="shared" si="39"/>
        <v>unknown</v>
      </c>
      <c r="K519" t="str">
        <f t="shared" si="40"/>
        <v>scale</v>
      </c>
    </row>
    <row r="520" spans="1:11" ht="57.6" x14ac:dyDescent="0.3">
      <c r="A520" t="s">
        <v>4058</v>
      </c>
      <c r="B520" t="s">
        <v>4143</v>
      </c>
      <c r="C520" s="90" t="s">
        <v>4144</v>
      </c>
      <c r="E520" t="s">
        <v>5562</v>
      </c>
      <c r="F520" s="91" t="s">
        <v>4144</v>
      </c>
      <c r="G520" t="str">
        <f t="shared" si="38"/>
        <v>unknown</v>
      </c>
      <c r="H520" t="str">
        <f t="shared" si="39"/>
        <v>unknown</v>
      </c>
      <c r="K520" t="str">
        <f t="shared" si="40"/>
        <v>scale</v>
      </c>
    </row>
    <row r="521" spans="1:11" ht="57.6" x14ac:dyDescent="0.3">
      <c r="A521" t="s">
        <v>4058</v>
      </c>
      <c r="B521" t="s">
        <v>4145</v>
      </c>
      <c r="C521" s="90" t="s">
        <v>4146</v>
      </c>
      <c r="E521" t="s">
        <v>5562</v>
      </c>
      <c r="F521" s="91" t="s">
        <v>4146</v>
      </c>
      <c r="G521" t="str">
        <f t="shared" si="38"/>
        <v>unknown</v>
      </c>
      <c r="H521" t="str">
        <f t="shared" si="39"/>
        <v>unknown</v>
      </c>
      <c r="K521" t="str">
        <f t="shared" si="40"/>
        <v>scale</v>
      </c>
    </row>
    <row r="522" spans="1:11" ht="72" x14ac:dyDescent="0.3">
      <c r="A522" t="s">
        <v>4058</v>
      </c>
      <c r="B522" t="s">
        <v>4147</v>
      </c>
      <c r="C522" s="90" t="s">
        <v>4148</v>
      </c>
      <c r="E522" t="s">
        <v>5562</v>
      </c>
      <c r="F522" s="91" t="s">
        <v>4148</v>
      </c>
      <c r="G522" t="str">
        <f t="shared" si="38"/>
        <v>unknown</v>
      </c>
      <c r="H522" t="str">
        <f t="shared" si="39"/>
        <v>unknown</v>
      </c>
      <c r="K522" t="str">
        <f t="shared" si="40"/>
        <v>scale</v>
      </c>
    </row>
    <row r="523" spans="1:11" ht="86.4" x14ac:dyDescent="0.3">
      <c r="A523" t="s">
        <v>4058</v>
      </c>
      <c r="B523" t="s">
        <v>4149</v>
      </c>
      <c r="C523" s="90" t="s">
        <v>4150</v>
      </c>
      <c r="E523" t="s">
        <v>5562</v>
      </c>
      <c r="F523" s="91" t="s">
        <v>4150</v>
      </c>
      <c r="G523" t="str">
        <f t="shared" si="38"/>
        <v>unknown</v>
      </c>
      <c r="H523" t="str">
        <f t="shared" si="39"/>
        <v>unknown</v>
      </c>
      <c r="K523" t="str">
        <f t="shared" si="40"/>
        <v>scale</v>
      </c>
    </row>
    <row r="524" spans="1:11" ht="86.4" x14ac:dyDescent="0.3">
      <c r="A524" t="s">
        <v>4058</v>
      </c>
      <c r="B524" t="s">
        <v>4151</v>
      </c>
      <c r="C524" s="90" t="s">
        <v>4152</v>
      </c>
      <c r="E524" t="s">
        <v>5562</v>
      </c>
      <c r="F524" s="91" t="s">
        <v>4152</v>
      </c>
      <c r="G524" t="str">
        <f t="shared" si="38"/>
        <v>unknown</v>
      </c>
      <c r="H524" t="str">
        <f t="shared" si="39"/>
        <v>unknown</v>
      </c>
      <c r="K524" t="str">
        <f t="shared" si="40"/>
        <v>scale</v>
      </c>
    </row>
    <row r="525" spans="1:11" ht="86.4" x14ac:dyDescent="0.3">
      <c r="A525" t="s">
        <v>4058</v>
      </c>
      <c r="B525" t="s">
        <v>4153</v>
      </c>
      <c r="C525" s="90" t="s">
        <v>4154</v>
      </c>
      <c r="E525" t="s">
        <v>5562</v>
      </c>
      <c r="F525" s="91" t="s">
        <v>4154</v>
      </c>
      <c r="G525" t="str">
        <f t="shared" si="38"/>
        <v>unknown</v>
      </c>
      <c r="H525" t="str">
        <f t="shared" si="39"/>
        <v>unknown</v>
      </c>
      <c r="K525" t="str">
        <f t="shared" si="40"/>
        <v>scale</v>
      </c>
    </row>
    <row r="526" spans="1:11" ht="57.6" x14ac:dyDescent="0.3">
      <c r="A526" t="s">
        <v>4058</v>
      </c>
      <c r="B526" t="s">
        <v>4155</v>
      </c>
      <c r="C526" s="90" t="s">
        <v>4156</v>
      </c>
      <c r="E526" t="s">
        <v>5562</v>
      </c>
      <c r="F526" s="91" t="s">
        <v>4156</v>
      </c>
      <c r="G526" t="str">
        <f t="shared" si="38"/>
        <v>unknown</v>
      </c>
      <c r="H526" t="str">
        <f t="shared" si="39"/>
        <v>unknown</v>
      </c>
      <c r="K526" t="str">
        <f t="shared" si="40"/>
        <v>scale</v>
      </c>
    </row>
    <row r="527" spans="1:11" ht="86.4" x14ac:dyDescent="0.3">
      <c r="A527" t="s">
        <v>4058</v>
      </c>
      <c r="B527" t="s">
        <v>4157</v>
      </c>
      <c r="C527" s="90" t="s">
        <v>4154</v>
      </c>
      <c r="E527" t="s">
        <v>5562</v>
      </c>
      <c r="F527" s="91" t="s">
        <v>4154</v>
      </c>
      <c r="G527" t="str">
        <f t="shared" si="38"/>
        <v>unknown</v>
      </c>
      <c r="H527" t="str">
        <f t="shared" si="39"/>
        <v>unknown</v>
      </c>
      <c r="K527" t="str">
        <f t="shared" si="40"/>
        <v>scale</v>
      </c>
    </row>
    <row r="528" spans="1:11" ht="86.4" x14ac:dyDescent="0.3">
      <c r="A528" t="s">
        <v>4058</v>
      </c>
      <c r="B528" t="s">
        <v>4158</v>
      </c>
      <c r="C528" s="90" t="s">
        <v>4159</v>
      </c>
      <c r="E528" t="s">
        <v>5562</v>
      </c>
      <c r="F528" s="91" t="s">
        <v>4159</v>
      </c>
      <c r="G528" t="str">
        <f t="shared" si="38"/>
        <v>unknown</v>
      </c>
      <c r="H528" t="str">
        <f t="shared" si="39"/>
        <v>unknown</v>
      </c>
      <c r="K528" t="str">
        <f t="shared" si="40"/>
        <v>scale</v>
      </c>
    </row>
    <row r="529" spans="1:11" ht="72" x14ac:dyDescent="0.3">
      <c r="A529" t="s">
        <v>4058</v>
      </c>
      <c r="B529" t="s">
        <v>4160</v>
      </c>
      <c r="C529" s="90" t="s">
        <v>4161</v>
      </c>
      <c r="E529" t="s">
        <v>5562</v>
      </c>
      <c r="F529" s="91" t="s">
        <v>4161</v>
      </c>
      <c r="G529" t="str">
        <f t="shared" si="38"/>
        <v>unknown</v>
      </c>
      <c r="H529" t="str">
        <f t="shared" si="39"/>
        <v>unknown</v>
      </c>
      <c r="K529" t="str">
        <f t="shared" si="40"/>
        <v>scale</v>
      </c>
    </row>
    <row r="530" spans="1:11" ht="72" x14ac:dyDescent="0.3">
      <c r="A530" t="s">
        <v>4058</v>
      </c>
      <c r="B530" t="s">
        <v>4162</v>
      </c>
      <c r="C530" s="90" t="s">
        <v>4163</v>
      </c>
      <c r="E530" t="s">
        <v>5562</v>
      </c>
      <c r="F530" s="91" t="s">
        <v>4163</v>
      </c>
      <c r="G530" t="str">
        <f t="shared" si="38"/>
        <v>unknown</v>
      </c>
      <c r="H530" t="str">
        <f t="shared" si="39"/>
        <v>unknown</v>
      </c>
      <c r="K530" t="str">
        <f t="shared" si="40"/>
        <v>scale</v>
      </c>
    </row>
    <row r="531" spans="1:11" ht="57.6" x14ac:dyDescent="0.3">
      <c r="A531" t="s">
        <v>4058</v>
      </c>
      <c r="B531" t="s">
        <v>4164</v>
      </c>
      <c r="C531" s="90" t="s">
        <v>4165</v>
      </c>
      <c r="E531" t="s">
        <v>5562</v>
      </c>
      <c r="F531" s="91" t="s">
        <v>4165</v>
      </c>
      <c r="G531" t="str">
        <f t="shared" ref="G531:G557" si="41">IF(EXACT($F531, $Q$1), "sector", "unknown")</f>
        <v>unknown</v>
      </c>
      <c r="H531" t="str">
        <f t="shared" si="39"/>
        <v>unknown</v>
      </c>
      <c r="K531" t="str">
        <f t="shared" si="40"/>
        <v>scale</v>
      </c>
    </row>
    <row r="532" spans="1:11" ht="57.6" x14ac:dyDescent="0.3">
      <c r="A532" t="s">
        <v>4058</v>
      </c>
      <c r="B532" t="s">
        <v>4166</v>
      </c>
      <c r="C532" s="90" t="s">
        <v>4167</v>
      </c>
      <c r="E532" t="s">
        <v>5562</v>
      </c>
      <c r="F532" s="91" t="s">
        <v>4167</v>
      </c>
      <c r="G532" t="str">
        <f t="shared" si="41"/>
        <v>unknown</v>
      </c>
      <c r="H532" t="str">
        <f t="shared" si="39"/>
        <v>unknown</v>
      </c>
      <c r="K532" t="str">
        <f t="shared" si="40"/>
        <v>scale</v>
      </c>
    </row>
    <row r="533" spans="1:11" ht="86.4" x14ac:dyDescent="0.3">
      <c r="A533" t="s">
        <v>4058</v>
      </c>
      <c r="B533" t="s">
        <v>4168</v>
      </c>
      <c r="C533" s="90" t="s">
        <v>4169</v>
      </c>
      <c r="E533" t="s">
        <v>5562</v>
      </c>
      <c r="F533" s="91" t="s">
        <v>4169</v>
      </c>
      <c r="G533" t="str">
        <f t="shared" si="41"/>
        <v>unknown</v>
      </c>
      <c r="H533" t="str">
        <f t="shared" si="39"/>
        <v>unknown</v>
      </c>
      <c r="K533" t="str">
        <f t="shared" si="40"/>
        <v>scale</v>
      </c>
    </row>
    <row r="534" spans="1:11" ht="57.6" x14ac:dyDescent="0.3">
      <c r="A534" t="s">
        <v>4058</v>
      </c>
      <c r="B534" t="s">
        <v>4170</v>
      </c>
      <c r="C534" s="90" t="s">
        <v>4171</v>
      </c>
      <c r="E534" t="s">
        <v>5562</v>
      </c>
      <c r="F534" s="91" t="s">
        <v>4171</v>
      </c>
      <c r="G534" t="str">
        <f t="shared" si="41"/>
        <v>unknown</v>
      </c>
      <c r="H534" t="str">
        <f t="shared" si="39"/>
        <v>unknown</v>
      </c>
      <c r="K534" t="str">
        <f t="shared" si="40"/>
        <v>scale</v>
      </c>
    </row>
    <row r="535" spans="1:11" ht="86.4" x14ac:dyDescent="0.3">
      <c r="A535" t="s">
        <v>4058</v>
      </c>
      <c r="B535" t="s">
        <v>4172</v>
      </c>
      <c r="C535" s="90" t="s">
        <v>4173</v>
      </c>
      <c r="E535" t="s">
        <v>5562</v>
      </c>
      <c r="F535" s="91" t="s">
        <v>4173</v>
      </c>
      <c r="G535" t="str">
        <f t="shared" si="41"/>
        <v>unknown</v>
      </c>
      <c r="H535" t="str">
        <f t="shared" si="39"/>
        <v>unknown</v>
      </c>
      <c r="K535" t="str">
        <f t="shared" si="40"/>
        <v>scale</v>
      </c>
    </row>
    <row r="536" spans="1:11" ht="86.4" x14ac:dyDescent="0.3">
      <c r="A536" t="s">
        <v>4058</v>
      </c>
      <c r="B536" t="s">
        <v>4174</v>
      </c>
      <c r="C536" s="90" t="s">
        <v>4175</v>
      </c>
      <c r="E536" t="s">
        <v>5562</v>
      </c>
      <c r="F536" s="91" t="s">
        <v>4175</v>
      </c>
      <c r="G536" t="str">
        <f t="shared" si="41"/>
        <v>unknown</v>
      </c>
      <c r="H536" t="str">
        <f t="shared" si="39"/>
        <v>unknown</v>
      </c>
      <c r="K536" t="str">
        <f t="shared" si="40"/>
        <v>scale</v>
      </c>
    </row>
    <row r="537" spans="1:11" ht="72" x14ac:dyDescent="0.3">
      <c r="A537" t="s">
        <v>4058</v>
      </c>
      <c r="B537" t="s">
        <v>4176</v>
      </c>
      <c r="C537" s="90" t="s">
        <v>4177</v>
      </c>
      <c r="E537" t="s">
        <v>5562</v>
      </c>
      <c r="F537" s="91" t="s">
        <v>4177</v>
      </c>
      <c r="G537" t="str">
        <f t="shared" si="41"/>
        <v>unknown</v>
      </c>
      <c r="H537" t="str">
        <f t="shared" si="39"/>
        <v>unknown</v>
      </c>
      <c r="K537" t="str">
        <f t="shared" si="40"/>
        <v>scale</v>
      </c>
    </row>
    <row r="538" spans="1:11" ht="86.4" x14ac:dyDescent="0.3">
      <c r="A538" t="s">
        <v>4058</v>
      </c>
      <c r="B538" t="s">
        <v>4178</v>
      </c>
      <c r="C538" s="90" t="s">
        <v>4179</v>
      </c>
      <c r="E538" t="s">
        <v>5562</v>
      </c>
      <c r="F538" s="91" t="s">
        <v>4179</v>
      </c>
      <c r="G538" t="str">
        <f t="shared" si="41"/>
        <v>unknown</v>
      </c>
      <c r="H538" t="str">
        <f t="shared" si="39"/>
        <v>unknown</v>
      </c>
      <c r="K538" t="str">
        <f t="shared" si="40"/>
        <v>scale</v>
      </c>
    </row>
    <row r="539" spans="1:11" ht="86.4" x14ac:dyDescent="0.3">
      <c r="A539" t="s">
        <v>4058</v>
      </c>
      <c r="B539" t="s">
        <v>4180</v>
      </c>
      <c r="C539" s="90" t="s">
        <v>4181</v>
      </c>
      <c r="E539" t="s">
        <v>5562</v>
      </c>
      <c r="F539" s="91" t="s">
        <v>4181</v>
      </c>
      <c r="G539" t="str">
        <f t="shared" si="41"/>
        <v>unknown</v>
      </c>
      <c r="H539" t="str">
        <f t="shared" si="39"/>
        <v>unknown</v>
      </c>
      <c r="K539" t="str">
        <f t="shared" si="40"/>
        <v>scale</v>
      </c>
    </row>
    <row r="540" spans="1:11" ht="57.6" x14ac:dyDescent="0.3">
      <c r="A540" t="s">
        <v>4058</v>
      </c>
      <c r="B540" t="s">
        <v>4182</v>
      </c>
      <c r="C540" s="90" t="s">
        <v>4183</v>
      </c>
      <c r="E540" t="s">
        <v>5562</v>
      </c>
      <c r="F540" s="91" t="s">
        <v>4183</v>
      </c>
      <c r="G540" t="str">
        <f t="shared" si="41"/>
        <v>unknown</v>
      </c>
      <c r="H540" t="str">
        <f t="shared" si="39"/>
        <v>unknown</v>
      </c>
      <c r="K540" t="str">
        <f t="shared" si="40"/>
        <v>scale</v>
      </c>
    </row>
    <row r="541" spans="1:11" ht="115.2" x14ac:dyDescent="0.3">
      <c r="A541" t="s">
        <v>4058</v>
      </c>
      <c r="B541" t="s">
        <v>4184</v>
      </c>
      <c r="C541" s="90" t="s">
        <v>4185</v>
      </c>
      <c r="E541" t="s">
        <v>5562</v>
      </c>
      <c r="F541" s="91" t="s">
        <v>4185</v>
      </c>
      <c r="G541" t="str">
        <f t="shared" si="41"/>
        <v>unknown</v>
      </c>
      <c r="H541" t="str">
        <f t="shared" si="39"/>
        <v>unknown</v>
      </c>
      <c r="K541" t="str">
        <f t="shared" si="40"/>
        <v>scale</v>
      </c>
    </row>
    <row r="542" spans="1:11" ht="129.6" x14ac:dyDescent="0.3">
      <c r="A542" t="s">
        <v>4058</v>
      </c>
      <c r="B542" t="s">
        <v>4186</v>
      </c>
      <c r="C542" s="90" t="s">
        <v>4187</v>
      </c>
      <c r="E542" t="s">
        <v>5562</v>
      </c>
      <c r="F542" s="91" t="s">
        <v>4187</v>
      </c>
      <c r="G542" t="str">
        <f t="shared" si="41"/>
        <v>unknown</v>
      </c>
      <c r="H542" t="str">
        <f t="shared" si="39"/>
        <v>unknown</v>
      </c>
      <c r="K542" t="str">
        <f t="shared" si="40"/>
        <v>scale</v>
      </c>
    </row>
    <row r="543" spans="1:11" ht="129.6" x14ac:dyDescent="0.3">
      <c r="A543" t="s">
        <v>4058</v>
      </c>
      <c r="B543" t="s">
        <v>4188</v>
      </c>
      <c r="C543" s="90" t="s">
        <v>4187</v>
      </c>
      <c r="E543" t="s">
        <v>5562</v>
      </c>
      <c r="F543" s="91" t="s">
        <v>4187</v>
      </c>
      <c r="G543" t="str">
        <f t="shared" si="41"/>
        <v>unknown</v>
      </c>
      <c r="H543" t="str">
        <f t="shared" si="39"/>
        <v>unknown</v>
      </c>
      <c r="K543" t="str">
        <f t="shared" si="40"/>
        <v>scale</v>
      </c>
    </row>
    <row r="544" spans="1:11" ht="57.6" x14ac:dyDescent="0.3">
      <c r="A544" t="s">
        <v>4058</v>
      </c>
      <c r="B544" t="s">
        <v>4189</v>
      </c>
      <c r="C544" s="90" t="s">
        <v>4190</v>
      </c>
      <c r="D544" t="s">
        <v>5561</v>
      </c>
      <c r="E544" t="s">
        <v>5562</v>
      </c>
      <c r="F544" s="92" t="s">
        <v>5598</v>
      </c>
      <c r="G544" t="str">
        <f t="shared" si="41"/>
        <v>unknown</v>
      </c>
      <c r="H544" t="str">
        <f t="shared" si="39"/>
        <v>unknown</v>
      </c>
      <c r="K544" t="str">
        <f t="shared" si="40"/>
        <v>scale</v>
      </c>
    </row>
    <row r="545" spans="1:11" ht="158.4" x14ac:dyDescent="0.3">
      <c r="A545" t="s">
        <v>4058</v>
      </c>
      <c r="B545" t="s">
        <v>4036</v>
      </c>
      <c r="C545" s="90" t="s">
        <v>4191</v>
      </c>
      <c r="E545" t="s">
        <v>5562</v>
      </c>
      <c r="F545" s="91" t="s">
        <v>4191</v>
      </c>
      <c r="G545" t="str">
        <f t="shared" si="41"/>
        <v>unknown</v>
      </c>
      <c r="H545" t="str">
        <f t="shared" si="39"/>
        <v>unknown</v>
      </c>
      <c r="K545" t="str">
        <f t="shared" si="40"/>
        <v>scale</v>
      </c>
    </row>
    <row r="546" spans="1:11" ht="129.6" x14ac:dyDescent="0.3">
      <c r="A546" t="s">
        <v>4058</v>
      </c>
      <c r="B546" t="s">
        <v>4192</v>
      </c>
      <c r="C546" s="90" t="s">
        <v>4193</v>
      </c>
      <c r="E546" t="s">
        <v>5562</v>
      </c>
      <c r="F546" s="91" t="s">
        <v>4193</v>
      </c>
      <c r="G546" t="str">
        <f t="shared" si="41"/>
        <v>unknown</v>
      </c>
      <c r="H546" t="str">
        <f t="shared" si="39"/>
        <v>unknown</v>
      </c>
      <c r="K546" t="str">
        <f t="shared" si="40"/>
        <v>scale</v>
      </c>
    </row>
    <row r="547" spans="1:11" ht="57.6" x14ac:dyDescent="0.3">
      <c r="A547" t="s">
        <v>4058</v>
      </c>
      <c r="B547" t="s">
        <v>4194</v>
      </c>
      <c r="C547" s="90" t="s">
        <v>4195</v>
      </c>
      <c r="E547" t="s">
        <v>5562</v>
      </c>
      <c r="F547" s="91" t="s">
        <v>4195</v>
      </c>
      <c r="G547" t="str">
        <f t="shared" si="41"/>
        <v>unknown</v>
      </c>
      <c r="H547" t="str">
        <f t="shared" si="39"/>
        <v>unknown</v>
      </c>
      <c r="K547" t="str">
        <f t="shared" si="40"/>
        <v>scale</v>
      </c>
    </row>
    <row r="548" spans="1:11" ht="57.6" x14ac:dyDescent="0.3">
      <c r="A548" t="s">
        <v>4058</v>
      </c>
      <c r="B548" t="s">
        <v>4196</v>
      </c>
      <c r="C548" s="90" t="s">
        <v>4197</v>
      </c>
      <c r="E548" t="s">
        <v>5562</v>
      </c>
      <c r="F548" s="91" t="s">
        <v>4197</v>
      </c>
      <c r="G548" t="str">
        <f t="shared" si="41"/>
        <v>unknown</v>
      </c>
      <c r="H548" t="str">
        <f t="shared" si="39"/>
        <v>unknown</v>
      </c>
      <c r="K548" t="str">
        <f t="shared" si="40"/>
        <v>scale</v>
      </c>
    </row>
    <row r="549" spans="1:11" ht="57.6" x14ac:dyDescent="0.3">
      <c r="A549" t="s">
        <v>4058</v>
      </c>
      <c r="B549" t="s">
        <v>4198</v>
      </c>
      <c r="C549" s="90" t="s">
        <v>4199</v>
      </c>
      <c r="E549" t="s">
        <v>5562</v>
      </c>
      <c r="F549" s="91" t="s">
        <v>4199</v>
      </c>
      <c r="G549" t="str">
        <f t="shared" si="41"/>
        <v>unknown</v>
      </c>
      <c r="H549" t="str">
        <f t="shared" si="39"/>
        <v>unknown</v>
      </c>
      <c r="K549" t="str">
        <f t="shared" si="40"/>
        <v>scale</v>
      </c>
    </row>
    <row r="550" spans="1:11" ht="72" x14ac:dyDescent="0.3">
      <c r="A550" t="s">
        <v>4058</v>
      </c>
      <c r="B550" t="s">
        <v>4200</v>
      </c>
      <c r="C550" s="90" t="s">
        <v>4201</v>
      </c>
      <c r="E550" t="s">
        <v>5562</v>
      </c>
      <c r="F550" s="91" t="s">
        <v>4201</v>
      </c>
      <c r="G550" t="str">
        <f t="shared" si="41"/>
        <v>unknown</v>
      </c>
      <c r="H550" t="str">
        <f t="shared" si="39"/>
        <v>unknown</v>
      </c>
      <c r="K550" t="str">
        <f t="shared" si="40"/>
        <v>scale</v>
      </c>
    </row>
    <row r="551" spans="1:11" ht="57.6" x14ac:dyDescent="0.3">
      <c r="A551" t="s">
        <v>4058</v>
      </c>
      <c r="B551" t="s">
        <v>4202</v>
      </c>
      <c r="C551" s="90" t="s">
        <v>4203</v>
      </c>
      <c r="E551" t="s">
        <v>5562</v>
      </c>
      <c r="F551" s="91" t="s">
        <v>4203</v>
      </c>
      <c r="G551" t="str">
        <f t="shared" si="41"/>
        <v>unknown</v>
      </c>
      <c r="H551" t="str">
        <f t="shared" si="39"/>
        <v>unknown</v>
      </c>
      <c r="K551" t="str">
        <f t="shared" si="40"/>
        <v>scale</v>
      </c>
    </row>
    <row r="552" spans="1:11" ht="57.6" x14ac:dyDescent="0.3">
      <c r="A552" t="s">
        <v>4058</v>
      </c>
      <c r="B552" t="s">
        <v>4204</v>
      </c>
      <c r="C552" s="90" t="s">
        <v>4203</v>
      </c>
      <c r="E552" t="s">
        <v>5562</v>
      </c>
      <c r="F552" s="91" t="s">
        <v>4203</v>
      </c>
      <c r="G552" t="str">
        <f t="shared" si="41"/>
        <v>unknown</v>
      </c>
      <c r="H552" t="str">
        <f t="shared" si="39"/>
        <v>unknown</v>
      </c>
      <c r="K552" t="str">
        <f t="shared" si="40"/>
        <v>scale</v>
      </c>
    </row>
    <row r="553" spans="1:11" ht="57.6" x14ac:dyDescent="0.3">
      <c r="A553" t="s">
        <v>4058</v>
      </c>
      <c r="B553" t="s">
        <v>4205</v>
      </c>
      <c r="C553" s="90" t="s">
        <v>4206</v>
      </c>
      <c r="E553" t="s">
        <v>5562</v>
      </c>
      <c r="F553" s="91" t="s">
        <v>4206</v>
      </c>
      <c r="G553" t="str">
        <f t="shared" si="41"/>
        <v>unknown</v>
      </c>
      <c r="H553" t="str">
        <f t="shared" si="39"/>
        <v>unknown</v>
      </c>
      <c r="K553" t="str">
        <f t="shared" si="40"/>
        <v>scale</v>
      </c>
    </row>
    <row r="554" spans="1:11" ht="72" x14ac:dyDescent="0.3">
      <c r="A554" t="s">
        <v>4058</v>
      </c>
      <c r="B554" t="s">
        <v>4207</v>
      </c>
      <c r="C554" s="90" t="s">
        <v>4208</v>
      </c>
      <c r="E554" t="s">
        <v>5562</v>
      </c>
      <c r="F554" s="91" t="s">
        <v>4208</v>
      </c>
      <c r="G554" t="str">
        <f t="shared" si="41"/>
        <v>unknown</v>
      </c>
      <c r="H554" t="str">
        <f t="shared" si="39"/>
        <v>unknown</v>
      </c>
      <c r="K554" t="str">
        <f t="shared" si="40"/>
        <v>scale</v>
      </c>
    </row>
    <row r="555" spans="1:11" ht="57.6" x14ac:dyDescent="0.3">
      <c r="A555" t="s">
        <v>4058</v>
      </c>
      <c r="B555" t="s">
        <v>4209</v>
      </c>
      <c r="C555" s="90" t="s">
        <v>4210</v>
      </c>
      <c r="E555" t="s">
        <v>5562</v>
      </c>
      <c r="F555" s="91" t="s">
        <v>4210</v>
      </c>
      <c r="G555" t="str">
        <f t="shared" si="41"/>
        <v>unknown</v>
      </c>
      <c r="H555" t="str">
        <f t="shared" si="39"/>
        <v>unknown</v>
      </c>
      <c r="K555" t="str">
        <f t="shared" si="40"/>
        <v>scale</v>
      </c>
    </row>
    <row r="556" spans="1:11" ht="57.6" x14ac:dyDescent="0.3">
      <c r="A556" t="s">
        <v>4058</v>
      </c>
      <c r="B556" t="s">
        <v>4211</v>
      </c>
      <c r="C556" s="90" t="s">
        <v>4212</v>
      </c>
      <c r="E556" t="s">
        <v>5562</v>
      </c>
      <c r="F556" s="91" t="s">
        <v>4212</v>
      </c>
      <c r="G556" t="str">
        <f t="shared" si="41"/>
        <v>unknown</v>
      </c>
      <c r="H556" t="str">
        <f t="shared" si="39"/>
        <v>unknown</v>
      </c>
      <c r="K556" t="str">
        <f t="shared" si="40"/>
        <v>scale</v>
      </c>
    </row>
    <row r="557" spans="1:11" ht="57.6" x14ac:dyDescent="0.3">
      <c r="A557" t="s">
        <v>4058</v>
      </c>
      <c r="B557" t="s">
        <v>4213</v>
      </c>
      <c r="C557" s="90" t="s">
        <v>4214</v>
      </c>
      <c r="E557" t="s">
        <v>5562</v>
      </c>
      <c r="F557" s="91" t="s">
        <v>4214</v>
      </c>
      <c r="G557" t="str">
        <f t="shared" si="41"/>
        <v>unknown</v>
      </c>
      <c r="H557" t="str">
        <f t="shared" si="39"/>
        <v>unknown</v>
      </c>
      <c r="K557" t="str">
        <f t="shared" si="40"/>
        <v>scale</v>
      </c>
    </row>
    <row r="558" spans="1:11" ht="28.8" x14ac:dyDescent="0.3">
      <c r="A558" t="s">
        <v>4058</v>
      </c>
      <c r="B558" t="s">
        <v>4215</v>
      </c>
      <c r="C558" s="90" t="s">
        <v>4216</v>
      </c>
      <c r="D558" t="s">
        <v>5561</v>
      </c>
      <c r="E558" t="s">
        <v>5560</v>
      </c>
      <c r="F558" s="92" t="s">
        <v>5599</v>
      </c>
      <c r="G558" t="str">
        <f>IF(EXACT($F558, $Q$1), "sector", IF(EXACT($F558, $R$1), "sector", IF(EXACT($F558, $T$1), "sector", IF(EXACT($F558, $U$1), "sector", "unknown"))))</f>
        <v>unknown</v>
      </c>
      <c r="H558" t="str">
        <f t="shared" si="39"/>
        <v>unknown</v>
      </c>
      <c r="I558" t="s">
        <v>5661</v>
      </c>
      <c r="J558" t="s">
        <v>5665</v>
      </c>
      <c r="K558" t="str">
        <f t="shared" si="40"/>
        <v>specialScale</v>
      </c>
    </row>
    <row r="559" spans="1:11" ht="72" x14ac:dyDescent="0.3">
      <c r="A559" t="s">
        <v>4058</v>
      </c>
      <c r="B559" t="s">
        <v>4217</v>
      </c>
      <c r="C559" s="90" t="s">
        <v>4218</v>
      </c>
      <c r="E559" t="s">
        <v>5562</v>
      </c>
      <c r="F559" s="91" t="s">
        <v>4218</v>
      </c>
      <c r="G559" t="str">
        <f>IF(EXACT($F559, $Q$1), "sector", "unknown")</f>
        <v>unknown</v>
      </c>
      <c r="H559" t="str">
        <f t="shared" si="39"/>
        <v>unknown</v>
      </c>
      <c r="K559" t="str">
        <f t="shared" si="40"/>
        <v>scale</v>
      </c>
    </row>
    <row r="560" spans="1:11" ht="57.6" x14ac:dyDescent="0.3">
      <c r="A560" t="s">
        <v>4058</v>
      </c>
      <c r="B560" t="s">
        <v>4219</v>
      </c>
      <c r="C560" s="90" t="s">
        <v>4220</v>
      </c>
      <c r="E560" t="s">
        <v>5562</v>
      </c>
      <c r="F560" s="91" t="s">
        <v>4220</v>
      </c>
      <c r="G560" t="str">
        <f>IF(EXACT($F560, $Q$1), "sector", "unknown")</f>
        <v>unknown</v>
      </c>
      <c r="H560" t="str">
        <f t="shared" si="39"/>
        <v>unknown</v>
      </c>
      <c r="K560" t="str">
        <f t="shared" si="40"/>
        <v>scale</v>
      </c>
    </row>
    <row r="561" spans="1:11" ht="86.4" x14ac:dyDescent="0.3">
      <c r="A561" t="s">
        <v>4058</v>
      </c>
      <c r="B561" t="s">
        <v>4221</v>
      </c>
      <c r="C561" s="90" t="s">
        <v>4222</v>
      </c>
      <c r="E561" t="s">
        <v>5562</v>
      </c>
      <c r="F561" s="91" t="s">
        <v>4222</v>
      </c>
      <c r="G561" t="str">
        <f>IF(EXACT($F561, $Q$1), "sector", "unknown")</f>
        <v>unknown</v>
      </c>
      <c r="H561" t="str">
        <f t="shared" si="39"/>
        <v>unknown</v>
      </c>
      <c r="K561" t="str">
        <f t="shared" si="40"/>
        <v>scale</v>
      </c>
    </row>
    <row r="562" spans="1:11" ht="72" x14ac:dyDescent="0.3">
      <c r="A562" t="s">
        <v>4058</v>
      </c>
      <c r="B562" t="s">
        <v>4223</v>
      </c>
      <c r="C562" s="90" t="s">
        <v>4224</v>
      </c>
      <c r="E562" t="s">
        <v>5562</v>
      </c>
      <c r="F562" s="91" t="s">
        <v>4224</v>
      </c>
      <c r="G562" t="str">
        <f>IF(EXACT($F562, $Q$1), "sector", "unknown")</f>
        <v>unknown</v>
      </c>
      <c r="H562" t="str">
        <f t="shared" si="39"/>
        <v>unknown</v>
      </c>
      <c r="K562" t="str">
        <f t="shared" si="40"/>
        <v>scale</v>
      </c>
    </row>
    <row r="563" spans="1:11" ht="28.8" x14ac:dyDescent="0.3">
      <c r="A563" t="s">
        <v>4058</v>
      </c>
      <c r="B563" t="s">
        <v>4225</v>
      </c>
      <c r="C563" s="90" t="s">
        <v>4216</v>
      </c>
      <c r="D563" t="s">
        <v>5561</v>
      </c>
      <c r="E563" t="s">
        <v>5560</v>
      </c>
      <c r="F563" s="92" t="s">
        <v>5599</v>
      </c>
      <c r="G563" t="str">
        <f>IF(EXACT($F563, $Q$1), "sector", IF(EXACT($F563, $R$1), "sector", IF(EXACT($F563, $T$1), "sector", IF(EXACT($F563, $U$1), "sector", "unknown"))))</f>
        <v>unknown</v>
      </c>
      <c r="H563" t="str">
        <f t="shared" si="39"/>
        <v>unknown</v>
      </c>
      <c r="I563" t="s">
        <v>5661</v>
      </c>
      <c r="J563" t="s">
        <v>5665</v>
      </c>
      <c r="K563" t="str">
        <f t="shared" si="40"/>
        <v>specialScale</v>
      </c>
    </row>
    <row r="564" spans="1:11" ht="72" x14ac:dyDescent="0.3">
      <c r="A564" t="s">
        <v>4058</v>
      </c>
      <c r="B564" t="s">
        <v>4226</v>
      </c>
      <c r="C564" s="90" t="s">
        <v>4227</v>
      </c>
      <c r="E564" t="s">
        <v>5562</v>
      </c>
      <c r="F564" s="91" t="s">
        <v>4227</v>
      </c>
      <c r="G564" t="str">
        <f>IF(EXACT($F564, $Q$1), "sector", "unknown")</f>
        <v>unknown</v>
      </c>
      <c r="H564" t="str">
        <f t="shared" si="39"/>
        <v>unknown</v>
      </c>
      <c r="K564" t="str">
        <f t="shared" si="40"/>
        <v>scale</v>
      </c>
    </row>
    <row r="565" spans="1:11" ht="57.6" x14ac:dyDescent="0.3">
      <c r="A565" t="s">
        <v>4058</v>
      </c>
      <c r="B565" t="s">
        <v>4228</v>
      </c>
      <c r="C565" s="90" t="s">
        <v>4229</v>
      </c>
      <c r="E565" t="s">
        <v>5562</v>
      </c>
      <c r="F565" s="91" t="s">
        <v>4229</v>
      </c>
      <c r="G565" t="str">
        <f>IF(EXACT($F565, $Q$1), "sector", "unknown")</f>
        <v>unknown</v>
      </c>
      <c r="H565" t="str">
        <f t="shared" si="39"/>
        <v>unknown</v>
      </c>
      <c r="K565" t="str">
        <f t="shared" si="40"/>
        <v>scale</v>
      </c>
    </row>
    <row r="566" spans="1:11" ht="57.6" x14ac:dyDescent="0.3">
      <c r="A566" t="s">
        <v>4058</v>
      </c>
      <c r="B566" t="s">
        <v>4230</v>
      </c>
      <c r="C566" s="90" t="s">
        <v>4231</v>
      </c>
      <c r="E566" t="s">
        <v>5562</v>
      </c>
      <c r="F566" s="91" t="s">
        <v>4231</v>
      </c>
      <c r="G566" t="str">
        <f>IF(EXACT($F566, $Q$1), "sector", "unknown")</f>
        <v>unknown</v>
      </c>
      <c r="H566" t="str">
        <f t="shared" si="39"/>
        <v>unknown</v>
      </c>
      <c r="K566" t="str">
        <f t="shared" si="40"/>
        <v>scale</v>
      </c>
    </row>
    <row r="567" spans="1:11" ht="28.8" x14ac:dyDescent="0.3">
      <c r="A567" t="s">
        <v>4058</v>
      </c>
      <c r="B567" t="s">
        <v>4232</v>
      </c>
      <c r="C567" s="90" t="s">
        <v>4216</v>
      </c>
      <c r="D567" t="s">
        <v>5561</v>
      </c>
      <c r="E567" t="s">
        <v>5560</v>
      </c>
      <c r="F567" s="92" t="s">
        <v>5599</v>
      </c>
      <c r="G567" t="str">
        <f>IF(EXACT($F567, $Q$1), "sector", IF(EXACT($F567, $R$1), "sector", IF(EXACT($F567, $T$1), "sector", IF(EXACT($F567, $U$1), "sector", "unknown"))))</f>
        <v>unknown</v>
      </c>
      <c r="H567" t="str">
        <f t="shared" si="39"/>
        <v>unknown</v>
      </c>
      <c r="I567" t="s">
        <v>5661</v>
      </c>
      <c r="J567" t="s">
        <v>5665</v>
      </c>
      <c r="K567" t="str">
        <f t="shared" si="40"/>
        <v>specialScale</v>
      </c>
    </row>
    <row r="568" spans="1:11" ht="201.6" x14ac:dyDescent="0.3">
      <c r="A568" t="s">
        <v>4058</v>
      </c>
      <c r="B568" t="s">
        <v>4233</v>
      </c>
      <c r="C568" s="90" t="s">
        <v>4234</v>
      </c>
      <c r="E568" t="s">
        <v>5562</v>
      </c>
      <c r="F568" s="91" t="s">
        <v>4234</v>
      </c>
      <c r="G568" t="str">
        <f t="shared" ref="G568:G575" si="42">IF(EXACT($F568, $Q$1), "sector", "unknown")</f>
        <v>unknown</v>
      </c>
      <c r="H568" t="str">
        <f t="shared" si="39"/>
        <v>unknown</v>
      </c>
      <c r="K568" t="str">
        <f t="shared" si="40"/>
        <v>scale</v>
      </c>
    </row>
    <row r="569" spans="1:11" ht="172.8" x14ac:dyDescent="0.3">
      <c r="A569" t="s">
        <v>4058</v>
      </c>
      <c r="B569" t="s">
        <v>4235</v>
      </c>
      <c r="C569" s="90" t="s">
        <v>4236</v>
      </c>
      <c r="E569" t="s">
        <v>5562</v>
      </c>
      <c r="F569" s="91" t="s">
        <v>4236</v>
      </c>
      <c r="G569" t="str">
        <f t="shared" si="42"/>
        <v>unknown</v>
      </c>
      <c r="H569" t="str">
        <f t="shared" si="39"/>
        <v>unknown</v>
      </c>
      <c r="K569" t="str">
        <f t="shared" si="40"/>
        <v>scale</v>
      </c>
    </row>
    <row r="570" spans="1:11" ht="158.4" x14ac:dyDescent="0.3">
      <c r="A570" t="s">
        <v>4058</v>
      </c>
      <c r="B570" t="s">
        <v>4237</v>
      </c>
      <c r="C570" s="90" t="s">
        <v>4238</v>
      </c>
      <c r="E570" t="s">
        <v>5562</v>
      </c>
      <c r="F570" s="91" t="s">
        <v>4238</v>
      </c>
      <c r="G570" t="str">
        <f t="shared" si="42"/>
        <v>unknown</v>
      </c>
      <c r="H570" t="str">
        <f t="shared" si="39"/>
        <v>unknown</v>
      </c>
      <c r="K570" t="str">
        <f t="shared" si="40"/>
        <v>scale</v>
      </c>
    </row>
    <row r="571" spans="1:11" ht="230.4" x14ac:dyDescent="0.3">
      <c r="A571" t="s">
        <v>4239</v>
      </c>
      <c r="B571" t="s">
        <v>3562</v>
      </c>
      <c r="C571" s="90" t="s">
        <v>4240</v>
      </c>
      <c r="E571" t="s">
        <v>5562</v>
      </c>
      <c r="F571" s="91" t="s">
        <v>4240</v>
      </c>
      <c r="G571" t="str">
        <f t="shared" si="42"/>
        <v>unknown</v>
      </c>
      <c r="H571" t="str">
        <f t="shared" si="39"/>
        <v>unknown</v>
      </c>
      <c r="K571" t="str">
        <f t="shared" si="40"/>
        <v>scale</v>
      </c>
    </row>
    <row r="572" spans="1:11" ht="201.6" x14ac:dyDescent="0.3">
      <c r="A572" t="s">
        <v>4239</v>
      </c>
      <c r="B572" t="s">
        <v>4059</v>
      </c>
      <c r="C572" s="90" t="s">
        <v>4241</v>
      </c>
      <c r="E572" t="s">
        <v>5562</v>
      </c>
      <c r="F572" s="91" t="s">
        <v>4241</v>
      </c>
      <c r="G572" t="str">
        <f t="shared" si="42"/>
        <v>unknown</v>
      </c>
      <c r="H572" t="str">
        <f t="shared" si="39"/>
        <v>unknown</v>
      </c>
      <c r="K572" t="str">
        <f t="shared" si="40"/>
        <v>scale</v>
      </c>
    </row>
    <row r="573" spans="1:11" ht="172.8" x14ac:dyDescent="0.3">
      <c r="A573" t="s">
        <v>4239</v>
      </c>
      <c r="B573" t="s">
        <v>4242</v>
      </c>
      <c r="C573" s="90" t="s">
        <v>4243</v>
      </c>
      <c r="E573" t="s">
        <v>5562</v>
      </c>
      <c r="F573" s="91" t="s">
        <v>4243</v>
      </c>
      <c r="G573" t="str">
        <f t="shared" si="42"/>
        <v>unknown</v>
      </c>
      <c r="H573" t="str">
        <f t="shared" si="39"/>
        <v>unknown</v>
      </c>
      <c r="K573" t="str">
        <f t="shared" si="40"/>
        <v>scale</v>
      </c>
    </row>
    <row r="574" spans="1:11" ht="288" x14ac:dyDescent="0.3">
      <c r="A574" t="s">
        <v>4239</v>
      </c>
      <c r="B574" t="s">
        <v>4244</v>
      </c>
      <c r="C574" s="90" t="s">
        <v>4245</v>
      </c>
      <c r="E574" t="s">
        <v>5562</v>
      </c>
      <c r="F574" s="91" t="s">
        <v>4245</v>
      </c>
      <c r="G574" t="str">
        <f t="shared" si="42"/>
        <v>unknown</v>
      </c>
      <c r="H574" t="str">
        <f t="shared" si="39"/>
        <v>unknown</v>
      </c>
      <c r="K574" t="str">
        <f t="shared" si="40"/>
        <v>scale</v>
      </c>
    </row>
    <row r="575" spans="1:11" ht="187.2" x14ac:dyDescent="0.3">
      <c r="A575" t="s">
        <v>4239</v>
      </c>
      <c r="B575" t="s">
        <v>3773</v>
      </c>
      <c r="C575" s="90" t="s">
        <v>4246</v>
      </c>
      <c r="E575" t="s">
        <v>5562</v>
      </c>
      <c r="F575" s="91" t="s">
        <v>4246</v>
      </c>
      <c r="G575" t="str">
        <f t="shared" si="42"/>
        <v>unknown</v>
      </c>
      <c r="H575" t="str">
        <f t="shared" si="39"/>
        <v>unknown</v>
      </c>
      <c r="K575" t="str">
        <f t="shared" si="40"/>
        <v>scale</v>
      </c>
    </row>
    <row r="576" spans="1:11" ht="28.8" x14ac:dyDescent="0.3">
      <c r="A576" t="s">
        <v>4239</v>
      </c>
      <c r="B576" t="s">
        <v>4247</v>
      </c>
      <c r="C576" s="90" t="s">
        <v>3348</v>
      </c>
      <c r="D576" t="s">
        <v>5561</v>
      </c>
      <c r="E576" t="s">
        <v>5560</v>
      </c>
      <c r="F576" s="92" t="s">
        <v>5566</v>
      </c>
      <c r="G576" t="str">
        <f>IF(EXACT($F576, $Q$1), "sector", IF(EXACT($F576, $R$1), "sector", IF(EXACT($F576, $T$1), "sector", IF(EXACT($F576, $U$1), "sector", "unknown"))))</f>
        <v>unknown</v>
      </c>
      <c r="H576" t="str">
        <f t="shared" si="39"/>
        <v>open</v>
      </c>
      <c r="K576" t="str">
        <f t="shared" si="40"/>
        <v>open</v>
      </c>
    </row>
    <row r="577" spans="1:11" ht="230.4" x14ac:dyDescent="0.3">
      <c r="A577" t="s">
        <v>4239</v>
      </c>
      <c r="B577" t="s">
        <v>3312</v>
      </c>
      <c r="C577" s="90" t="s">
        <v>4248</v>
      </c>
      <c r="E577" t="s">
        <v>5562</v>
      </c>
      <c r="F577" s="91" t="s">
        <v>4248</v>
      </c>
      <c r="G577" t="str">
        <f t="shared" ref="G577:G588" si="43">IF(EXACT($F577, $Q$1), "sector", "unknown")</f>
        <v>unknown</v>
      </c>
      <c r="H577" t="str">
        <f t="shared" si="39"/>
        <v>unknown</v>
      </c>
      <c r="K577" t="str">
        <f t="shared" si="40"/>
        <v>scale</v>
      </c>
    </row>
    <row r="578" spans="1:11" ht="187.2" x14ac:dyDescent="0.3">
      <c r="A578" t="s">
        <v>4239</v>
      </c>
      <c r="B578" t="s">
        <v>4249</v>
      </c>
      <c r="C578" s="90" t="s">
        <v>4250</v>
      </c>
      <c r="E578" t="s">
        <v>5562</v>
      </c>
      <c r="F578" s="91" t="s">
        <v>4250</v>
      </c>
      <c r="G578" t="str">
        <f t="shared" si="43"/>
        <v>unknown</v>
      </c>
      <c r="H578" t="str">
        <f t="shared" ref="H578:H641" si="44">IF(EXACT(F578,$W$1), "open", IF(EXACT(F578,$X$1), "open", "unknown"))</f>
        <v>unknown</v>
      </c>
      <c r="K578" t="str">
        <f t="shared" ref="K578:K641" si="45">IF(AND(E578&lt;&gt;"", E578&lt;&gt;"unknown"), E578,
   IF(AND(G578&lt;&gt;"", G578&lt;&gt;"unknown"), G578,
   IF(AND(H578&lt;&gt;"", H578&lt;&gt;"unknown"), H578,
   IF(I578&lt;&gt;"", I578, "ERROR"))))</f>
        <v>scale</v>
      </c>
    </row>
    <row r="579" spans="1:11" ht="230.4" x14ac:dyDescent="0.3">
      <c r="A579" t="s">
        <v>4239</v>
      </c>
      <c r="B579" t="s">
        <v>4251</v>
      </c>
      <c r="C579" s="90" t="s">
        <v>4252</v>
      </c>
      <c r="E579" t="s">
        <v>5562</v>
      </c>
      <c r="F579" s="91" t="s">
        <v>4252</v>
      </c>
      <c r="G579" t="str">
        <f t="shared" si="43"/>
        <v>unknown</v>
      </c>
      <c r="H579" t="str">
        <f t="shared" si="44"/>
        <v>unknown</v>
      </c>
      <c r="K579" t="str">
        <f t="shared" si="45"/>
        <v>scale</v>
      </c>
    </row>
    <row r="580" spans="1:11" ht="144" x14ac:dyDescent="0.3">
      <c r="A580" t="s">
        <v>4239</v>
      </c>
      <c r="B580" t="s">
        <v>3858</v>
      </c>
      <c r="C580" s="90" t="s">
        <v>4253</v>
      </c>
      <c r="E580" t="s">
        <v>5562</v>
      </c>
      <c r="F580" s="91" t="s">
        <v>4253</v>
      </c>
      <c r="G580" t="str">
        <f t="shared" si="43"/>
        <v>unknown</v>
      </c>
      <c r="H580" t="str">
        <f t="shared" si="44"/>
        <v>unknown</v>
      </c>
      <c r="K580" t="str">
        <f t="shared" si="45"/>
        <v>scale</v>
      </c>
    </row>
    <row r="581" spans="1:11" ht="129.6" x14ac:dyDescent="0.3">
      <c r="A581" t="s">
        <v>4239</v>
      </c>
      <c r="B581" t="s">
        <v>4254</v>
      </c>
      <c r="C581" s="90" t="s">
        <v>4255</v>
      </c>
      <c r="E581" t="s">
        <v>5562</v>
      </c>
      <c r="F581" s="91" t="s">
        <v>4255</v>
      </c>
      <c r="G581" t="str">
        <f t="shared" si="43"/>
        <v>unknown</v>
      </c>
      <c r="H581" t="str">
        <f t="shared" si="44"/>
        <v>unknown</v>
      </c>
      <c r="K581" t="str">
        <f t="shared" si="45"/>
        <v>scale</v>
      </c>
    </row>
    <row r="582" spans="1:11" ht="158.4" x14ac:dyDescent="0.3">
      <c r="A582" t="s">
        <v>4239</v>
      </c>
      <c r="B582" t="s">
        <v>4256</v>
      </c>
      <c r="C582" s="90" t="s">
        <v>4257</v>
      </c>
      <c r="E582" t="s">
        <v>5562</v>
      </c>
      <c r="F582" s="91" t="s">
        <v>4257</v>
      </c>
      <c r="G582" t="str">
        <f t="shared" si="43"/>
        <v>unknown</v>
      </c>
      <c r="H582" t="str">
        <f t="shared" si="44"/>
        <v>unknown</v>
      </c>
      <c r="K582" t="str">
        <f t="shared" si="45"/>
        <v>scale</v>
      </c>
    </row>
    <row r="583" spans="1:11" ht="129.6" x14ac:dyDescent="0.3">
      <c r="A583" t="s">
        <v>4239</v>
      </c>
      <c r="B583" t="s">
        <v>3862</v>
      </c>
      <c r="C583" s="90" t="s">
        <v>4258</v>
      </c>
      <c r="E583" t="s">
        <v>5562</v>
      </c>
      <c r="F583" s="91" t="s">
        <v>4258</v>
      </c>
      <c r="G583" t="str">
        <f t="shared" si="43"/>
        <v>unknown</v>
      </c>
      <c r="H583" t="str">
        <f t="shared" si="44"/>
        <v>unknown</v>
      </c>
      <c r="K583" t="str">
        <f t="shared" si="45"/>
        <v>scale</v>
      </c>
    </row>
    <row r="584" spans="1:11" ht="129.6" x14ac:dyDescent="0.3">
      <c r="A584" t="s">
        <v>4239</v>
      </c>
      <c r="B584" t="s">
        <v>4259</v>
      </c>
      <c r="C584" s="90" t="s">
        <v>4260</v>
      </c>
      <c r="E584" t="s">
        <v>5562</v>
      </c>
      <c r="F584" s="91" t="s">
        <v>4260</v>
      </c>
      <c r="G584" t="str">
        <f t="shared" si="43"/>
        <v>unknown</v>
      </c>
      <c r="H584" t="str">
        <f t="shared" si="44"/>
        <v>unknown</v>
      </c>
      <c r="K584" t="str">
        <f t="shared" si="45"/>
        <v>scale</v>
      </c>
    </row>
    <row r="585" spans="1:11" ht="129.6" x14ac:dyDescent="0.3">
      <c r="A585" t="s">
        <v>4239</v>
      </c>
      <c r="B585" t="s">
        <v>4261</v>
      </c>
      <c r="C585" s="90" t="s">
        <v>4262</v>
      </c>
      <c r="E585" t="s">
        <v>5562</v>
      </c>
      <c r="F585" s="91" t="s">
        <v>4262</v>
      </c>
      <c r="G585" t="str">
        <f t="shared" si="43"/>
        <v>unknown</v>
      </c>
      <c r="H585" t="str">
        <f t="shared" si="44"/>
        <v>unknown</v>
      </c>
      <c r="K585" t="str">
        <f t="shared" si="45"/>
        <v>scale</v>
      </c>
    </row>
    <row r="586" spans="1:11" ht="115.2" x14ac:dyDescent="0.3">
      <c r="A586" t="s">
        <v>4239</v>
      </c>
      <c r="B586" t="s">
        <v>4263</v>
      </c>
      <c r="C586" s="90" t="s">
        <v>3778</v>
      </c>
      <c r="E586" t="s">
        <v>5562</v>
      </c>
      <c r="F586" s="91" t="s">
        <v>3778</v>
      </c>
      <c r="G586" t="str">
        <f t="shared" si="43"/>
        <v>unknown</v>
      </c>
      <c r="H586" t="str">
        <f t="shared" si="44"/>
        <v>unknown</v>
      </c>
      <c r="K586" t="str">
        <f t="shared" si="45"/>
        <v>scale</v>
      </c>
    </row>
    <row r="587" spans="1:11" ht="158.4" x14ac:dyDescent="0.3">
      <c r="A587" t="s">
        <v>4239</v>
      </c>
      <c r="B587" t="s">
        <v>4264</v>
      </c>
      <c r="C587" s="90" t="s">
        <v>4257</v>
      </c>
      <c r="E587" t="s">
        <v>5562</v>
      </c>
      <c r="F587" s="91" t="s">
        <v>4257</v>
      </c>
      <c r="G587" t="str">
        <f t="shared" si="43"/>
        <v>unknown</v>
      </c>
      <c r="H587" t="str">
        <f t="shared" si="44"/>
        <v>unknown</v>
      </c>
      <c r="K587" t="str">
        <f t="shared" si="45"/>
        <v>scale</v>
      </c>
    </row>
    <row r="588" spans="1:11" ht="158.4" x14ac:dyDescent="0.3">
      <c r="A588" t="s">
        <v>4239</v>
      </c>
      <c r="B588" t="s">
        <v>4265</v>
      </c>
      <c r="C588" s="90" t="s">
        <v>4257</v>
      </c>
      <c r="E588" t="s">
        <v>5562</v>
      </c>
      <c r="F588" s="91" t="s">
        <v>4257</v>
      </c>
      <c r="G588" t="str">
        <f t="shared" si="43"/>
        <v>unknown</v>
      </c>
      <c r="H588" t="str">
        <f t="shared" si="44"/>
        <v>unknown</v>
      </c>
      <c r="K588" t="str">
        <f t="shared" si="45"/>
        <v>scale</v>
      </c>
    </row>
    <row r="589" spans="1:11" ht="28.8" x14ac:dyDescent="0.3">
      <c r="A589" t="s">
        <v>4239</v>
      </c>
      <c r="B589" t="s">
        <v>4266</v>
      </c>
      <c r="C589" s="90" t="s">
        <v>4267</v>
      </c>
      <c r="D589" t="s">
        <v>5563</v>
      </c>
      <c r="E589" t="s">
        <v>5560</v>
      </c>
      <c r="F589" s="92" t="s">
        <v>5600</v>
      </c>
      <c r="G589" t="str">
        <f>IF(EXACT($F589, $Q$1), "sector", IF(EXACT($F589, $R$1), "sector", IF(EXACT($F589, $T$1), "sector", IF(EXACT($F589, $U$1), "sector", "unknown"))))</f>
        <v>unknown</v>
      </c>
      <c r="H589" t="str">
        <f t="shared" si="44"/>
        <v>unknown</v>
      </c>
      <c r="I589" t="s">
        <v>5660</v>
      </c>
      <c r="K589" t="str">
        <f t="shared" si="45"/>
        <v>rephrase</v>
      </c>
    </row>
    <row r="590" spans="1:11" ht="129.6" x14ac:dyDescent="0.3">
      <c r="A590" t="s">
        <v>4239</v>
      </c>
      <c r="B590" t="s">
        <v>4268</v>
      </c>
      <c r="C590" s="90" t="s">
        <v>4262</v>
      </c>
      <c r="E590" t="s">
        <v>5562</v>
      </c>
      <c r="F590" s="91" t="s">
        <v>4262</v>
      </c>
      <c r="G590" t="str">
        <f t="shared" ref="G590:G597" si="46">IF(EXACT($F590, $Q$1), "sector", "unknown")</f>
        <v>unknown</v>
      </c>
      <c r="H590" t="str">
        <f t="shared" si="44"/>
        <v>unknown</v>
      </c>
      <c r="K590" t="str">
        <f t="shared" si="45"/>
        <v>scale</v>
      </c>
    </row>
    <row r="591" spans="1:11" ht="115.2" x14ac:dyDescent="0.3">
      <c r="A591" t="s">
        <v>4239</v>
      </c>
      <c r="B591" t="s">
        <v>4269</v>
      </c>
      <c r="C591" s="90" t="s">
        <v>3778</v>
      </c>
      <c r="E591" t="s">
        <v>5562</v>
      </c>
      <c r="F591" s="91" t="s">
        <v>3778</v>
      </c>
      <c r="G591" t="str">
        <f t="shared" si="46"/>
        <v>unknown</v>
      </c>
      <c r="H591" t="str">
        <f t="shared" si="44"/>
        <v>unknown</v>
      </c>
      <c r="K591" t="str">
        <f t="shared" si="45"/>
        <v>scale</v>
      </c>
    </row>
    <row r="592" spans="1:11" ht="115.2" x14ac:dyDescent="0.3">
      <c r="A592" t="s">
        <v>4239</v>
      </c>
      <c r="B592" t="s">
        <v>4270</v>
      </c>
      <c r="C592" s="90" t="s">
        <v>3712</v>
      </c>
      <c r="E592" t="s">
        <v>5562</v>
      </c>
      <c r="F592" s="91" t="s">
        <v>3712</v>
      </c>
      <c r="G592" t="str">
        <f t="shared" si="46"/>
        <v>unknown</v>
      </c>
      <c r="H592" t="str">
        <f t="shared" si="44"/>
        <v>unknown</v>
      </c>
      <c r="K592" t="str">
        <f t="shared" si="45"/>
        <v>scale</v>
      </c>
    </row>
    <row r="593" spans="1:11" ht="115.2" x14ac:dyDescent="0.3">
      <c r="A593" t="s">
        <v>4239</v>
      </c>
      <c r="B593" t="s">
        <v>4271</v>
      </c>
      <c r="C593" s="90" t="s">
        <v>4272</v>
      </c>
      <c r="E593" t="s">
        <v>5562</v>
      </c>
      <c r="F593" s="91" t="s">
        <v>4272</v>
      </c>
      <c r="G593" t="str">
        <f t="shared" si="46"/>
        <v>unknown</v>
      </c>
      <c r="H593" t="str">
        <f t="shared" si="44"/>
        <v>unknown</v>
      </c>
      <c r="K593" t="str">
        <f t="shared" si="45"/>
        <v>scale</v>
      </c>
    </row>
    <row r="594" spans="1:11" ht="129.6" x14ac:dyDescent="0.3">
      <c r="A594" t="s">
        <v>4239</v>
      </c>
      <c r="B594" t="s">
        <v>3790</v>
      </c>
      <c r="C594" s="90" t="s">
        <v>4262</v>
      </c>
      <c r="E594" t="s">
        <v>5562</v>
      </c>
      <c r="F594" s="91" t="s">
        <v>4262</v>
      </c>
      <c r="G594" t="str">
        <f t="shared" si="46"/>
        <v>unknown</v>
      </c>
      <c r="H594" t="str">
        <f t="shared" si="44"/>
        <v>unknown</v>
      </c>
      <c r="K594" t="str">
        <f t="shared" si="45"/>
        <v>scale</v>
      </c>
    </row>
    <row r="595" spans="1:11" ht="129.6" x14ac:dyDescent="0.3">
      <c r="A595" t="s">
        <v>4239</v>
      </c>
      <c r="B595" t="s">
        <v>4071</v>
      </c>
      <c r="C595" s="90" t="s">
        <v>4273</v>
      </c>
      <c r="E595" t="s">
        <v>5562</v>
      </c>
      <c r="F595" s="91" t="s">
        <v>4273</v>
      </c>
      <c r="G595" t="str">
        <f t="shared" si="46"/>
        <v>unknown</v>
      </c>
      <c r="H595" t="str">
        <f t="shared" si="44"/>
        <v>unknown</v>
      </c>
      <c r="K595" t="str">
        <f t="shared" si="45"/>
        <v>scale</v>
      </c>
    </row>
    <row r="596" spans="1:11" ht="129.6" x14ac:dyDescent="0.3">
      <c r="A596" t="s">
        <v>4239</v>
      </c>
      <c r="B596" t="s">
        <v>4274</v>
      </c>
      <c r="C596" s="90" t="s">
        <v>4275</v>
      </c>
      <c r="E596" t="s">
        <v>5562</v>
      </c>
      <c r="F596" s="91" t="s">
        <v>4275</v>
      </c>
      <c r="G596" t="str">
        <f t="shared" si="46"/>
        <v>unknown</v>
      </c>
      <c r="H596" t="str">
        <f t="shared" si="44"/>
        <v>unknown</v>
      </c>
      <c r="K596" t="str">
        <f t="shared" si="45"/>
        <v>scale</v>
      </c>
    </row>
    <row r="597" spans="1:11" ht="144" x14ac:dyDescent="0.3">
      <c r="A597" t="s">
        <v>4239</v>
      </c>
      <c r="B597" t="s">
        <v>4276</v>
      </c>
      <c r="C597" s="90" t="s">
        <v>4277</v>
      </c>
      <c r="E597" t="s">
        <v>5562</v>
      </c>
      <c r="F597" s="91" t="s">
        <v>4277</v>
      </c>
      <c r="G597" t="str">
        <f t="shared" si="46"/>
        <v>unknown</v>
      </c>
      <c r="H597" t="str">
        <f t="shared" si="44"/>
        <v>unknown</v>
      </c>
      <c r="K597" t="str">
        <f t="shared" si="45"/>
        <v>scale</v>
      </c>
    </row>
    <row r="598" spans="1:11" ht="43.2" x14ac:dyDescent="0.3">
      <c r="A598" t="s">
        <v>4239</v>
      </c>
      <c r="B598" t="s">
        <v>4278</v>
      </c>
      <c r="C598" s="90" t="s">
        <v>4279</v>
      </c>
      <c r="D598" t="s">
        <v>5561</v>
      </c>
      <c r="E598" t="s">
        <v>5560</v>
      </c>
      <c r="F598" s="92" t="s">
        <v>5601</v>
      </c>
      <c r="G598" t="str">
        <f>IF(EXACT($F598, $Q$1), "sector", IF(EXACT($F598, $R$1), "sector", IF(EXACT($F598, $T$1), "sector", IF(EXACT($F598, $U$1), "sector", "unknown"))))</f>
        <v>unknown</v>
      </c>
      <c r="H598" t="str">
        <f t="shared" si="44"/>
        <v>unknown</v>
      </c>
      <c r="I598" t="s">
        <v>5660</v>
      </c>
      <c r="K598" t="str">
        <f t="shared" si="45"/>
        <v>rephrase</v>
      </c>
    </row>
    <row r="599" spans="1:11" ht="230.4" x14ac:dyDescent="0.3">
      <c r="A599" t="s">
        <v>4239</v>
      </c>
      <c r="B599" t="s">
        <v>4280</v>
      </c>
      <c r="C599" s="90" t="s">
        <v>4281</v>
      </c>
      <c r="E599" t="s">
        <v>5562</v>
      </c>
      <c r="F599" s="91" t="s">
        <v>4281</v>
      </c>
      <c r="G599" t="str">
        <f t="shared" ref="G599:G604" si="47">IF(EXACT($F599, $Q$1), "sector", "unknown")</f>
        <v>unknown</v>
      </c>
      <c r="H599" t="str">
        <f t="shared" si="44"/>
        <v>unknown</v>
      </c>
      <c r="K599" t="str">
        <f t="shared" si="45"/>
        <v>scale</v>
      </c>
    </row>
    <row r="600" spans="1:11" ht="409.6" x14ac:dyDescent="0.3">
      <c r="A600" t="s">
        <v>4239</v>
      </c>
      <c r="B600" t="s">
        <v>4282</v>
      </c>
      <c r="C600" s="90" t="s">
        <v>4283</v>
      </c>
      <c r="E600" t="s">
        <v>5562</v>
      </c>
      <c r="F600" s="91" t="s">
        <v>4283</v>
      </c>
      <c r="G600" t="str">
        <f t="shared" si="47"/>
        <v>unknown</v>
      </c>
      <c r="H600" t="str">
        <f t="shared" si="44"/>
        <v>unknown</v>
      </c>
      <c r="K600" t="str">
        <f t="shared" si="45"/>
        <v>scale</v>
      </c>
    </row>
    <row r="601" spans="1:11" ht="374.4" x14ac:dyDescent="0.3">
      <c r="A601" t="s">
        <v>4239</v>
      </c>
      <c r="B601" t="s">
        <v>4284</v>
      </c>
      <c r="C601" s="90" t="s">
        <v>4285</v>
      </c>
      <c r="E601" t="s">
        <v>5562</v>
      </c>
      <c r="F601" s="91" t="s">
        <v>4285</v>
      </c>
      <c r="G601" t="str">
        <f t="shared" si="47"/>
        <v>unknown</v>
      </c>
      <c r="H601" t="str">
        <f t="shared" si="44"/>
        <v>unknown</v>
      </c>
      <c r="K601" t="str">
        <f t="shared" si="45"/>
        <v>scale</v>
      </c>
    </row>
    <row r="602" spans="1:11" ht="409.6" x14ac:dyDescent="0.3">
      <c r="A602" t="s">
        <v>4239</v>
      </c>
      <c r="B602" t="s">
        <v>3977</v>
      </c>
      <c r="C602" s="90" t="s">
        <v>4286</v>
      </c>
      <c r="E602" t="s">
        <v>5562</v>
      </c>
      <c r="F602" s="91" t="s">
        <v>4286</v>
      </c>
      <c r="G602" t="str">
        <f t="shared" si="47"/>
        <v>unknown</v>
      </c>
      <c r="H602" t="str">
        <f t="shared" si="44"/>
        <v>unknown</v>
      </c>
      <c r="K602" t="str">
        <f t="shared" si="45"/>
        <v>scale</v>
      </c>
    </row>
    <row r="603" spans="1:11" ht="86.4" x14ac:dyDescent="0.3">
      <c r="A603" t="s">
        <v>4239</v>
      </c>
      <c r="B603" t="s">
        <v>3384</v>
      </c>
      <c r="C603" s="90" t="s">
        <v>4287</v>
      </c>
      <c r="E603" t="s">
        <v>5562</v>
      </c>
      <c r="F603" s="91" t="s">
        <v>4287</v>
      </c>
      <c r="G603" t="str">
        <f t="shared" si="47"/>
        <v>unknown</v>
      </c>
      <c r="H603" t="str">
        <f t="shared" si="44"/>
        <v>unknown</v>
      </c>
      <c r="K603" t="str">
        <f t="shared" si="45"/>
        <v>scale</v>
      </c>
    </row>
    <row r="604" spans="1:11" ht="72" x14ac:dyDescent="0.3">
      <c r="A604" t="s">
        <v>4239</v>
      </c>
      <c r="B604" t="s">
        <v>4288</v>
      </c>
      <c r="C604" s="90" t="s">
        <v>4289</v>
      </c>
      <c r="E604" t="s">
        <v>5562</v>
      </c>
      <c r="F604" s="91" t="s">
        <v>4289</v>
      </c>
      <c r="G604" t="str">
        <f t="shared" si="47"/>
        <v>unknown</v>
      </c>
      <c r="H604" t="str">
        <f t="shared" si="44"/>
        <v>unknown</v>
      </c>
      <c r="K604" t="str">
        <f t="shared" si="45"/>
        <v>scale</v>
      </c>
    </row>
    <row r="605" spans="1:11" ht="28.8" x14ac:dyDescent="0.3">
      <c r="A605" t="s">
        <v>4239</v>
      </c>
      <c r="B605" t="s">
        <v>4290</v>
      </c>
      <c r="C605" s="90" t="s">
        <v>4291</v>
      </c>
      <c r="D605" t="s">
        <v>5561</v>
      </c>
      <c r="E605" t="s">
        <v>5560</v>
      </c>
      <c r="F605" s="92" t="s">
        <v>5602</v>
      </c>
      <c r="G605" t="str">
        <f t="shared" ref="G605:G631" si="48">IF(EXACT($F605, $Q$1), "sector", IF(EXACT($F605, $R$1), "sector", IF(EXACT($F605, $T$1), "sector", IF(EXACT($F605, $U$1), "sector", "unknown"))))</f>
        <v>unknown</v>
      </c>
      <c r="H605" t="str">
        <f t="shared" si="44"/>
        <v>unknown</v>
      </c>
      <c r="I605" t="s">
        <v>5660</v>
      </c>
      <c r="J605" t="s">
        <v>5667</v>
      </c>
      <c r="K605" t="str">
        <f t="shared" si="45"/>
        <v>rephrase</v>
      </c>
    </row>
    <row r="606" spans="1:11" ht="28.8" x14ac:dyDescent="0.3">
      <c r="A606" t="s">
        <v>4239</v>
      </c>
      <c r="B606" t="s">
        <v>4292</v>
      </c>
      <c r="C606" s="90" t="s">
        <v>4293</v>
      </c>
      <c r="D606" t="s">
        <v>5561</v>
      </c>
      <c r="E606" t="s">
        <v>5560</v>
      </c>
      <c r="F606" s="92" t="s">
        <v>5603</v>
      </c>
      <c r="G606" t="str">
        <f t="shared" si="48"/>
        <v>unknown</v>
      </c>
      <c r="H606" t="str">
        <f t="shared" si="44"/>
        <v>unknown</v>
      </c>
      <c r="I606" t="s">
        <v>5660</v>
      </c>
      <c r="J606" t="s">
        <v>5667</v>
      </c>
      <c r="K606" t="str">
        <f t="shared" si="45"/>
        <v>rephrase</v>
      </c>
    </row>
    <row r="607" spans="1:11" ht="28.8" x14ac:dyDescent="0.3">
      <c r="A607" t="s">
        <v>4239</v>
      </c>
      <c r="B607" t="s">
        <v>4294</v>
      </c>
      <c r="C607" s="90" t="s">
        <v>4295</v>
      </c>
      <c r="D607" t="s">
        <v>5561</v>
      </c>
      <c r="E607" t="s">
        <v>5560</v>
      </c>
      <c r="F607" s="92" t="s">
        <v>5604</v>
      </c>
      <c r="G607" t="str">
        <f t="shared" si="48"/>
        <v>unknown</v>
      </c>
      <c r="H607" t="str">
        <f t="shared" si="44"/>
        <v>unknown</v>
      </c>
      <c r="I607" t="s">
        <v>5660</v>
      </c>
      <c r="J607" t="s">
        <v>5667</v>
      </c>
      <c r="K607" t="str">
        <f t="shared" si="45"/>
        <v>rephrase</v>
      </c>
    </row>
    <row r="608" spans="1:11" ht="28.8" x14ac:dyDescent="0.3">
      <c r="A608" t="s">
        <v>4239</v>
      </c>
      <c r="B608" t="s">
        <v>4296</v>
      </c>
      <c r="C608" s="90" t="s">
        <v>4297</v>
      </c>
      <c r="D608" t="s">
        <v>5561</v>
      </c>
      <c r="E608" t="s">
        <v>5560</v>
      </c>
      <c r="F608" s="92" t="s">
        <v>5605</v>
      </c>
      <c r="G608" t="str">
        <f t="shared" si="48"/>
        <v>unknown</v>
      </c>
      <c r="H608" t="str">
        <f t="shared" si="44"/>
        <v>unknown</v>
      </c>
      <c r="I608" t="s">
        <v>5660</v>
      </c>
      <c r="J608" t="s">
        <v>5667</v>
      </c>
      <c r="K608" t="str">
        <f t="shared" si="45"/>
        <v>rephrase</v>
      </c>
    </row>
    <row r="609" spans="1:11" ht="28.8" x14ac:dyDescent="0.3">
      <c r="A609" t="s">
        <v>4239</v>
      </c>
      <c r="B609" t="s">
        <v>4298</v>
      </c>
      <c r="C609" s="90" t="s">
        <v>4299</v>
      </c>
      <c r="D609" t="s">
        <v>5561</v>
      </c>
      <c r="E609" t="s">
        <v>5560</v>
      </c>
      <c r="F609" s="92" t="s">
        <v>5606</v>
      </c>
      <c r="G609" t="str">
        <f t="shared" si="48"/>
        <v>unknown</v>
      </c>
      <c r="H609" t="str">
        <f t="shared" si="44"/>
        <v>unknown</v>
      </c>
      <c r="I609" t="s">
        <v>5660</v>
      </c>
      <c r="J609" t="s">
        <v>5667</v>
      </c>
      <c r="K609" t="str">
        <f t="shared" si="45"/>
        <v>rephrase</v>
      </c>
    </row>
    <row r="610" spans="1:11" ht="28.8" x14ac:dyDescent="0.3">
      <c r="A610" t="s">
        <v>4239</v>
      </c>
      <c r="B610" t="s">
        <v>4300</v>
      </c>
      <c r="C610" s="90" t="s">
        <v>4301</v>
      </c>
      <c r="D610" t="s">
        <v>5561</v>
      </c>
      <c r="E610" t="s">
        <v>5560</v>
      </c>
      <c r="F610" s="92" t="s">
        <v>5607</v>
      </c>
      <c r="G610" t="str">
        <f t="shared" si="48"/>
        <v>unknown</v>
      </c>
      <c r="H610" t="str">
        <f t="shared" si="44"/>
        <v>unknown</v>
      </c>
      <c r="I610" t="s">
        <v>5660</v>
      </c>
      <c r="J610" t="s">
        <v>5667</v>
      </c>
      <c r="K610" t="str">
        <f t="shared" si="45"/>
        <v>rephrase</v>
      </c>
    </row>
    <row r="611" spans="1:11" ht="28.8" x14ac:dyDescent="0.3">
      <c r="A611" t="s">
        <v>4239</v>
      </c>
      <c r="B611" t="s">
        <v>3902</v>
      </c>
      <c r="C611" s="90" t="s">
        <v>4301</v>
      </c>
      <c r="D611" t="s">
        <v>5561</v>
      </c>
      <c r="E611" t="s">
        <v>5560</v>
      </c>
      <c r="F611" s="92" t="s">
        <v>5607</v>
      </c>
      <c r="G611" t="str">
        <f t="shared" si="48"/>
        <v>unknown</v>
      </c>
      <c r="H611" t="str">
        <f t="shared" si="44"/>
        <v>unknown</v>
      </c>
      <c r="I611" t="s">
        <v>5660</v>
      </c>
      <c r="J611" t="s">
        <v>5667</v>
      </c>
      <c r="K611" t="str">
        <f t="shared" si="45"/>
        <v>rephrase</v>
      </c>
    </row>
    <row r="612" spans="1:11" ht="28.8" x14ac:dyDescent="0.3">
      <c r="A612" t="s">
        <v>4239</v>
      </c>
      <c r="B612" t="s">
        <v>4302</v>
      </c>
      <c r="C612" s="90" t="s">
        <v>4303</v>
      </c>
      <c r="D612" t="s">
        <v>5561</v>
      </c>
      <c r="E612" t="s">
        <v>5560</v>
      </c>
      <c r="F612" s="92" t="s">
        <v>5608</v>
      </c>
      <c r="G612" t="str">
        <f t="shared" si="48"/>
        <v>unknown</v>
      </c>
      <c r="H612" t="str">
        <f t="shared" si="44"/>
        <v>unknown</v>
      </c>
      <c r="I612" t="s">
        <v>5660</v>
      </c>
      <c r="J612" t="s">
        <v>5667</v>
      </c>
      <c r="K612" t="str">
        <f t="shared" si="45"/>
        <v>rephrase</v>
      </c>
    </row>
    <row r="613" spans="1:11" ht="28.8" x14ac:dyDescent="0.3">
      <c r="A613" t="s">
        <v>4239</v>
      </c>
      <c r="B613" t="s">
        <v>4304</v>
      </c>
      <c r="C613" s="90" t="s">
        <v>4305</v>
      </c>
      <c r="D613" t="s">
        <v>5561</v>
      </c>
      <c r="E613" t="s">
        <v>5560</v>
      </c>
      <c r="F613" s="92" t="s">
        <v>5609</v>
      </c>
      <c r="G613" t="str">
        <f t="shared" si="48"/>
        <v>unknown</v>
      </c>
      <c r="H613" t="str">
        <f t="shared" si="44"/>
        <v>unknown</v>
      </c>
      <c r="I613" t="s">
        <v>5660</v>
      </c>
      <c r="J613" t="s">
        <v>5667</v>
      </c>
      <c r="K613" t="str">
        <f t="shared" si="45"/>
        <v>rephrase</v>
      </c>
    </row>
    <row r="614" spans="1:11" ht="28.8" x14ac:dyDescent="0.3">
      <c r="A614" t="s">
        <v>4239</v>
      </c>
      <c r="B614" t="s">
        <v>4306</v>
      </c>
      <c r="C614" s="90" t="s">
        <v>4307</v>
      </c>
      <c r="D614" t="s">
        <v>5561</v>
      </c>
      <c r="E614" t="s">
        <v>5560</v>
      </c>
      <c r="F614" s="92" t="s">
        <v>5610</v>
      </c>
      <c r="G614" t="str">
        <f t="shared" si="48"/>
        <v>unknown</v>
      </c>
      <c r="H614" t="str">
        <f t="shared" si="44"/>
        <v>unknown</v>
      </c>
      <c r="I614" t="s">
        <v>5660</v>
      </c>
      <c r="J614" t="s">
        <v>5667</v>
      </c>
      <c r="K614" t="str">
        <f t="shared" si="45"/>
        <v>rephrase</v>
      </c>
    </row>
    <row r="615" spans="1:11" ht="28.8" x14ac:dyDescent="0.3">
      <c r="A615" t="s">
        <v>4239</v>
      </c>
      <c r="B615" t="s">
        <v>4308</v>
      </c>
      <c r="C615" s="90" t="s">
        <v>4309</v>
      </c>
      <c r="D615" t="s">
        <v>5561</v>
      </c>
      <c r="E615" t="s">
        <v>5560</v>
      </c>
      <c r="F615" s="92" t="s">
        <v>5611</v>
      </c>
      <c r="G615" t="str">
        <f t="shared" si="48"/>
        <v>unknown</v>
      </c>
      <c r="H615" t="str">
        <f t="shared" si="44"/>
        <v>unknown</v>
      </c>
      <c r="I615" t="s">
        <v>5660</v>
      </c>
      <c r="J615" t="s">
        <v>5667</v>
      </c>
      <c r="K615" t="str">
        <f t="shared" si="45"/>
        <v>rephrase</v>
      </c>
    </row>
    <row r="616" spans="1:11" ht="28.8" x14ac:dyDescent="0.3">
      <c r="A616" t="s">
        <v>4239</v>
      </c>
      <c r="B616" t="s">
        <v>4310</v>
      </c>
      <c r="C616" s="90" t="s">
        <v>4309</v>
      </c>
      <c r="D616" t="s">
        <v>5561</v>
      </c>
      <c r="E616" t="s">
        <v>5560</v>
      </c>
      <c r="F616" s="92" t="s">
        <v>5611</v>
      </c>
      <c r="G616" t="str">
        <f t="shared" si="48"/>
        <v>unknown</v>
      </c>
      <c r="H616" t="str">
        <f t="shared" si="44"/>
        <v>unknown</v>
      </c>
      <c r="I616" t="s">
        <v>5660</v>
      </c>
      <c r="J616" t="s">
        <v>5667</v>
      </c>
      <c r="K616" t="str">
        <f t="shared" si="45"/>
        <v>rephrase</v>
      </c>
    </row>
    <row r="617" spans="1:11" ht="28.8" x14ac:dyDescent="0.3">
      <c r="A617" t="s">
        <v>4239</v>
      </c>
      <c r="B617" t="s">
        <v>4311</v>
      </c>
      <c r="C617" s="90" t="s">
        <v>4309</v>
      </c>
      <c r="D617" t="s">
        <v>5561</v>
      </c>
      <c r="E617" t="s">
        <v>5560</v>
      </c>
      <c r="F617" s="92" t="s">
        <v>5611</v>
      </c>
      <c r="G617" t="str">
        <f t="shared" si="48"/>
        <v>unknown</v>
      </c>
      <c r="H617" t="str">
        <f t="shared" si="44"/>
        <v>unknown</v>
      </c>
      <c r="I617" t="s">
        <v>5660</v>
      </c>
      <c r="J617" t="s">
        <v>5667</v>
      </c>
      <c r="K617" t="str">
        <f t="shared" si="45"/>
        <v>rephrase</v>
      </c>
    </row>
    <row r="618" spans="1:11" ht="28.8" x14ac:dyDescent="0.3">
      <c r="A618" t="s">
        <v>4239</v>
      </c>
      <c r="B618" t="s">
        <v>3904</v>
      </c>
      <c r="C618" s="90" t="s">
        <v>4312</v>
      </c>
      <c r="D618" t="s">
        <v>5561</v>
      </c>
      <c r="E618" t="s">
        <v>5560</v>
      </c>
      <c r="F618" s="92" t="s">
        <v>5612</v>
      </c>
      <c r="G618" t="str">
        <f t="shared" si="48"/>
        <v>unknown</v>
      </c>
      <c r="H618" t="str">
        <f t="shared" si="44"/>
        <v>unknown</v>
      </c>
      <c r="I618" t="s">
        <v>5660</v>
      </c>
      <c r="J618" t="s">
        <v>5667</v>
      </c>
      <c r="K618" t="str">
        <f t="shared" si="45"/>
        <v>rephrase</v>
      </c>
    </row>
    <row r="619" spans="1:11" ht="28.8" x14ac:dyDescent="0.3">
      <c r="A619" t="s">
        <v>4239</v>
      </c>
      <c r="B619" t="s">
        <v>4076</v>
      </c>
      <c r="C619" s="90" t="s">
        <v>4313</v>
      </c>
      <c r="D619" t="s">
        <v>5561</v>
      </c>
      <c r="E619" t="s">
        <v>5560</v>
      </c>
      <c r="F619" s="92" t="s">
        <v>5613</v>
      </c>
      <c r="G619" t="str">
        <f t="shared" si="48"/>
        <v>unknown</v>
      </c>
      <c r="H619" t="str">
        <f t="shared" si="44"/>
        <v>unknown</v>
      </c>
      <c r="I619" t="s">
        <v>5660</v>
      </c>
      <c r="J619" t="s">
        <v>5667</v>
      </c>
      <c r="K619" t="str">
        <f t="shared" si="45"/>
        <v>rephrase</v>
      </c>
    </row>
    <row r="620" spans="1:11" ht="28.8" x14ac:dyDescent="0.3">
      <c r="A620" t="s">
        <v>4239</v>
      </c>
      <c r="B620" t="s">
        <v>4314</v>
      </c>
      <c r="C620" s="90" t="s">
        <v>4313</v>
      </c>
      <c r="D620" t="s">
        <v>5561</v>
      </c>
      <c r="E620" t="s">
        <v>5560</v>
      </c>
      <c r="F620" s="92" t="s">
        <v>5613</v>
      </c>
      <c r="G620" t="str">
        <f t="shared" si="48"/>
        <v>unknown</v>
      </c>
      <c r="H620" t="str">
        <f t="shared" si="44"/>
        <v>unknown</v>
      </c>
      <c r="I620" t="s">
        <v>5660</v>
      </c>
      <c r="J620" t="s">
        <v>5667</v>
      </c>
      <c r="K620" t="str">
        <f t="shared" si="45"/>
        <v>rephrase</v>
      </c>
    </row>
    <row r="621" spans="1:11" ht="28.8" x14ac:dyDescent="0.3">
      <c r="A621" t="s">
        <v>4239</v>
      </c>
      <c r="B621" t="s">
        <v>3905</v>
      </c>
      <c r="C621" s="90" t="s">
        <v>4313</v>
      </c>
      <c r="D621" t="s">
        <v>5561</v>
      </c>
      <c r="E621" t="s">
        <v>5560</v>
      </c>
      <c r="F621" s="92" t="s">
        <v>5613</v>
      </c>
      <c r="G621" t="str">
        <f t="shared" si="48"/>
        <v>unknown</v>
      </c>
      <c r="H621" t="str">
        <f t="shared" si="44"/>
        <v>unknown</v>
      </c>
      <c r="I621" t="s">
        <v>5660</v>
      </c>
      <c r="J621" t="s">
        <v>5667</v>
      </c>
      <c r="K621" t="str">
        <f t="shared" si="45"/>
        <v>rephrase</v>
      </c>
    </row>
    <row r="622" spans="1:11" ht="28.8" x14ac:dyDescent="0.3">
      <c r="A622" t="s">
        <v>4239</v>
      </c>
      <c r="B622" t="s">
        <v>4315</v>
      </c>
      <c r="C622" s="90" t="s">
        <v>4316</v>
      </c>
      <c r="D622" t="s">
        <v>5561</v>
      </c>
      <c r="E622" t="s">
        <v>5560</v>
      </c>
      <c r="F622" s="92" t="s">
        <v>5614</v>
      </c>
      <c r="G622" t="str">
        <f t="shared" si="48"/>
        <v>unknown</v>
      </c>
      <c r="H622" t="str">
        <f t="shared" si="44"/>
        <v>unknown</v>
      </c>
      <c r="I622" t="s">
        <v>5660</v>
      </c>
      <c r="J622" t="s">
        <v>5667</v>
      </c>
      <c r="K622" t="str">
        <f t="shared" si="45"/>
        <v>rephrase</v>
      </c>
    </row>
    <row r="623" spans="1:11" ht="28.8" x14ac:dyDescent="0.3">
      <c r="A623" t="s">
        <v>4239</v>
      </c>
      <c r="B623" t="s">
        <v>4317</v>
      </c>
      <c r="C623" s="90" t="s">
        <v>4316</v>
      </c>
      <c r="D623" t="s">
        <v>5561</v>
      </c>
      <c r="E623" t="s">
        <v>5560</v>
      </c>
      <c r="F623" s="92" t="s">
        <v>5614</v>
      </c>
      <c r="G623" t="str">
        <f t="shared" si="48"/>
        <v>unknown</v>
      </c>
      <c r="H623" t="str">
        <f t="shared" si="44"/>
        <v>unknown</v>
      </c>
      <c r="I623" t="s">
        <v>5660</v>
      </c>
      <c r="J623" t="s">
        <v>5667</v>
      </c>
      <c r="K623" t="str">
        <f t="shared" si="45"/>
        <v>rephrase</v>
      </c>
    </row>
    <row r="624" spans="1:11" ht="28.8" x14ac:dyDescent="0.3">
      <c r="A624" t="s">
        <v>4239</v>
      </c>
      <c r="B624" t="s">
        <v>4318</v>
      </c>
      <c r="C624" s="90" t="s">
        <v>4316</v>
      </c>
      <c r="D624" t="s">
        <v>5561</v>
      </c>
      <c r="E624" t="s">
        <v>5560</v>
      </c>
      <c r="F624" s="92" t="s">
        <v>5614</v>
      </c>
      <c r="G624" t="str">
        <f t="shared" si="48"/>
        <v>unknown</v>
      </c>
      <c r="H624" t="str">
        <f t="shared" si="44"/>
        <v>unknown</v>
      </c>
      <c r="I624" t="s">
        <v>5660</v>
      </c>
      <c r="J624" t="s">
        <v>5667</v>
      </c>
      <c r="K624" t="str">
        <f t="shared" si="45"/>
        <v>rephrase</v>
      </c>
    </row>
    <row r="625" spans="1:11" ht="28.8" x14ac:dyDescent="0.3">
      <c r="A625" t="s">
        <v>4239</v>
      </c>
      <c r="B625" t="s">
        <v>4319</v>
      </c>
      <c r="C625" s="90" t="s">
        <v>4316</v>
      </c>
      <c r="D625" t="s">
        <v>5561</v>
      </c>
      <c r="E625" t="s">
        <v>5560</v>
      </c>
      <c r="F625" s="92" t="s">
        <v>5614</v>
      </c>
      <c r="G625" t="str">
        <f t="shared" si="48"/>
        <v>unknown</v>
      </c>
      <c r="H625" t="str">
        <f t="shared" si="44"/>
        <v>unknown</v>
      </c>
      <c r="I625" t="s">
        <v>5660</v>
      </c>
      <c r="J625" t="s">
        <v>5667</v>
      </c>
      <c r="K625" t="str">
        <f t="shared" si="45"/>
        <v>rephrase</v>
      </c>
    </row>
    <row r="626" spans="1:11" ht="28.8" x14ac:dyDescent="0.3">
      <c r="A626" t="s">
        <v>4239</v>
      </c>
      <c r="B626" t="s">
        <v>4320</v>
      </c>
      <c r="C626" s="90" t="s">
        <v>4321</v>
      </c>
      <c r="D626" t="s">
        <v>5561</v>
      </c>
      <c r="E626" t="s">
        <v>5560</v>
      </c>
      <c r="F626" s="92" t="s">
        <v>5615</v>
      </c>
      <c r="G626" t="str">
        <f t="shared" si="48"/>
        <v>unknown</v>
      </c>
      <c r="H626" t="str">
        <f t="shared" si="44"/>
        <v>unknown</v>
      </c>
      <c r="I626" t="s">
        <v>5660</v>
      </c>
      <c r="J626" t="s">
        <v>5667</v>
      </c>
      <c r="K626" t="str">
        <f t="shared" si="45"/>
        <v>rephrase</v>
      </c>
    </row>
    <row r="627" spans="1:11" ht="28.8" x14ac:dyDescent="0.3">
      <c r="A627" t="s">
        <v>4239</v>
      </c>
      <c r="B627" t="s">
        <v>4322</v>
      </c>
      <c r="C627" s="90" t="s">
        <v>4321</v>
      </c>
      <c r="D627" t="s">
        <v>5561</v>
      </c>
      <c r="E627" t="s">
        <v>5560</v>
      </c>
      <c r="F627" s="92" t="s">
        <v>5615</v>
      </c>
      <c r="G627" t="str">
        <f t="shared" si="48"/>
        <v>unknown</v>
      </c>
      <c r="H627" t="str">
        <f t="shared" si="44"/>
        <v>unknown</v>
      </c>
      <c r="I627" t="s">
        <v>5660</v>
      </c>
      <c r="J627" t="s">
        <v>5667</v>
      </c>
      <c r="K627" t="str">
        <f t="shared" si="45"/>
        <v>rephrase</v>
      </c>
    </row>
    <row r="628" spans="1:11" ht="28.8" x14ac:dyDescent="0.3">
      <c r="A628" t="s">
        <v>4239</v>
      </c>
      <c r="B628" t="s">
        <v>4323</v>
      </c>
      <c r="C628" s="90" t="s">
        <v>4321</v>
      </c>
      <c r="D628" t="s">
        <v>5561</v>
      </c>
      <c r="E628" t="s">
        <v>5560</v>
      </c>
      <c r="F628" s="92" t="s">
        <v>5615</v>
      </c>
      <c r="G628" t="str">
        <f t="shared" si="48"/>
        <v>unknown</v>
      </c>
      <c r="H628" t="str">
        <f t="shared" si="44"/>
        <v>unknown</v>
      </c>
      <c r="I628" t="s">
        <v>5660</v>
      </c>
      <c r="J628" t="s">
        <v>5667</v>
      </c>
      <c r="K628" t="str">
        <f t="shared" si="45"/>
        <v>rephrase</v>
      </c>
    </row>
    <row r="629" spans="1:11" ht="28.8" x14ac:dyDescent="0.3">
      <c r="A629" t="s">
        <v>4239</v>
      </c>
      <c r="B629" t="s">
        <v>4324</v>
      </c>
      <c r="C629" s="90" t="s">
        <v>4325</v>
      </c>
      <c r="D629" t="s">
        <v>5561</v>
      </c>
      <c r="E629" t="s">
        <v>5560</v>
      </c>
      <c r="F629" s="92" t="s">
        <v>5616</v>
      </c>
      <c r="G629" t="str">
        <f t="shared" si="48"/>
        <v>unknown</v>
      </c>
      <c r="H629" t="str">
        <f t="shared" si="44"/>
        <v>unknown</v>
      </c>
      <c r="I629" t="s">
        <v>5660</v>
      </c>
      <c r="J629" t="s">
        <v>5667</v>
      </c>
      <c r="K629" t="str">
        <f t="shared" si="45"/>
        <v>rephrase</v>
      </c>
    </row>
    <row r="630" spans="1:11" ht="28.8" x14ac:dyDescent="0.3">
      <c r="A630" t="s">
        <v>4239</v>
      </c>
      <c r="B630" t="s">
        <v>4326</v>
      </c>
      <c r="C630" s="90" t="s">
        <v>4325</v>
      </c>
      <c r="D630" t="s">
        <v>5561</v>
      </c>
      <c r="E630" t="s">
        <v>5560</v>
      </c>
      <c r="F630" s="92" t="s">
        <v>5616</v>
      </c>
      <c r="G630" t="str">
        <f t="shared" si="48"/>
        <v>unknown</v>
      </c>
      <c r="H630" t="str">
        <f t="shared" si="44"/>
        <v>unknown</v>
      </c>
      <c r="I630" t="s">
        <v>5660</v>
      </c>
      <c r="J630" t="s">
        <v>5667</v>
      </c>
      <c r="K630" t="str">
        <f t="shared" si="45"/>
        <v>rephrase</v>
      </c>
    </row>
    <row r="631" spans="1:11" ht="28.8" x14ac:dyDescent="0.3">
      <c r="A631" t="s">
        <v>4239</v>
      </c>
      <c r="B631" t="s">
        <v>4327</v>
      </c>
      <c r="C631" s="90" t="s">
        <v>4325</v>
      </c>
      <c r="D631" t="s">
        <v>5561</v>
      </c>
      <c r="E631" t="s">
        <v>5560</v>
      </c>
      <c r="F631" s="92" t="s">
        <v>5616</v>
      </c>
      <c r="G631" t="str">
        <f t="shared" si="48"/>
        <v>unknown</v>
      </c>
      <c r="H631" t="str">
        <f t="shared" si="44"/>
        <v>unknown</v>
      </c>
      <c r="I631" t="s">
        <v>5660</v>
      </c>
      <c r="J631" t="s">
        <v>5667</v>
      </c>
      <c r="K631" t="str">
        <f t="shared" si="45"/>
        <v>rephrase</v>
      </c>
    </row>
    <row r="632" spans="1:11" ht="100.8" x14ac:dyDescent="0.3">
      <c r="A632" t="s">
        <v>4239</v>
      </c>
      <c r="B632" t="s">
        <v>4328</v>
      </c>
      <c r="C632" s="90" t="s">
        <v>4329</v>
      </c>
      <c r="E632" t="s">
        <v>5562</v>
      </c>
      <c r="F632" s="91" t="s">
        <v>4329</v>
      </c>
      <c r="G632" t="str">
        <f t="shared" ref="G632:G638" si="49">IF(EXACT($F632, $Q$1), "sector", "unknown")</f>
        <v>unknown</v>
      </c>
      <c r="H632" t="str">
        <f t="shared" si="44"/>
        <v>unknown</v>
      </c>
      <c r="K632" t="str">
        <f t="shared" si="45"/>
        <v>scale</v>
      </c>
    </row>
    <row r="633" spans="1:11" ht="144" x14ac:dyDescent="0.3">
      <c r="A633" t="s">
        <v>4239</v>
      </c>
      <c r="B633" t="s">
        <v>4330</v>
      </c>
      <c r="C633" s="90" t="s">
        <v>4331</v>
      </c>
      <c r="E633" t="s">
        <v>5562</v>
      </c>
      <c r="F633" s="91" t="s">
        <v>4331</v>
      </c>
      <c r="G633" t="str">
        <f t="shared" si="49"/>
        <v>unknown</v>
      </c>
      <c r="H633" t="str">
        <f t="shared" si="44"/>
        <v>unknown</v>
      </c>
      <c r="K633" t="str">
        <f t="shared" si="45"/>
        <v>scale</v>
      </c>
    </row>
    <row r="634" spans="1:11" ht="72" x14ac:dyDescent="0.3">
      <c r="A634" t="s">
        <v>4239</v>
      </c>
      <c r="B634" t="s">
        <v>4332</v>
      </c>
      <c r="C634" s="90" t="s">
        <v>4333</v>
      </c>
      <c r="E634" t="s">
        <v>5562</v>
      </c>
      <c r="F634" s="91" t="s">
        <v>4333</v>
      </c>
      <c r="G634" t="str">
        <f t="shared" si="49"/>
        <v>unknown</v>
      </c>
      <c r="H634" t="str">
        <f t="shared" si="44"/>
        <v>unknown</v>
      </c>
      <c r="K634" t="str">
        <f t="shared" si="45"/>
        <v>scale</v>
      </c>
    </row>
    <row r="635" spans="1:11" ht="172.8" x14ac:dyDescent="0.3">
      <c r="A635" t="s">
        <v>4239</v>
      </c>
      <c r="B635" t="s">
        <v>4334</v>
      </c>
      <c r="C635" s="90" t="s">
        <v>4335</v>
      </c>
      <c r="E635" t="s">
        <v>5562</v>
      </c>
      <c r="F635" s="91" t="s">
        <v>4335</v>
      </c>
      <c r="G635" t="str">
        <f t="shared" si="49"/>
        <v>unknown</v>
      </c>
      <c r="H635" t="str">
        <f t="shared" si="44"/>
        <v>unknown</v>
      </c>
      <c r="K635" t="str">
        <f t="shared" si="45"/>
        <v>scale</v>
      </c>
    </row>
    <row r="636" spans="1:11" ht="100.8" x14ac:dyDescent="0.3">
      <c r="A636" t="s">
        <v>4239</v>
      </c>
      <c r="B636" t="s">
        <v>3625</v>
      </c>
      <c r="C636" s="90" t="s">
        <v>4336</v>
      </c>
      <c r="E636" t="s">
        <v>5562</v>
      </c>
      <c r="F636" s="91" t="s">
        <v>4336</v>
      </c>
      <c r="G636" t="str">
        <f t="shared" si="49"/>
        <v>unknown</v>
      </c>
      <c r="H636" t="str">
        <f t="shared" si="44"/>
        <v>unknown</v>
      </c>
      <c r="K636" t="str">
        <f t="shared" si="45"/>
        <v>scale</v>
      </c>
    </row>
    <row r="637" spans="1:11" ht="144" x14ac:dyDescent="0.3">
      <c r="A637" t="s">
        <v>4239</v>
      </c>
      <c r="B637" t="s">
        <v>3627</v>
      </c>
      <c r="C637" s="90" t="s">
        <v>4337</v>
      </c>
      <c r="E637" t="s">
        <v>5562</v>
      </c>
      <c r="F637" s="91" t="s">
        <v>4337</v>
      </c>
      <c r="G637" t="str">
        <f t="shared" si="49"/>
        <v>unknown</v>
      </c>
      <c r="H637" t="str">
        <f t="shared" si="44"/>
        <v>unknown</v>
      </c>
      <c r="K637" t="str">
        <f t="shared" si="45"/>
        <v>scale</v>
      </c>
    </row>
    <row r="638" spans="1:11" ht="100.8" x14ac:dyDescent="0.3">
      <c r="A638" t="s">
        <v>4239</v>
      </c>
      <c r="B638" t="s">
        <v>3629</v>
      </c>
      <c r="C638" s="90" t="s">
        <v>4338</v>
      </c>
      <c r="E638" t="s">
        <v>5562</v>
      </c>
      <c r="F638" s="91" t="s">
        <v>4338</v>
      </c>
      <c r="G638" t="str">
        <f t="shared" si="49"/>
        <v>unknown</v>
      </c>
      <c r="H638" t="str">
        <f t="shared" si="44"/>
        <v>unknown</v>
      </c>
      <c r="K638" t="str">
        <f t="shared" si="45"/>
        <v>scale</v>
      </c>
    </row>
    <row r="639" spans="1:11" ht="43.2" x14ac:dyDescent="0.3">
      <c r="A639" t="s">
        <v>4239</v>
      </c>
      <c r="B639" t="s">
        <v>3397</v>
      </c>
      <c r="C639" s="90" t="s">
        <v>4339</v>
      </c>
      <c r="D639" t="s">
        <v>5561</v>
      </c>
      <c r="E639" t="s">
        <v>5560</v>
      </c>
      <c r="F639" s="93" t="s">
        <v>5617</v>
      </c>
      <c r="G639" t="str">
        <f t="shared" ref="G639:G646" si="50">IF(EXACT($F639, $Q$1), "sector", IF(EXACT($F639, $R$1), "sector", IF(EXACT($F639, $T$1), "sector", IF(EXACT($F639, $U$1), "sector", "unknown"))))</f>
        <v>unknown</v>
      </c>
      <c r="H639" t="str">
        <f t="shared" si="44"/>
        <v>unknown</v>
      </c>
      <c r="I639" t="s">
        <v>5660</v>
      </c>
      <c r="J639" t="s">
        <v>5667</v>
      </c>
      <c r="K639" t="str">
        <f t="shared" si="45"/>
        <v>rephrase</v>
      </c>
    </row>
    <row r="640" spans="1:11" ht="28.8" x14ac:dyDescent="0.3">
      <c r="A640" t="s">
        <v>4239</v>
      </c>
      <c r="B640" t="s">
        <v>3635</v>
      </c>
      <c r="C640" s="90" t="s">
        <v>4307</v>
      </c>
      <c r="D640" t="s">
        <v>5561</v>
      </c>
      <c r="E640" t="s">
        <v>5560</v>
      </c>
      <c r="F640" s="92" t="s">
        <v>5610</v>
      </c>
      <c r="G640" t="str">
        <f t="shared" si="50"/>
        <v>unknown</v>
      </c>
      <c r="H640" t="str">
        <f t="shared" si="44"/>
        <v>unknown</v>
      </c>
      <c r="I640" t="s">
        <v>5660</v>
      </c>
      <c r="J640" t="s">
        <v>5667</v>
      </c>
      <c r="K640" t="str">
        <f t="shared" si="45"/>
        <v>rephrase</v>
      </c>
    </row>
    <row r="641" spans="1:11" ht="28.8" x14ac:dyDescent="0.3">
      <c r="A641" t="s">
        <v>4239</v>
      </c>
      <c r="B641" t="s">
        <v>4077</v>
      </c>
      <c r="C641" s="90" t="s">
        <v>4316</v>
      </c>
      <c r="D641" t="s">
        <v>5561</v>
      </c>
      <c r="E641" t="s">
        <v>5560</v>
      </c>
      <c r="F641" s="92" t="s">
        <v>5614</v>
      </c>
      <c r="G641" t="str">
        <f t="shared" si="50"/>
        <v>unknown</v>
      </c>
      <c r="H641" t="str">
        <f t="shared" si="44"/>
        <v>unknown</v>
      </c>
      <c r="I641" t="s">
        <v>5660</v>
      </c>
      <c r="J641" t="s">
        <v>5667</v>
      </c>
      <c r="K641" t="str">
        <f t="shared" si="45"/>
        <v>rephrase</v>
      </c>
    </row>
    <row r="642" spans="1:11" ht="28.8" x14ac:dyDescent="0.3">
      <c r="A642" t="s">
        <v>4239</v>
      </c>
      <c r="B642" t="s">
        <v>4340</v>
      </c>
      <c r="C642" s="90" t="s">
        <v>4316</v>
      </c>
      <c r="D642" t="s">
        <v>5561</v>
      </c>
      <c r="E642" t="s">
        <v>5560</v>
      </c>
      <c r="F642" s="92" t="s">
        <v>5614</v>
      </c>
      <c r="G642" t="str">
        <f t="shared" si="50"/>
        <v>unknown</v>
      </c>
      <c r="H642" t="str">
        <f t="shared" ref="H642:H705" si="51">IF(EXACT(F642,$W$1), "open", IF(EXACT(F642,$X$1), "open", "unknown"))</f>
        <v>unknown</v>
      </c>
      <c r="I642" t="s">
        <v>5660</v>
      </c>
      <c r="J642" t="s">
        <v>5667</v>
      </c>
      <c r="K642" t="str">
        <f t="shared" ref="K642:K705" si="52">IF(AND(E642&lt;&gt;"", E642&lt;&gt;"unknown"), E642,
   IF(AND(G642&lt;&gt;"", G642&lt;&gt;"unknown"), G642,
   IF(AND(H642&lt;&gt;"", H642&lt;&gt;"unknown"), H642,
   IF(I642&lt;&gt;"", I642, "ERROR"))))</f>
        <v>rephrase</v>
      </c>
    </row>
    <row r="643" spans="1:11" ht="28.8" x14ac:dyDescent="0.3">
      <c r="A643" t="s">
        <v>4239</v>
      </c>
      <c r="B643" t="s">
        <v>4341</v>
      </c>
      <c r="C643" s="90" t="s">
        <v>4316</v>
      </c>
      <c r="D643" t="s">
        <v>5561</v>
      </c>
      <c r="E643" t="s">
        <v>5560</v>
      </c>
      <c r="F643" s="92" t="s">
        <v>5614</v>
      </c>
      <c r="G643" t="str">
        <f t="shared" si="50"/>
        <v>unknown</v>
      </c>
      <c r="H643" t="str">
        <f t="shared" si="51"/>
        <v>unknown</v>
      </c>
      <c r="I643" t="s">
        <v>5660</v>
      </c>
      <c r="J643" t="s">
        <v>5667</v>
      </c>
      <c r="K643" t="str">
        <f t="shared" si="52"/>
        <v>rephrase</v>
      </c>
    </row>
    <row r="644" spans="1:11" ht="28.8" x14ac:dyDescent="0.3">
      <c r="A644" t="s">
        <v>4239</v>
      </c>
      <c r="B644" t="s">
        <v>4342</v>
      </c>
      <c r="C644" s="90" t="s">
        <v>4321</v>
      </c>
      <c r="D644" t="s">
        <v>5561</v>
      </c>
      <c r="E644" t="s">
        <v>5560</v>
      </c>
      <c r="F644" s="92" t="s">
        <v>5615</v>
      </c>
      <c r="G644" t="str">
        <f t="shared" si="50"/>
        <v>unknown</v>
      </c>
      <c r="H644" t="str">
        <f t="shared" si="51"/>
        <v>unknown</v>
      </c>
      <c r="I644" t="s">
        <v>5660</v>
      </c>
      <c r="J644" t="s">
        <v>5667</v>
      </c>
      <c r="K644" t="str">
        <f t="shared" si="52"/>
        <v>rephrase</v>
      </c>
    </row>
    <row r="645" spans="1:11" ht="28.8" x14ac:dyDescent="0.3">
      <c r="A645" t="s">
        <v>4239</v>
      </c>
      <c r="B645" t="s">
        <v>4343</v>
      </c>
      <c r="C645" s="90" t="s">
        <v>4291</v>
      </c>
      <c r="D645" t="s">
        <v>5561</v>
      </c>
      <c r="E645" t="s">
        <v>5560</v>
      </c>
      <c r="F645" s="92" t="s">
        <v>5602</v>
      </c>
      <c r="G645" t="str">
        <f t="shared" si="50"/>
        <v>unknown</v>
      </c>
      <c r="H645" t="str">
        <f t="shared" si="51"/>
        <v>unknown</v>
      </c>
      <c r="I645" t="s">
        <v>5660</v>
      </c>
      <c r="J645" t="s">
        <v>5667</v>
      </c>
      <c r="K645" t="str">
        <f t="shared" si="52"/>
        <v>rephrase</v>
      </c>
    </row>
    <row r="646" spans="1:11" ht="28.8" x14ac:dyDescent="0.3">
      <c r="A646" t="s">
        <v>4239</v>
      </c>
      <c r="B646" t="s">
        <v>3402</v>
      </c>
      <c r="C646" s="90" t="s">
        <v>4321</v>
      </c>
      <c r="D646" t="s">
        <v>5561</v>
      </c>
      <c r="E646" t="s">
        <v>5560</v>
      </c>
      <c r="F646" s="92" t="s">
        <v>5615</v>
      </c>
      <c r="G646" t="str">
        <f t="shared" si="50"/>
        <v>unknown</v>
      </c>
      <c r="H646" t="str">
        <f t="shared" si="51"/>
        <v>unknown</v>
      </c>
      <c r="I646" t="s">
        <v>5660</v>
      </c>
      <c r="J646" t="s">
        <v>5667</v>
      </c>
      <c r="K646" t="str">
        <f t="shared" si="52"/>
        <v>rephrase</v>
      </c>
    </row>
    <row r="647" spans="1:11" ht="244.8" x14ac:dyDescent="0.3">
      <c r="A647" t="s">
        <v>4239</v>
      </c>
      <c r="B647" t="s">
        <v>4344</v>
      </c>
      <c r="C647" s="90" t="s">
        <v>4345</v>
      </c>
      <c r="E647" t="s">
        <v>5562</v>
      </c>
      <c r="F647" s="91" t="s">
        <v>4345</v>
      </c>
      <c r="G647" t="str">
        <f t="shared" ref="G647:G679" si="53">IF(EXACT($F647, $Q$1), "sector", "unknown")</f>
        <v>unknown</v>
      </c>
      <c r="H647" t="str">
        <f t="shared" si="51"/>
        <v>unknown</v>
      </c>
      <c r="K647" t="str">
        <f t="shared" si="52"/>
        <v>scale</v>
      </c>
    </row>
    <row r="648" spans="1:11" ht="172.8" x14ac:dyDescent="0.3">
      <c r="A648" t="s">
        <v>4239</v>
      </c>
      <c r="B648" t="s">
        <v>4346</v>
      </c>
      <c r="C648" s="90" t="s">
        <v>4347</v>
      </c>
      <c r="E648" t="s">
        <v>5562</v>
      </c>
      <c r="F648" s="91" t="s">
        <v>4347</v>
      </c>
      <c r="G648" t="str">
        <f t="shared" si="53"/>
        <v>unknown</v>
      </c>
      <c r="H648" t="str">
        <f t="shared" si="51"/>
        <v>unknown</v>
      </c>
      <c r="K648" t="str">
        <f t="shared" si="52"/>
        <v>scale</v>
      </c>
    </row>
    <row r="649" spans="1:11" ht="57.6" x14ac:dyDescent="0.3">
      <c r="A649" t="s">
        <v>4239</v>
      </c>
      <c r="B649" t="s">
        <v>4348</v>
      </c>
      <c r="C649" s="90" t="s">
        <v>4349</v>
      </c>
      <c r="E649" t="s">
        <v>5562</v>
      </c>
      <c r="F649" s="91" t="s">
        <v>4349</v>
      </c>
      <c r="G649" t="str">
        <f t="shared" si="53"/>
        <v>unknown</v>
      </c>
      <c r="H649" t="str">
        <f t="shared" si="51"/>
        <v>unknown</v>
      </c>
      <c r="K649" t="str">
        <f t="shared" si="52"/>
        <v>scale</v>
      </c>
    </row>
    <row r="650" spans="1:11" ht="409.6" x14ac:dyDescent="0.3">
      <c r="A650" t="s">
        <v>4239</v>
      </c>
      <c r="B650" t="s">
        <v>4350</v>
      </c>
      <c r="C650" s="90" t="s">
        <v>4351</v>
      </c>
      <c r="E650" t="s">
        <v>5562</v>
      </c>
      <c r="F650" s="91" t="s">
        <v>4351</v>
      </c>
      <c r="G650" t="str">
        <f t="shared" si="53"/>
        <v>unknown</v>
      </c>
      <c r="H650" t="str">
        <f t="shared" si="51"/>
        <v>unknown</v>
      </c>
      <c r="K650" t="str">
        <f t="shared" si="52"/>
        <v>scale</v>
      </c>
    </row>
    <row r="651" spans="1:11" ht="409.6" x14ac:dyDescent="0.3">
      <c r="A651" t="s">
        <v>4239</v>
      </c>
      <c r="B651" t="s">
        <v>4352</v>
      </c>
      <c r="C651" s="90" t="s">
        <v>4286</v>
      </c>
      <c r="E651" t="s">
        <v>5562</v>
      </c>
      <c r="F651" s="91" t="s">
        <v>4286</v>
      </c>
      <c r="G651" t="str">
        <f t="shared" si="53"/>
        <v>unknown</v>
      </c>
      <c r="H651" t="str">
        <f t="shared" si="51"/>
        <v>unknown</v>
      </c>
      <c r="K651" t="str">
        <f t="shared" si="52"/>
        <v>scale</v>
      </c>
    </row>
    <row r="652" spans="1:11" ht="43.2" x14ac:dyDescent="0.3">
      <c r="A652" t="s">
        <v>4239</v>
      </c>
      <c r="B652" t="s">
        <v>4353</v>
      </c>
      <c r="C652" s="90" t="s">
        <v>3383</v>
      </c>
      <c r="E652" t="s">
        <v>5562</v>
      </c>
      <c r="F652" s="91" t="s">
        <v>3383</v>
      </c>
      <c r="G652" t="str">
        <f t="shared" si="53"/>
        <v>unknown</v>
      </c>
      <c r="H652" t="str">
        <f t="shared" si="51"/>
        <v>unknown</v>
      </c>
      <c r="K652" t="str">
        <f t="shared" si="52"/>
        <v>scale</v>
      </c>
    </row>
    <row r="653" spans="1:11" ht="57.6" x14ac:dyDescent="0.3">
      <c r="A653" t="s">
        <v>4239</v>
      </c>
      <c r="B653" t="s">
        <v>4354</v>
      </c>
      <c r="C653" s="90" t="s">
        <v>4355</v>
      </c>
      <c r="E653" t="s">
        <v>5562</v>
      </c>
      <c r="F653" s="91" t="s">
        <v>4355</v>
      </c>
      <c r="G653" t="str">
        <f t="shared" si="53"/>
        <v>unknown</v>
      </c>
      <c r="H653" t="str">
        <f t="shared" si="51"/>
        <v>unknown</v>
      </c>
      <c r="K653" t="str">
        <f t="shared" si="52"/>
        <v>scale</v>
      </c>
    </row>
    <row r="654" spans="1:11" ht="216" x14ac:dyDescent="0.3">
      <c r="A654" t="s">
        <v>4239</v>
      </c>
      <c r="B654" t="s">
        <v>4356</v>
      </c>
      <c r="C654" s="90" t="s">
        <v>4357</v>
      </c>
      <c r="E654" t="s">
        <v>5562</v>
      </c>
      <c r="F654" s="91" t="s">
        <v>4357</v>
      </c>
      <c r="G654" t="str">
        <f t="shared" si="53"/>
        <v>unknown</v>
      </c>
      <c r="H654" t="str">
        <f t="shared" si="51"/>
        <v>unknown</v>
      </c>
      <c r="K654" t="str">
        <f t="shared" si="52"/>
        <v>scale</v>
      </c>
    </row>
    <row r="655" spans="1:11" ht="86.4" x14ac:dyDescent="0.3">
      <c r="A655" t="s">
        <v>4239</v>
      </c>
      <c r="B655" t="s">
        <v>4358</v>
      </c>
      <c r="C655" s="90" t="s">
        <v>4359</v>
      </c>
      <c r="E655" t="s">
        <v>5562</v>
      </c>
      <c r="F655" s="91" t="s">
        <v>4359</v>
      </c>
      <c r="G655" t="str">
        <f t="shared" si="53"/>
        <v>unknown</v>
      </c>
      <c r="H655" t="str">
        <f t="shared" si="51"/>
        <v>unknown</v>
      </c>
      <c r="K655" t="str">
        <f t="shared" si="52"/>
        <v>scale</v>
      </c>
    </row>
    <row r="656" spans="1:11" ht="86.4" x14ac:dyDescent="0.3">
      <c r="A656" t="s">
        <v>4239</v>
      </c>
      <c r="B656" t="s">
        <v>4360</v>
      </c>
      <c r="C656" s="90" t="s">
        <v>4361</v>
      </c>
      <c r="E656" t="s">
        <v>5562</v>
      </c>
      <c r="F656" s="91" t="s">
        <v>4361</v>
      </c>
      <c r="G656" t="str">
        <f t="shared" si="53"/>
        <v>unknown</v>
      </c>
      <c r="H656" t="str">
        <f t="shared" si="51"/>
        <v>unknown</v>
      </c>
      <c r="K656" t="str">
        <f t="shared" si="52"/>
        <v>scale</v>
      </c>
    </row>
    <row r="657" spans="1:11" ht="43.2" x14ac:dyDescent="0.3">
      <c r="A657" t="s">
        <v>4239</v>
      </c>
      <c r="B657" t="s">
        <v>4362</v>
      </c>
      <c r="C657" s="90" t="s">
        <v>3383</v>
      </c>
      <c r="E657" t="s">
        <v>5562</v>
      </c>
      <c r="F657" s="91" t="s">
        <v>3383</v>
      </c>
      <c r="G657" t="str">
        <f t="shared" si="53"/>
        <v>unknown</v>
      </c>
      <c r="H657" t="str">
        <f t="shared" si="51"/>
        <v>unknown</v>
      </c>
      <c r="K657" t="str">
        <f t="shared" si="52"/>
        <v>scale</v>
      </c>
    </row>
    <row r="658" spans="1:11" ht="244.8" x14ac:dyDescent="0.3">
      <c r="A658" t="s">
        <v>4239</v>
      </c>
      <c r="B658" t="s">
        <v>4363</v>
      </c>
      <c r="C658" s="90" t="s">
        <v>4364</v>
      </c>
      <c r="E658" t="s">
        <v>5562</v>
      </c>
      <c r="F658" s="91" t="s">
        <v>4364</v>
      </c>
      <c r="G658" t="str">
        <f t="shared" si="53"/>
        <v>unknown</v>
      </c>
      <c r="H658" t="str">
        <f t="shared" si="51"/>
        <v>unknown</v>
      </c>
      <c r="K658" t="str">
        <f t="shared" si="52"/>
        <v>scale</v>
      </c>
    </row>
    <row r="659" spans="1:11" ht="57.6" x14ac:dyDescent="0.3">
      <c r="A659" t="s">
        <v>4239</v>
      </c>
      <c r="B659" t="s">
        <v>4365</v>
      </c>
      <c r="C659" s="90" t="s">
        <v>4366</v>
      </c>
      <c r="D659" t="s">
        <v>5561</v>
      </c>
      <c r="E659" t="s">
        <v>399</v>
      </c>
      <c r="F659" s="92" t="s">
        <v>5618</v>
      </c>
      <c r="G659" t="str">
        <f t="shared" si="53"/>
        <v>unknown</v>
      </c>
      <c r="H659" t="str">
        <f t="shared" si="51"/>
        <v>unknown</v>
      </c>
      <c r="K659" t="str">
        <f t="shared" si="52"/>
        <v>sector</v>
      </c>
    </row>
    <row r="660" spans="1:11" ht="273.60000000000002" x14ac:dyDescent="0.3">
      <c r="A660" t="s">
        <v>4239</v>
      </c>
      <c r="B660" t="s">
        <v>4367</v>
      </c>
      <c r="C660" s="90" t="s">
        <v>4368</v>
      </c>
      <c r="E660" t="s">
        <v>5562</v>
      </c>
      <c r="F660" s="91" t="s">
        <v>4368</v>
      </c>
      <c r="G660" t="str">
        <f t="shared" si="53"/>
        <v>unknown</v>
      </c>
      <c r="H660" t="str">
        <f t="shared" si="51"/>
        <v>unknown</v>
      </c>
      <c r="K660" t="str">
        <f t="shared" si="52"/>
        <v>scale</v>
      </c>
    </row>
    <row r="661" spans="1:11" ht="57.6" x14ac:dyDescent="0.3">
      <c r="A661" t="s">
        <v>4239</v>
      </c>
      <c r="B661" t="s">
        <v>4369</v>
      </c>
      <c r="C661" s="90" t="s">
        <v>4370</v>
      </c>
      <c r="D661" t="s">
        <v>5561</v>
      </c>
      <c r="E661" t="s">
        <v>399</v>
      </c>
      <c r="F661" s="92" t="s">
        <v>5619</v>
      </c>
      <c r="G661" t="str">
        <f t="shared" si="53"/>
        <v>unknown</v>
      </c>
      <c r="H661" t="str">
        <f t="shared" si="51"/>
        <v>unknown</v>
      </c>
      <c r="K661" t="str">
        <f t="shared" si="52"/>
        <v>sector</v>
      </c>
    </row>
    <row r="662" spans="1:11" ht="72" x14ac:dyDescent="0.3">
      <c r="A662" t="s">
        <v>4239</v>
      </c>
      <c r="B662" t="s">
        <v>4371</v>
      </c>
      <c r="C662" s="90" t="s">
        <v>4372</v>
      </c>
      <c r="D662" t="s">
        <v>5561</v>
      </c>
      <c r="E662" t="s">
        <v>399</v>
      </c>
      <c r="F662" s="92" t="s">
        <v>5620</v>
      </c>
      <c r="G662" t="str">
        <f t="shared" si="53"/>
        <v>unknown</v>
      </c>
      <c r="H662" t="str">
        <f t="shared" si="51"/>
        <v>unknown</v>
      </c>
      <c r="K662" t="str">
        <f t="shared" si="52"/>
        <v>sector</v>
      </c>
    </row>
    <row r="663" spans="1:11" ht="230.4" x14ac:dyDescent="0.3">
      <c r="A663" t="s">
        <v>4239</v>
      </c>
      <c r="B663" t="s">
        <v>4081</v>
      </c>
      <c r="C663" s="90" t="s">
        <v>4373</v>
      </c>
      <c r="E663" t="s">
        <v>5562</v>
      </c>
      <c r="F663" s="91" t="s">
        <v>4373</v>
      </c>
      <c r="G663" t="str">
        <f t="shared" si="53"/>
        <v>unknown</v>
      </c>
      <c r="H663" t="str">
        <f t="shared" si="51"/>
        <v>unknown</v>
      </c>
      <c r="K663" t="str">
        <f t="shared" si="52"/>
        <v>scale</v>
      </c>
    </row>
    <row r="664" spans="1:11" ht="230.4" x14ac:dyDescent="0.3">
      <c r="A664" t="s">
        <v>4239</v>
      </c>
      <c r="B664" t="s">
        <v>4374</v>
      </c>
      <c r="C664" s="90" t="s">
        <v>4375</v>
      </c>
      <c r="E664" t="s">
        <v>5562</v>
      </c>
      <c r="F664" s="91" t="s">
        <v>4375</v>
      </c>
      <c r="G664" t="str">
        <f t="shared" si="53"/>
        <v>unknown</v>
      </c>
      <c r="H664" t="str">
        <f t="shared" si="51"/>
        <v>unknown</v>
      </c>
      <c r="K664" t="str">
        <f t="shared" si="52"/>
        <v>scale</v>
      </c>
    </row>
    <row r="665" spans="1:11" ht="158.4" x14ac:dyDescent="0.3">
      <c r="A665" t="s">
        <v>4239</v>
      </c>
      <c r="B665" t="s">
        <v>3924</v>
      </c>
      <c r="C665" s="90" t="s">
        <v>4376</v>
      </c>
      <c r="E665" t="s">
        <v>5562</v>
      </c>
      <c r="F665" s="91" t="s">
        <v>4376</v>
      </c>
      <c r="G665" t="str">
        <f t="shared" si="53"/>
        <v>unknown</v>
      </c>
      <c r="H665" t="str">
        <f t="shared" si="51"/>
        <v>unknown</v>
      </c>
      <c r="K665" t="str">
        <f t="shared" si="52"/>
        <v>scale</v>
      </c>
    </row>
    <row r="666" spans="1:11" ht="172.8" x14ac:dyDescent="0.3">
      <c r="A666" t="s">
        <v>4239</v>
      </c>
      <c r="B666" t="s">
        <v>4377</v>
      </c>
      <c r="C666" s="90" t="s">
        <v>4378</v>
      </c>
      <c r="E666" t="s">
        <v>5562</v>
      </c>
      <c r="F666" s="91" t="s">
        <v>4378</v>
      </c>
      <c r="G666" t="str">
        <f t="shared" si="53"/>
        <v>unknown</v>
      </c>
      <c r="H666" t="str">
        <f t="shared" si="51"/>
        <v>unknown</v>
      </c>
      <c r="K666" t="str">
        <f t="shared" si="52"/>
        <v>scale</v>
      </c>
    </row>
    <row r="667" spans="1:11" ht="230.4" x14ac:dyDescent="0.3">
      <c r="A667" t="s">
        <v>4239</v>
      </c>
      <c r="B667" t="s">
        <v>4379</v>
      </c>
      <c r="C667" s="90" t="s">
        <v>4380</v>
      </c>
      <c r="E667" t="s">
        <v>5562</v>
      </c>
      <c r="F667" s="91" t="s">
        <v>4380</v>
      </c>
      <c r="G667" t="str">
        <f t="shared" si="53"/>
        <v>unknown</v>
      </c>
      <c r="H667" t="str">
        <f t="shared" si="51"/>
        <v>unknown</v>
      </c>
      <c r="K667" t="str">
        <f t="shared" si="52"/>
        <v>scale</v>
      </c>
    </row>
    <row r="668" spans="1:11" ht="72" x14ac:dyDescent="0.3">
      <c r="A668" t="s">
        <v>4239</v>
      </c>
      <c r="B668" t="s">
        <v>4381</v>
      </c>
      <c r="C668" s="90" t="s">
        <v>4382</v>
      </c>
      <c r="D668" t="s">
        <v>5561</v>
      </c>
      <c r="E668" t="s">
        <v>5562</v>
      </c>
      <c r="F668" s="92" t="s">
        <v>5621</v>
      </c>
      <c r="G668" t="str">
        <f t="shared" si="53"/>
        <v>unknown</v>
      </c>
      <c r="H668" t="str">
        <f t="shared" si="51"/>
        <v>unknown</v>
      </c>
      <c r="K668" t="str">
        <f t="shared" si="52"/>
        <v>scale</v>
      </c>
    </row>
    <row r="669" spans="1:11" ht="100.8" x14ac:dyDescent="0.3">
      <c r="A669" t="s">
        <v>4239</v>
      </c>
      <c r="B669" t="s">
        <v>4098</v>
      </c>
      <c r="C669" s="90" t="s">
        <v>4383</v>
      </c>
      <c r="E669" t="s">
        <v>5562</v>
      </c>
      <c r="F669" s="91" t="s">
        <v>4383</v>
      </c>
      <c r="G669" t="str">
        <f t="shared" si="53"/>
        <v>unknown</v>
      </c>
      <c r="H669" t="str">
        <f t="shared" si="51"/>
        <v>unknown</v>
      </c>
      <c r="K669" t="str">
        <f t="shared" si="52"/>
        <v>scale</v>
      </c>
    </row>
    <row r="670" spans="1:11" ht="72" x14ac:dyDescent="0.3">
      <c r="A670" t="s">
        <v>4239</v>
      </c>
      <c r="B670" t="s">
        <v>3475</v>
      </c>
      <c r="C670" s="90" t="s">
        <v>4384</v>
      </c>
      <c r="D670" t="s">
        <v>5561</v>
      </c>
      <c r="E670" t="s">
        <v>399</v>
      </c>
      <c r="F670" s="92" t="s">
        <v>5622</v>
      </c>
      <c r="G670" t="str">
        <f t="shared" si="53"/>
        <v>unknown</v>
      </c>
      <c r="H670" t="str">
        <f t="shared" si="51"/>
        <v>unknown</v>
      </c>
      <c r="K670" t="str">
        <f t="shared" si="52"/>
        <v>sector</v>
      </c>
    </row>
    <row r="671" spans="1:11" ht="115.2" x14ac:dyDescent="0.3">
      <c r="A671" t="s">
        <v>4239</v>
      </c>
      <c r="B671" t="s">
        <v>4385</v>
      </c>
      <c r="C671" s="90" t="s">
        <v>4386</v>
      </c>
      <c r="E671" t="s">
        <v>5562</v>
      </c>
      <c r="F671" s="91" t="s">
        <v>4386</v>
      </c>
      <c r="G671" t="str">
        <f t="shared" si="53"/>
        <v>unknown</v>
      </c>
      <c r="H671" t="str">
        <f t="shared" si="51"/>
        <v>unknown</v>
      </c>
      <c r="K671" t="str">
        <f t="shared" si="52"/>
        <v>scale</v>
      </c>
    </row>
    <row r="672" spans="1:11" ht="144" x14ac:dyDescent="0.3">
      <c r="A672" t="s">
        <v>4239</v>
      </c>
      <c r="B672" t="s">
        <v>3844</v>
      </c>
      <c r="C672" s="90" t="s">
        <v>4387</v>
      </c>
      <c r="E672" t="s">
        <v>5562</v>
      </c>
      <c r="F672" s="91" t="s">
        <v>4387</v>
      </c>
      <c r="G672" t="str">
        <f t="shared" si="53"/>
        <v>unknown</v>
      </c>
      <c r="H672" t="str">
        <f t="shared" si="51"/>
        <v>unknown</v>
      </c>
      <c r="K672" t="str">
        <f t="shared" si="52"/>
        <v>scale</v>
      </c>
    </row>
    <row r="673" spans="1:11" ht="144" x14ac:dyDescent="0.3">
      <c r="A673" t="s">
        <v>4239</v>
      </c>
      <c r="B673" t="s">
        <v>4388</v>
      </c>
      <c r="C673" s="90" t="s">
        <v>4389</v>
      </c>
      <c r="E673" t="s">
        <v>5562</v>
      </c>
      <c r="F673" s="91" t="s">
        <v>4389</v>
      </c>
      <c r="G673" t="str">
        <f t="shared" si="53"/>
        <v>unknown</v>
      </c>
      <c r="H673" t="str">
        <f t="shared" si="51"/>
        <v>unknown</v>
      </c>
      <c r="K673" t="str">
        <f t="shared" si="52"/>
        <v>scale</v>
      </c>
    </row>
    <row r="674" spans="1:11" ht="115.2" x14ac:dyDescent="0.3">
      <c r="A674" t="s">
        <v>4239</v>
      </c>
      <c r="B674" t="s">
        <v>3479</v>
      </c>
      <c r="C674" s="90" t="s">
        <v>3712</v>
      </c>
      <c r="E674" t="s">
        <v>5562</v>
      </c>
      <c r="F674" s="91" t="s">
        <v>3712</v>
      </c>
      <c r="G674" t="str">
        <f t="shared" si="53"/>
        <v>unknown</v>
      </c>
      <c r="H674" t="str">
        <f t="shared" si="51"/>
        <v>unknown</v>
      </c>
      <c r="K674" t="str">
        <f t="shared" si="52"/>
        <v>scale</v>
      </c>
    </row>
    <row r="675" spans="1:11" ht="115.2" x14ac:dyDescent="0.3">
      <c r="A675" t="s">
        <v>4239</v>
      </c>
      <c r="B675" t="s">
        <v>4390</v>
      </c>
      <c r="C675" s="90" t="s">
        <v>3636</v>
      </c>
      <c r="E675" t="s">
        <v>5562</v>
      </c>
      <c r="F675" s="91" t="s">
        <v>3636</v>
      </c>
      <c r="G675" t="str">
        <f t="shared" si="53"/>
        <v>unknown</v>
      </c>
      <c r="H675" t="str">
        <f t="shared" si="51"/>
        <v>unknown</v>
      </c>
      <c r="K675" t="str">
        <f t="shared" si="52"/>
        <v>scale</v>
      </c>
    </row>
    <row r="676" spans="1:11" ht="172.8" x14ac:dyDescent="0.3">
      <c r="A676" t="s">
        <v>4239</v>
      </c>
      <c r="B676" t="s">
        <v>3932</v>
      </c>
      <c r="C676" s="90" t="s">
        <v>4391</v>
      </c>
      <c r="E676" t="s">
        <v>5562</v>
      </c>
      <c r="F676" s="91" t="s">
        <v>4391</v>
      </c>
      <c r="G676" t="str">
        <f t="shared" si="53"/>
        <v>unknown</v>
      </c>
      <c r="H676" t="str">
        <f t="shared" si="51"/>
        <v>unknown</v>
      </c>
      <c r="K676" t="str">
        <f t="shared" si="52"/>
        <v>scale</v>
      </c>
    </row>
    <row r="677" spans="1:11" ht="129.6" x14ac:dyDescent="0.3">
      <c r="A677" t="s">
        <v>4239</v>
      </c>
      <c r="B677" t="s">
        <v>4392</v>
      </c>
      <c r="C677" s="90" t="s">
        <v>4393</v>
      </c>
      <c r="E677" t="s">
        <v>5562</v>
      </c>
      <c r="F677" s="91" t="s">
        <v>4393</v>
      </c>
      <c r="G677" t="str">
        <f t="shared" si="53"/>
        <v>unknown</v>
      </c>
      <c r="H677" t="str">
        <f t="shared" si="51"/>
        <v>unknown</v>
      </c>
      <c r="K677" t="str">
        <f t="shared" si="52"/>
        <v>scale</v>
      </c>
    </row>
    <row r="678" spans="1:11" ht="115.2" x14ac:dyDescent="0.3">
      <c r="A678" t="s">
        <v>4239</v>
      </c>
      <c r="B678" t="s">
        <v>4394</v>
      </c>
      <c r="C678" s="90" t="s">
        <v>3636</v>
      </c>
      <c r="E678" t="s">
        <v>5562</v>
      </c>
      <c r="F678" s="91" t="s">
        <v>3636</v>
      </c>
      <c r="G678" t="str">
        <f t="shared" si="53"/>
        <v>unknown</v>
      </c>
      <c r="H678" t="str">
        <f t="shared" si="51"/>
        <v>unknown</v>
      </c>
      <c r="K678" t="str">
        <f t="shared" si="52"/>
        <v>scale</v>
      </c>
    </row>
    <row r="679" spans="1:11" ht="115.2" x14ac:dyDescent="0.3">
      <c r="A679" t="s">
        <v>4239</v>
      </c>
      <c r="B679" t="s">
        <v>4395</v>
      </c>
      <c r="C679" s="90" t="s">
        <v>3712</v>
      </c>
      <c r="E679" t="s">
        <v>5562</v>
      </c>
      <c r="F679" s="91" t="s">
        <v>3712</v>
      </c>
      <c r="G679" t="str">
        <f t="shared" si="53"/>
        <v>unknown</v>
      </c>
      <c r="H679" t="str">
        <f t="shared" si="51"/>
        <v>unknown</v>
      </c>
      <c r="K679" t="str">
        <f t="shared" si="52"/>
        <v>scale</v>
      </c>
    </row>
    <row r="680" spans="1:11" ht="43.2" x14ac:dyDescent="0.3">
      <c r="A680" t="s">
        <v>4239</v>
      </c>
      <c r="B680" t="s">
        <v>4396</v>
      </c>
      <c r="C680" s="90" t="s">
        <v>4397</v>
      </c>
      <c r="D680" t="s">
        <v>5561</v>
      </c>
      <c r="E680" t="s">
        <v>5560</v>
      </c>
      <c r="F680" s="92" t="s">
        <v>5623</v>
      </c>
      <c r="G680" t="str">
        <f>IF(EXACT($F680, $Q$1), "sector", IF(EXACT($F680, $R$1), "sector", IF(EXACT($F680, $T$1), "sector", IF(EXACT($F680, $U$1), "sector", "unknown"))))</f>
        <v>unknown</v>
      </c>
      <c r="H680" t="str">
        <f t="shared" si="51"/>
        <v>unknown</v>
      </c>
      <c r="I680" t="s">
        <v>5660</v>
      </c>
      <c r="J680" t="s">
        <v>5667</v>
      </c>
      <c r="K680" t="str">
        <f t="shared" si="52"/>
        <v>rephrase</v>
      </c>
    </row>
    <row r="681" spans="1:11" ht="43.2" x14ac:dyDescent="0.3">
      <c r="A681" t="s">
        <v>4239</v>
      </c>
      <c r="B681" t="s">
        <v>4398</v>
      </c>
      <c r="C681" s="90" t="s">
        <v>4397</v>
      </c>
      <c r="D681" t="s">
        <v>5561</v>
      </c>
      <c r="E681" t="s">
        <v>5560</v>
      </c>
      <c r="F681" s="92" t="s">
        <v>5623</v>
      </c>
      <c r="G681" t="str">
        <f>IF(EXACT($F681, $Q$1), "sector", IF(EXACT($F681, $R$1), "sector", IF(EXACT($F681, $T$1), "sector", IF(EXACT($F681, $U$1), "sector", "unknown"))))</f>
        <v>unknown</v>
      </c>
      <c r="H681" t="str">
        <f t="shared" si="51"/>
        <v>unknown</v>
      </c>
      <c r="I681" t="s">
        <v>5660</v>
      </c>
      <c r="J681" t="s">
        <v>5667</v>
      </c>
      <c r="K681" t="str">
        <f t="shared" si="52"/>
        <v>rephrase</v>
      </c>
    </row>
    <row r="682" spans="1:11" ht="115.2" x14ac:dyDescent="0.3">
      <c r="A682" t="s">
        <v>4239</v>
      </c>
      <c r="B682" t="s">
        <v>4399</v>
      </c>
      <c r="C682" s="90" t="s">
        <v>3712</v>
      </c>
      <c r="E682" t="s">
        <v>5562</v>
      </c>
      <c r="F682" s="91" t="s">
        <v>3712</v>
      </c>
      <c r="G682" t="str">
        <f>IF(EXACT($F682, $Q$1), "sector", "unknown")</f>
        <v>unknown</v>
      </c>
      <c r="H682" t="str">
        <f t="shared" si="51"/>
        <v>unknown</v>
      </c>
      <c r="K682" t="str">
        <f t="shared" si="52"/>
        <v>scale</v>
      </c>
    </row>
    <row r="683" spans="1:11" ht="129.6" x14ac:dyDescent="0.3">
      <c r="A683" t="s">
        <v>4239</v>
      </c>
      <c r="B683" t="s">
        <v>4400</v>
      </c>
      <c r="C683" s="90" t="s">
        <v>4401</v>
      </c>
      <c r="E683" t="s">
        <v>5562</v>
      </c>
      <c r="F683" s="91" t="s">
        <v>4401</v>
      </c>
      <c r="G683" t="str">
        <f>IF(EXACT($F683, $Q$1), "sector", "unknown")</f>
        <v>unknown</v>
      </c>
      <c r="H683" t="str">
        <f t="shared" si="51"/>
        <v>unknown</v>
      </c>
      <c r="K683" t="str">
        <f t="shared" si="52"/>
        <v>scale</v>
      </c>
    </row>
    <row r="684" spans="1:11" ht="43.2" x14ac:dyDescent="0.3">
      <c r="A684" t="s">
        <v>4239</v>
      </c>
      <c r="B684" t="s">
        <v>4402</v>
      </c>
      <c r="C684" s="90" t="s">
        <v>4397</v>
      </c>
      <c r="D684" t="s">
        <v>5561</v>
      </c>
      <c r="E684" t="s">
        <v>5560</v>
      </c>
      <c r="F684" s="92" t="s">
        <v>5623</v>
      </c>
      <c r="G684" t="str">
        <f>IF(EXACT($F684, $Q$1), "sector", IF(EXACT($F684, $R$1), "sector", IF(EXACT($F684, $T$1), "sector", IF(EXACT($F684, $U$1), "sector", "unknown"))))</f>
        <v>unknown</v>
      </c>
      <c r="H684" t="str">
        <f t="shared" si="51"/>
        <v>unknown</v>
      </c>
      <c r="I684" t="s">
        <v>5660</v>
      </c>
      <c r="J684" t="s">
        <v>5667</v>
      </c>
      <c r="K684" t="str">
        <f t="shared" si="52"/>
        <v>rephrase</v>
      </c>
    </row>
    <row r="685" spans="1:11" ht="28.8" x14ac:dyDescent="0.3">
      <c r="A685" t="s">
        <v>4239</v>
      </c>
      <c r="B685" t="s">
        <v>4403</v>
      </c>
      <c r="C685" s="90" t="s">
        <v>4404</v>
      </c>
      <c r="D685" t="s">
        <v>5561</v>
      </c>
      <c r="E685" t="s">
        <v>5560</v>
      </c>
      <c r="F685" s="92" t="s">
        <v>5624</v>
      </c>
      <c r="G685" t="str">
        <f>IF(EXACT($F685, $Q$1), "sector", IF(EXACT($F685, $R$1), "sector", IF(EXACT($F685, $T$1), "sector", IF(EXACT($F685, $U$1), "sector", "unknown"))))</f>
        <v>unknown</v>
      </c>
      <c r="H685" t="str">
        <f t="shared" si="51"/>
        <v>unknown</v>
      </c>
      <c r="I685" t="s">
        <v>5660</v>
      </c>
      <c r="J685" t="s">
        <v>5667</v>
      </c>
      <c r="K685" t="str">
        <f t="shared" si="52"/>
        <v>rephrase</v>
      </c>
    </row>
    <row r="686" spans="1:11" ht="115.2" x14ac:dyDescent="0.3">
      <c r="A686" t="s">
        <v>4239</v>
      </c>
      <c r="B686" t="s">
        <v>4405</v>
      </c>
      <c r="C686" s="90" t="s">
        <v>3712</v>
      </c>
      <c r="E686" t="s">
        <v>5562</v>
      </c>
      <c r="F686" s="91" t="s">
        <v>3712</v>
      </c>
      <c r="G686" t="str">
        <f>IF(EXACT($F686, $Q$1), "sector", "unknown")</f>
        <v>unknown</v>
      </c>
      <c r="H686" t="str">
        <f t="shared" si="51"/>
        <v>unknown</v>
      </c>
      <c r="K686" t="str">
        <f t="shared" si="52"/>
        <v>scale</v>
      </c>
    </row>
    <row r="687" spans="1:11" ht="115.2" x14ac:dyDescent="0.3">
      <c r="A687" t="s">
        <v>4239</v>
      </c>
      <c r="B687" t="s">
        <v>4406</v>
      </c>
      <c r="C687" s="90" t="s">
        <v>3778</v>
      </c>
      <c r="E687" t="s">
        <v>5562</v>
      </c>
      <c r="F687" s="91" t="s">
        <v>3778</v>
      </c>
      <c r="G687" t="str">
        <f>IF(EXACT($F687, $Q$1), "sector", "unknown")</f>
        <v>unknown</v>
      </c>
      <c r="H687" t="str">
        <f t="shared" si="51"/>
        <v>unknown</v>
      </c>
      <c r="K687" t="str">
        <f t="shared" si="52"/>
        <v>scale</v>
      </c>
    </row>
    <row r="688" spans="1:11" ht="115.2" x14ac:dyDescent="0.3">
      <c r="A688" t="s">
        <v>4239</v>
      </c>
      <c r="B688" t="s">
        <v>4407</v>
      </c>
      <c r="C688" s="90" t="s">
        <v>3778</v>
      </c>
      <c r="E688" t="s">
        <v>5562</v>
      </c>
      <c r="F688" s="91" t="s">
        <v>3778</v>
      </c>
      <c r="G688" t="str">
        <f>IF(EXACT($F688, $Q$1), "sector", "unknown")</f>
        <v>unknown</v>
      </c>
      <c r="H688" t="str">
        <f t="shared" si="51"/>
        <v>unknown</v>
      </c>
      <c r="K688" t="str">
        <f t="shared" si="52"/>
        <v>scale</v>
      </c>
    </row>
    <row r="689" spans="1:11" ht="43.2" x14ac:dyDescent="0.3">
      <c r="A689" t="s">
        <v>4239</v>
      </c>
      <c r="B689" t="s">
        <v>4408</v>
      </c>
      <c r="C689" s="90" t="s">
        <v>4397</v>
      </c>
      <c r="D689" t="s">
        <v>5561</v>
      </c>
      <c r="E689" t="s">
        <v>5560</v>
      </c>
      <c r="F689" s="92" t="s">
        <v>5623</v>
      </c>
      <c r="G689" t="str">
        <f>IF(EXACT($F689, $Q$1), "sector", IF(EXACT($F689, $R$1), "sector", IF(EXACT($F689, $T$1), "sector", IF(EXACT($F689, $U$1), "sector", "unknown"))))</f>
        <v>unknown</v>
      </c>
      <c r="H689" t="str">
        <f t="shared" si="51"/>
        <v>unknown</v>
      </c>
      <c r="I689" t="s">
        <v>5660</v>
      </c>
      <c r="J689" t="s">
        <v>5667</v>
      </c>
      <c r="K689" t="str">
        <f t="shared" si="52"/>
        <v>rephrase</v>
      </c>
    </row>
    <row r="690" spans="1:11" ht="28.8" x14ac:dyDescent="0.3">
      <c r="A690" t="s">
        <v>4239</v>
      </c>
      <c r="B690" t="s">
        <v>3938</v>
      </c>
      <c r="C690" s="90" t="s">
        <v>4404</v>
      </c>
      <c r="D690" t="s">
        <v>5561</v>
      </c>
      <c r="E690" t="s">
        <v>5560</v>
      </c>
      <c r="F690" s="92" t="s">
        <v>5624</v>
      </c>
      <c r="G690" t="str">
        <f>IF(EXACT($F690, $Q$1), "sector", IF(EXACT($F690, $R$1), "sector", IF(EXACT($F690, $T$1), "sector", IF(EXACT($F690, $U$1), "sector", "unknown"))))</f>
        <v>unknown</v>
      </c>
      <c r="H690" t="str">
        <f t="shared" si="51"/>
        <v>unknown</v>
      </c>
      <c r="I690" t="s">
        <v>5660</v>
      </c>
      <c r="J690" t="s">
        <v>5667</v>
      </c>
      <c r="K690" t="str">
        <f t="shared" si="52"/>
        <v>rephrase</v>
      </c>
    </row>
    <row r="691" spans="1:11" ht="115.2" x14ac:dyDescent="0.3">
      <c r="A691" t="s">
        <v>4239</v>
      </c>
      <c r="B691" t="s">
        <v>4409</v>
      </c>
      <c r="C691" s="90" t="s">
        <v>3712</v>
      </c>
      <c r="E691" t="s">
        <v>5562</v>
      </c>
      <c r="F691" s="91" t="s">
        <v>3712</v>
      </c>
      <c r="G691" t="str">
        <f>IF(EXACT($F691, $Q$1), "sector", "unknown")</f>
        <v>unknown</v>
      </c>
      <c r="H691" t="str">
        <f t="shared" si="51"/>
        <v>unknown</v>
      </c>
      <c r="K691" t="str">
        <f t="shared" si="52"/>
        <v>scale</v>
      </c>
    </row>
    <row r="692" spans="1:11" ht="43.2" x14ac:dyDescent="0.3">
      <c r="A692" t="s">
        <v>4239</v>
      </c>
      <c r="B692" t="s">
        <v>4410</v>
      </c>
      <c r="C692" s="90" t="s">
        <v>4397</v>
      </c>
      <c r="D692" t="s">
        <v>5561</v>
      </c>
      <c r="E692" t="s">
        <v>5560</v>
      </c>
      <c r="F692" s="92" t="s">
        <v>5623</v>
      </c>
      <c r="G692" t="str">
        <f>IF(EXACT($F692, $Q$1), "sector", IF(EXACT($F692, $R$1), "sector", IF(EXACT($F692, $T$1), "sector", IF(EXACT($F692, $U$1), "sector", "unknown"))))</f>
        <v>unknown</v>
      </c>
      <c r="H692" t="str">
        <f t="shared" si="51"/>
        <v>unknown</v>
      </c>
      <c r="I692" t="s">
        <v>5660</v>
      </c>
      <c r="J692" t="s">
        <v>5667</v>
      </c>
      <c r="K692" t="str">
        <f t="shared" si="52"/>
        <v>rephrase</v>
      </c>
    </row>
    <row r="693" spans="1:11" ht="115.2" x14ac:dyDescent="0.3">
      <c r="A693" t="s">
        <v>4239</v>
      </c>
      <c r="B693" t="s">
        <v>4411</v>
      </c>
      <c r="C693" s="90" t="s">
        <v>3712</v>
      </c>
      <c r="E693" t="s">
        <v>5562</v>
      </c>
      <c r="F693" s="91" t="s">
        <v>3712</v>
      </c>
      <c r="G693" t="str">
        <f t="shared" ref="G693:G699" si="54">IF(EXACT($F693, $Q$1), "sector", "unknown")</f>
        <v>unknown</v>
      </c>
      <c r="H693" t="str">
        <f t="shared" si="51"/>
        <v>unknown</v>
      </c>
      <c r="K693" t="str">
        <f t="shared" si="52"/>
        <v>scale</v>
      </c>
    </row>
    <row r="694" spans="1:11" ht="115.2" x14ac:dyDescent="0.3">
      <c r="A694" t="s">
        <v>4239</v>
      </c>
      <c r="B694" t="s">
        <v>4412</v>
      </c>
      <c r="C694" s="90" t="s">
        <v>3712</v>
      </c>
      <c r="E694" t="s">
        <v>5562</v>
      </c>
      <c r="F694" s="91" t="s">
        <v>3712</v>
      </c>
      <c r="G694" t="str">
        <f t="shared" si="54"/>
        <v>unknown</v>
      </c>
      <c r="H694" t="str">
        <f t="shared" si="51"/>
        <v>unknown</v>
      </c>
      <c r="K694" t="str">
        <f t="shared" si="52"/>
        <v>scale</v>
      </c>
    </row>
    <row r="695" spans="1:11" ht="129.6" x14ac:dyDescent="0.3">
      <c r="A695" t="s">
        <v>4239</v>
      </c>
      <c r="B695" t="s">
        <v>3503</v>
      </c>
      <c r="C695" s="90" t="s">
        <v>4413</v>
      </c>
      <c r="E695" t="s">
        <v>5562</v>
      </c>
      <c r="F695" s="91" t="s">
        <v>4413</v>
      </c>
      <c r="G695" t="str">
        <f t="shared" si="54"/>
        <v>unknown</v>
      </c>
      <c r="H695" t="str">
        <f t="shared" si="51"/>
        <v>unknown</v>
      </c>
      <c r="K695" t="str">
        <f t="shared" si="52"/>
        <v>scale</v>
      </c>
    </row>
    <row r="696" spans="1:11" ht="86.4" x14ac:dyDescent="0.3">
      <c r="A696" t="s">
        <v>4239</v>
      </c>
      <c r="B696" t="s">
        <v>4414</v>
      </c>
      <c r="C696" s="90" t="s">
        <v>3925</v>
      </c>
      <c r="E696" t="s">
        <v>5562</v>
      </c>
      <c r="F696" s="91" t="s">
        <v>3925</v>
      </c>
      <c r="G696" t="str">
        <f t="shared" si="54"/>
        <v>unknown</v>
      </c>
      <c r="H696" t="str">
        <f t="shared" si="51"/>
        <v>unknown</v>
      </c>
      <c r="K696" t="str">
        <f t="shared" si="52"/>
        <v>scale</v>
      </c>
    </row>
    <row r="697" spans="1:11" ht="201.6" x14ac:dyDescent="0.3">
      <c r="A697" t="s">
        <v>4239</v>
      </c>
      <c r="B697" t="s">
        <v>4415</v>
      </c>
      <c r="C697" s="90" t="s">
        <v>4416</v>
      </c>
      <c r="E697" t="s">
        <v>5562</v>
      </c>
      <c r="F697" s="91" t="s">
        <v>4416</v>
      </c>
      <c r="G697" t="str">
        <f t="shared" si="54"/>
        <v>unknown</v>
      </c>
      <c r="H697" t="str">
        <f t="shared" si="51"/>
        <v>unknown</v>
      </c>
      <c r="K697" t="str">
        <f t="shared" si="52"/>
        <v>scale</v>
      </c>
    </row>
    <row r="698" spans="1:11" ht="57.6" x14ac:dyDescent="0.3">
      <c r="A698" t="s">
        <v>4239</v>
      </c>
      <c r="B698" t="s">
        <v>4417</v>
      </c>
      <c r="C698" s="90" t="s">
        <v>4418</v>
      </c>
      <c r="D698" t="s">
        <v>5561</v>
      </c>
      <c r="E698" t="s">
        <v>399</v>
      </c>
      <c r="F698" s="92" t="s">
        <v>5625</v>
      </c>
      <c r="G698" t="str">
        <f t="shared" si="54"/>
        <v>unknown</v>
      </c>
      <c r="H698" t="str">
        <f t="shared" si="51"/>
        <v>unknown</v>
      </c>
      <c r="K698" t="str">
        <f t="shared" si="52"/>
        <v>sector</v>
      </c>
    </row>
    <row r="699" spans="1:11" ht="57.6" x14ac:dyDescent="0.3">
      <c r="A699" t="s">
        <v>4239</v>
      </c>
      <c r="B699" t="s">
        <v>4419</v>
      </c>
      <c r="C699" s="90" t="s">
        <v>4420</v>
      </c>
      <c r="E699" t="s">
        <v>5562</v>
      </c>
      <c r="F699" s="91" t="s">
        <v>4420</v>
      </c>
      <c r="G699" t="str">
        <f t="shared" si="54"/>
        <v>unknown</v>
      </c>
      <c r="H699" t="str">
        <f t="shared" si="51"/>
        <v>unknown</v>
      </c>
      <c r="K699" t="str">
        <f t="shared" si="52"/>
        <v>scale</v>
      </c>
    </row>
    <row r="700" spans="1:11" ht="57.6" x14ac:dyDescent="0.3">
      <c r="A700" t="s">
        <v>4239</v>
      </c>
      <c r="B700" t="s">
        <v>4421</v>
      </c>
      <c r="C700" s="90" t="s">
        <v>4422</v>
      </c>
      <c r="D700" t="s">
        <v>5561</v>
      </c>
      <c r="E700" t="s">
        <v>5560</v>
      </c>
      <c r="F700" s="92" t="s">
        <v>5626</v>
      </c>
      <c r="G700" t="str">
        <f>IF(EXACT($F700, $Q$1), "sector", IF(EXACT($F700, $R$1), "sector", IF(EXACT($F700, $T$1), "sector", IF(EXACT($F700, $U$1), "sector", "unknown"))))</f>
        <v>unknown</v>
      </c>
      <c r="H700" t="str">
        <f t="shared" si="51"/>
        <v>unknown</v>
      </c>
      <c r="I700" t="s">
        <v>5671</v>
      </c>
      <c r="K700" t="str">
        <f t="shared" si="52"/>
        <v>followupQuestion</v>
      </c>
    </row>
    <row r="701" spans="1:11" ht="273.60000000000002" x14ac:dyDescent="0.3">
      <c r="A701" t="s">
        <v>4239</v>
      </c>
      <c r="B701" t="s">
        <v>4423</v>
      </c>
      <c r="C701" s="90" t="s">
        <v>4424</v>
      </c>
      <c r="E701" t="s">
        <v>5562</v>
      </c>
      <c r="F701" s="91" t="s">
        <v>4424</v>
      </c>
      <c r="G701" t="str">
        <f t="shared" ref="G701:G707" si="55">IF(EXACT($F701, $Q$1), "sector", "unknown")</f>
        <v>unknown</v>
      </c>
      <c r="H701" t="str">
        <f t="shared" si="51"/>
        <v>unknown</v>
      </c>
      <c r="K701" t="str">
        <f t="shared" si="52"/>
        <v>scale</v>
      </c>
    </row>
    <row r="702" spans="1:11" ht="115.2" x14ac:dyDescent="0.3">
      <c r="A702" t="s">
        <v>4239</v>
      </c>
      <c r="B702" t="s">
        <v>4425</v>
      </c>
      <c r="C702" s="90" t="s">
        <v>4426</v>
      </c>
      <c r="E702" t="s">
        <v>5562</v>
      </c>
      <c r="F702" s="91" t="s">
        <v>4426</v>
      </c>
      <c r="G702" t="str">
        <f t="shared" si="55"/>
        <v>unknown</v>
      </c>
      <c r="H702" t="str">
        <f t="shared" si="51"/>
        <v>unknown</v>
      </c>
      <c r="K702" t="str">
        <f t="shared" si="52"/>
        <v>scale</v>
      </c>
    </row>
    <row r="703" spans="1:11" ht="158.4" x14ac:dyDescent="0.3">
      <c r="A703" t="s">
        <v>4239</v>
      </c>
      <c r="B703" t="s">
        <v>4427</v>
      </c>
      <c r="C703" s="90" t="s">
        <v>4428</v>
      </c>
      <c r="D703" t="s">
        <v>5561</v>
      </c>
      <c r="E703" t="s">
        <v>5562</v>
      </c>
      <c r="F703" s="92" t="s">
        <v>5627</v>
      </c>
      <c r="G703" t="str">
        <f t="shared" si="55"/>
        <v>unknown</v>
      </c>
      <c r="H703" t="str">
        <f t="shared" si="51"/>
        <v>unknown</v>
      </c>
      <c r="K703" t="str">
        <f t="shared" si="52"/>
        <v>scale</v>
      </c>
    </row>
    <row r="704" spans="1:11" ht="57.6" x14ac:dyDescent="0.3">
      <c r="A704" t="s">
        <v>4239</v>
      </c>
      <c r="B704" t="s">
        <v>4429</v>
      </c>
      <c r="C704" s="90" t="s">
        <v>4430</v>
      </c>
      <c r="E704" t="s">
        <v>5562</v>
      </c>
      <c r="F704" s="91" t="s">
        <v>4430</v>
      </c>
      <c r="G704" t="str">
        <f t="shared" si="55"/>
        <v>unknown</v>
      </c>
      <c r="H704" t="str">
        <f t="shared" si="51"/>
        <v>unknown</v>
      </c>
      <c r="K704" t="str">
        <f t="shared" si="52"/>
        <v>scale</v>
      </c>
    </row>
    <row r="705" spans="1:11" ht="57.6" x14ac:dyDescent="0.3">
      <c r="A705" t="s">
        <v>4239</v>
      </c>
      <c r="B705" t="s">
        <v>4431</v>
      </c>
      <c r="C705" s="90" t="s">
        <v>4432</v>
      </c>
      <c r="E705" t="s">
        <v>5562</v>
      </c>
      <c r="F705" s="91" t="s">
        <v>4432</v>
      </c>
      <c r="G705" t="str">
        <f t="shared" si="55"/>
        <v>unknown</v>
      </c>
      <c r="H705" t="str">
        <f t="shared" si="51"/>
        <v>unknown</v>
      </c>
      <c r="K705" t="str">
        <f t="shared" si="52"/>
        <v>scale</v>
      </c>
    </row>
    <row r="706" spans="1:11" ht="57.6" x14ac:dyDescent="0.3">
      <c r="A706" t="s">
        <v>4239</v>
      </c>
      <c r="B706" t="s">
        <v>4433</v>
      </c>
      <c r="C706" s="90" t="s">
        <v>4434</v>
      </c>
      <c r="E706" t="s">
        <v>5562</v>
      </c>
      <c r="F706" s="91" t="s">
        <v>4434</v>
      </c>
      <c r="G706" t="str">
        <f t="shared" si="55"/>
        <v>unknown</v>
      </c>
      <c r="H706" t="str">
        <f t="shared" ref="H706:H769" si="56">IF(EXACT(F706,$W$1), "open", IF(EXACT(F706,$X$1), "open", "unknown"))</f>
        <v>unknown</v>
      </c>
      <c r="K706" t="str">
        <f t="shared" ref="K706:K769" si="57">IF(AND(E706&lt;&gt;"", E706&lt;&gt;"unknown"), E706,
   IF(AND(G706&lt;&gt;"", G706&lt;&gt;"unknown"), G706,
   IF(AND(H706&lt;&gt;"", H706&lt;&gt;"unknown"), H706,
   IF(I706&lt;&gt;"", I706, "ERROR"))))</f>
        <v>scale</v>
      </c>
    </row>
    <row r="707" spans="1:11" ht="144" x14ac:dyDescent="0.3">
      <c r="A707" t="s">
        <v>4239</v>
      </c>
      <c r="B707" t="s">
        <v>4435</v>
      </c>
      <c r="C707" s="90" t="s">
        <v>4253</v>
      </c>
      <c r="E707" t="s">
        <v>5562</v>
      </c>
      <c r="F707" s="91" t="s">
        <v>4253</v>
      </c>
      <c r="G707" t="str">
        <f t="shared" si="55"/>
        <v>unknown</v>
      </c>
      <c r="H707" t="str">
        <f t="shared" si="56"/>
        <v>unknown</v>
      </c>
      <c r="K707" t="str">
        <f t="shared" si="57"/>
        <v>scale</v>
      </c>
    </row>
    <row r="708" spans="1:11" ht="28.8" x14ac:dyDescent="0.3">
      <c r="A708" t="s">
        <v>4239</v>
      </c>
      <c r="B708" t="s">
        <v>4436</v>
      </c>
      <c r="C708" s="90" t="s">
        <v>3996</v>
      </c>
      <c r="D708" t="s">
        <v>5561</v>
      </c>
      <c r="E708" t="s">
        <v>5560</v>
      </c>
      <c r="F708" s="92" t="s">
        <v>5593</v>
      </c>
      <c r="G708" t="str">
        <f>IF(EXACT($F708, $Q$1), "sector", IF(EXACT($F708, $R$1), "sector", IF(EXACT($F708, $T$1), "sector", IF(EXACT($F708, $U$1), "sector", "unknown"))))</f>
        <v>sector</v>
      </c>
      <c r="H708" t="str">
        <f t="shared" si="56"/>
        <v>unknown</v>
      </c>
      <c r="K708" t="str">
        <f t="shared" si="57"/>
        <v>sector</v>
      </c>
    </row>
    <row r="709" spans="1:11" ht="28.8" x14ac:dyDescent="0.3">
      <c r="A709" t="s">
        <v>4239</v>
      </c>
      <c r="B709" t="s">
        <v>3999</v>
      </c>
      <c r="C709" s="90" t="s">
        <v>3996</v>
      </c>
      <c r="D709" t="s">
        <v>5561</v>
      </c>
      <c r="E709" t="s">
        <v>5560</v>
      </c>
      <c r="F709" s="92" t="s">
        <v>5593</v>
      </c>
      <c r="G709" t="str">
        <f>IF(EXACT($F709, $Q$1), "sector", IF(EXACT($F709, $R$1), "sector", IF(EXACT($F709, $T$1), "sector", IF(EXACT($F709, $U$1), "sector", "unknown"))))</f>
        <v>sector</v>
      </c>
      <c r="H709" t="str">
        <f t="shared" si="56"/>
        <v>unknown</v>
      </c>
      <c r="K709" t="str">
        <f t="shared" si="57"/>
        <v>sector</v>
      </c>
    </row>
    <row r="710" spans="1:11" ht="115.2" x14ac:dyDescent="0.3">
      <c r="A710" t="s">
        <v>4239</v>
      </c>
      <c r="B710" t="s">
        <v>4437</v>
      </c>
      <c r="C710" s="90" t="s">
        <v>3636</v>
      </c>
      <c r="E710" t="s">
        <v>5562</v>
      </c>
      <c r="F710" s="91" t="s">
        <v>3636</v>
      </c>
      <c r="G710" t="str">
        <f>IF(EXACT($F710, $Q$1), "sector", "unknown")</f>
        <v>unknown</v>
      </c>
      <c r="H710" t="str">
        <f t="shared" si="56"/>
        <v>unknown</v>
      </c>
      <c r="K710" t="str">
        <f t="shared" si="57"/>
        <v>scale</v>
      </c>
    </row>
    <row r="711" spans="1:11" ht="115.2" x14ac:dyDescent="0.3">
      <c r="A711" t="s">
        <v>4239</v>
      </c>
      <c r="B711" t="s">
        <v>4438</v>
      </c>
      <c r="C711" s="90" t="s">
        <v>4439</v>
      </c>
      <c r="E711" t="s">
        <v>5562</v>
      </c>
      <c r="F711" s="91" t="s">
        <v>4439</v>
      </c>
      <c r="G711" t="str">
        <f>IF(EXACT($F711, $Q$1), "sector", "unknown")</f>
        <v>unknown</v>
      </c>
      <c r="H711" t="str">
        <f t="shared" si="56"/>
        <v>unknown</v>
      </c>
      <c r="K711" t="str">
        <f t="shared" si="57"/>
        <v>scale</v>
      </c>
    </row>
    <row r="712" spans="1:11" ht="43.2" x14ac:dyDescent="0.3">
      <c r="A712" t="s">
        <v>4239</v>
      </c>
      <c r="B712" t="s">
        <v>4440</v>
      </c>
      <c r="C712" s="90" t="s">
        <v>4397</v>
      </c>
      <c r="D712" t="s">
        <v>5561</v>
      </c>
      <c r="E712" t="s">
        <v>5560</v>
      </c>
      <c r="F712" s="92" t="s">
        <v>5623</v>
      </c>
      <c r="G712" t="str">
        <f>IF(EXACT($F712, $Q$1), "sector", IF(EXACT($F712, $R$1), "sector", IF(EXACT($F712, $T$1), "sector", IF(EXACT($F712, $U$1), "sector", "unknown"))))</f>
        <v>unknown</v>
      </c>
      <c r="H712" t="str">
        <f t="shared" si="56"/>
        <v>unknown</v>
      </c>
      <c r="I712" t="s">
        <v>5660</v>
      </c>
      <c r="J712" t="s">
        <v>5667</v>
      </c>
      <c r="K712" t="str">
        <f t="shared" si="57"/>
        <v>rephrase</v>
      </c>
    </row>
    <row r="713" spans="1:11" ht="28.8" x14ac:dyDescent="0.3">
      <c r="A713" t="s">
        <v>4239</v>
      </c>
      <c r="B713" t="s">
        <v>4441</v>
      </c>
      <c r="C713" s="90" t="s">
        <v>4404</v>
      </c>
      <c r="D713" t="s">
        <v>5561</v>
      </c>
      <c r="E713" t="s">
        <v>5560</v>
      </c>
      <c r="F713" s="92" t="s">
        <v>5624</v>
      </c>
      <c r="G713" t="str">
        <f>IF(EXACT($F713, $Q$1), "sector", IF(EXACT($F713, $R$1), "sector", IF(EXACT($F713, $T$1), "sector", IF(EXACT($F713, $U$1), "sector", "unknown"))))</f>
        <v>unknown</v>
      </c>
      <c r="H713" t="str">
        <f t="shared" si="56"/>
        <v>unknown</v>
      </c>
      <c r="I713" t="s">
        <v>5660</v>
      </c>
      <c r="J713" t="s">
        <v>5667</v>
      </c>
      <c r="K713" t="str">
        <f t="shared" si="57"/>
        <v>rephrase</v>
      </c>
    </row>
    <row r="714" spans="1:11" ht="115.2" x14ac:dyDescent="0.3">
      <c r="A714" t="s">
        <v>4239</v>
      </c>
      <c r="B714" t="s">
        <v>4114</v>
      </c>
      <c r="C714" s="90" t="s">
        <v>3636</v>
      </c>
      <c r="E714" t="s">
        <v>5562</v>
      </c>
      <c r="F714" s="91" t="s">
        <v>3636</v>
      </c>
      <c r="G714" t="str">
        <f t="shared" ref="G714:G725" si="58">IF(EXACT($F714, $Q$1), "sector", "unknown")</f>
        <v>unknown</v>
      </c>
      <c r="H714" t="str">
        <f t="shared" si="56"/>
        <v>unknown</v>
      </c>
      <c r="K714" t="str">
        <f t="shared" si="57"/>
        <v>scale</v>
      </c>
    </row>
    <row r="715" spans="1:11" ht="331.2" x14ac:dyDescent="0.3">
      <c r="A715" t="s">
        <v>4239</v>
      </c>
      <c r="B715" t="s">
        <v>4442</v>
      </c>
      <c r="C715" s="90" t="s">
        <v>4443</v>
      </c>
      <c r="E715" t="s">
        <v>5562</v>
      </c>
      <c r="F715" s="91" t="s">
        <v>4443</v>
      </c>
      <c r="G715" t="str">
        <f t="shared" si="58"/>
        <v>unknown</v>
      </c>
      <c r="H715" t="str">
        <f t="shared" si="56"/>
        <v>unknown</v>
      </c>
      <c r="K715" t="str">
        <f t="shared" si="57"/>
        <v>scale</v>
      </c>
    </row>
    <row r="716" spans="1:11" ht="409.6" x14ac:dyDescent="0.3">
      <c r="A716" t="s">
        <v>4239</v>
      </c>
      <c r="B716" t="s">
        <v>4444</v>
      </c>
      <c r="C716" s="90" t="s">
        <v>4445</v>
      </c>
      <c r="E716" t="s">
        <v>5562</v>
      </c>
      <c r="F716" s="91" t="s">
        <v>4445</v>
      </c>
      <c r="G716" t="str">
        <f t="shared" si="58"/>
        <v>unknown</v>
      </c>
      <c r="H716" t="str">
        <f t="shared" si="56"/>
        <v>unknown</v>
      </c>
      <c r="K716" t="str">
        <f t="shared" si="57"/>
        <v>scale</v>
      </c>
    </row>
    <row r="717" spans="1:11" ht="158.4" x14ac:dyDescent="0.3">
      <c r="A717" t="s">
        <v>4239</v>
      </c>
      <c r="B717" t="s">
        <v>4446</v>
      </c>
      <c r="C717" s="90" t="s">
        <v>4447</v>
      </c>
      <c r="E717" t="s">
        <v>5562</v>
      </c>
      <c r="F717" s="91" t="s">
        <v>4447</v>
      </c>
      <c r="G717" t="str">
        <f t="shared" si="58"/>
        <v>unknown</v>
      </c>
      <c r="H717" t="str">
        <f t="shared" si="56"/>
        <v>unknown</v>
      </c>
      <c r="K717" t="str">
        <f t="shared" si="57"/>
        <v>scale</v>
      </c>
    </row>
    <row r="718" spans="1:11" ht="43.2" x14ac:dyDescent="0.3">
      <c r="A718" t="s">
        <v>4239</v>
      </c>
      <c r="B718" t="s">
        <v>3547</v>
      </c>
      <c r="C718" s="90" t="s">
        <v>4448</v>
      </c>
      <c r="E718" t="s">
        <v>5562</v>
      </c>
      <c r="F718" s="91" t="s">
        <v>4448</v>
      </c>
      <c r="G718" t="str">
        <f t="shared" si="58"/>
        <v>unknown</v>
      </c>
      <c r="H718" t="str">
        <f t="shared" si="56"/>
        <v>unknown</v>
      </c>
      <c r="K718" t="str">
        <f t="shared" si="57"/>
        <v>scale</v>
      </c>
    </row>
    <row r="719" spans="1:11" ht="57.6" x14ac:dyDescent="0.3">
      <c r="A719" t="s">
        <v>4239</v>
      </c>
      <c r="B719" t="s">
        <v>4449</v>
      </c>
      <c r="C719" s="90" t="s">
        <v>4450</v>
      </c>
      <c r="E719" t="s">
        <v>5562</v>
      </c>
      <c r="F719" s="91" t="s">
        <v>4450</v>
      </c>
      <c r="G719" t="str">
        <f t="shared" si="58"/>
        <v>unknown</v>
      </c>
      <c r="H719" t="str">
        <f t="shared" si="56"/>
        <v>unknown</v>
      </c>
      <c r="K719" t="str">
        <f t="shared" si="57"/>
        <v>scale</v>
      </c>
    </row>
    <row r="720" spans="1:11" ht="43.2" x14ac:dyDescent="0.3">
      <c r="A720" t="s">
        <v>4239</v>
      </c>
      <c r="B720" t="s">
        <v>4451</v>
      </c>
      <c r="C720" s="90" t="s">
        <v>3383</v>
      </c>
      <c r="E720" t="s">
        <v>5562</v>
      </c>
      <c r="F720" s="91" t="s">
        <v>3383</v>
      </c>
      <c r="G720" t="str">
        <f t="shared" si="58"/>
        <v>unknown</v>
      </c>
      <c r="H720" t="str">
        <f t="shared" si="56"/>
        <v>unknown</v>
      </c>
      <c r="K720" t="str">
        <f t="shared" si="57"/>
        <v>scale</v>
      </c>
    </row>
    <row r="721" spans="1:11" ht="43.2" x14ac:dyDescent="0.3">
      <c r="A721" t="s">
        <v>4239</v>
      </c>
      <c r="B721" t="s">
        <v>4452</v>
      </c>
      <c r="C721" s="90" t="s">
        <v>4453</v>
      </c>
      <c r="E721" t="s">
        <v>5562</v>
      </c>
      <c r="F721" s="91" t="s">
        <v>4453</v>
      </c>
      <c r="G721" t="str">
        <f t="shared" si="58"/>
        <v>unknown</v>
      </c>
      <c r="H721" t="str">
        <f t="shared" si="56"/>
        <v>unknown</v>
      </c>
      <c r="K721" t="str">
        <f t="shared" si="57"/>
        <v>scale</v>
      </c>
    </row>
    <row r="722" spans="1:11" ht="129.6" x14ac:dyDescent="0.3">
      <c r="A722" t="s">
        <v>4239</v>
      </c>
      <c r="B722" t="s">
        <v>4454</v>
      </c>
      <c r="C722" s="90" t="s">
        <v>4455</v>
      </c>
      <c r="E722" t="s">
        <v>5562</v>
      </c>
      <c r="F722" s="91" t="s">
        <v>4455</v>
      </c>
      <c r="G722" t="str">
        <f t="shared" si="58"/>
        <v>unknown</v>
      </c>
      <c r="H722" t="str">
        <f t="shared" si="56"/>
        <v>unknown</v>
      </c>
      <c r="K722" t="str">
        <f t="shared" si="57"/>
        <v>scale</v>
      </c>
    </row>
    <row r="723" spans="1:11" ht="129.6" x14ac:dyDescent="0.3">
      <c r="A723" t="s">
        <v>4239</v>
      </c>
      <c r="B723" t="s">
        <v>4456</v>
      </c>
      <c r="C723" s="90" t="s">
        <v>4260</v>
      </c>
      <c r="E723" t="s">
        <v>5562</v>
      </c>
      <c r="F723" s="91" t="s">
        <v>4260</v>
      </c>
      <c r="G723" t="str">
        <f t="shared" si="58"/>
        <v>unknown</v>
      </c>
      <c r="H723" t="str">
        <f t="shared" si="56"/>
        <v>unknown</v>
      </c>
      <c r="K723" t="str">
        <f t="shared" si="57"/>
        <v>scale</v>
      </c>
    </row>
    <row r="724" spans="1:11" ht="57.6" x14ac:dyDescent="0.3">
      <c r="A724" t="s">
        <v>4239</v>
      </c>
      <c r="B724" t="s">
        <v>4457</v>
      </c>
      <c r="C724" s="90" t="s">
        <v>4458</v>
      </c>
      <c r="E724" t="s">
        <v>5562</v>
      </c>
      <c r="F724" s="91" t="s">
        <v>4458</v>
      </c>
      <c r="G724" t="str">
        <f t="shared" si="58"/>
        <v>unknown</v>
      </c>
      <c r="H724" t="str">
        <f t="shared" si="56"/>
        <v>unknown</v>
      </c>
      <c r="K724" t="str">
        <f t="shared" si="57"/>
        <v>scale</v>
      </c>
    </row>
    <row r="725" spans="1:11" ht="129.6" x14ac:dyDescent="0.3">
      <c r="A725" t="s">
        <v>4239</v>
      </c>
      <c r="B725" t="s">
        <v>4459</v>
      </c>
      <c r="C725" s="90" t="s">
        <v>4258</v>
      </c>
      <c r="E725" t="s">
        <v>5562</v>
      </c>
      <c r="F725" s="91" t="s">
        <v>4258</v>
      </c>
      <c r="G725" t="str">
        <f t="shared" si="58"/>
        <v>unknown</v>
      </c>
      <c r="H725" t="str">
        <f t="shared" si="56"/>
        <v>unknown</v>
      </c>
      <c r="K725" t="str">
        <f t="shared" si="57"/>
        <v>scale</v>
      </c>
    </row>
    <row r="726" spans="1:11" ht="43.2" x14ac:dyDescent="0.3">
      <c r="A726" t="s">
        <v>4239</v>
      </c>
      <c r="B726" t="s">
        <v>4460</v>
      </c>
      <c r="C726" s="90" t="s">
        <v>4461</v>
      </c>
      <c r="D726" t="s">
        <v>5561</v>
      </c>
      <c r="E726" t="s">
        <v>5560</v>
      </c>
      <c r="F726" s="92" t="s">
        <v>5628</v>
      </c>
      <c r="G726" t="str">
        <f>IF(EXACT($F726, $Q$1), "sector", IF(EXACT($F726, $R$1), "sector", IF(EXACT($F726, $T$1), "sector", IF(EXACT($F726, $U$1), "sector", "unknown"))))</f>
        <v>unknown</v>
      </c>
      <c r="H726" t="str">
        <f t="shared" si="56"/>
        <v>unknown</v>
      </c>
      <c r="I726" t="s">
        <v>5660</v>
      </c>
      <c r="K726" t="str">
        <f t="shared" si="57"/>
        <v>rephrase</v>
      </c>
    </row>
    <row r="727" spans="1:11" ht="100.8" x14ac:dyDescent="0.3">
      <c r="A727" t="s">
        <v>4239</v>
      </c>
      <c r="B727" t="s">
        <v>4462</v>
      </c>
      <c r="C727" s="90" t="s">
        <v>4463</v>
      </c>
      <c r="E727" t="s">
        <v>5562</v>
      </c>
      <c r="F727" s="91" t="s">
        <v>4463</v>
      </c>
      <c r="G727" t="str">
        <f>IF(EXACT($F727, $Q$1), "sector", "unknown")</f>
        <v>unknown</v>
      </c>
      <c r="H727" t="str">
        <f t="shared" si="56"/>
        <v>unknown</v>
      </c>
      <c r="K727" t="str">
        <f t="shared" si="57"/>
        <v>scale</v>
      </c>
    </row>
    <row r="728" spans="1:11" ht="28.8" x14ac:dyDescent="0.3">
      <c r="A728" t="s">
        <v>4239</v>
      </c>
      <c r="B728" t="s">
        <v>4464</v>
      </c>
      <c r="C728" s="90" t="s">
        <v>4465</v>
      </c>
      <c r="D728" t="s">
        <v>5561</v>
      </c>
      <c r="E728" t="s">
        <v>399</v>
      </c>
      <c r="F728" s="92" t="s">
        <v>5629</v>
      </c>
      <c r="G728" t="str">
        <f>IF(EXACT($F728, $Q$1), "sector", "unknown")</f>
        <v>unknown</v>
      </c>
      <c r="H728" t="str">
        <f t="shared" si="56"/>
        <v>unknown</v>
      </c>
      <c r="K728" t="str">
        <f t="shared" si="57"/>
        <v>sector</v>
      </c>
    </row>
    <row r="729" spans="1:11" ht="28.8" x14ac:dyDescent="0.3">
      <c r="A729" t="s">
        <v>4239</v>
      </c>
      <c r="B729" t="s">
        <v>4466</v>
      </c>
      <c r="C729" s="90" t="s">
        <v>4467</v>
      </c>
      <c r="D729" t="s">
        <v>5561</v>
      </c>
      <c r="E729" t="s">
        <v>399</v>
      </c>
      <c r="F729" s="92" t="s">
        <v>5630</v>
      </c>
      <c r="G729" t="str">
        <f>IF(EXACT($F729, $Q$1), "sector", "unknown")</f>
        <v>unknown</v>
      </c>
      <c r="H729" t="str">
        <f t="shared" si="56"/>
        <v>unknown</v>
      </c>
      <c r="K729" t="str">
        <f t="shared" si="57"/>
        <v>sector</v>
      </c>
    </row>
    <row r="730" spans="1:11" ht="43.2" x14ac:dyDescent="0.3">
      <c r="A730" t="s">
        <v>4239</v>
      </c>
      <c r="B730" t="s">
        <v>4468</v>
      </c>
      <c r="C730" s="90" t="s">
        <v>4469</v>
      </c>
      <c r="D730" t="s">
        <v>5561</v>
      </c>
      <c r="E730" t="s">
        <v>5560</v>
      </c>
      <c r="F730" s="92" t="s">
        <v>5631</v>
      </c>
      <c r="G730" t="str">
        <f>IF(EXACT($F730, $Q$1), "sector", IF(EXACT($F730, $R$1), "sector", IF(EXACT($F730, $T$1), "sector", IF(EXACT($F730, $U$1), "sector", "unknown"))))</f>
        <v>unknown</v>
      </c>
      <c r="H730" t="str">
        <f t="shared" si="56"/>
        <v>unknown</v>
      </c>
      <c r="I730" t="s">
        <v>5660</v>
      </c>
      <c r="K730" t="str">
        <f t="shared" si="57"/>
        <v>rephrase</v>
      </c>
    </row>
    <row r="731" spans="1:11" ht="43.2" x14ac:dyDescent="0.3">
      <c r="A731" t="s">
        <v>4239</v>
      </c>
      <c r="B731" t="s">
        <v>4470</v>
      </c>
      <c r="C731" s="90" t="s">
        <v>4471</v>
      </c>
      <c r="E731" t="s">
        <v>5562</v>
      </c>
      <c r="F731" s="91" t="s">
        <v>4471</v>
      </c>
      <c r="G731" t="str">
        <f t="shared" ref="G731:G751" si="59">IF(EXACT($F731, $Q$1), "sector", "unknown")</f>
        <v>unknown</v>
      </c>
      <c r="H731" t="str">
        <f t="shared" si="56"/>
        <v>unknown</v>
      </c>
      <c r="K731" t="str">
        <f t="shared" si="57"/>
        <v>scale</v>
      </c>
    </row>
    <row r="732" spans="1:11" ht="216" x14ac:dyDescent="0.3">
      <c r="A732" t="s">
        <v>4239</v>
      </c>
      <c r="B732" t="s">
        <v>4472</v>
      </c>
      <c r="C732" s="90" t="s">
        <v>4473</v>
      </c>
      <c r="E732" t="s">
        <v>5562</v>
      </c>
      <c r="F732" s="91" t="s">
        <v>4473</v>
      </c>
      <c r="G732" t="str">
        <f t="shared" si="59"/>
        <v>unknown</v>
      </c>
      <c r="H732" t="str">
        <f t="shared" si="56"/>
        <v>unknown</v>
      </c>
      <c r="K732" t="str">
        <f t="shared" si="57"/>
        <v>scale</v>
      </c>
    </row>
    <row r="733" spans="1:11" ht="115.2" x14ac:dyDescent="0.3">
      <c r="A733" t="s">
        <v>4239</v>
      </c>
      <c r="B733" t="s">
        <v>4474</v>
      </c>
      <c r="C733" s="90" t="s">
        <v>4475</v>
      </c>
      <c r="E733" t="s">
        <v>5562</v>
      </c>
      <c r="F733" s="91" t="s">
        <v>4475</v>
      </c>
      <c r="G733" t="str">
        <f t="shared" si="59"/>
        <v>unknown</v>
      </c>
      <c r="H733" t="str">
        <f t="shared" si="56"/>
        <v>unknown</v>
      </c>
      <c r="K733" t="str">
        <f t="shared" si="57"/>
        <v>scale</v>
      </c>
    </row>
    <row r="734" spans="1:11" ht="158.4" x14ac:dyDescent="0.3">
      <c r="A734" t="s">
        <v>4239</v>
      </c>
      <c r="B734" t="s">
        <v>4476</v>
      </c>
      <c r="C734" s="90" t="s">
        <v>4477</v>
      </c>
      <c r="E734" t="s">
        <v>5562</v>
      </c>
      <c r="F734" s="91" t="s">
        <v>4477</v>
      </c>
      <c r="G734" t="str">
        <f t="shared" si="59"/>
        <v>unknown</v>
      </c>
      <c r="H734" t="str">
        <f t="shared" si="56"/>
        <v>unknown</v>
      </c>
      <c r="K734" t="str">
        <f t="shared" si="57"/>
        <v>scale</v>
      </c>
    </row>
    <row r="735" spans="1:11" ht="100.8" x14ac:dyDescent="0.3">
      <c r="A735" t="s">
        <v>4239</v>
      </c>
      <c r="B735" t="s">
        <v>4478</v>
      </c>
      <c r="C735" s="90" t="s">
        <v>4479</v>
      </c>
      <c r="E735" t="s">
        <v>5562</v>
      </c>
      <c r="F735" s="91" t="s">
        <v>4479</v>
      </c>
      <c r="G735" t="str">
        <f t="shared" si="59"/>
        <v>unknown</v>
      </c>
      <c r="H735" t="str">
        <f t="shared" si="56"/>
        <v>unknown</v>
      </c>
      <c r="K735" t="str">
        <f t="shared" si="57"/>
        <v>scale</v>
      </c>
    </row>
    <row r="736" spans="1:11" ht="129.6" x14ac:dyDescent="0.3">
      <c r="A736" t="s">
        <v>4239</v>
      </c>
      <c r="B736" t="s">
        <v>4480</v>
      </c>
      <c r="C736" s="90" t="s">
        <v>4481</v>
      </c>
      <c r="E736" t="s">
        <v>5562</v>
      </c>
      <c r="F736" s="91" t="s">
        <v>4481</v>
      </c>
      <c r="G736" t="str">
        <f t="shared" si="59"/>
        <v>unknown</v>
      </c>
      <c r="H736" t="str">
        <f t="shared" si="56"/>
        <v>unknown</v>
      </c>
      <c r="K736" t="str">
        <f t="shared" si="57"/>
        <v>scale</v>
      </c>
    </row>
    <row r="737" spans="1:11" ht="100.8" x14ac:dyDescent="0.3">
      <c r="A737" t="s">
        <v>4239</v>
      </c>
      <c r="B737" t="s">
        <v>4482</v>
      </c>
      <c r="C737" s="90" t="s">
        <v>4479</v>
      </c>
      <c r="E737" t="s">
        <v>5562</v>
      </c>
      <c r="F737" s="91" t="s">
        <v>4479</v>
      </c>
      <c r="G737" t="str">
        <f t="shared" si="59"/>
        <v>unknown</v>
      </c>
      <c r="H737" t="str">
        <f t="shared" si="56"/>
        <v>unknown</v>
      </c>
      <c r="K737" t="str">
        <f t="shared" si="57"/>
        <v>scale</v>
      </c>
    </row>
    <row r="738" spans="1:11" ht="100.8" x14ac:dyDescent="0.3">
      <c r="A738" t="s">
        <v>4239</v>
      </c>
      <c r="B738" t="s">
        <v>3737</v>
      </c>
      <c r="C738" s="90" t="s">
        <v>4479</v>
      </c>
      <c r="E738" t="s">
        <v>5562</v>
      </c>
      <c r="F738" s="91" t="s">
        <v>4479</v>
      </c>
      <c r="G738" t="str">
        <f t="shared" si="59"/>
        <v>unknown</v>
      </c>
      <c r="H738" t="str">
        <f t="shared" si="56"/>
        <v>unknown</v>
      </c>
      <c r="K738" t="str">
        <f t="shared" si="57"/>
        <v>scale</v>
      </c>
    </row>
    <row r="739" spans="1:11" ht="57.6" x14ac:dyDescent="0.3">
      <c r="A739" t="s">
        <v>4239</v>
      </c>
      <c r="B739" t="s">
        <v>4483</v>
      </c>
      <c r="C739" s="90" t="s">
        <v>4484</v>
      </c>
      <c r="E739" t="s">
        <v>5562</v>
      </c>
      <c r="F739" s="91" t="s">
        <v>4484</v>
      </c>
      <c r="G739" t="str">
        <f t="shared" si="59"/>
        <v>unknown</v>
      </c>
      <c r="H739" t="str">
        <f t="shared" si="56"/>
        <v>unknown</v>
      </c>
      <c r="K739" t="str">
        <f t="shared" si="57"/>
        <v>scale</v>
      </c>
    </row>
    <row r="740" spans="1:11" ht="144" x14ac:dyDescent="0.3">
      <c r="A740" t="s">
        <v>4239</v>
      </c>
      <c r="B740" t="s">
        <v>4485</v>
      </c>
      <c r="C740" s="90" t="s">
        <v>4486</v>
      </c>
      <c r="E740" t="s">
        <v>5562</v>
      </c>
      <c r="F740" s="91" t="s">
        <v>4486</v>
      </c>
      <c r="G740" t="str">
        <f t="shared" si="59"/>
        <v>unknown</v>
      </c>
      <c r="H740" t="str">
        <f t="shared" si="56"/>
        <v>unknown</v>
      </c>
      <c r="K740" t="str">
        <f t="shared" si="57"/>
        <v>scale</v>
      </c>
    </row>
    <row r="741" spans="1:11" ht="216" x14ac:dyDescent="0.3">
      <c r="A741" t="s">
        <v>4239</v>
      </c>
      <c r="B741" t="s">
        <v>4487</v>
      </c>
      <c r="C741" s="90" t="s">
        <v>4488</v>
      </c>
      <c r="E741" t="s">
        <v>5562</v>
      </c>
      <c r="F741" s="91" t="s">
        <v>4488</v>
      </c>
      <c r="G741" t="str">
        <f t="shared" si="59"/>
        <v>unknown</v>
      </c>
      <c r="H741" t="str">
        <f t="shared" si="56"/>
        <v>unknown</v>
      </c>
      <c r="K741" t="str">
        <f t="shared" si="57"/>
        <v>scale</v>
      </c>
    </row>
    <row r="742" spans="1:11" ht="244.8" x14ac:dyDescent="0.3">
      <c r="A742" t="s">
        <v>4239</v>
      </c>
      <c r="B742" t="s">
        <v>4489</v>
      </c>
      <c r="C742" s="90" t="s">
        <v>4490</v>
      </c>
      <c r="E742" t="s">
        <v>5562</v>
      </c>
      <c r="F742" s="91" t="s">
        <v>4490</v>
      </c>
      <c r="G742" t="str">
        <f t="shared" si="59"/>
        <v>unknown</v>
      </c>
      <c r="H742" t="str">
        <f t="shared" si="56"/>
        <v>unknown</v>
      </c>
      <c r="K742" t="str">
        <f t="shared" si="57"/>
        <v>scale</v>
      </c>
    </row>
    <row r="743" spans="1:11" ht="144" x14ac:dyDescent="0.3">
      <c r="A743" t="s">
        <v>4239</v>
      </c>
      <c r="B743" t="s">
        <v>4491</v>
      </c>
      <c r="C743" s="90" t="s">
        <v>4492</v>
      </c>
      <c r="E743" t="s">
        <v>5562</v>
      </c>
      <c r="F743" s="91" t="s">
        <v>4492</v>
      </c>
      <c r="G743" t="str">
        <f t="shared" si="59"/>
        <v>unknown</v>
      </c>
      <c r="H743" t="str">
        <f t="shared" si="56"/>
        <v>unknown</v>
      </c>
      <c r="K743" t="str">
        <f t="shared" si="57"/>
        <v>scale</v>
      </c>
    </row>
    <row r="744" spans="1:11" ht="244.8" x14ac:dyDescent="0.3">
      <c r="A744" t="s">
        <v>4239</v>
      </c>
      <c r="B744" t="s">
        <v>4493</v>
      </c>
      <c r="C744" s="90" t="s">
        <v>4494</v>
      </c>
      <c r="E744" t="s">
        <v>5562</v>
      </c>
      <c r="F744" s="91" t="s">
        <v>4494</v>
      </c>
      <c r="G744" t="str">
        <f t="shared" si="59"/>
        <v>unknown</v>
      </c>
      <c r="H744" t="str">
        <f t="shared" si="56"/>
        <v>unknown</v>
      </c>
      <c r="K744" t="str">
        <f t="shared" si="57"/>
        <v>scale</v>
      </c>
    </row>
    <row r="745" spans="1:11" ht="129.6" x14ac:dyDescent="0.3">
      <c r="A745" t="s">
        <v>4239</v>
      </c>
      <c r="B745" t="s">
        <v>4495</v>
      </c>
      <c r="C745" s="90" t="s">
        <v>4262</v>
      </c>
      <c r="E745" t="s">
        <v>5562</v>
      </c>
      <c r="F745" s="91" t="s">
        <v>4262</v>
      </c>
      <c r="G745" t="str">
        <f t="shared" si="59"/>
        <v>unknown</v>
      </c>
      <c r="H745" t="str">
        <f t="shared" si="56"/>
        <v>unknown</v>
      </c>
      <c r="K745" t="str">
        <f t="shared" si="57"/>
        <v>scale</v>
      </c>
    </row>
    <row r="746" spans="1:11" ht="100.8" x14ac:dyDescent="0.3">
      <c r="A746" t="s">
        <v>4239</v>
      </c>
      <c r="B746" t="s">
        <v>4496</v>
      </c>
      <c r="C746" s="90" t="s">
        <v>4497</v>
      </c>
      <c r="E746" t="s">
        <v>5562</v>
      </c>
      <c r="F746" s="91" t="s">
        <v>4497</v>
      </c>
      <c r="G746" t="str">
        <f t="shared" si="59"/>
        <v>unknown</v>
      </c>
      <c r="H746" t="str">
        <f t="shared" si="56"/>
        <v>unknown</v>
      </c>
      <c r="K746" t="str">
        <f t="shared" si="57"/>
        <v>scale</v>
      </c>
    </row>
    <row r="747" spans="1:11" ht="129.6" x14ac:dyDescent="0.3">
      <c r="A747" t="s">
        <v>4239</v>
      </c>
      <c r="B747" t="s">
        <v>4498</v>
      </c>
      <c r="C747" s="90" t="s">
        <v>4499</v>
      </c>
      <c r="E747" t="s">
        <v>5562</v>
      </c>
      <c r="F747" s="91" t="s">
        <v>4499</v>
      </c>
      <c r="G747" t="str">
        <f t="shared" si="59"/>
        <v>unknown</v>
      </c>
      <c r="H747" t="str">
        <f t="shared" si="56"/>
        <v>unknown</v>
      </c>
      <c r="K747" t="str">
        <f t="shared" si="57"/>
        <v>scale</v>
      </c>
    </row>
    <row r="748" spans="1:11" ht="244.8" x14ac:dyDescent="0.3">
      <c r="A748" t="s">
        <v>4239</v>
      </c>
      <c r="B748" t="s">
        <v>4500</v>
      </c>
      <c r="C748" s="90" t="s">
        <v>4501</v>
      </c>
      <c r="E748" t="s">
        <v>5562</v>
      </c>
      <c r="F748" s="91" t="s">
        <v>4501</v>
      </c>
      <c r="G748" t="str">
        <f t="shared" si="59"/>
        <v>unknown</v>
      </c>
      <c r="H748" t="str">
        <f t="shared" si="56"/>
        <v>unknown</v>
      </c>
      <c r="K748" t="str">
        <f t="shared" si="57"/>
        <v>scale</v>
      </c>
    </row>
    <row r="749" spans="1:11" ht="158.4" x14ac:dyDescent="0.3">
      <c r="A749" t="s">
        <v>4239</v>
      </c>
      <c r="B749" t="s">
        <v>4502</v>
      </c>
      <c r="C749" s="90" t="s">
        <v>4503</v>
      </c>
      <c r="E749" t="s">
        <v>5562</v>
      </c>
      <c r="F749" s="91" t="s">
        <v>4503</v>
      </c>
      <c r="G749" t="str">
        <f t="shared" si="59"/>
        <v>unknown</v>
      </c>
      <c r="H749" t="str">
        <f t="shared" si="56"/>
        <v>unknown</v>
      </c>
      <c r="K749" t="str">
        <f t="shared" si="57"/>
        <v>scale</v>
      </c>
    </row>
    <row r="750" spans="1:11" ht="129.6" x14ac:dyDescent="0.3">
      <c r="A750" t="s">
        <v>4239</v>
      </c>
      <c r="B750" t="s">
        <v>4504</v>
      </c>
      <c r="C750" s="90" t="s">
        <v>4505</v>
      </c>
      <c r="E750" t="s">
        <v>5562</v>
      </c>
      <c r="F750" s="91" t="s">
        <v>4505</v>
      </c>
      <c r="G750" t="str">
        <f t="shared" si="59"/>
        <v>unknown</v>
      </c>
      <c r="H750" t="str">
        <f t="shared" si="56"/>
        <v>unknown</v>
      </c>
      <c r="K750" t="str">
        <f t="shared" si="57"/>
        <v>scale</v>
      </c>
    </row>
    <row r="751" spans="1:11" ht="129.6" x14ac:dyDescent="0.3">
      <c r="A751" t="s">
        <v>4239</v>
      </c>
      <c r="B751" t="s">
        <v>4506</v>
      </c>
      <c r="C751" s="90" t="s">
        <v>4507</v>
      </c>
      <c r="E751" t="s">
        <v>5562</v>
      </c>
      <c r="F751" s="91" t="s">
        <v>4507</v>
      </c>
      <c r="G751" t="str">
        <f t="shared" si="59"/>
        <v>unknown</v>
      </c>
      <c r="H751" t="str">
        <f t="shared" si="56"/>
        <v>unknown</v>
      </c>
      <c r="K751" t="str">
        <f t="shared" si="57"/>
        <v>scale</v>
      </c>
    </row>
    <row r="752" spans="1:11" ht="43.2" x14ac:dyDescent="0.3">
      <c r="A752" t="s">
        <v>4239</v>
      </c>
      <c r="B752" t="s">
        <v>4508</v>
      </c>
      <c r="C752" s="90" t="s">
        <v>4509</v>
      </c>
      <c r="D752" t="s">
        <v>5561</v>
      </c>
      <c r="E752" t="s">
        <v>5560</v>
      </c>
      <c r="F752" s="92" t="s">
        <v>5632</v>
      </c>
      <c r="G752" t="str">
        <f>IF(EXACT($F752, $Q$1), "sector", IF(EXACT($F752, $R$1), "sector", IF(EXACT($F752, $T$1), "sector", IF(EXACT($F752, $U$1), "sector", "unknown"))))</f>
        <v>unknown</v>
      </c>
      <c r="H752" t="str">
        <f t="shared" si="56"/>
        <v>unknown</v>
      </c>
      <c r="I752" t="s">
        <v>5668</v>
      </c>
      <c r="K752" t="str">
        <f t="shared" si="57"/>
        <v>specialValue</v>
      </c>
    </row>
    <row r="753" spans="1:11" ht="187.2" x14ac:dyDescent="0.3">
      <c r="A753" t="s">
        <v>4239</v>
      </c>
      <c r="B753" t="s">
        <v>4510</v>
      </c>
      <c r="C753" s="90" t="s">
        <v>4511</v>
      </c>
      <c r="E753" t="s">
        <v>5562</v>
      </c>
      <c r="F753" s="91" t="s">
        <v>4511</v>
      </c>
      <c r="G753" t="str">
        <f>IF(EXACT($F753, $Q$1), "sector", "unknown")</f>
        <v>unknown</v>
      </c>
      <c r="H753" t="str">
        <f t="shared" si="56"/>
        <v>unknown</v>
      </c>
      <c r="K753" t="str">
        <f t="shared" si="57"/>
        <v>scale</v>
      </c>
    </row>
    <row r="754" spans="1:11" ht="129.6" x14ac:dyDescent="0.3">
      <c r="A754" t="s">
        <v>4239</v>
      </c>
      <c r="B754" t="s">
        <v>4512</v>
      </c>
      <c r="C754" s="90" t="s">
        <v>4513</v>
      </c>
      <c r="E754" t="s">
        <v>5562</v>
      </c>
      <c r="F754" s="91" t="s">
        <v>4513</v>
      </c>
      <c r="G754" t="str">
        <f>IF(EXACT($F754, $Q$1), "sector", "unknown")</f>
        <v>unknown</v>
      </c>
      <c r="H754" t="str">
        <f t="shared" si="56"/>
        <v>unknown</v>
      </c>
      <c r="K754" t="str">
        <f t="shared" si="57"/>
        <v>scale</v>
      </c>
    </row>
    <row r="755" spans="1:11" ht="43.2" x14ac:dyDescent="0.3">
      <c r="A755" t="s">
        <v>4239</v>
      </c>
      <c r="B755" t="s">
        <v>4514</v>
      </c>
      <c r="C755" s="90" t="s">
        <v>4515</v>
      </c>
      <c r="D755" t="s">
        <v>5561</v>
      </c>
      <c r="E755" t="s">
        <v>5560</v>
      </c>
      <c r="F755" s="92" t="s">
        <v>5633</v>
      </c>
      <c r="G755" t="str">
        <f>IF(EXACT($F755, $Q$1), "sector", IF(EXACT($F755, $R$1), "sector", IF(EXACT($F755, $T$1), "sector", IF(EXACT($F755, $U$1), "sector", "unknown"))))</f>
        <v>unknown</v>
      </c>
      <c r="H755" t="str">
        <f t="shared" si="56"/>
        <v>unknown</v>
      </c>
      <c r="I755" t="s">
        <v>5668</v>
      </c>
      <c r="K755" t="str">
        <f t="shared" si="57"/>
        <v>specialValue</v>
      </c>
    </row>
    <row r="756" spans="1:11" ht="72" x14ac:dyDescent="0.3">
      <c r="A756" t="s">
        <v>4239</v>
      </c>
      <c r="B756" t="s">
        <v>4516</v>
      </c>
      <c r="C756" s="90" t="s">
        <v>4517</v>
      </c>
      <c r="E756" t="s">
        <v>5562</v>
      </c>
      <c r="F756" s="91" t="s">
        <v>4517</v>
      </c>
      <c r="G756" t="str">
        <f>IF(EXACT($F756, $Q$1), "sector", "unknown")</f>
        <v>unknown</v>
      </c>
      <c r="H756" t="str">
        <f t="shared" si="56"/>
        <v>unknown</v>
      </c>
      <c r="K756" t="str">
        <f t="shared" si="57"/>
        <v>scale</v>
      </c>
    </row>
    <row r="757" spans="1:11" ht="129.6" x14ac:dyDescent="0.3">
      <c r="A757" t="s">
        <v>4239</v>
      </c>
      <c r="B757" t="s">
        <v>4518</v>
      </c>
      <c r="C757" s="90" t="s">
        <v>4519</v>
      </c>
      <c r="E757" t="s">
        <v>5562</v>
      </c>
      <c r="F757" s="91" t="s">
        <v>4519</v>
      </c>
      <c r="G757" t="str">
        <f>IF(EXACT($F757, $Q$1), "sector", "unknown")</f>
        <v>unknown</v>
      </c>
      <c r="H757" t="str">
        <f t="shared" si="56"/>
        <v>unknown</v>
      </c>
      <c r="K757" t="str">
        <f t="shared" si="57"/>
        <v>scale</v>
      </c>
    </row>
    <row r="758" spans="1:11" ht="57.6" x14ac:dyDescent="0.3">
      <c r="A758" t="s">
        <v>4239</v>
      </c>
      <c r="B758" t="s">
        <v>4520</v>
      </c>
      <c r="C758" s="90" t="s">
        <v>4521</v>
      </c>
      <c r="D758" t="s">
        <v>5561</v>
      </c>
      <c r="E758" t="s">
        <v>5560</v>
      </c>
      <c r="F758" s="92" t="s">
        <v>5634</v>
      </c>
      <c r="G758" t="str">
        <f>IF(EXACT($F758, $Q$1), "sector", IF(EXACT($F758, $R$1), "sector", IF(EXACT($F758, $T$1), "sector", IF(EXACT($F758, $U$1), "sector", "unknown"))))</f>
        <v>unknown</v>
      </c>
      <c r="H758" t="str">
        <f t="shared" si="56"/>
        <v>unknown</v>
      </c>
      <c r="I758" t="s">
        <v>5671</v>
      </c>
      <c r="K758" t="str">
        <f t="shared" si="57"/>
        <v>followupQuestion</v>
      </c>
    </row>
    <row r="759" spans="1:11" ht="28.8" x14ac:dyDescent="0.3">
      <c r="A759" t="s">
        <v>4239</v>
      </c>
      <c r="B759" t="s">
        <v>3761</v>
      </c>
      <c r="C759" s="90" t="s">
        <v>4522</v>
      </c>
      <c r="D759" t="s">
        <v>5561</v>
      </c>
      <c r="E759" t="s">
        <v>5560</v>
      </c>
      <c r="F759" s="92" t="s">
        <v>5635</v>
      </c>
      <c r="G759" t="str">
        <f>IF(EXACT($F759, $Q$1), "sector", IF(EXACT($F759, $R$1), "sector", IF(EXACT($F759, $T$1), "sector", IF(EXACT($F759, $U$1), "sector", "unknown"))))</f>
        <v>unknown</v>
      </c>
      <c r="H759" t="str">
        <f t="shared" si="56"/>
        <v>unknown</v>
      </c>
      <c r="I759" t="s">
        <v>5672</v>
      </c>
      <c r="K759" t="str">
        <f t="shared" si="57"/>
        <v>askedTwice</v>
      </c>
    </row>
    <row r="760" spans="1:11" ht="28.8" x14ac:dyDescent="0.3">
      <c r="A760" t="s">
        <v>4239</v>
      </c>
      <c r="B760" t="s">
        <v>4523</v>
      </c>
      <c r="C760" s="90" t="s">
        <v>4524</v>
      </c>
      <c r="D760" t="s">
        <v>5561</v>
      </c>
      <c r="E760" t="s">
        <v>5560</v>
      </c>
      <c r="F760" s="92" t="s">
        <v>5636</v>
      </c>
      <c r="G760" t="str">
        <f>IF(EXACT($F760, $Q$1), "sector", IF(EXACT($F760, $R$1), "sector", IF(EXACT($F760, $T$1), "sector", IF(EXACT($F760, $U$1), "sector", "unknown"))))</f>
        <v>unknown</v>
      </c>
      <c r="H760" t="str">
        <f t="shared" si="56"/>
        <v>unknown</v>
      </c>
      <c r="I760" t="s">
        <v>5672</v>
      </c>
      <c r="K760" t="str">
        <f t="shared" si="57"/>
        <v>askedTwice</v>
      </c>
    </row>
    <row r="761" spans="1:11" ht="409.6" x14ac:dyDescent="0.3">
      <c r="A761" t="s">
        <v>4239</v>
      </c>
      <c r="B761" t="s">
        <v>4525</v>
      </c>
      <c r="C761" s="90" t="s">
        <v>4526</v>
      </c>
      <c r="E761" t="s">
        <v>5562</v>
      </c>
      <c r="F761" s="91" t="s">
        <v>4526</v>
      </c>
      <c r="G761" t="str">
        <f>IF(EXACT($F761, $Q$1), "sector", "unknown")</f>
        <v>unknown</v>
      </c>
      <c r="H761" t="str">
        <f t="shared" si="56"/>
        <v>unknown</v>
      </c>
      <c r="K761" t="str">
        <f t="shared" si="57"/>
        <v>scale</v>
      </c>
    </row>
    <row r="762" spans="1:11" ht="57.6" x14ac:dyDescent="0.3">
      <c r="A762" t="s">
        <v>4239</v>
      </c>
      <c r="B762" t="s">
        <v>4527</v>
      </c>
      <c r="C762" s="90" t="s">
        <v>4528</v>
      </c>
      <c r="E762" t="s">
        <v>5562</v>
      </c>
      <c r="F762" s="91" t="s">
        <v>4528</v>
      </c>
      <c r="G762" t="str">
        <f>IF(EXACT($F762, $Q$1), "sector", "unknown")</f>
        <v>unknown</v>
      </c>
      <c r="H762" t="str">
        <f t="shared" si="56"/>
        <v>unknown</v>
      </c>
      <c r="K762" t="str">
        <f t="shared" si="57"/>
        <v>scale</v>
      </c>
    </row>
    <row r="763" spans="1:11" ht="345.6" x14ac:dyDescent="0.3">
      <c r="A763" t="s">
        <v>4239</v>
      </c>
      <c r="B763" t="s">
        <v>4529</v>
      </c>
      <c r="C763" s="90" t="s">
        <v>4530</v>
      </c>
      <c r="E763" t="s">
        <v>5562</v>
      </c>
      <c r="F763" s="91" t="s">
        <v>4530</v>
      </c>
      <c r="G763" t="str">
        <f>IF(EXACT($F763, $Q$1), "sector", "unknown")</f>
        <v>unknown</v>
      </c>
      <c r="H763" t="str">
        <f t="shared" si="56"/>
        <v>unknown</v>
      </c>
      <c r="K763" t="str">
        <f t="shared" si="57"/>
        <v>scale</v>
      </c>
    </row>
    <row r="764" spans="1:11" ht="57.6" x14ac:dyDescent="0.3">
      <c r="A764" t="s">
        <v>4239</v>
      </c>
      <c r="B764" t="s">
        <v>4531</v>
      </c>
      <c r="C764" s="90" t="s">
        <v>4532</v>
      </c>
      <c r="E764" t="s">
        <v>5562</v>
      </c>
      <c r="F764" s="91" t="s">
        <v>4532</v>
      </c>
      <c r="G764" t="str">
        <f>IF(EXACT($F764, $Q$1), "sector", "unknown")</f>
        <v>unknown</v>
      </c>
      <c r="H764" t="str">
        <f t="shared" si="56"/>
        <v>unknown</v>
      </c>
      <c r="K764" t="str">
        <f t="shared" si="57"/>
        <v>scale</v>
      </c>
    </row>
    <row r="765" spans="1:11" ht="374.4" x14ac:dyDescent="0.3">
      <c r="A765" t="s">
        <v>4239</v>
      </c>
      <c r="B765" t="s">
        <v>4533</v>
      </c>
      <c r="C765" s="90" t="s">
        <v>4534</v>
      </c>
      <c r="E765" t="s">
        <v>5562</v>
      </c>
      <c r="F765" s="91" t="s">
        <v>4534</v>
      </c>
      <c r="G765" t="str">
        <f>IF(EXACT($F765, $Q$1), "sector", "unknown")</f>
        <v>unknown</v>
      </c>
      <c r="H765" t="str">
        <f t="shared" si="56"/>
        <v>unknown</v>
      </c>
      <c r="K765" t="str">
        <f t="shared" si="57"/>
        <v>scale</v>
      </c>
    </row>
    <row r="766" spans="1:11" ht="28.8" x14ac:dyDescent="0.3">
      <c r="A766" t="s">
        <v>4239</v>
      </c>
      <c r="B766" t="s">
        <v>4535</v>
      </c>
      <c r="C766" s="90" t="s">
        <v>4536</v>
      </c>
      <c r="D766" t="s">
        <v>5561</v>
      </c>
      <c r="E766" t="s">
        <v>5560</v>
      </c>
      <c r="F766" s="92" t="s">
        <v>5637</v>
      </c>
      <c r="G766" t="str">
        <f>IF(EXACT($F766, $Q$1), "sector", IF(EXACT($F766, $R$1), "sector", IF(EXACT($F766, $T$1), "sector", IF(EXACT($F766, $U$1), "sector", "unknown"))))</f>
        <v>unknown</v>
      </c>
      <c r="H766" t="str">
        <f t="shared" si="56"/>
        <v>open</v>
      </c>
      <c r="K766" t="str">
        <f t="shared" si="57"/>
        <v>open</v>
      </c>
    </row>
    <row r="767" spans="1:11" ht="43.2" x14ac:dyDescent="0.3">
      <c r="A767" t="s">
        <v>4239</v>
      </c>
      <c r="B767" t="s">
        <v>4537</v>
      </c>
      <c r="C767" s="90" t="s">
        <v>4538</v>
      </c>
      <c r="D767" t="s">
        <v>5561</v>
      </c>
      <c r="E767" t="s">
        <v>5560</v>
      </c>
      <c r="F767" s="92" t="s">
        <v>5638</v>
      </c>
      <c r="G767" t="str">
        <f>IF(EXACT($F767, $Q$1), "sector", IF(EXACT($F767, $R$1), "sector", IF(EXACT($F767, $T$1), "sector", IF(EXACT($F767, $U$1), "sector", "unknown"))))</f>
        <v>unknown</v>
      </c>
      <c r="H767" t="str">
        <f t="shared" si="56"/>
        <v>unknown</v>
      </c>
      <c r="I767" t="s">
        <v>5671</v>
      </c>
      <c r="K767" t="str">
        <f t="shared" si="57"/>
        <v>followupQuestion</v>
      </c>
    </row>
    <row r="768" spans="1:11" ht="172.8" x14ac:dyDescent="0.3">
      <c r="A768" t="s">
        <v>4239</v>
      </c>
      <c r="B768" t="s">
        <v>4539</v>
      </c>
      <c r="C768" s="90" t="s">
        <v>4540</v>
      </c>
      <c r="E768" t="s">
        <v>5562</v>
      </c>
      <c r="F768" s="91" t="s">
        <v>4540</v>
      </c>
      <c r="G768" t="str">
        <f t="shared" ref="G768:G782" si="60">IF(EXACT($F768, $Q$1), "sector", "unknown")</f>
        <v>unknown</v>
      </c>
      <c r="H768" t="str">
        <f t="shared" si="56"/>
        <v>unknown</v>
      </c>
      <c r="K768" t="str">
        <f t="shared" si="57"/>
        <v>scale</v>
      </c>
    </row>
    <row r="769" spans="1:11" ht="72" x14ac:dyDescent="0.3">
      <c r="A769" t="s">
        <v>4239</v>
      </c>
      <c r="B769" t="s">
        <v>4541</v>
      </c>
      <c r="C769" s="90" t="s">
        <v>4542</v>
      </c>
      <c r="E769" t="s">
        <v>5562</v>
      </c>
      <c r="F769" s="91" t="s">
        <v>4542</v>
      </c>
      <c r="G769" t="str">
        <f t="shared" si="60"/>
        <v>unknown</v>
      </c>
      <c r="H769" t="str">
        <f t="shared" si="56"/>
        <v>unknown</v>
      </c>
      <c r="K769" t="str">
        <f t="shared" si="57"/>
        <v>scale</v>
      </c>
    </row>
    <row r="770" spans="1:11" ht="144" x14ac:dyDescent="0.3">
      <c r="A770" t="s">
        <v>4239</v>
      </c>
      <c r="B770" t="s">
        <v>4543</v>
      </c>
      <c r="C770" s="90" t="s">
        <v>4544</v>
      </c>
      <c r="E770" t="s">
        <v>5562</v>
      </c>
      <c r="F770" s="91" t="s">
        <v>4544</v>
      </c>
      <c r="G770" t="str">
        <f t="shared" si="60"/>
        <v>unknown</v>
      </c>
      <c r="H770" t="str">
        <f t="shared" ref="H770:H833" si="61">IF(EXACT(F770,$W$1), "open", IF(EXACT(F770,$X$1), "open", "unknown"))</f>
        <v>unknown</v>
      </c>
      <c r="K770" t="str">
        <f t="shared" ref="K770:K833" si="62">IF(AND(E770&lt;&gt;"", E770&lt;&gt;"unknown"), E770,
   IF(AND(G770&lt;&gt;"", G770&lt;&gt;"unknown"), G770,
   IF(AND(H770&lt;&gt;"", H770&lt;&gt;"unknown"), H770,
   IF(I770&lt;&gt;"", I770, "ERROR"))))</f>
        <v>scale</v>
      </c>
    </row>
    <row r="771" spans="1:11" ht="86.4" x14ac:dyDescent="0.3">
      <c r="A771" t="s">
        <v>4239</v>
      </c>
      <c r="B771" t="s">
        <v>4545</v>
      </c>
      <c r="C771" s="90" t="s">
        <v>4546</v>
      </c>
      <c r="E771" t="s">
        <v>5562</v>
      </c>
      <c r="F771" s="91" t="s">
        <v>4546</v>
      </c>
      <c r="G771" t="str">
        <f t="shared" si="60"/>
        <v>unknown</v>
      </c>
      <c r="H771" t="str">
        <f t="shared" si="61"/>
        <v>unknown</v>
      </c>
      <c r="K771" t="str">
        <f t="shared" si="62"/>
        <v>scale</v>
      </c>
    </row>
    <row r="772" spans="1:11" ht="273.60000000000002" x14ac:dyDescent="0.3">
      <c r="A772" t="s">
        <v>4239</v>
      </c>
      <c r="B772" t="s">
        <v>4547</v>
      </c>
      <c r="C772" s="90" t="s">
        <v>4548</v>
      </c>
      <c r="E772" t="s">
        <v>5562</v>
      </c>
      <c r="F772" s="91" t="s">
        <v>4548</v>
      </c>
      <c r="G772" t="str">
        <f t="shared" si="60"/>
        <v>unknown</v>
      </c>
      <c r="H772" t="str">
        <f t="shared" si="61"/>
        <v>unknown</v>
      </c>
      <c r="K772" t="str">
        <f t="shared" si="62"/>
        <v>scale</v>
      </c>
    </row>
    <row r="773" spans="1:11" ht="216" x14ac:dyDescent="0.3">
      <c r="A773" t="s">
        <v>4239</v>
      </c>
      <c r="B773" t="s">
        <v>4549</v>
      </c>
      <c r="C773" s="90" t="s">
        <v>3584</v>
      </c>
      <c r="E773" t="s">
        <v>5562</v>
      </c>
      <c r="F773" s="91" t="s">
        <v>3584</v>
      </c>
      <c r="G773" t="str">
        <f t="shared" si="60"/>
        <v>unknown</v>
      </c>
      <c r="H773" t="str">
        <f t="shared" si="61"/>
        <v>unknown</v>
      </c>
      <c r="K773" t="str">
        <f t="shared" si="62"/>
        <v>scale</v>
      </c>
    </row>
    <row r="774" spans="1:11" ht="100.8" x14ac:dyDescent="0.3">
      <c r="A774" t="s">
        <v>4239</v>
      </c>
      <c r="B774" t="s">
        <v>4550</v>
      </c>
      <c r="C774" s="90" t="s">
        <v>4551</v>
      </c>
      <c r="E774" t="s">
        <v>5562</v>
      </c>
      <c r="F774" s="91" t="s">
        <v>4551</v>
      </c>
      <c r="G774" t="str">
        <f t="shared" si="60"/>
        <v>unknown</v>
      </c>
      <c r="H774" t="str">
        <f t="shared" si="61"/>
        <v>unknown</v>
      </c>
      <c r="K774" t="str">
        <f t="shared" si="62"/>
        <v>scale</v>
      </c>
    </row>
    <row r="775" spans="1:11" ht="129.6" x14ac:dyDescent="0.3">
      <c r="A775" t="s">
        <v>4239</v>
      </c>
      <c r="B775" t="s">
        <v>4552</v>
      </c>
      <c r="C775" s="90" t="s">
        <v>4553</v>
      </c>
      <c r="E775" t="s">
        <v>5562</v>
      </c>
      <c r="F775" s="91" t="s">
        <v>4553</v>
      </c>
      <c r="G775" t="str">
        <f t="shared" si="60"/>
        <v>unknown</v>
      </c>
      <c r="H775" t="str">
        <f t="shared" si="61"/>
        <v>unknown</v>
      </c>
      <c r="K775" t="str">
        <f t="shared" si="62"/>
        <v>scale</v>
      </c>
    </row>
    <row r="776" spans="1:11" ht="86.4" x14ac:dyDescent="0.3">
      <c r="A776" t="s">
        <v>4239</v>
      </c>
      <c r="B776" t="s">
        <v>4554</v>
      </c>
      <c r="C776" s="90" t="s">
        <v>3925</v>
      </c>
      <c r="E776" t="s">
        <v>5562</v>
      </c>
      <c r="F776" s="91" t="s">
        <v>3925</v>
      </c>
      <c r="G776" t="str">
        <f t="shared" si="60"/>
        <v>unknown</v>
      </c>
      <c r="H776" t="str">
        <f t="shared" si="61"/>
        <v>unknown</v>
      </c>
      <c r="K776" t="str">
        <f t="shared" si="62"/>
        <v>scale</v>
      </c>
    </row>
    <row r="777" spans="1:11" ht="230.4" x14ac:dyDescent="0.3">
      <c r="A777" t="s">
        <v>4239</v>
      </c>
      <c r="B777" t="s">
        <v>4555</v>
      </c>
      <c r="C777" s="90" t="s">
        <v>4556</v>
      </c>
      <c r="E777" t="s">
        <v>5562</v>
      </c>
      <c r="F777" s="91" t="s">
        <v>4556</v>
      </c>
      <c r="G777" t="str">
        <f t="shared" si="60"/>
        <v>unknown</v>
      </c>
      <c r="H777" t="str">
        <f t="shared" si="61"/>
        <v>unknown</v>
      </c>
      <c r="K777" t="str">
        <f t="shared" si="62"/>
        <v>scale</v>
      </c>
    </row>
    <row r="778" spans="1:11" ht="100.8" x14ac:dyDescent="0.3">
      <c r="A778" t="s">
        <v>4239</v>
      </c>
      <c r="B778" t="s">
        <v>4557</v>
      </c>
      <c r="C778" s="90" t="s">
        <v>4558</v>
      </c>
      <c r="E778" t="s">
        <v>5562</v>
      </c>
      <c r="F778" s="91" t="s">
        <v>4558</v>
      </c>
      <c r="G778" t="str">
        <f t="shared" si="60"/>
        <v>unknown</v>
      </c>
      <c r="H778" t="str">
        <f t="shared" si="61"/>
        <v>unknown</v>
      </c>
      <c r="K778" t="str">
        <f t="shared" si="62"/>
        <v>scale</v>
      </c>
    </row>
    <row r="779" spans="1:11" ht="316.8" x14ac:dyDescent="0.3">
      <c r="A779" t="s">
        <v>4239</v>
      </c>
      <c r="B779" t="s">
        <v>4559</v>
      </c>
      <c r="C779" s="90" t="s">
        <v>4560</v>
      </c>
      <c r="E779" t="s">
        <v>5562</v>
      </c>
      <c r="F779" s="91" t="s">
        <v>4560</v>
      </c>
      <c r="G779" t="str">
        <f t="shared" si="60"/>
        <v>unknown</v>
      </c>
      <c r="H779" t="str">
        <f t="shared" si="61"/>
        <v>unknown</v>
      </c>
      <c r="K779" t="str">
        <f t="shared" si="62"/>
        <v>scale</v>
      </c>
    </row>
    <row r="780" spans="1:11" ht="129.6" x14ac:dyDescent="0.3">
      <c r="A780" t="s">
        <v>4239</v>
      </c>
      <c r="B780" t="s">
        <v>4561</v>
      </c>
      <c r="C780" s="90" t="s">
        <v>4562</v>
      </c>
      <c r="E780" t="s">
        <v>5562</v>
      </c>
      <c r="F780" s="91" t="s">
        <v>4562</v>
      </c>
      <c r="G780" t="str">
        <f t="shared" si="60"/>
        <v>unknown</v>
      </c>
      <c r="H780" t="str">
        <f t="shared" si="61"/>
        <v>unknown</v>
      </c>
      <c r="K780" t="str">
        <f t="shared" si="62"/>
        <v>scale</v>
      </c>
    </row>
    <row r="781" spans="1:11" ht="86.4" x14ac:dyDescent="0.3">
      <c r="A781" t="s">
        <v>4239</v>
      </c>
      <c r="B781" t="s">
        <v>4563</v>
      </c>
      <c r="C781" s="90" t="s">
        <v>4564</v>
      </c>
      <c r="E781" t="s">
        <v>5562</v>
      </c>
      <c r="F781" s="91" t="s">
        <v>4564</v>
      </c>
      <c r="G781" t="str">
        <f t="shared" si="60"/>
        <v>unknown</v>
      </c>
      <c r="H781" t="str">
        <f t="shared" si="61"/>
        <v>unknown</v>
      </c>
      <c r="K781" t="str">
        <f t="shared" si="62"/>
        <v>scale</v>
      </c>
    </row>
    <row r="782" spans="1:11" ht="115.2" x14ac:dyDescent="0.3">
      <c r="A782" t="s">
        <v>4239</v>
      </c>
      <c r="B782" t="s">
        <v>4565</v>
      </c>
      <c r="C782" s="90" t="s">
        <v>4566</v>
      </c>
      <c r="E782" t="s">
        <v>5562</v>
      </c>
      <c r="F782" s="91" t="s">
        <v>4566</v>
      </c>
      <c r="G782" t="str">
        <f t="shared" si="60"/>
        <v>unknown</v>
      </c>
      <c r="H782" t="str">
        <f t="shared" si="61"/>
        <v>unknown</v>
      </c>
      <c r="K782" t="str">
        <f t="shared" si="62"/>
        <v>scale</v>
      </c>
    </row>
    <row r="783" spans="1:11" ht="72" x14ac:dyDescent="0.3">
      <c r="A783" t="s">
        <v>4239</v>
      </c>
      <c r="B783" t="s">
        <v>4567</v>
      </c>
      <c r="C783" s="90" t="s">
        <v>4568</v>
      </c>
      <c r="E783" t="s">
        <v>5562</v>
      </c>
      <c r="F783" s="91" t="s">
        <v>4568</v>
      </c>
      <c r="H783" t="str">
        <f t="shared" si="61"/>
        <v>unknown</v>
      </c>
      <c r="K783" t="str">
        <f t="shared" si="62"/>
        <v>scale</v>
      </c>
    </row>
    <row r="784" spans="1:11" ht="57.6" x14ac:dyDescent="0.3">
      <c r="A784" t="s">
        <v>4239</v>
      </c>
      <c r="B784" t="s">
        <v>4569</v>
      </c>
      <c r="C784" s="90" t="s">
        <v>4570</v>
      </c>
      <c r="E784" t="s">
        <v>5562</v>
      </c>
      <c r="F784" s="91" t="s">
        <v>4570</v>
      </c>
      <c r="H784" t="str">
        <f t="shared" si="61"/>
        <v>unknown</v>
      </c>
      <c r="K784" t="str">
        <f t="shared" si="62"/>
        <v>scale</v>
      </c>
    </row>
    <row r="785" spans="1:11" ht="100.8" x14ac:dyDescent="0.3">
      <c r="A785" t="s">
        <v>4239</v>
      </c>
      <c r="B785" t="s">
        <v>4571</v>
      </c>
      <c r="C785" s="90" t="s">
        <v>4572</v>
      </c>
      <c r="E785" t="s">
        <v>5562</v>
      </c>
      <c r="F785" s="91" t="s">
        <v>4572</v>
      </c>
      <c r="H785" t="str">
        <f t="shared" si="61"/>
        <v>unknown</v>
      </c>
      <c r="K785" t="str">
        <f t="shared" si="62"/>
        <v>scale</v>
      </c>
    </row>
    <row r="786" spans="1:11" ht="115.2" x14ac:dyDescent="0.3">
      <c r="A786" t="s">
        <v>4239</v>
      </c>
      <c r="B786" t="s">
        <v>4573</v>
      </c>
      <c r="C786" s="90" t="s">
        <v>3778</v>
      </c>
      <c r="E786" t="s">
        <v>5562</v>
      </c>
      <c r="F786" s="91" t="s">
        <v>3778</v>
      </c>
      <c r="H786" t="str">
        <f t="shared" si="61"/>
        <v>unknown</v>
      </c>
      <c r="K786" t="str">
        <f t="shared" si="62"/>
        <v>scale</v>
      </c>
    </row>
    <row r="787" spans="1:11" ht="409.6" x14ac:dyDescent="0.3">
      <c r="A787" t="s">
        <v>4239</v>
      </c>
      <c r="B787" t="s">
        <v>4574</v>
      </c>
      <c r="C787" s="90" t="s">
        <v>4575</v>
      </c>
      <c r="E787" t="s">
        <v>5562</v>
      </c>
      <c r="F787" s="91" t="s">
        <v>4575</v>
      </c>
      <c r="H787" t="str">
        <f t="shared" si="61"/>
        <v>unknown</v>
      </c>
      <c r="K787" t="str">
        <f t="shared" si="62"/>
        <v>scale</v>
      </c>
    </row>
    <row r="788" spans="1:11" ht="316.8" x14ac:dyDescent="0.3">
      <c r="A788" t="s">
        <v>4239</v>
      </c>
      <c r="B788" t="s">
        <v>4576</v>
      </c>
      <c r="C788" s="90" t="s">
        <v>4577</v>
      </c>
      <c r="E788" t="s">
        <v>5562</v>
      </c>
      <c r="F788" s="91" t="s">
        <v>4577</v>
      </c>
      <c r="H788" t="str">
        <f t="shared" si="61"/>
        <v>unknown</v>
      </c>
      <c r="K788" t="str">
        <f t="shared" si="62"/>
        <v>scale</v>
      </c>
    </row>
    <row r="789" spans="1:11" ht="72" x14ac:dyDescent="0.3">
      <c r="A789" t="s">
        <v>4239</v>
      </c>
      <c r="B789" t="s">
        <v>4578</v>
      </c>
      <c r="C789" s="90" t="s">
        <v>4579</v>
      </c>
      <c r="E789" t="s">
        <v>5562</v>
      </c>
      <c r="F789" s="91" t="s">
        <v>4579</v>
      </c>
      <c r="H789" t="str">
        <f t="shared" si="61"/>
        <v>unknown</v>
      </c>
      <c r="K789" t="str">
        <f t="shared" si="62"/>
        <v>scale</v>
      </c>
    </row>
    <row r="790" spans="1:11" ht="28.8" x14ac:dyDescent="0.3">
      <c r="A790" t="s">
        <v>4239</v>
      </c>
      <c r="B790" t="s">
        <v>4580</v>
      </c>
      <c r="C790" s="90" t="s">
        <v>4581</v>
      </c>
      <c r="D790" t="s">
        <v>5561</v>
      </c>
      <c r="E790" t="s">
        <v>5560</v>
      </c>
      <c r="F790" s="92">
        <v>1965</v>
      </c>
      <c r="G790" t="str">
        <f>IF(EXACT($F790, $Q$1), "sector", "unknown")</f>
        <v>unknown</v>
      </c>
      <c r="H790" t="str">
        <f t="shared" si="61"/>
        <v>unknown</v>
      </c>
      <c r="I790" t="s">
        <v>5660</v>
      </c>
      <c r="J790" t="s">
        <v>5667</v>
      </c>
      <c r="K790" t="str">
        <f t="shared" si="62"/>
        <v>rephrase</v>
      </c>
    </row>
    <row r="791" spans="1:11" ht="216" x14ac:dyDescent="0.3">
      <c r="A791" t="s">
        <v>4239</v>
      </c>
      <c r="B791" t="s">
        <v>4582</v>
      </c>
      <c r="C791" s="90" t="s">
        <v>4583</v>
      </c>
      <c r="E791" t="s">
        <v>5562</v>
      </c>
      <c r="F791" s="91" t="s">
        <v>4583</v>
      </c>
      <c r="H791" t="str">
        <f t="shared" si="61"/>
        <v>unknown</v>
      </c>
      <c r="K791" t="str">
        <f t="shared" si="62"/>
        <v>scale</v>
      </c>
    </row>
    <row r="792" spans="1:11" ht="172.8" x14ac:dyDescent="0.3">
      <c r="A792" t="s">
        <v>4239</v>
      </c>
      <c r="B792" t="s">
        <v>4584</v>
      </c>
      <c r="C792" s="90" t="s">
        <v>4585</v>
      </c>
      <c r="E792" t="s">
        <v>5562</v>
      </c>
      <c r="F792" s="91" t="s">
        <v>4585</v>
      </c>
      <c r="H792" t="str">
        <f t="shared" si="61"/>
        <v>unknown</v>
      </c>
      <c r="K792" t="str">
        <f t="shared" si="62"/>
        <v>scale</v>
      </c>
    </row>
    <row r="793" spans="1:11" ht="216" x14ac:dyDescent="0.3">
      <c r="A793" t="s">
        <v>4239</v>
      </c>
      <c r="B793" t="s">
        <v>4586</v>
      </c>
      <c r="C793" s="90" t="s">
        <v>4587</v>
      </c>
      <c r="E793" t="s">
        <v>5562</v>
      </c>
      <c r="F793" s="91" t="s">
        <v>4587</v>
      </c>
      <c r="H793" t="str">
        <f t="shared" si="61"/>
        <v>unknown</v>
      </c>
      <c r="K793" t="str">
        <f t="shared" si="62"/>
        <v>scale</v>
      </c>
    </row>
    <row r="794" spans="1:11" ht="216" x14ac:dyDescent="0.3">
      <c r="A794" t="s">
        <v>4239</v>
      </c>
      <c r="B794" t="s">
        <v>4588</v>
      </c>
      <c r="C794" s="90" t="s">
        <v>4589</v>
      </c>
      <c r="E794" t="s">
        <v>5562</v>
      </c>
      <c r="F794" s="91" t="s">
        <v>4589</v>
      </c>
      <c r="H794" t="str">
        <f t="shared" si="61"/>
        <v>unknown</v>
      </c>
      <c r="K794" t="str">
        <f t="shared" si="62"/>
        <v>scale</v>
      </c>
    </row>
    <row r="795" spans="1:11" ht="144" x14ac:dyDescent="0.3">
      <c r="A795" t="s">
        <v>4239</v>
      </c>
      <c r="B795" t="s">
        <v>4590</v>
      </c>
      <c r="C795" s="90" t="s">
        <v>4591</v>
      </c>
      <c r="E795" t="s">
        <v>5562</v>
      </c>
      <c r="F795" s="91" t="s">
        <v>4591</v>
      </c>
      <c r="H795" t="str">
        <f t="shared" si="61"/>
        <v>unknown</v>
      </c>
      <c r="K795" t="str">
        <f t="shared" si="62"/>
        <v>scale</v>
      </c>
    </row>
    <row r="796" spans="1:11" ht="158.4" x14ac:dyDescent="0.3">
      <c r="A796" t="s">
        <v>4239</v>
      </c>
      <c r="B796" t="s">
        <v>4592</v>
      </c>
      <c r="C796" s="90" t="s">
        <v>4593</v>
      </c>
      <c r="E796" t="s">
        <v>5562</v>
      </c>
      <c r="F796" s="91" t="s">
        <v>4593</v>
      </c>
      <c r="H796" t="str">
        <f t="shared" si="61"/>
        <v>unknown</v>
      </c>
      <c r="K796" t="str">
        <f t="shared" si="62"/>
        <v>scale</v>
      </c>
    </row>
    <row r="797" spans="1:11" ht="28.8" x14ac:dyDescent="0.3">
      <c r="A797" t="s">
        <v>4239</v>
      </c>
      <c r="B797" t="s">
        <v>4594</v>
      </c>
      <c r="C797" s="90" t="s">
        <v>3706</v>
      </c>
      <c r="D797" t="s">
        <v>5561</v>
      </c>
      <c r="E797" t="s">
        <v>5560</v>
      </c>
      <c r="F797" s="92" t="s">
        <v>5576</v>
      </c>
      <c r="G797" t="str">
        <f>IF(EXACT($F797, $Q$1), "sector", "unknown")</f>
        <v>unknown</v>
      </c>
      <c r="H797" t="str">
        <f t="shared" si="61"/>
        <v>unknown</v>
      </c>
      <c r="I797" t="s">
        <v>5663</v>
      </c>
      <c r="J797" t="s">
        <v>5666</v>
      </c>
      <c r="K797" t="str">
        <f t="shared" si="62"/>
        <v>specialSector</v>
      </c>
    </row>
    <row r="798" spans="1:11" ht="201.6" x14ac:dyDescent="0.3">
      <c r="A798" t="s">
        <v>4239</v>
      </c>
      <c r="B798" t="s">
        <v>4595</v>
      </c>
      <c r="C798" s="90" t="s">
        <v>4596</v>
      </c>
      <c r="E798" t="s">
        <v>5562</v>
      </c>
      <c r="F798" s="91" t="s">
        <v>4596</v>
      </c>
      <c r="H798" t="str">
        <f t="shared" si="61"/>
        <v>unknown</v>
      </c>
      <c r="K798" t="str">
        <f t="shared" si="62"/>
        <v>scale</v>
      </c>
    </row>
    <row r="799" spans="1:11" ht="115.2" x14ac:dyDescent="0.3">
      <c r="A799" t="s">
        <v>4239</v>
      </c>
      <c r="B799" t="s">
        <v>4597</v>
      </c>
      <c r="C799" s="90" t="s">
        <v>3712</v>
      </c>
      <c r="E799" t="s">
        <v>5562</v>
      </c>
      <c r="F799" s="91" t="s">
        <v>3712</v>
      </c>
      <c r="H799" t="str">
        <f t="shared" si="61"/>
        <v>unknown</v>
      </c>
      <c r="K799" t="str">
        <f t="shared" si="62"/>
        <v>scale</v>
      </c>
    </row>
    <row r="800" spans="1:11" ht="129.6" x14ac:dyDescent="0.3">
      <c r="A800" t="s">
        <v>4239</v>
      </c>
      <c r="B800" t="s">
        <v>4598</v>
      </c>
      <c r="C800" s="90" t="s">
        <v>4599</v>
      </c>
      <c r="E800" t="s">
        <v>5562</v>
      </c>
      <c r="F800" s="91" t="s">
        <v>4599</v>
      </c>
      <c r="H800" t="str">
        <f t="shared" si="61"/>
        <v>unknown</v>
      </c>
      <c r="K800" t="str">
        <f t="shared" si="62"/>
        <v>scale</v>
      </c>
    </row>
    <row r="801" spans="1:11" ht="115.2" x14ac:dyDescent="0.3">
      <c r="A801" t="s">
        <v>4239</v>
      </c>
      <c r="B801" t="s">
        <v>4600</v>
      </c>
      <c r="C801" s="90" t="s">
        <v>4601</v>
      </c>
      <c r="E801" t="s">
        <v>5562</v>
      </c>
      <c r="F801" s="91" t="s">
        <v>4601</v>
      </c>
      <c r="H801" t="str">
        <f t="shared" si="61"/>
        <v>unknown</v>
      </c>
      <c r="K801" t="str">
        <f t="shared" si="62"/>
        <v>scale</v>
      </c>
    </row>
    <row r="802" spans="1:11" ht="100.8" x14ac:dyDescent="0.3">
      <c r="A802" t="s">
        <v>4239</v>
      </c>
      <c r="B802" t="s">
        <v>4602</v>
      </c>
      <c r="C802" s="90" t="s">
        <v>4603</v>
      </c>
      <c r="E802" t="s">
        <v>5562</v>
      </c>
      <c r="F802" s="91" t="s">
        <v>4603</v>
      </c>
      <c r="H802" t="str">
        <f t="shared" si="61"/>
        <v>unknown</v>
      </c>
      <c r="K802" t="str">
        <f t="shared" si="62"/>
        <v>scale</v>
      </c>
    </row>
    <row r="803" spans="1:11" ht="72" x14ac:dyDescent="0.3">
      <c r="A803" t="s">
        <v>4239</v>
      </c>
      <c r="B803" t="s">
        <v>4604</v>
      </c>
      <c r="C803" s="90" t="s">
        <v>4605</v>
      </c>
      <c r="E803" t="s">
        <v>5562</v>
      </c>
      <c r="F803" s="91" t="s">
        <v>4605</v>
      </c>
      <c r="H803" t="str">
        <f t="shared" si="61"/>
        <v>unknown</v>
      </c>
      <c r="K803" t="str">
        <f t="shared" si="62"/>
        <v>scale</v>
      </c>
    </row>
    <row r="804" spans="1:11" ht="72" x14ac:dyDescent="0.3">
      <c r="A804" t="s">
        <v>4239</v>
      </c>
      <c r="B804" t="s">
        <v>4606</v>
      </c>
      <c r="C804" s="90" t="s">
        <v>4607</v>
      </c>
      <c r="E804" t="s">
        <v>5562</v>
      </c>
      <c r="F804" s="91" t="s">
        <v>4607</v>
      </c>
      <c r="H804" t="str">
        <f t="shared" si="61"/>
        <v>unknown</v>
      </c>
      <c r="K804" t="str">
        <f t="shared" si="62"/>
        <v>scale</v>
      </c>
    </row>
    <row r="805" spans="1:11" ht="115.2" x14ac:dyDescent="0.3">
      <c r="A805" t="s">
        <v>4239</v>
      </c>
      <c r="B805" t="s">
        <v>4608</v>
      </c>
      <c r="C805" s="90" t="s">
        <v>3712</v>
      </c>
      <c r="E805" t="s">
        <v>5562</v>
      </c>
      <c r="F805" s="91" t="s">
        <v>3712</v>
      </c>
      <c r="H805" t="str">
        <f t="shared" si="61"/>
        <v>unknown</v>
      </c>
      <c r="K805" t="str">
        <f t="shared" si="62"/>
        <v>scale</v>
      </c>
    </row>
    <row r="806" spans="1:11" ht="43.2" x14ac:dyDescent="0.3">
      <c r="A806" t="s">
        <v>4239</v>
      </c>
      <c r="B806" t="s">
        <v>4609</v>
      </c>
      <c r="C806" s="90" t="s">
        <v>3383</v>
      </c>
      <c r="E806" t="s">
        <v>5562</v>
      </c>
      <c r="F806" s="91" t="s">
        <v>3383</v>
      </c>
      <c r="H806" t="str">
        <f t="shared" si="61"/>
        <v>unknown</v>
      </c>
      <c r="K806" t="str">
        <f t="shared" si="62"/>
        <v>scale</v>
      </c>
    </row>
    <row r="807" spans="1:11" ht="43.2" x14ac:dyDescent="0.3">
      <c r="A807" t="s">
        <v>4239</v>
      </c>
      <c r="B807" t="s">
        <v>4610</v>
      </c>
      <c r="C807" s="90" t="s">
        <v>4611</v>
      </c>
      <c r="D807" t="s">
        <v>5561</v>
      </c>
      <c r="E807" t="s">
        <v>5560</v>
      </c>
      <c r="F807" s="92" t="s">
        <v>5639</v>
      </c>
      <c r="G807" t="str">
        <f>IF(EXACT($F807, $Q$1), "sector", "unknown")</f>
        <v>unknown</v>
      </c>
      <c r="H807" t="str">
        <f t="shared" si="61"/>
        <v>unknown</v>
      </c>
      <c r="I807" t="s">
        <v>5668</v>
      </c>
      <c r="K807" t="str">
        <f t="shared" si="62"/>
        <v>specialValue</v>
      </c>
    </row>
    <row r="808" spans="1:11" ht="57.6" x14ac:dyDescent="0.3">
      <c r="A808" t="s">
        <v>4239</v>
      </c>
      <c r="B808" t="s">
        <v>4612</v>
      </c>
      <c r="C808" s="90" t="s">
        <v>4613</v>
      </c>
      <c r="D808" t="s">
        <v>5561</v>
      </c>
      <c r="E808" t="s">
        <v>5560</v>
      </c>
      <c r="F808" s="92" t="s">
        <v>5640</v>
      </c>
      <c r="G808" t="str">
        <f>IF(EXACT($F808, $Q$1), "sector", "unknown")</f>
        <v>unknown</v>
      </c>
      <c r="H808" t="str">
        <f t="shared" si="61"/>
        <v>unknown</v>
      </c>
      <c r="I808" t="s">
        <v>5671</v>
      </c>
      <c r="K808" t="str">
        <f t="shared" si="62"/>
        <v>followupQuestion</v>
      </c>
    </row>
    <row r="809" spans="1:11" ht="144" x14ac:dyDescent="0.3">
      <c r="A809" t="s">
        <v>4239</v>
      </c>
      <c r="B809" t="s">
        <v>4614</v>
      </c>
      <c r="C809" s="90" t="s">
        <v>4615</v>
      </c>
      <c r="E809" t="s">
        <v>5562</v>
      </c>
      <c r="F809" s="91" t="s">
        <v>4615</v>
      </c>
      <c r="H809" t="str">
        <f t="shared" si="61"/>
        <v>unknown</v>
      </c>
      <c r="K809" t="str">
        <f t="shared" si="62"/>
        <v>scale</v>
      </c>
    </row>
    <row r="810" spans="1:11" ht="72" x14ac:dyDescent="0.3">
      <c r="A810" t="s">
        <v>4239</v>
      </c>
      <c r="B810" t="s">
        <v>4616</v>
      </c>
      <c r="C810" s="90" t="s">
        <v>4617</v>
      </c>
      <c r="E810" t="s">
        <v>5562</v>
      </c>
      <c r="F810" s="91" t="s">
        <v>4617</v>
      </c>
      <c r="H810" t="str">
        <f t="shared" si="61"/>
        <v>unknown</v>
      </c>
      <c r="K810" t="str">
        <f t="shared" si="62"/>
        <v>scale</v>
      </c>
    </row>
    <row r="811" spans="1:11" ht="144" x14ac:dyDescent="0.3">
      <c r="A811" t="s">
        <v>4239</v>
      </c>
      <c r="B811" t="s">
        <v>4618</v>
      </c>
      <c r="C811" s="90" t="s">
        <v>4615</v>
      </c>
      <c r="E811" t="s">
        <v>5562</v>
      </c>
      <c r="F811" s="91" t="s">
        <v>4615</v>
      </c>
      <c r="H811" t="str">
        <f t="shared" si="61"/>
        <v>unknown</v>
      </c>
      <c r="K811" t="str">
        <f t="shared" si="62"/>
        <v>scale</v>
      </c>
    </row>
    <row r="812" spans="1:11" ht="115.2" x14ac:dyDescent="0.3">
      <c r="A812" t="s">
        <v>4239</v>
      </c>
      <c r="B812" t="s">
        <v>4619</v>
      </c>
      <c r="C812" s="90" t="s">
        <v>4620</v>
      </c>
      <c r="E812" t="s">
        <v>5562</v>
      </c>
      <c r="F812" s="91" t="s">
        <v>4620</v>
      </c>
      <c r="H812" t="str">
        <f t="shared" si="61"/>
        <v>unknown</v>
      </c>
      <c r="K812" t="str">
        <f t="shared" si="62"/>
        <v>scale</v>
      </c>
    </row>
    <row r="813" spans="1:11" ht="158.4" x14ac:dyDescent="0.3">
      <c r="A813" t="s">
        <v>4239</v>
      </c>
      <c r="B813" t="s">
        <v>4621</v>
      </c>
      <c r="C813" s="90" t="s">
        <v>4622</v>
      </c>
      <c r="E813" t="s">
        <v>5562</v>
      </c>
      <c r="F813" s="91" t="s">
        <v>4622</v>
      </c>
      <c r="H813" t="str">
        <f t="shared" si="61"/>
        <v>unknown</v>
      </c>
      <c r="K813" t="str">
        <f t="shared" si="62"/>
        <v>scale</v>
      </c>
    </row>
    <row r="814" spans="1:11" ht="129.6" x14ac:dyDescent="0.3">
      <c r="A814" t="s">
        <v>4239</v>
      </c>
      <c r="B814" t="s">
        <v>4623</v>
      </c>
      <c r="C814" s="90" t="s">
        <v>4624</v>
      </c>
      <c r="E814" t="s">
        <v>5562</v>
      </c>
      <c r="F814" s="91" t="s">
        <v>4624</v>
      </c>
      <c r="H814" t="str">
        <f t="shared" si="61"/>
        <v>unknown</v>
      </c>
      <c r="K814" t="str">
        <f t="shared" si="62"/>
        <v>scale</v>
      </c>
    </row>
    <row r="815" spans="1:11" ht="43.2" x14ac:dyDescent="0.3">
      <c r="A815" t="s">
        <v>4625</v>
      </c>
      <c r="B815" t="s">
        <v>3564</v>
      </c>
      <c r="C815" s="90" t="s">
        <v>4626</v>
      </c>
      <c r="E815" t="s">
        <v>5562</v>
      </c>
      <c r="F815" s="91" t="s">
        <v>4626</v>
      </c>
      <c r="H815" t="str">
        <f t="shared" si="61"/>
        <v>unknown</v>
      </c>
      <c r="K815" t="str">
        <f t="shared" si="62"/>
        <v>scale</v>
      </c>
    </row>
    <row r="816" spans="1:11" ht="57.6" x14ac:dyDescent="0.3">
      <c r="A816" t="s">
        <v>4625</v>
      </c>
      <c r="B816" t="s">
        <v>3566</v>
      </c>
      <c r="C816" s="90" t="s">
        <v>4627</v>
      </c>
      <c r="E816" t="s">
        <v>5562</v>
      </c>
      <c r="F816" s="91" t="s">
        <v>4627</v>
      </c>
      <c r="H816" t="str">
        <f t="shared" si="61"/>
        <v>unknown</v>
      </c>
      <c r="K816" t="str">
        <f t="shared" si="62"/>
        <v>scale</v>
      </c>
    </row>
    <row r="817" spans="1:11" ht="57.6" x14ac:dyDescent="0.3">
      <c r="A817" t="s">
        <v>4625</v>
      </c>
      <c r="B817" t="s">
        <v>4628</v>
      </c>
      <c r="C817" s="90" t="s">
        <v>4629</v>
      </c>
      <c r="E817" t="s">
        <v>5562</v>
      </c>
      <c r="F817" s="91" t="s">
        <v>4629</v>
      </c>
      <c r="H817" t="str">
        <f t="shared" si="61"/>
        <v>unknown</v>
      </c>
      <c r="K817" t="str">
        <f t="shared" si="62"/>
        <v>scale</v>
      </c>
    </row>
    <row r="818" spans="1:11" ht="129.6" x14ac:dyDescent="0.3">
      <c r="A818" t="s">
        <v>4625</v>
      </c>
      <c r="B818" t="s">
        <v>3571</v>
      </c>
      <c r="C818" s="90" t="s">
        <v>4630</v>
      </c>
      <c r="E818" t="s">
        <v>5562</v>
      </c>
      <c r="F818" s="91" t="s">
        <v>4630</v>
      </c>
      <c r="H818" t="str">
        <f t="shared" si="61"/>
        <v>unknown</v>
      </c>
      <c r="K818" t="str">
        <f t="shared" si="62"/>
        <v>scale</v>
      </c>
    </row>
    <row r="819" spans="1:11" ht="72" x14ac:dyDescent="0.3">
      <c r="A819" t="s">
        <v>4625</v>
      </c>
      <c r="B819" t="s">
        <v>4631</v>
      </c>
      <c r="C819" s="90" t="s">
        <v>4632</v>
      </c>
      <c r="E819" t="s">
        <v>5562</v>
      </c>
      <c r="F819" s="91" t="s">
        <v>4632</v>
      </c>
      <c r="H819" t="str">
        <f t="shared" si="61"/>
        <v>unknown</v>
      </c>
      <c r="K819" t="str">
        <f t="shared" si="62"/>
        <v>scale</v>
      </c>
    </row>
    <row r="820" spans="1:11" ht="72" x14ac:dyDescent="0.3">
      <c r="A820" t="s">
        <v>4625</v>
      </c>
      <c r="B820" t="s">
        <v>4633</v>
      </c>
      <c r="C820" s="90" t="s">
        <v>4632</v>
      </c>
      <c r="E820" t="s">
        <v>5562</v>
      </c>
      <c r="F820" s="91" t="s">
        <v>4632</v>
      </c>
      <c r="H820" t="str">
        <f t="shared" si="61"/>
        <v>unknown</v>
      </c>
      <c r="K820" t="str">
        <f t="shared" si="62"/>
        <v>scale</v>
      </c>
    </row>
    <row r="821" spans="1:11" ht="72" x14ac:dyDescent="0.3">
      <c r="A821" t="s">
        <v>4625</v>
      </c>
      <c r="B821" t="s">
        <v>4634</v>
      </c>
      <c r="C821" s="90" t="s">
        <v>4632</v>
      </c>
      <c r="E821" t="s">
        <v>5562</v>
      </c>
      <c r="F821" s="91" t="s">
        <v>4632</v>
      </c>
      <c r="H821" t="str">
        <f t="shared" si="61"/>
        <v>unknown</v>
      </c>
      <c r="K821" t="str">
        <f t="shared" si="62"/>
        <v>scale</v>
      </c>
    </row>
    <row r="822" spans="1:11" ht="57.6" x14ac:dyDescent="0.3">
      <c r="A822" t="s">
        <v>4625</v>
      </c>
      <c r="B822" t="s">
        <v>4635</v>
      </c>
      <c r="C822" s="90" t="s">
        <v>4636</v>
      </c>
      <c r="E822" t="s">
        <v>5562</v>
      </c>
      <c r="F822" s="91" t="s">
        <v>4636</v>
      </c>
      <c r="H822" t="str">
        <f t="shared" si="61"/>
        <v>unknown</v>
      </c>
      <c r="K822" t="str">
        <f t="shared" si="62"/>
        <v>scale</v>
      </c>
    </row>
    <row r="823" spans="1:11" ht="259.2" x14ac:dyDescent="0.3">
      <c r="A823" t="s">
        <v>4625</v>
      </c>
      <c r="B823" t="s">
        <v>4637</v>
      </c>
      <c r="C823" s="90" t="s">
        <v>4638</v>
      </c>
      <c r="E823" t="s">
        <v>5562</v>
      </c>
      <c r="F823" s="91" t="s">
        <v>4638</v>
      </c>
      <c r="H823" t="str">
        <f t="shared" si="61"/>
        <v>unknown</v>
      </c>
      <c r="K823" t="str">
        <f t="shared" si="62"/>
        <v>scale</v>
      </c>
    </row>
    <row r="824" spans="1:11" ht="201.6" x14ac:dyDescent="0.3">
      <c r="A824" t="s">
        <v>4625</v>
      </c>
      <c r="B824" t="s">
        <v>4068</v>
      </c>
      <c r="C824" s="90" t="s">
        <v>4639</v>
      </c>
      <c r="E824" t="s">
        <v>5562</v>
      </c>
      <c r="F824" s="91" t="s">
        <v>4639</v>
      </c>
      <c r="H824" t="str">
        <f t="shared" si="61"/>
        <v>unknown</v>
      </c>
      <c r="K824" t="str">
        <f t="shared" si="62"/>
        <v>scale</v>
      </c>
    </row>
    <row r="825" spans="1:11" ht="244.8" x14ac:dyDescent="0.3">
      <c r="A825" t="s">
        <v>4625</v>
      </c>
      <c r="B825" t="s">
        <v>4640</v>
      </c>
      <c r="C825" s="90" t="s">
        <v>4641</v>
      </c>
      <c r="E825" t="s">
        <v>5562</v>
      </c>
      <c r="F825" s="91" t="s">
        <v>4641</v>
      </c>
      <c r="H825" t="str">
        <f t="shared" si="61"/>
        <v>unknown</v>
      </c>
      <c r="K825" t="str">
        <f t="shared" si="62"/>
        <v>scale</v>
      </c>
    </row>
    <row r="826" spans="1:11" ht="86.4" x14ac:dyDescent="0.3">
      <c r="A826" t="s">
        <v>4625</v>
      </c>
      <c r="B826" t="s">
        <v>4642</v>
      </c>
      <c r="C826" s="90" t="s">
        <v>4643</v>
      </c>
      <c r="E826" t="s">
        <v>5562</v>
      </c>
      <c r="F826" s="91" t="s">
        <v>4643</v>
      </c>
      <c r="H826" t="str">
        <f t="shared" si="61"/>
        <v>unknown</v>
      </c>
      <c r="K826" t="str">
        <f t="shared" si="62"/>
        <v>scale</v>
      </c>
    </row>
    <row r="827" spans="1:11" ht="72" x14ac:dyDescent="0.3">
      <c r="A827" t="s">
        <v>4625</v>
      </c>
      <c r="B827" t="s">
        <v>4644</v>
      </c>
      <c r="C827" s="90" t="s">
        <v>4645</v>
      </c>
      <c r="E827" t="s">
        <v>5562</v>
      </c>
      <c r="F827" s="91" t="s">
        <v>4645</v>
      </c>
      <c r="H827" t="str">
        <f t="shared" si="61"/>
        <v>unknown</v>
      </c>
      <c r="K827" t="str">
        <f t="shared" si="62"/>
        <v>scale</v>
      </c>
    </row>
    <row r="828" spans="1:11" ht="57.6" x14ac:dyDescent="0.3">
      <c r="A828" t="s">
        <v>4625</v>
      </c>
      <c r="B828" t="s">
        <v>4646</v>
      </c>
      <c r="C828" s="90" t="s">
        <v>4647</v>
      </c>
      <c r="E828" t="s">
        <v>5562</v>
      </c>
      <c r="F828" s="91" t="s">
        <v>4647</v>
      </c>
      <c r="H828" t="str">
        <f t="shared" si="61"/>
        <v>unknown</v>
      </c>
      <c r="K828" t="str">
        <f t="shared" si="62"/>
        <v>scale</v>
      </c>
    </row>
    <row r="829" spans="1:11" ht="331.2" x14ac:dyDescent="0.3">
      <c r="A829" t="s">
        <v>4625</v>
      </c>
      <c r="B829" t="s">
        <v>4648</v>
      </c>
      <c r="C829" s="90" t="s">
        <v>4649</v>
      </c>
      <c r="E829" t="s">
        <v>5562</v>
      </c>
      <c r="F829" s="91" t="s">
        <v>4649</v>
      </c>
      <c r="H829" t="str">
        <f t="shared" si="61"/>
        <v>unknown</v>
      </c>
      <c r="K829" t="str">
        <f t="shared" si="62"/>
        <v>scale</v>
      </c>
    </row>
    <row r="830" spans="1:11" ht="230.4" x14ac:dyDescent="0.3">
      <c r="A830" t="s">
        <v>4625</v>
      </c>
      <c r="B830" t="s">
        <v>4650</v>
      </c>
      <c r="C830" s="90" t="s">
        <v>4651</v>
      </c>
      <c r="E830" t="s">
        <v>5562</v>
      </c>
      <c r="F830" s="91" t="s">
        <v>4651</v>
      </c>
      <c r="H830" t="str">
        <f t="shared" si="61"/>
        <v>unknown</v>
      </c>
      <c r="K830" t="str">
        <f t="shared" si="62"/>
        <v>scale</v>
      </c>
    </row>
    <row r="831" spans="1:11" ht="187.2" x14ac:dyDescent="0.3">
      <c r="A831" t="s">
        <v>4625</v>
      </c>
      <c r="B831" t="s">
        <v>4652</v>
      </c>
      <c r="C831" s="90" t="s">
        <v>4653</v>
      </c>
      <c r="E831" t="s">
        <v>5562</v>
      </c>
      <c r="F831" s="91" t="s">
        <v>4653</v>
      </c>
      <c r="H831" t="str">
        <f t="shared" si="61"/>
        <v>unknown</v>
      </c>
      <c r="K831" t="str">
        <f t="shared" si="62"/>
        <v>scale</v>
      </c>
    </row>
    <row r="832" spans="1:11" ht="129.6" x14ac:dyDescent="0.3">
      <c r="A832" t="s">
        <v>4625</v>
      </c>
      <c r="B832" t="s">
        <v>3938</v>
      </c>
      <c r="C832" s="90" t="s">
        <v>4654</v>
      </c>
      <c r="E832" t="s">
        <v>5562</v>
      </c>
      <c r="F832" s="91" t="s">
        <v>4654</v>
      </c>
      <c r="H832" t="str">
        <f t="shared" si="61"/>
        <v>unknown</v>
      </c>
      <c r="K832" t="str">
        <f t="shared" si="62"/>
        <v>scale</v>
      </c>
    </row>
    <row r="833" spans="1:11" ht="129.6" x14ac:dyDescent="0.3">
      <c r="A833" t="s">
        <v>4625</v>
      </c>
      <c r="B833" t="s">
        <v>4655</v>
      </c>
      <c r="C833" s="90" t="s">
        <v>4656</v>
      </c>
      <c r="E833" t="s">
        <v>5562</v>
      </c>
      <c r="F833" s="91" t="s">
        <v>4656</v>
      </c>
      <c r="H833" t="str">
        <f t="shared" si="61"/>
        <v>unknown</v>
      </c>
      <c r="K833" t="str">
        <f t="shared" si="62"/>
        <v>scale</v>
      </c>
    </row>
    <row r="834" spans="1:11" ht="216" x14ac:dyDescent="0.3">
      <c r="A834" t="s">
        <v>4625</v>
      </c>
      <c r="B834" t="s">
        <v>4657</v>
      </c>
      <c r="C834" s="90" t="s">
        <v>4658</v>
      </c>
      <c r="E834" t="s">
        <v>5562</v>
      </c>
      <c r="F834" s="91" t="s">
        <v>4658</v>
      </c>
      <c r="H834" t="str">
        <f t="shared" ref="H834:H897" si="63">IF(EXACT(F834,$W$1), "open", IF(EXACT(F834,$X$1), "open", "unknown"))</f>
        <v>unknown</v>
      </c>
      <c r="K834" t="str">
        <f t="shared" ref="K834:K897" si="64">IF(AND(E834&lt;&gt;"", E834&lt;&gt;"unknown"), E834,
   IF(AND(G834&lt;&gt;"", G834&lt;&gt;"unknown"), G834,
   IF(AND(H834&lt;&gt;"", H834&lt;&gt;"unknown"), H834,
   IF(I834&lt;&gt;"", I834, "ERROR"))))</f>
        <v>scale</v>
      </c>
    </row>
    <row r="835" spans="1:11" ht="409.6" x14ac:dyDescent="0.3">
      <c r="A835" t="s">
        <v>4625</v>
      </c>
      <c r="B835" t="s">
        <v>4659</v>
      </c>
      <c r="C835" s="90" t="s">
        <v>4660</v>
      </c>
      <c r="E835" t="s">
        <v>5562</v>
      </c>
      <c r="F835" s="91" t="s">
        <v>4660</v>
      </c>
      <c r="H835" t="str">
        <f t="shared" si="63"/>
        <v>unknown</v>
      </c>
      <c r="K835" t="str">
        <f t="shared" si="64"/>
        <v>scale</v>
      </c>
    </row>
    <row r="836" spans="1:11" ht="409.6" x14ac:dyDescent="0.3">
      <c r="A836" t="s">
        <v>4625</v>
      </c>
      <c r="B836" t="s">
        <v>4661</v>
      </c>
      <c r="C836" s="90" t="s">
        <v>4662</v>
      </c>
      <c r="E836" t="s">
        <v>5562</v>
      </c>
      <c r="F836" s="91" t="s">
        <v>4662</v>
      </c>
      <c r="H836" t="str">
        <f t="shared" si="63"/>
        <v>unknown</v>
      </c>
      <c r="K836" t="str">
        <f t="shared" si="64"/>
        <v>scale</v>
      </c>
    </row>
    <row r="837" spans="1:11" ht="374.4" x14ac:dyDescent="0.3">
      <c r="A837" t="s">
        <v>4625</v>
      </c>
      <c r="B837" t="s">
        <v>4663</v>
      </c>
      <c r="C837" s="90" t="s">
        <v>4664</v>
      </c>
      <c r="E837" t="s">
        <v>5562</v>
      </c>
      <c r="F837" s="91" t="s">
        <v>4664</v>
      </c>
      <c r="H837" t="str">
        <f t="shared" si="63"/>
        <v>unknown</v>
      </c>
      <c r="K837" t="str">
        <f t="shared" si="64"/>
        <v>scale</v>
      </c>
    </row>
    <row r="838" spans="1:11" ht="129.6" x14ac:dyDescent="0.3">
      <c r="A838" t="s">
        <v>4625</v>
      </c>
      <c r="B838" t="s">
        <v>4665</v>
      </c>
      <c r="C838" s="90" t="s">
        <v>4666</v>
      </c>
      <c r="E838" t="s">
        <v>5562</v>
      </c>
      <c r="F838" s="91" t="s">
        <v>4666</v>
      </c>
      <c r="H838" t="str">
        <f t="shared" si="63"/>
        <v>unknown</v>
      </c>
      <c r="K838" t="str">
        <f t="shared" si="64"/>
        <v>scale</v>
      </c>
    </row>
    <row r="839" spans="1:11" ht="172.8" x14ac:dyDescent="0.3">
      <c r="A839" t="s">
        <v>4625</v>
      </c>
      <c r="B839" t="s">
        <v>4667</v>
      </c>
      <c r="C839" s="90" t="s">
        <v>4668</v>
      </c>
      <c r="E839" t="s">
        <v>5562</v>
      </c>
      <c r="F839" s="91" t="s">
        <v>4668</v>
      </c>
      <c r="H839" t="str">
        <f t="shared" si="63"/>
        <v>unknown</v>
      </c>
      <c r="K839" t="str">
        <f t="shared" si="64"/>
        <v>scale</v>
      </c>
    </row>
    <row r="840" spans="1:11" ht="409.6" x14ac:dyDescent="0.3">
      <c r="A840" t="s">
        <v>4625</v>
      </c>
      <c r="B840" t="s">
        <v>4669</v>
      </c>
      <c r="C840" s="90" t="s">
        <v>4660</v>
      </c>
      <c r="E840" t="s">
        <v>5562</v>
      </c>
      <c r="F840" s="91" t="s">
        <v>4660</v>
      </c>
      <c r="H840" t="str">
        <f t="shared" si="63"/>
        <v>unknown</v>
      </c>
      <c r="K840" t="str">
        <f t="shared" si="64"/>
        <v>scale</v>
      </c>
    </row>
    <row r="841" spans="1:11" ht="374.4" x14ac:dyDescent="0.3">
      <c r="A841" t="s">
        <v>4625</v>
      </c>
      <c r="B841" t="s">
        <v>4670</v>
      </c>
      <c r="C841" s="90" t="s">
        <v>4664</v>
      </c>
      <c r="E841" t="s">
        <v>5562</v>
      </c>
      <c r="F841" s="91" t="s">
        <v>4664</v>
      </c>
      <c r="H841" t="str">
        <f t="shared" si="63"/>
        <v>unknown</v>
      </c>
      <c r="K841" t="str">
        <f t="shared" si="64"/>
        <v>scale</v>
      </c>
    </row>
    <row r="842" spans="1:11" ht="187.2" x14ac:dyDescent="0.3">
      <c r="A842" t="s">
        <v>4625</v>
      </c>
      <c r="B842" t="s">
        <v>4671</v>
      </c>
      <c r="C842" s="90" t="s">
        <v>4672</v>
      </c>
      <c r="E842" t="s">
        <v>5562</v>
      </c>
      <c r="F842" s="91" t="s">
        <v>4672</v>
      </c>
      <c r="H842" t="str">
        <f t="shared" si="63"/>
        <v>unknown</v>
      </c>
      <c r="K842" t="str">
        <f t="shared" si="64"/>
        <v>scale</v>
      </c>
    </row>
    <row r="843" spans="1:11" ht="144" x14ac:dyDescent="0.3">
      <c r="A843" t="s">
        <v>4625</v>
      </c>
      <c r="B843" t="s">
        <v>4673</v>
      </c>
      <c r="C843" s="90" t="s">
        <v>4389</v>
      </c>
      <c r="E843" t="s">
        <v>5562</v>
      </c>
      <c r="F843" s="91" t="s">
        <v>4389</v>
      </c>
      <c r="H843" t="str">
        <f t="shared" si="63"/>
        <v>unknown</v>
      </c>
      <c r="K843" t="str">
        <f t="shared" si="64"/>
        <v>scale</v>
      </c>
    </row>
    <row r="844" spans="1:11" ht="345.6" x14ac:dyDescent="0.3">
      <c r="A844" t="s">
        <v>4625</v>
      </c>
      <c r="B844" t="s">
        <v>4674</v>
      </c>
      <c r="C844" s="90" t="s">
        <v>4675</v>
      </c>
      <c r="E844" t="s">
        <v>5562</v>
      </c>
      <c r="F844" s="91" t="s">
        <v>4675</v>
      </c>
      <c r="H844" t="str">
        <f t="shared" si="63"/>
        <v>unknown</v>
      </c>
      <c r="K844" t="str">
        <f t="shared" si="64"/>
        <v>scale</v>
      </c>
    </row>
    <row r="845" spans="1:11" ht="409.6" x14ac:dyDescent="0.3">
      <c r="A845" t="s">
        <v>4625</v>
      </c>
      <c r="B845" t="s">
        <v>4676</v>
      </c>
      <c r="C845" s="90" t="s">
        <v>4677</v>
      </c>
      <c r="E845" t="s">
        <v>5562</v>
      </c>
      <c r="F845" s="91" t="s">
        <v>4677</v>
      </c>
      <c r="H845" t="str">
        <f t="shared" si="63"/>
        <v>unknown</v>
      </c>
      <c r="K845" t="str">
        <f t="shared" si="64"/>
        <v>scale</v>
      </c>
    </row>
    <row r="846" spans="1:11" ht="409.6" x14ac:dyDescent="0.3">
      <c r="A846" t="s">
        <v>4625</v>
      </c>
      <c r="B846" t="s">
        <v>4678</v>
      </c>
      <c r="C846" s="90" t="s">
        <v>4679</v>
      </c>
      <c r="E846" t="s">
        <v>5562</v>
      </c>
      <c r="F846" s="91" t="s">
        <v>4679</v>
      </c>
      <c r="H846" t="str">
        <f t="shared" si="63"/>
        <v>unknown</v>
      </c>
      <c r="K846" t="str">
        <f t="shared" si="64"/>
        <v>scale</v>
      </c>
    </row>
    <row r="847" spans="1:11" ht="409.6" x14ac:dyDescent="0.3">
      <c r="A847" t="s">
        <v>4625</v>
      </c>
      <c r="B847" t="s">
        <v>4680</v>
      </c>
      <c r="C847" s="90" t="s">
        <v>4681</v>
      </c>
      <c r="E847" t="s">
        <v>5562</v>
      </c>
      <c r="F847" s="91" t="s">
        <v>4681</v>
      </c>
      <c r="H847" t="str">
        <f t="shared" si="63"/>
        <v>unknown</v>
      </c>
      <c r="K847" t="str">
        <f t="shared" si="64"/>
        <v>scale</v>
      </c>
    </row>
    <row r="848" spans="1:11" ht="230.4" x14ac:dyDescent="0.3">
      <c r="A848" t="s">
        <v>4625</v>
      </c>
      <c r="B848" t="s">
        <v>4682</v>
      </c>
      <c r="C848" s="90" t="s">
        <v>4683</v>
      </c>
      <c r="E848" t="s">
        <v>5562</v>
      </c>
      <c r="F848" s="91" t="s">
        <v>4683</v>
      </c>
      <c r="H848" t="str">
        <f t="shared" si="63"/>
        <v>unknown</v>
      </c>
      <c r="K848" t="str">
        <f t="shared" si="64"/>
        <v>scale</v>
      </c>
    </row>
    <row r="849" spans="1:11" ht="244.8" x14ac:dyDescent="0.3">
      <c r="A849" t="s">
        <v>4625</v>
      </c>
      <c r="B849" t="s">
        <v>4684</v>
      </c>
      <c r="C849" s="90" t="s">
        <v>4685</v>
      </c>
      <c r="E849" t="s">
        <v>5562</v>
      </c>
      <c r="F849" s="91" t="s">
        <v>4685</v>
      </c>
      <c r="H849" t="str">
        <f t="shared" si="63"/>
        <v>unknown</v>
      </c>
      <c r="K849" t="str">
        <f t="shared" si="64"/>
        <v>scale</v>
      </c>
    </row>
    <row r="850" spans="1:11" ht="302.39999999999998" x14ac:dyDescent="0.3">
      <c r="A850" t="s">
        <v>4625</v>
      </c>
      <c r="B850" t="s">
        <v>3504</v>
      </c>
      <c r="C850" s="90" t="s">
        <v>4686</v>
      </c>
      <c r="E850" t="s">
        <v>5562</v>
      </c>
      <c r="F850" s="91" t="s">
        <v>4686</v>
      </c>
      <c r="H850" t="str">
        <f t="shared" si="63"/>
        <v>unknown</v>
      </c>
      <c r="K850" t="str">
        <f t="shared" si="64"/>
        <v>scale</v>
      </c>
    </row>
    <row r="851" spans="1:11" ht="259.2" x14ac:dyDescent="0.3">
      <c r="A851" t="s">
        <v>4625</v>
      </c>
      <c r="B851" t="s">
        <v>4687</v>
      </c>
      <c r="C851" s="90" t="s">
        <v>4688</v>
      </c>
      <c r="E851" t="s">
        <v>5562</v>
      </c>
      <c r="F851" s="91" t="s">
        <v>4688</v>
      </c>
      <c r="H851" t="str">
        <f t="shared" si="63"/>
        <v>unknown</v>
      </c>
      <c r="K851" t="str">
        <f t="shared" si="64"/>
        <v>scale</v>
      </c>
    </row>
    <row r="852" spans="1:11" ht="28.8" x14ac:dyDescent="0.3">
      <c r="A852" t="s">
        <v>4625</v>
      </c>
      <c r="B852" t="s">
        <v>4689</v>
      </c>
      <c r="C852" s="90" t="s">
        <v>3348</v>
      </c>
      <c r="D852" t="s">
        <v>5561</v>
      </c>
      <c r="E852" t="s">
        <v>5560</v>
      </c>
      <c r="F852" s="92" t="s">
        <v>5566</v>
      </c>
      <c r="G852" t="str">
        <f>IF(EXACT($F852, $Q$1), "sector", "unknown")</f>
        <v>unknown</v>
      </c>
      <c r="H852" t="str">
        <f t="shared" si="63"/>
        <v>open</v>
      </c>
      <c r="K852" t="str">
        <f t="shared" si="64"/>
        <v>open</v>
      </c>
    </row>
    <row r="853" spans="1:11" ht="115.2" x14ac:dyDescent="0.3">
      <c r="A853" t="s">
        <v>4625</v>
      </c>
      <c r="B853" t="s">
        <v>4690</v>
      </c>
      <c r="C853" s="90" t="s">
        <v>4691</v>
      </c>
      <c r="E853" t="s">
        <v>5562</v>
      </c>
      <c r="F853" s="91" t="s">
        <v>4691</v>
      </c>
      <c r="H853" t="str">
        <f t="shared" si="63"/>
        <v>unknown</v>
      </c>
      <c r="K853" t="str">
        <f t="shared" si="64"/>
        <v>scale</v>
      </c>
    </row>
    <row r="854" spans="1:11" ht="115.2" x14ac:dyDescent="0.3">
      <c r="A854" t="s">
        <v>4625</v>
      </c>
      <c r="B854" t="s">
        <v>4692</v>
      </c>
      <c r="C854" s="90" t="s">
        <v>4693</v>
      </c>
      <c r="E854" t="s">
        <v>5562</v>
      </c>
      <c r="F854" s="91" t="s">
        <v>4693</v>
      </c>
      <c r="H854" t="str">
        <f t="shared" si="63"/>
        <v>unknown</v>
      </c>
      <c r="K854" t="str">
        <f t="shared" si="64"/>
        <v>scale</v>
      </c>
    </row>
    <row r="855" spans="1:11" ht="172.8" x14ac:dyDescent="0.3">
      <c r="A855" t="s">
        <v>4625</v>
      </c>
      <c r="B855" t="s">
        <v>4694</v>
      </c>
      <c r="C855" s="90" t="s">
        <v>4695</v>
      </c>
      <c r="E855" t="s">
        <v>5562</v>
      </c>
      <c r="F855" s="91" t="s">
        <v>4695</v>
      </c>
      <c r="H855" t="str">
        <f t="shared" si="63"/>
        <v>unknown</v>
      </c>
      <c r="K855" t="str">
        <f t="shared" si="64"/>
        <v>scale</v>
      </c>
    </row>
    <row r="856" spans="1:11" ht="129.6" x14ac:dyDescent="0.3">
      <c r="A856" t="s">
        <v>4625</v>
      </c>
      <c r="B856" t="s">
        <v>4696</v>
      </c>
      <c r="C856" s="90" t="s">
        <v>4697</v>
      </c>
      <c r="E856" t="s">
        <v>5562</v>
      </c>
      <c r="F856" s="91" t="s">
        <v>4697</v>
      </c>
      <c r="H856" t="str">
        <f t="shared" si="63"/>
        <v>unknown</v>
      </c>
      <c r="K856" t="str">
        <f t="shared" si="64"/>
        <v>scale</v>
      </c>
    </row>
    <row r="857" spans="1:11" ht="230.4" x14ac:dyDescent="0.3">
      <c r="A857" t="s">
        <v>4625</v>
      </c>
      <c r="B857" t="s">
        <v>4698</v>
      </c>
      <c r="C857" s="90" t="s">
        <v>4699</v>
      </c>
      <c r="E857" t="s">
        <v>5562</v>
      </c>
      <c r="F857" s="91" t="s">
        <v>4699</v>
      </c>
      <c r="H857" t="str">
        <f t="shared" si="63"/>
        <v>unknown</v>
      </c>
      <c r="K857" t="str">
        <f t="shared" si="64"/>
        <v>scale</v>
      </c>
    </row>
    <row r="858" spans="1:11" ht="129.6" x14ac:dyDescent="0.3">
      <c r="A858" t="s">
        <v>4625</v>
      </c>
      <c r="B858" t="s">
        <v>4700</v>
      </c>
      <c r="C858" s="90" t="s">
        <v>4701</v>
      </c>
      <c r="E858" t="s">
        <v>5562</v>
      </c>
      <c r="F858" s="91" t="s">
        <v>4701</v>
      </c>
      <c r="H858" t="str">
        <f t="shared" si="63"/>
        <v>unknown</v>
      </c>
      <c r="K858" t="str">
        <f t="shared" si="64"/>
        <v>scale</v>
      </c>
    </row>
    <row r="859" spans="1:11" ht="57.6" x14ac:dyDescent="0.3">
      <c r="A859" t="s">
        <v>4625</v>
      </c>
      <c r="B859" t="s">
        <v>4702</v>
      </c>
      <c r="C859" s="90" t="s">
        <v>4703</v>
      </c>
      <c r="E859" t="s">
        <v>5562</v>
      </c>
      <c r="F859" s="91" t="s">
        <v>4703</v>
      </c>
      <c r="H859" t="str">
        <f t="shared" si="63"/>
        <v>unknown</v>
      </c>
      <c r="K859" t="str">
        <f t="shared" si="64"/>
        <v>scale</v>
      </c>
    </row>
    <row r="860" spans="1:11" ht="43.2" x14ac:dyDescent="0.3">
      <c r="A860" t="s">
        <v>4625</v>
      </c>
      <c r="B860" t="s">
        <v>4704</v>
      </c>
      <c r="C860" s="90" t="s">
        <v>4705</v>
      </c>
      <c r="E860" t="s">
        <v>5562</v>
      </c>
      <c r="F860" s="91" t="s">
        <v>4705</v>
      </c>
      <c r="H860" t="str">
        <f t="shared" si="63"/>
        <v>unknown</v>
      </c>
      <c r="K860" t="str">
        <f t="shared" si="64"/>
        <v>scale</v>
      </c>
    </row>
    <row r="861" spans="1:11" ht="316.8" x14ac:dyDescent="0.3">
      <c r="A861" t="s">
        <v>4625</v>
      </c>
      <c r="B861" t="s">
        <v>4706</v>
      </c>
      <c r="C861" s="90" t="s">
        <v>4707</v>
      </c>
      <c r="E861" t="s">
        <v>5562</v>
      </c>
      <c r="F861" s="91" t="s">
        <v>4707</v>
      </c>
      <c r="H861" t="str">
        <f t="shared" si="63"/>
        <v>unknown</v>
      </c>
      <c r="K861" t="str">
        <f t="shared" si="64"/>
        <v>scale</v>
      </c>
    </row>
    <row r="862" spans="1:11" ht="144" x14ac:dyDescent="0.3">
      <c r="A862" t="s">
        <v>4625</v>
      </c>
      <c r="B862" t="s">
        <v>4708</v>
      </c>
      <c r="C862" s="90" t="s">
        <v>4709</v>
      </c>
      <c r="E862" t="s">
        <v>5562</v>
      </c>
      <c r="F862" s="91" t="s">
        <v>4709</v>
      </c>
      <c r="H862" t="str">
        <f t="shared" si="63"/>
        <v>unknown</v>
      </c>
      <c r="K862" t="str">
        <f t="shared" si="64"/>
        <v>scale</v>
      </c>
    </row>
    <row r="863" spans="1:11" ht="244.8" x14ac:dyDescent="0.3">
      <c r="A863" t="s">
        <v>4625</v>
      </c>
      <c r="B863" t="s">
        <v>4710</v>
      </c>
      <c r="C863" s="90" t="s">
        <v>4711</v>
      </c>
      <c r="E863" t="s">
        <v>5562</v>
      </c>
      <c r="F863" s="91" t="s">
        <v>4711</v>
      </c>
      <c r="H863" t="str">
        <f t="shared" si="63"/>
        <v>unknown</v>
      </c>
      <c r="K863" t="str">
        <f t="shared" si="64"/>
        <v>scale</v>
      </c>
    </row>
    <row r="864" spans="1:11" ht="409.6" x14ac:dyDescent="0.3">
      <c r="A864" t="s">
        <v>4712</v>
      </c>
      <c r="B864" t="s">
        <v>4713</v>
      </c>
      <c r="C864" s="90" t="s">
        <v>4714</v>
      </c>
      <c r="E864" t="s">
        <v>5562</v>
      </c>
      <c r="F864" s="91" t="s">
        <v>4714</v>
      </c>
      <c r="H864" t="str">
        <f t="shared" si="63"/>
        <v>unknown</v>
      </c>
      <c r="K864" t="str">
        <f t="shared" si="64"/>
        <v>scale</v>
      </c>
    </row>
    <row r="865" spans="1:11" ht="409.6" x14ac:dyDescent="0.3">
      <c r="A865" t="s">
        <v>4712</v>
      </c>
      <c r="B865" t="s">
        <v>3562</v>
      </c>
      <c r="C865" s="90" t="s">
        <v>4715</v>
      </c>
      <c r="E865" t="s">
        <v>5562</v>
      </c>
      <c r="F865" s="91" t="s">
        <v>4715</v>
      </c>
      <c r="H865" t="str">
        <f t="shared" si="63"/>
        <v>unknown</v>
      </c>
      <c r="K865" t="str">
        <f t="shared" si="64"/>
        <v>scale</v>
      </c>
    </row>
    <row r="866" spans="1:11" ht="273.60000000000002" x14ac:dyDescent="0.3">
      <c r="A866" t="s">
        <v>4712</v>
      </c>
      <c r="B866" t="s">
        <v>4716</v>
      </c>
      <c r="C866" s="90" t="s">
        <v>4717</v>
      </c>
      <c r="E866" t="s">
        <v>5562</v>
      </c>
      <c r="F866" s="91" t="s">
        <v>4717</v>
      </c>
      <c r="H866" t="str">
        <f t="shared" si="63"/>
        <v>unknown</v>
      </c>
      <c r="K866" t="str">
        <f t="shared" si="64"/>
        <v>scale</v>
      </c>
    </row>
    <row r="867" spans="1:11" ht="316.8" x14ac:dyDescent="0.3">
      <c r="A867" t="s">
        <v>4712</v>
      </c>
      <c r="B867" t="s">
        <v>3849</v>
      </c>
      <c r="C867" s="90" t="s">
        <v>4718</v>
      </c>
      <c r="E867" t="s">
        <v>5562</v>
      </c>
      <c r="F867" s="91" t="s">
        <v>4718</v>
      </c>
      <c r="H867" t="str">
        <f t="shared" si="63"/>
        <v>unknown</v>
      </c>
      <c r="K867" t="str">
        <f t="shared" si="64"/>
        <v>scale</v>
      </c>
    </row>
    <row r="868" spans="1:11" ht="288" x14ac:dyDescent="0.3">
      <c r="A868" t="s">
        <v>4712</v>
      </c>
      <c r="B868" t="s">
        <v>3946</v>
      </c>
      <c r="C868" s="90" t="s">
        <v>4719</v>
      </c>
      <c r="E868" t="s">
        <v>5562</v>
      </c>
      <c r="F868" s="91" t="s">
        <v>4719</v>
      </c>
      <c r="H868" t="str">
        <f t="shared" si="63"/>
        <v>unknown</v>
      </c>
      <c r="K868" t="str">
        <f t="shared" si="64"/>
        <v>scale</v>
      </c>
    </row>
    <row r="869" spans="1:11" ht="187.2" x14ac:dyDescent="0.3">
      <c r="A869" t="s">
        <v>4712</v>
      </c>
      <c r="B869" t="s">
        <v>4059</v>
      </c>
      <c r="C869" s="90" t="s">
        <v>4720</v>
      </c>
      <c r="E869" t="s">
        <v>5562</v>
      </c>
      <c r="F869" s="91" t="s">
        <v>4720</v>
      </c>
      <c r="H869" t="str">
        <f t="shared" si="63"/>
        <v>unknown</v>
      </c>
      <c r="K869" t="str">
        <f t="shared" si="64"/>
        <v>scale</v>
      </c>
    </row>
    <row r="870" spans="1:11" ht="172.8" x14ac:dyDescent="0.3">
      <c r="A870" t="s">
        <v>4712</v>
      </c>
      <c r="B870" t="s">
        <v>3566</v>
      </c>
      <c r="C870" s="90" t="s">
        <v>4721</v>
      </c>
      <c r="E870" t="s">
        <v>5562</v>
      </c>
      <c r="F870" s="91" t="s">
        <v>4721</v>
      </c>
      <c r="H870" t="str">
        <f t="shared" si="63"/>
        <v>unknown</v>
      </c>
      <c r="K870" t="str">
        <f t="shared" si="64"/>
        <v>scale</v>
      </c>
    </row>
    <row r="871" spans="1:11" ht="115.2" x14ac:dyDescent="0.3">
      <c r="A871" t="s">
        <v>4712</v>
      </c>
      <c r="B871" t="s">
        <v>3568</v>
      </c>
      <c r="C871" s="90" t="s">
        <v>4722</v>
      </c>
      <c r="E871" t="s">
        <v>5562</v>
      </c>
      <c r="F871" s="91" t="s">
        <v>4722</v>
      </c>
      <c r="H871" t="str">
        <f t="shared" si="63"/>
        <v>unknown</v>
      </c>
      <c r="K871" t="str">
        <f t="shared" si="64"/>
        <v>scale</v>
      </c>
    </row>
    <row r="872" spans="1:11" ht="72" x14ac:dyDescent="0.3">
      <c r="A872" t="s">
        <v>4712</v>
      </c>
      <c r="B872" t="s">
        <v>3571</v>
      </c>
      <c r="C872" s="90" t="s">
        <v>4723</v>
      </c>
      <c r="E872" t="s">
        <v>5562</v>
      </c>
      <c r="F872" s="91" t="s">
        <v>4723</v>
      </c>
      <c r="H872" t="str">
        <f t="shared" si="63"/>
        <v>unknown</v>
      </c>
      <c r="K872" t="str">
        <f t="shared" si="64"/>
        <v>scale</v>
      </c>
    </row>
    <row r="873" spans="1:11" ht="72" x14ac:dyDescent="0.3">
      <c r="A873" t="s">
        <v>4712</v>
      </c>
      <c r="B873" t="s">
        <v>4724</v>
      </c>
      <c r="C873" s="90" t="s">
        <v>4725</v>
      </c>
      <c r="E873" t="s">
        <v>5562</v>
      </c>
      <c r="F873" s="91" t="s">
        <v>4725</v>
      </c>
      <c r="H873" t="str">
        <f t="shared" si="63"/>
        <v>unknown</v>
      </c>
      <c r="K873" t="str">
        <f t="shared" si="64"/>
        <v>scale</v>
      </c>
    </row>
    <row r="874" spans="1:11" ht="72" x14ac:dyDescent="0.3">
      <c r="A874" t="s">
        <v>4712</v>
      </c>
      <c r="B874" t="s">
        <v>4726</v>
      </c>
      <c r="C874" s="90" t="s">
        <v>4727</v>
      </c>
      <c r="E874" t="s">
        <v>5562</v>
      </c>
      <c r="F874" s="91" t="s">
        <v>4727</v>
      </c>
      <c r="H874" t="str">
        <f t="shared" si="63"/>
        <v>unknown</v>
      </c>
      <c r="K874" t="str">
        <f t="shared" si="64"/>
        <v>scale</v>
      </c>
    </row>
    <row r="875" spans="1:11" ht="43.2" x14ac:dyDescent="0.3">
      <c r="A875" t="s">
        <v>4712</v>
      </c>
      <c r="B875" t="s">
        <v>3876</v>
      </c>
      <c r="C875" s="90" t="s">
        <v>4728</v>
      </c>
      <c r="D875" t="s">
        <v>5561</v>
      </c>
      <c r="E875" t="s">
        <v>5560</v>
      </c>
      <c r="F875" s="92" t="s">
        <v>5641</v>
      </c>
      <c r="G875" t="str">
        <f>IF(EXACT($F875, $Q$1), "sector", "unknown")</f>
        <v>unknown</v>
      </c>
      <c r="H875" t="str">
        <f t="shared" si="63"/>
        <v>unknown</v>
      </c>
      <c r="I875" t="s">
        <v>5660</v>
      </c>
      <c r="K875" t="str">
        <f t="shared" si="64"/>
        <v>rephrase</v>
      </c>
    </row>
    <row r="876" spans="1:11" ht="43.2" x14ac:dyDescent="0.3">
      <c r="A876" t="s">
        <v>4712</v>
      </c>
      <c r="B876" t="s">
        <v>4729</v>
      </c>
      <c r="C876" s="90" t="s">
        <v>4730</v>
      </c>
      <c r="D876" t="s">
        <v>5561</v>
      </c>
      <c r="E876" t="s">
        <v>5560</v>
      </c>
      <c r="F876" s="92" t="s">
        <v>5642</v>
      </c>
      <c r="G876" t="str">
        <f>IF(EXACT($F876, $Q$1), "sector", "unknown")</f>
        <v>unknown</v>
      </c>
      <c r="H876" t="str">
        <f t="shared" si="63"/>
        <v>unknown</v>
      </c>
      <c r="I876" t="s">
        <v>5660</v>
      </c>
      <c r="K876" t="str">
        <f t="shared" si="64"/>
        <v>rephrase</v>
      </c>
    </row>
    <row r="877" spans="1:11" ht="86.4" x14ac:dyDescent="0.3">
      <c r="A877" t="s">
        <v>4712</v>
      </c>
      <c r="B877" t="s">
        <v>4731</v>
      </c>
      <c r="C877" s="90" t="s">
        <v>4732</v>
      </c>
      <c r="E877" t="s">
        <v>5562</v>
      </c>
      <c r="F877" s="91" t="s">
        <v>4732</v>
      </c>
      <c r="H877" t="str">
        <f t="shared" si="63"/>
        <v>unknown</v>
      </c>
      <c r="K877" t="str">
        <f t="shared" si="64"/>
        <v>scale</v>
      </c>
    </row>
    <row r="878" spans="1:11" ht="86.4" x14ac:dyDescent="0.3">
      <c r="A878" t="s">
        <v>4712</v>
      </c>
      <c r="B878" t="s">
        <v>4733</v>
      </c>
      <c r="C878" s="90" t="s">
        <v>4734</v>
      </c>
      <c r="E878" t="s">
        <v>5562</v>
      </c>
      <c r="F878" s="91" t="s">
        <v>4734</v>
      </c>
      <c r="H878" t="str">
        <f t="shared" si="63"/>
        <v>unknown</v>
      </c>
      <c r="K878" t="str">
        <f t="shared" si="64"/>
        <v>scale</v>
      </c>
    </row>
    <row r="879" spans="1:11" ht="144" x14ac:dyDescent="0.3">
      <c r="A879" t="s">
        <v>4712</v>
      </c>
      <c r="B879" t="s">
        <v>3611</v>
      </c>
      <c r="C879" s="90" t="s">
        <v>4735</v>
      </c>
      <c r="D879" t="s">
        <v>5561</v>
      </c>
      <c r="E879" t="s">
        <v>5562</v>
      </c>
      <c r="F879" s="92" t="s">
        <v>5643</v>
      </c>
      <c r="H879" t="str">
        <f t="shared" si="63"/>
        <v>unknown</v>
      </c>
      <c r="K879" t="str">
        <f t="shared" si="64"/>
        <v>scale</v>
      </c>
    </row>
    <row r="880" spans="1:11" ht="115.2" x14ac:dyDescent="0.3">
      <c r="A880" t="s">
        <v>4712</v>
      </c>
      <c r="B880" t="s">
        <v>4736</v>
      </c>
      <c r="C880" s="90" t="s">
        <v>4722</v>
      </c>
      <c r="E880" t="s">
        <v>5562</v>
      </c>
      <c r="F880" s="91" t="s">
        <v>4722</v>
      </c>
      <c r="H880" t="str">
        <f t="shared" si="63"/>
        <v>unknown</v>
      </c>
      <c r="K880" t="str">
        <f t="shared" si="64"/>
        <v>scale</v>
      </c>
    </row>
    <row r="881" spans="1:11" ht="115.2" x14ac:dyDescent="0.3">
      <c r="A881" t="s">
        <v>4712</v>
      </c>
      <c r="B881" t="s">
        <v>3449</v>
      </c>
      <c r="C881" s="90" t="s">
        <v>4737</v>
      </c>
      <c r="E881" t="s">
        <v>5562</v>
      </c>
      <c r="F881" s="91" t="s">
        <v>4737</v>
      </c>
      <c r="H881" t="str">
        <f t="shared" si="63"/>
        <v>unknown</v>
      </c>
      <c r="K881" t="str">
        <f t="shared" si="64"/>
        <v>scale</v>
      </c>
    </row>
    <row r="882" spans="1:11" ht="72" x14ac:dyDescent="0.3">
      <c r="A882" t="s">
        <v>4712</v>
      </c>
      <c r="B882" t="s">
        <v>4738</v>
      </c>
      <c r="C882" s="90" t="s">
        <v>4739</v>
      </c>
      <c r="E882" t="s">
        <v>5562</v>
      </c>
      <c r="F882" s="91" t="s">
        <v>4739</v>
      </c>
      <c r="H882" t="str">
        <f t="shared" si="63"/>
        <v>unknown</v>
      </c>
      <c r="K882" t="str">
        <f t="shared" si="64"/>
        <v>scale</v>
      </c>
    </row>
    <row r="883" spans="1:11" ht="72" x14ac:dyDescent="0.3">
      <c r="A883" t="s">
        <v>4712</v>
      </c>
      <c r="B883" t="s">
        <v>4740</v>
      </c>
      <c r="C883" s="90" t="s">
        <v>4741</v>
      </c>
      <c r="E883" t="s">
        <v>5562</v>
      </c>
      <c r="F883" s="91" t="s">
        <v>4741</v>
      </c>
      <c r="H883" t="str">
        <f t="shared" si="63"/>
        <v>unknown</v>
      </c>
      <c r="K883" t="str">
        <f t="shared" si="64"/>
        <v>scale</v>
      </c>
    </row>
    <row r="884" spans="1:11" ht="72" x14ac:dyDescent="0.3">
      <c r="A884" t="s">
        <v>4712</v>
      </c>
      <c r="B884" t="s">
        <v>4742</v>
      </c>
      <c r="C884" s="90" t="s">
        <v>4741</v>
      </c>
      <c r="E884" t="s">
        <v>5562</v>
      </c>
      <c r="F884" s="91" t="s">
        <v>4741</v>
      </c>
      <c r="H884" t="str">
        <f t="shared" si="63"/>
        <v>unknown</v>
      </c>
      <c r="K884" t="str">
        <f t="shared" si="64"/>
        <v>scale</v>
      </c>
    </row>
    <row r="885" spans="1:11" ht="72" x14ac:dyDescent="0.3">
      <c r="A885" t="s">
        <v>4712</v>
      </c>
      <c r="B885" t="s">
        <v>4743</v>
      </c>
      <c r="C885" s="90" t="s">
        <v>4744</v>
      </c>
      <c r="E885" t="s">
        <v>5562</v>
      </c>
      <c r="F885" s="91" t="s">
        <v>4744</v>
      </c>
      <c r="H885" t="str">
        <f t="shared" si="63"/>
        <v>unknown</v>
      </c>
      <c r="K885" t="str">
        <f t="shared" si="64"/>
        <v>scale</v>
      </c>
    </row>
    <row r="886" spans="1:11" ht="230.4" x14ac:dyDescent="0.3">
      <c r="A886" t="s">
        <v>4712</v>
      </c>
      <c r="B886" t="s">
        <v>4085</v>
      </c>
      <c r="C886" s="90" t="s">
        <v>4745</v>
      </c>
      <c r="E886" t="s">
        <v>5562</v>
      </c>
      <c r="F886" s="91" t="s">
        <v>4745</v>
      </c>
      <c r="H886" t="str">
        <f t="shared" si="63"/>
        <v>unknown</v>
      </c>
      <c r="K886" t="str">
        <f t="shared" si="64"/>
        <v>scale</v>
      </c>
    </row>
    <row r="887" spans="1:11" ht="331.2" x14ac:dyDescent="0.3">
      <c r="A887" t="s">
        <v>4712</v>
      </c>
      <c r="B887" t="s">
        <v>4746</v>
      </c>
      <c r="C887" s="90" t="s">
        <v>4747</v>
      </c>
      <c r="E887" t="s">
        <v>5562</v>
      </c>
      <c r="F887" s="91" t="s">
        <v>4747</v>
      </c>
      <c r="H887" t="str">
        <f t="shared" si="63"/>
        <v>unknown</v>
      </c>
      <c r="K887" t="str">
        <f t="shared" si="64"/>
        <v>scale</v>
      </c>
    </row>
    <row r="888" spans="1:11" ht="129.6" x14ac:dyDescent="0.3">
      <c r="A888" t="s">
        <v>4712</v>
      </c>
      <c r="B888" t="s">
        <v>4748</v>
      </c>
      <c r="C888" s="90" t="s">
        <v>4749</v>
      </c>
      <c r="E888" t="s">
        <v>5562</v>
      </c>
      <c r="F888" s="91" t="s">
        <v>4749</v>
      </c>
      <c r="H888" t="str">
        <f t="shared" si="63"/>
        <v>unknown</v>
      </c>
      <c r="K888" t="str">
        <f t="shared" si="64"/>
        <v>scale</v>
      </c>
    </row>
    <row r="889" spans="1:11" ht="129.6" x14ac:dyDescent="0.3">
      <c r="A889" t="s">
        <v>4712</v>
      </c>
      <c r="B889" t="s">
        <v>4750</v>
      </c>
      <c r="C889" s="90" t="s">
        <v>4751</v>
      </c>
      <c r="E889" t="s">
        <v>5562</v>
      </c>
      <c r="F889" s="91" t="s">
        <v>4751</v>
      </c>
      <c r="H889" t="str">
        <f t="shared" si="63"/>
        <v>unknown</v>
      </c>
      <c r="K889" t="str">
        <f t="shared" si="64"/>
        <v>scale</v>
      </c>
    </row>
    <row r="890" spans="1:11" ht="115.2" x14ac:dyDescent="0.3">
      <c r="A890" t="s">
        <v>4712</v>
      </c>
      <c r="B890" t="s">
        <v>4752</v>
      </c>
      <c r="C890" s="90" t="s">
        <v>3712</v>
      </c>
      <c r="E890" t="s">
        <v>5562</v>
      </c>
      <c r="F890" s="91" t="s">
        <v>3712</v>
      </c>
      <c r="H890" t="str">
        <f t="shared" si="63"/>
        <v>unknown</v>
      </c>
      <c r="K890" t="str">
        <f t="shared" si="64"/>
        <v>scale</v>
      </c>
    </row>
    <row r="891" spans="1:11" ht="129.6" x14ac:dyDescent="0.3">
      <c r="A891" t="s">
        <v>4712</v>
      </c>
      <c r="B891" t="s">
        <v>4753</v>
      </c>
      <c r="C891" s="90" t="s">
        <v>4275</v>
      </c>
      <c r="E891" t="s">
        <v>5562</v>
      </c>
      <c r="F891" s="91" t="s">
        <v>4275</v>
      </c>
      <c r="H891" t="str">
        <f t="shared" si="63"/>
        <v>unknown</v>
      </c>
      <c r="K891" t="str">
        <f t="shared" si="64"/>
        <v>scale</v>
      </c>
    </row>
    <row r="892" spans="1:11" ht="129.6" x14ac:dyDescent="0.3">
      <c r="A892" t="s">
        <v>4712</v>
      </c>
      <c r="B892" t="s">
        <v>4754</v>
      </c>
      <c r="C892" s="90" t="s">
        <v>4755</v>
      </c>
      <c r="E892" t="s">
        <v>5562</v>
      </c>
      <c r="F892" s="91" t="s">
        <v>4755</v>
      </c>
      <c r="H892" t="str">
        <f t="shared" si="63"/>
        <v>unknown</v>
      </c>
      <c r="K892" t="str">
        <f t="shared" si="64"/>
        <v>scale</v>
      </c>
    </row>
    <row r="893" spans="1:11" ht="115.2" x14ac:dyDescent="0.3">
      <c r="A893" t="s">
        <v>4712</v>
      </c>
      <c r="B893" t="s">
        <v>4400</v>
      </c>
      <c r="C893" s="90" t="s">
        <v>3778</v>
      </c>
      <c r="E893" t="s">
        <v>5562</v>
      </c>
      <c r="F893" s="91" t="s">
        <v>3778</v>
      </c>
      <c r="H893" t="str">
        <f t="shared" si="63"/>
        <v>unknown</v>
      </c>
      <c r="K893" t="str">
        <f t="shared" si="64"/>
        <v>scale</v>
      </c>
    </row>
    <row r="894" spans="1:11" ht="201.6" x14ac:dyDescent="0.3">
      <c r="A894" t="s">
        <v>4712</v>
      </c>
      <c r="B894" t="s">
        <v>4756</v>
      </c>
      <c r="C894" s="90" t="s">
        <v>4757</v>
      </c>
      <c r="E894" t="s">
        <v>5562</v>
      </c>
      <c r="F894" s="91" t="s">
        <v>4757</v>
      </c>
      <c r="H894" t="str">
        <f t="shared" si="63"/>
        <v>unknown</v>
      </c>
      <c r="K894" t="str">
        <f t="shared" si="64"/>
        <v>scale</v>
      </c>
    </row>
    <row r="895" spans="1:11" ht="244.8" x14ac:dyDescent="0.3">
      <c r="A895" t="s">
        <v>4712</v>
      </c>
      <c r="B895" t="s">
        <v>4407</v>
      </c>
      <c r="C895" s="90" t="s">
        <v>4758</v>
      </c>
      <c r="E895" t="s">
        <v>5562</v>
      </c>
      <c r="F895" s="91" t="s">
        <v>4758</v>
      </c>
      <c r="H895" t="str">
        <f t="shared" si="63"/>
        <v>unknown</v>
      </c>
      <c r="K895" t="str">
        <f t="shared" si="64"/>
        <v>scale</v>
      </c>
    </row>
    <row r="896" spans="1:11" ht="129.6" x14ac:dyDescent="0.3">
      <c r="A896" t="s">
        <v>4712</v>
      </c>
      <c r="B896" t="s">
        <v>4759</v>
      </c>
      <c r="C896" s="90" t="s">
        <v>4760</v>
      </c>
      <c r="E896" t="s">
        <v>5562</v>
      </c>
      <c r="F896" s="91" t="s">
        <v>4760</v>
      </c>
      <c r="H896" t="str">
        <f t="shared" si="63"/>
        <v>unknown</v>
      </c>
      <c r="K896" t="str">
        <f t="shared" si="64"/>
        <v>scale</v>
      </c>
    </row>
    <row r="897" spans="1:11" ht="129.6" x14ac:dyDescent="0.3">
      <c r="A897" t="s">
        <v>4712</v>
      </c>
      <c r="B897" t="s">
        <v>4761</v>
      </c>
      <c r="C897" s="90" t="s">
        <v>4255</v>
      </c>
      <c r="E897" t="s">
        <v>5562</v>
      </c>
      <c r="F897" s="91" t="s">
        <v>4255</v>
      </c>
      <c r="H897" t="str">
        <f t="shared" si="63"/>
        <v>unknown</v>
      </c>
      <c r="K897" t="str">
        <f t="shared" si="64"/>
        <v>scale</v>
      </c>
    </row>
    <row r="898" spans="1:11" ht="129.6" x14ac:dyDescent="0.3">
      <c r="A898" t="s">
        <v>4712</v>
      </c>
      <c r="B898" t="s">
        <v>4762</v>
      </c>
      <c r="C898" s="90" t="s">
        <v>4763</v>
      </c>
      <c r="E898" t="s">
        <v>5562</v>
      </c>
      <c r="F898" s="91" t="s">
        <v>4763</v>
      </c>
      <c r="H898" t="str">
        <f t="shared" ref="H898:H961" si="65">IF(EXACT(F898,$W$1), "open", IF(EXACT(F898,$X$1), "open", "unknown"))</f>
        <v>unknown</v>
      </c>
      <c r="K898" t="str">
        <f t="shared" ref="K898:K961" si="66">IF(AND(E898&lt;&gt;"", E898&lt;&gt;"unknown"), E898,
   IF(AND(G898&lt;&gt;"", G898&lt;&gt;"unknown"), G898,
   IF(AND(H898&lt;&gt;"", H898&lt;&gt;"unknown"), H898,
   IF(I898&lt;&gt;"", I898, "ERROR"))))</f>
        <v>scale</v>
      </c>
    </row>
    <row r="899" spans="1:11" ht="201.6" x14ac:dyDescent="0.3">
      <c r="A899" t="s">
        <v>4712</v>
      </c>
      <c r="B899" t="s">
        <v>4764</v>
      </c>
      <c r="C899" s="90" t="s">
        <v>4765</v>
      </c>
      <c r="E899" t="s">
        <v>5562</v>
      </c>
      <c r="F899" s="91" t="s">
        <v>4765</v>
      </c>
      <c r="H899" t="str">
        <f t="shared" si="65"/>
        <v>unknown</v>
      </c>
      <c r="K899" t="str">
        <f t="shared" si="66"/>
        <v>scale</v>
      </c>
    </row>
    <row r="900" spans="1:11" ht="86.4" x14ac:dyDescent="0.3">
      <c r="A900" t="s">
        <v>4712</v>
      </c>
      <c r="B900" t="s">
        <v>4766</v>
      </c>
      <c r="C900" s="90" t="s">
        <v>4767</v>
      </c>
      <c r="E900" t="s">
        <v>5562</v>
      </c>
      <c r="F900" s="91" t="s">
        <v>4767</v>
      </c>
      <c r="H900" t="str">
        <f t="shared" si="65"/>
        <v>unknown</v>
      </c>
      <c r="K900" t="str">
        <f t="shared" si="66"/>
        <v>scale</v>
      </c>
    </row>
    <row r="901" spans="1:11" ht="158.4" x14ac:dyDescent="0.3">
      <c r="A901" t="s">
        <v>4712</v>
      </c>
      <c r="B901" t="s">
        <v>4768</v>
      </c>
      <c r="C901" s="90" t="s">
        <v>4769</v>
      </c>
      <c r="E901" t="s">
        <v>5562</v>
      </c>
      <c r="F901" s="91" t="s">
        <v>4769</v>
      </c>
      <c r="H901" t="str">
        <f t="shared" si="65"/>
        <v>unknown</v>
      </c>
      <c r="K901" t="str">
        <f t="shared" si="66"/>
        <v>scale</v>
      </c>
    </row>
    <row r="902" spans="1:11" ht="57.6" x14ac:dyDescent="0.3">
      <c r="A902" t="s">
        <v>4712</v>
      </c>
      <c r="B902" t="s">
        <v>4770</v>
      </c>
      <c r="C902" s="90" t="s">
        <v>4771</v>
      </c>
      <c r="D902" t="s">
        <v>5561</v>
      </c>
      <c r="E902" t="s">
        <v>5560</v>
      </c>
      <c r="F902" s="92" t="s">
        <v>5644</v>
      </c>
      <c r="G902" t="str">
        <f>IF(EXACT($F902, $Q$1), "sector", "unknown")</f>
        <v>unknown</v>
      </c>
      <c r="H902" t="str">
        <f t="shared" si="65"/>
        <v>unknown</v>
      </c>
      <c r="I902" t="s">
        <v>5671</v>
      </c>
      <c r="K902" t="str">
        <f t="shared" si="66"/>
        <v>followupQuestion</v>
      </c>
    </row>
    <row r="903" spans="1:11" ht="158.4" x14ac:dyDescent="0.3">
      <c r="A903" t="s">
        <v>4712</v>
      </c>
      <c r="B903" t="s">
        <v>4772</v>
      </c>
      <c r="C903" s="90" t="s">
        <v>4773</v>
      </c>
      <c r="E903" t="s">
        <v>5562</v>
      </c>
      <c r="F903" s="91" t="s">
        <v>4773</v>
      </c>
      <c r="H903" t="str">
        <f t="shared" si="65"/>
        <v>unknown</v>
      </c>
      <c r="K903" t="str">
        <f t="shared" si="66"/>
        <v>scale</v>
      </c>
    </row>
    <row r="904" spans="1:11" ht="43.2" x14ac:dyDescent="0.3">
      <c r="A904" t="s">
        <v>4712</v>
      </c>
      <c r="B904" t="s">
        <v>4774</v>
      </c>
      <c r="C904" s="90" t="s">
        <v>3383</v>
      </c>
      <c r="E904" t="s">
        <v>5562</v>
      </c>
      <c r="F904" s="91" t="s">
        <v>3383</v>
      </c>
      <c r="H904" t="str">
        <f t="shared" si="65"/>
        <v>unknown</v>
      </c>
      <c r="K904" t="str">
        <f t="shared" si="66"/>
        <v>scale</v>
      </c>
    </row>
    <row r="905" spans="1:11" ht="144" x14ac:dyDescent="0.3">
      <c r="A905" t="s">
        <v>4712</v>
      </c>
      <c r="B905" t="s">
        <v>4775</v>
      </c>
      <c r="C905" s="90" t="s">
        <v>4776</v>
      </c>
      <c r="E905" t="s">
        <v>5562</v>
      </c>
      <c r="F905" s="91" t="s">
        <v>4776</v>
      </c>
      <c r="H905" t="str">
        <f t="shared" si="65"/>
        <v>unknown</v>
      </c>
      <c r="K905" t="str">
        <f t="shared" si="66"/>
        <v>scale</v>
      </c>
    </row>
    <row r="906" spans="1:11" ht="100.8" x14ac:dyDescent="0.3">
      <c r="A906" t="s">
        <v>4712</v>
      </c>
      <c r="B906" t="s">
        <v>4777</v>
      </c>
      <c r="C906" s="90" t="s">
        <v>3732</v>
      </c>
      <c r="E906" t="s">
        <v>5562</v>
      </c>
      <c r="F906" s="91" t="s">
        <v>3732</v>
      </c>
      <c r="H906" t="str">
        <f t="shared" si="65"/>
        <v>unknown</v>
      </c>
      <c r="K906" t="str">
        <f t="shared" si="66"/>
        <v>scale</v>
      </c>
    </row>
    <row r="907" spans="1:11" ht="144" x14ac:dyDescent="0.3">
      <c r="A907" t="s">
        <v>4712</v>
      </c>
      <c r="B907" t="s">
        <v>4778</v>
      </c>
      <c r="C907" s="90" t="s">
        <v>4779</v>
      </c>
      <c r="E907" t="s">
        <v>5562</v>
      </c>
      <c r="F907" s="91" t="s">
        <v>4779</v>
      </c>
      <c r="H907" t="str">
        <f t="shared" si="65"/>
        <v>unknown</v>
      </c>
      <c r="K907" t="str">
        <f t="shared" si="66"/>
        <v>scale</v>
      </c>
    </row>
    <row r="908" spans="1:11" ht="302.39999999999998" x14ac:dyDescent="0.3">
      <c r="A908" t="s">
        <v>4712</v>
      </c>
      <c r="B908" t="s">
        <v>4780</v>
      </c>
      <c r="C908" s="90" t="s">
        <v>4781</v>
      </c>
      <c r="E908" t="s">
        <v>5562</v>
      </c>
      <c r="F908" s="91" t="s">
        <v>4781</v>
      </c>
      <c r="H908" t="str">
        <f t="shared" si="65"/>
        <v>unknown</v>
      </c>
      <c r="K908" t="str">
        <f t="shared" si="66"/>
        <v>scale</v>
      </c>
    </row>
    <row r="909" spans="1:11" ht="316.8" x14ac:dyDescent="0.3">
      <c r="A909" t="s">
        <v>4712</v>
      </c>
      <c r="B909" t="s">
        <v>4782</v>
      </c>
      <c r="C909" s="90" t="s">
        <v>4783</v>
      </c>
      <c r="E909" t="s">
        <v>5562</v>
      </c>
      <c r="F909" s="91" t="s">
        <v>4783</v>
      </c>
      <c r="H909" t="str">
        <f t="shared" si="65"/>
        <v>unknown</v>
      </c>
      <c r="K909" t="str">
        <f t="shared" si="66"/>
        <v>scale</v>
      </c>
    </row>
    <row r="910" spans="1:11" ht="331.2" x14ac:dyDescent="0.3">
      <c r="A910" t="s">
        <v>4712</v>
      </c>
      <c r="B910" t="s">
        <v>4784</v>
      </c>
      <c r="C910" s="90" t="s">
        <v>4785</v>
      </c>
      <c r="E910" t="s">
        <v>5562</v>
      </c>
      <c r="F910" s="91" t="s">
        <v>4785</v>
      </c>
      <c r="H910" t="str">
        <f t="shared" si="65"/>
        <v>unknown</v>
      </c>
      <c r="K910" t="str">
        <f t="shared" si="66"/>
        <v>scale</v>
      </c>
    </row>
    <row r="911" spans="1:11" ht="115.2" x14ac:dyDescent="0.3">
      <c r="A911" t="s">
        <v>4712</v>
      </c>
      <c r="B911" t="s">
        <v>4786</v>
      </c>
      <c r="C911" s="90" t="s">
        <v>4787</v>
      </c>
      <c r="E911" t="s">
        <v>5562</v>
      </c>
      <c r="F911" s="91" t="s">
        <v>4787</v>
      </c>
      <c r="H911" t="str">
        <f t="shared" si="65"/>
        <v>unknown</v>
      </c>
      <c r="K911" t="str">
        <f t="shared" si="66"/>
        <v>scale</v>
      </c>
    </row>
    <row r="912" spans="1:11" ht="129.6" x14ac:dyDescent="0.3">
      <c r="A912" t="s">
        <v>4712</v>
      </c>
      <c r="B912" t="s">
        <v>4788</v>
      </c>
      <c r="C912" s="90" t="s">
        <v>4789</v>
      </c>
      <c r="E912" t="s">
        <v>5562</v>
      </c>
      <c r="F912" s="91" t="s">
        <v>4789</v>
      </c>
      <c r="H912" t="str">
        <f t="shared" si="65"/>
        <v>unknown</v>
      </c>
      <c r="K912" t="str">
        <f t="shared" si="66"/>
        <v>scale</v>
      </c>
    </row>
    <row r="913" spans="1:11" ht="115.2" x14ac:dyDescent="0.3">
      <c r="A913" t="s">
        <v>4712</v>
      </c>
      <c r="B913" t="s">
        <v>4790</v>
      </c>
      <c r="C913" s="90" t="s">
        <v>3626</v>
      </c>
      <c r="E913" t="s">
        <v>5562</v>
      </c>
      <c r="F913" s="91" t="s">
        <v>3626</v>
      </c>
      <c r="H913" t="str">
        <f t="shared" si="65"/>
        <v>unknown</v>
      </c>
      <c r="K913" t="str">
        <f t="shared" si="66"/>
        <v>scale</v>
      </c>
    </row>
    <row r="914" spans="1:11" ht="115.2" x14ac:dyDescent="0.3">
      <c r="A914" t="s">
        <v>4712</v>
      </c>
      <c r="B914" t="s">
        <v>4791</v>
      </c>
      <c r="C914" s="90" t="s">
        <v>3628</v>
      </c>
      <c r="E914" t="s">
        <v>5562</v>
      </c>
      <c r="F914" s="91" t="s">
        <v>3628</v>
      </c>
      <c r="H914" t="str">
        <f t="shared" si="65"/>
        <v>unknown</v>
      </c>
      <c r="K914" t="str">
        <f t="shared" si="66"/>
        <v>scale</v>
      </c>
    </row>
    <row r="915" spans="1:11" ht="259.2" x14ac:dyDescent="0.3">
      <c r="A915" t="s">
        <v>4712</v>
      </c>
      <c r="B915" t="s">
        <v>4792</v>
      </c>
      <c r="C915" s="90" t="s">
        <v>4793</v>
      </c>
      <c r="E915" t="s">
        <v>5562</v>
      </c>
      <c r="F915" s="91" t="s">
        <v>4793</v>
      </c>
      <c r="H915" t="str">
        <f t="shared" si="65"/>
        <v>unknown</v>
      </c>
      <c r="K915" t="str">
        <f t="shared" si="66"/>
        <v>scale</v>
      </c>
    </row>
    <row r="916" spans="1:11" ht="201.6" x14ac:dyDescent="0.3">
      <c r="A916" t="s">
        <v>4712</v>
      </c>
      <c r="B916" t="s">
        <v>4794</v>
      </c>
      <c r="C916" s="90" t="s">
        <v>4795</v>
      </c>
      <c r="E916" t="s">
        <v>5562</v>
      </c>
      <c r="F916" s="91" t="s">
        <v>4795</v>
      </c>
      <c r="H916" t="str">
        <f t="shared" si="65"/>
        <v>unknown</v>
      </c>
      <c r="K916" t="str">
        <f t="shared" si="66"/>
        <v>scale</v>
      </c>
    </row>
    <row r="917" spans="1:11" ht="129.6" x14ac:dyDescent="0.3">
      <c r="A917" t="s">
        <v>4712</v>
      </c>
      <c r="B917" t="s">
        <v>4796</v>
      </c>
      <c r="C917" s="90" t="s">
        <v>4797</v>
      </c>
      <c r="E917" t="s">
        <v>5562</v>
      </c>
      <c r="F917" s="91" t="s">
        <v>4797</v>
      </c>
      <c r="H917" t="str">
        <f t="shared" si="65"/>
        <v>unknown</v>
      </c>
      <c r="K917" t="str">
        <f t="shared" si="66"/>
        <v>scale</v>
      </c>
    </row>
    <row r="918" spans="1:11" ht="216" x14ac:dyDescent="0.3">
      <c r="A918" t="s">
        <v>4798</v>
      </c>
      <c r="B918" t="s">
        <v>3562</v>
      </c>
      <c r="C918" s="90" t="s">
        <v>4799</v>
      </c>
      <c r="E918" t="s">
        <v>5562</v>
      </c>
      <c r="F918" s="91" t="s">
        <v>4799</v>
      </c>
      <c r="H918" t="str">
        <f t="shared" si="65"/>
        <v>unknown</v>
      </c>
      <c r="K918" t="str">
        <f t="shared" si="66"/>
        <v>scale</v>
      </c>
    </row>
    <row r="919" spans="1:11" ht="115.2" x14ac:dyDescent="0.3">
      <c r="A919" t="s">
        <v>4798</v>
      </c>
      <c r="B919" t="s">
        <v>4800</v>
      </c>
      <c r="C919" s="90" t="s">
        <v>4801</v>
      </c>
      <c r="E919" t="s">
        <v>5562</v>
      </c>
      <c r="F919" s="91" t="s">
        <v>4801</v>
      </c>
      <c r="H919" t="str">
        <f t="shared" si="65"/>
        <v>unknown</v>
      </c>
      <c r="K919" t="str">
        <f t="shared" si="66"/>
        <v>scale</v>
      </c>
    </row>
    <row r="920" spans="1:11" ht="100.8" x14ac:dyDescent="0.3">
      <c r="A920" t="s">
        <v>4798</v>
      </c>
      <c r="B920" t="s">
        <v>3858</v>
      </c>
      <c r="C920" s="90" t="s">
        <v>4802</v>
      </c>
      <c r="E920" t="s">
        <v>5562</v>
      </c>
      <c r="F920" s="91" t="s">
        <v>4802</v>
      </c>
      <c r="H920" t="str">
        <f t="shared" si="65"/>
        <v>unknown</v>
      </c>
      <c r="K920" t="str">
        <f t="shared" si="66"/>
        <v>scale</v>
      </c>
    </row>
    <row r="921" spans="1:11" ht="115.2" x14ac:dyDescent="0.3">
      <c r="A921" t="s">
        <v>4798</v>
      </c>
      <c r="B921" t="s">
        <v>4803</v>
      </c>
      <c r="C921" s="90" t="s">
        <v>4804</v>
      </c>
      <c r="E921" t="s">
        <v>5562</v>
      </c>
      <c r="F921" s="91" t="s">
        <v>4804</v>
      </c>
      <c r="H921" t="str">
        <f t="shared" si="65"/>
        <v>unknown</v>
      </c>
      <c r="K921" t="str">
        <f t="shared" si="66"/>
        <v>scale</v>
      </c>
    </row>
    <row r="922" spans="1:11" ht="86.4" x14ac:dyDescent="0.3">
      <c r="A922" t="s">
        <v>4798</v>
      </c>
      <c r="B922" t="s">
        <v>4256</v>
      </c>
      <c r="C922" s="90" t="s">
        <v>4805</v>
      </c>
      <c r="E922" t="s">
        <v>5562</v>
      </c>
      <c r="F922" s="91" t="s">
        <v>4805</v>
      </c>
      <c r="H922" t="str">
        <f t="shared" si="65"/>
        <v>unknown</v>
      </c>
      <c r="K922" t="str">
        <f t="shared" si="66"/>
        <v>scale</v>
      </c>
    </row>
    <row r="923" spans="1:11" ht="72" x14ac:dyDescent="0.3">
      <c r="A923" t="s">
        <v>4798</v>
      </c>
      <c r="B923" t="s">
        <v>4634</v>
      </c>
      <c r="C923" s="90" t="s">
        <v>4806</v>
      </c>
      <c r="E923" t="s">
        <v>5562</v>
      </c>
      <c r="F923" s="91" t="s">
        <v>4806</v>
      </c>
      <c r="H923" t="str">
        <f t="shared" si="65"/>
        <v>unknown</v>
      </c>
      <c r="K923" t="str">
        <f t="shared" si="66"/>
        <v>scale</v>
      </c>
    </row>
    <row r="924" spans="1:11" ht="115.2" x14ac:dyDescent="0.3">
      <c r="A924" t="s">
        <v>4798</v>
      </c>
      <c r="B924" t="s">
        <v>4807</v>
      </c>
      <c r="C924" s="90" t="s">
        <v>4808</v>
      </c>
      <c r="E924" t="s">
        <v>5562</v>
      </c>
      <c r="F924" s="91" t="s">
        <v>4808</v>
      </c>
      <c r="H924" t="str">
        <f t="shared" si="65"/>
        <v>unknown</v>
      </c>
      <c r="K924" t="str">
        <f t="shared" si="66"/>
        <v>scale</v>
      </c>
    </row>
    <row r="925" spans="1:11" ht="100.8" x14ac:dyDescent="0.3">
      <c r="A925" t="s">
        <v>4798</v>
      </c>
      <c r="B925" t="s">
        <v>4809</v>
      </c>
      <c r="C925" s="90" t="s">
        <v>4810</v>
      </c>
      <c r="E925" t="s">
        <v>5562</v>
      </c>
      <c r="F925" s="91" t="s">
        <v>4810</v>
      </c>
      <c r="H925" t="str">
        <f t="shared" si="65"/>
        <v>unknown</v>
      </c>
      <c r="K925" t="str">
        <f t="shared" si="66"/>
        <v>scale</v>
      </c>
    </row>
    <row r="926" spans="1:11" ht="86.4" x14ac:dyDescent="0.3">
      <c r="A926" t="s">
        <v>4798</v>
      </c>
      <c r="B926" t="s">
        <v>4811</v>
      </c>
      <c r="C926" s="90" t="s">
        <v>4812</v>
      </c>
      <c r="E926" t="s">
        <v>5562</v>
      </c>
      <c r="F926" s="91" t="s">
        <v>4812</v>
      </c>
      <c r="H926" t="str">
        <f t="shared" si="65"/>
        <v>unknown</v>
      </c>
      <c r="K926" t="str">
        <f t="shared" si="66"/>
        <v>scale</v>
      </c>
    </row>
    <row r="927" spans="1:11" ht="115.2" x14ac:dyDescent="0.3">
      <c r="A927" t="s">
        <v>4798</v>
      </c>
      <c r="B927" t="s">
        <v>3862</v>
      </c>
      <c r="C927" s="90" t="s">
        <v>4813</v>
      </c>
      <c r="E927" t="s">
        <v>5562</v>
      </c>
      <c r="F927" s="91" t="s">
        <v>4813</v>
      </c>
      <c r="H927" t="str">
        <f t="shared" si="65"/>
        <v>unknown</v>
      </c>
      <c r="K927" t="str">
        <f t="shared" si="66"/>
        <v>scale</v>
      </c>
    </row>
    <row r="928" spans="1:11" ht="100.8" x14ac:dyDescent="0.3">
      <c r="A928" t="s">
        <v>4798</v>
      </c>
      <c r="B928" t="s">
        <v>4259</v>
      </c>
      <c r="C928" s="90" t="s">
        <v>4814</v>
      </c>
      <c r="E928" t="s">
        <v>5562</v>
      </c>
      <c r="F928" s="91" t="s">
        <v>4814</v>
      </c>
      <c r="H928" t="str">
        <f t="shared" si="65"/>
        <v>unknown</v>
      </c>
      <c r="K928" t="str">
        <f t="shared" si="66"/>
        <v>scale</v>
      </c>
    </row>
    <row r="929" spans="1:11" ht="72" x14ac:dyDescent="0.3">
      <c r="A929" t="s">
        <v>4798</v>
      </c>
      <c r="B929" t="s">
        <v>4815</v>
      </c>
      <c r="C929" s="90" t="s">
        <v>4816</v>
      </c>
      <c r="E929" t="s">
        <v>5562</v>
      </c>
      <c r="F929" s="91" t="s">
        <v>4816</v>
      </c>
      <c r="H929" t="str">
        <f t="shared" si="65"/>
        <v>unknown</v>
      </c>
      <c r="K929" t="str">
        <f t="shared" si="66"/>
        <v>scale</v>
      </c>
    </row>
    <row r="930" spans="1:11" ht="86.4" x14ac:dyDescent="0.3">
      <c r="A930" t="s">
        <v>4798</v>
      </c>
      <c r="B930" t="s">
        <v>4265</v>
      </c>
      <c r="C930" s="90" t="s">
        <v>4805</v>
      </c>
      <c r="E930" t="s">
        <v>5562</v>
      </c>
      <c r="F930" s="91" t="s">
        <v>4805</v>
      </c>
      <c r="H930" t="str">
        <f t="shared" si="65"/>
        <v>unknown</v>
      </c>
      <c r="K930" t="str">
        <f t="shared" si="66"/>
        <v>scale</v>
      </c>
    </row>
    <row r="931" spans="1:11" ht="72" x14ac:dyDescent="0.3">
      <c r="A931" t="s">
        <v>4798</v>
      </c>
      <c r="B931" t="s">
        <v>3320</v>
      </c>
      <c r="C931" s="90" t="s">
        <v>4806</v>
      </c>
      <c r="E931" t="s">
        <v>5562</v>
      </c>
      <c r="F931" s="91" t="s">
        <v>4806</v>
      </c>
      <c r="H931" t="str">
        <f t="shared" si="65"/>
        <v>unknown</v>
      </c>
      <c r="K931" t="str">
        <f t="shared" si="66"/>
        <v>scale</v>
      </c>
    </row>
    <row r="932" spans="1:11" ht="158.4" x14ac:dyDescent="0.3">
      <c r="A932" t="s">
        <v>4798</v>
      </c>
      <c r="B932" t="s">
        <v>4817</v>
      </c>
      <c r="C932" s="90" t="s">
        <v>4818</v>
      </c>
      <c r="E932" t="s">
        <v>5562</v>
      </c>
      <c r="F932" s="91" t="s">
        <v>4818</v>
      </c>
      <c r="H932" t="str">
        <f t="shared" si="65"/>
        <v>unknown</v>
      </c>
      <c r="K932" t="str">
        <f t="shared" si="66"/>
        <v>scale</v>
      </c>
    </row>
    <row r="933" spans="1:11" ht="57.6" x14ac:dyDescent="0.3">
      <c r="A933" t="s">
        <v>4798</v>
      </c>
      <c r="B933" t="s">
        <v>3792</v>
      </c>
      <c r="C933" s="90" t="s">
        <v>4819</v>
      </c>
      <c r="E933" t="s">
        <v>5562</v>
      </c>
      <c r="F933" s="91" t="s">
        <v>4819</v>
      </c>
      <c r="H933" t="str">
        <f t="shared" si="65"/>
        <v>unknown</v>
      </c>
      <c r="K933" t="str">
        <f t="shared" si="66"/>
        <v>scale</v>
      </c>
    </row>
    <row r="934" spans="1:11" ht="158.4" x14ac:dyDescent="0.3">
      <c r="A934" t="s">
        <v>4798</v>
      </c>
      <c r="B934" t="s">
        <v>3874</v>
      </c>
      <c r="C934" s="90" t="s">
        <v>4820</v>
      </c>
      <c r="E934" t="s">
        <v>5562</v>
      </c>
      <c r="F934" s="91" t="s">
        <v>4820</v>
      </c>
      <c r="H934" t="str">
        <f t="shared" si="65"/>
        <v>unknown</v>
      </c>
      <c r="K934" t="str">
        <f t="shared" si="66"/>
        <v>scale</v>
      </c>
    </row>
    <row r="935" spans="1:11" ht="57.6" x14ac:dyDescent="0.3">
      <c r="A935" t="s">
        <v>4798</v>
      </c>
      <c r="B935" t="s">
        <v>4821</v>
      </c>
      <c r="C935" s="90" t="s">
        <v>4822</v>
      </c>
      <c r="E935" t="s">
        <v>5562</v>
      </c>
      <c r="F935" s="91" t="s">
        <v>4822</v>
      </c>
      <c r="H935" t="str">
        <f t="shared" si="65"/>
        <v>unknown</v>
      </c>
      <c r="K935" t="str">
        <f t="shared" si="66"/>
        <v>scale</v>
      </c>
    </row>
    <row r="936" spans="1:11" ht="115.2" x14ac:dyDescent="0.3">
      <c r="A936" t="s">
        <v>4798</v>
      </c>
      <c r="B936" t="s">
        <v>3876</v>
      </c>
      <c r="C936" s="90" t="s">
        <v>4020</v>
      </c>
      <c r="E936" t="s">
        <v>5562</v>
      </c>
      <c r="F936" s="91" t="s">
        <v>4020</v>
      </c>
      <c r="H936" t="str">
        <f t="shared" si="65"/>
        <v>unknown</v>
      </c>
      <c r="K936" t="str">
        <f t="shared" si="66"/>
        <v>scale</v>
      </c>
    </row>
    <row r="937" spans="1:11" ht="216" x14ac:dyDescent="0.3">
      <c r="A937" t="s">
        <v>4798</v>
      </c>
      <c r="B937" t="s">
        <v>4823</v>
      </c>
      <c r="C937" s="90" t="s">
        <v>4824</v>
      </c>
      <c r="E937" t="s">
        <v>5562</v>
      </c>
      <c r="F937" s="91" t="s">
        <v>4824</v>
      </c>
      <c r="H937" t="str">
        <f t="shared" si="65"/>
        <v>unknown</v>
      </c>
      <c r="K937" t="str">
        <f t="shared" si="66"/>
        <v>scale</v>
      </c>
    </row>
    <row r="938" spans="1:11" ht="57.6" x14ac:dyDescent="0.3">
      <c r="A938" t="s">
        <v>4798</v>
      </c>
      <c r="B938" t="s">
        <v>4825</v>
      </c>
      <c r="C938" s="90" t="s">
        <v>4826</v>
      </c>
      <c r="E938" t="s">
        <v>5562</v>
      </c>
      <c r="F938" s="91" t="s">
        <v>4826</v>
      </c>
      <c r="H938" t="str">
        <f t="shared" si="65"/>
        <v>unknown</v>
      </c>
      <c r="K938" t="str">
        <f t="shared" si="66"/>
        <v>scale</v>
      </c>
    </row>
    <row r="939" spans="1:11" ht="129.6" x14ac:dyDescent="0.3">
      <c r="A939" t="s">
        <v>4798</v>
      </c>
      <c r="B939" t="s">
        <v>4827</v>
      </c>
      <c r="C939" s="90" t="s">
        <v>4828</v>
      </c>
      <c r="E939" t="s">
        <v>5562</v>
      </c>
      <c r="F939" s="91" t="s">
        <v>4828</v>
      </c>
      <c r="H939" t="str">
        <f t="shared" si="65"/>
        <v>unknown</v>
      </c>
      <c r="K939" t="str">
        <f t="shared" si="66"/>
        <v>scale</v>
      </c>
    </row>
    <row r="940" spans="1:11" ht="57.6" x14ac:dyDescent="0.3">
      <c r="A940" t="s">
        <v>4798</v>
      </c>
      <c r="B940" t="s">
        <v>3878</v>
      </c>
      <c r="C940" s="90" t="s">
        <v>4829</v>
      </c>
      <c r="E940" t="s">
        <v>5562</v>
      </c>
      <c r="F940" s="91" t="s">
        <v>4829</v>
      </c>
      <c r="H940" t="str">
        <f t="shared" si="65"/>
        <v>unknown</v>
      </c>
      <c r="K940" t="str">
        <f t="shared" si="66"/>
        <v>scale</v>
      </c>
    </row>
    <row r="941" spans="1:11" ht="57.6" x14ac:dyDescent="0.3">
      <c r="A941" t="s">
        <v>4798</v>
      </c>
      <c r="B941" t="s">
        <v>4830</v>
      </c>
      <c r="C941" s="90" t="s">
        <v>4831</v>
      </c>
      <c r="E941" t="s">
        <v>5562</v>
      </c>
      <c r="F941" s="91" t="s">
        <v>4831</v>
      </c>
      <c r="H941" t="str">
        <f t="shared" si="65"/>
        <v>unknown</v>
      </c>
      <c r="K941" t="str">
        <f t="shared" si="66"/>
        <v>scale</v>
      </c>
    </row>
    <row r="942" spans="1:11" ht="57.6" x14ac:dyDescent="0.3">
      <c r="A942" t="s">
        <v>4798</v>
      </c>
      <c r="B942" t="s">
        <v>3390</v>
      </c>
      <c r="C942" s="90" t="s">
        <v>4832</v>
      </c>
      <c r="E942" t="s">
        <v>5562</v>
      </c>
      <c r="F942" s="91" t="s">
        <v>4832</v>
      </c>
      <c r="H942" t="str">
        <f t="shared" si="65"/>
        <v>unknown</v>
      </c>
      <c r="K942" t="str">
        <f t="shared" si="66"/>
        <v>scale</v>
      </c>
    </row>
    <row r="943" spans="1:11" ht="115.2" x14ac:dyDescent="0.3">
      <c r="A943" t="s">
        <v>4798</v>
      </c>
      <c r="B943" t="s">
        <v>4833</v>
      </c>
      <c r="C943" s="90" t="s">
        <v>4834</v>
      </c>
      <c r="E943" t="s">
        <v>5562</v>
      </c>
      <c r="F943" s="91" t="s">
        <v>4834</v>
      </c>
      <c r="H943" t="str">
        <f t="shared" si="65"/>
        <v>unknown</v>
      </c>
      <c r="K943" t="str">
        <f t="shared" si="66"/>
        <v>scale</v>
      </c>
    </row>
    <row r="944" spans="1:11" ht="115.2" x14ac:dyDescent="0.3">
      <c r="A944" t="s">
        <v>4798</v>
      </c>
      <c r="B944" t="s">
        <v>4835</v>
      </c>
      <c r="C944" s="90" t="s">
        <v>4836</v>
      </c>
      <c r="E944" t="s">
        <v>5562</v>
      </c>
      <c r="F944" s="91" t="s">
        <v>4836</v>
      </c>
      <c r="H944" t="str">
        <f t="shared" si="65"/>
        <v>unknown</v>
      </c>
      <c r="K944" t="str">
        <f t="shared" si="66"/>
        <v>scale</v>
      </c>
    </row>
    <row r="945" spans="1:11" ht="115.2" x14ac:dyDescent="0.3">
      <c r="A945" t="s">
        <v>4798</v>
      </c>
      <c r="B945" t="s">
        <v>4837</v>
      </c>
      <c r="C945" s="90" t="s">
        <v>4838</v>
      </c>
      <c r="E945" t="s">
        <v>5562</v>
      </c>
      <c r="F945" s="91" t="s">
        <v>4838</v>
      </c>
      <c r="H945" t="str">
        <f t="shared" si="65"/>
        <v>unknown</v>
      </c>
      <c r="K945" t="str">
        <f t="shared" si="66"/>
        <v>scale</v>
      </c>
    </row>
    <row r="946" spans="1:11" ht="100.8" x14ac:dyDescent="0.3">
      <c r="A946" t="s">
        <v>4798</v>
      </c>
      <c r="B946" t="s">
        <v>4358</v>
      </c>
      <c r="C946" s="90" t="s">
        <v>4839</v>
      </c>
      <c r="E946" t="s">
        <v>5562</v>
      </c>
      <c r="F946" s="91" t="s">
        <v>4839</v>
      </c>
      <c r="H946" t="str">
        <f t="shared" si="65"/>
        <v>unknown</v>
      </c>
      <c r="K946" t="str">
        <f t="shared" si="66"/>
        <v>scale</v>
      </c>
    </row>
    <row r="947" spans="1:11" ht="144" x14ac:dyDescent="0.3">
      <c r="A947" t="s">
        <v>4798</v>
      </c>
      <c r="B947" t="s">
        <v>4360</v>
      </c>
      <c r="C947" s="90" t="s">
        <v>4840</v>
      </c>
      <c r="E947" t="s">
        <v>5562</v>
      </c>
      <c r="F947" s="91" t="s">
        <v>4840</v>
      </c>
      <c r="H947" t="str">
        <f t="shared" si="65"/>
        <v>unknown</v>
      </c>
      <c r="K947" t="str">
        <f t="shared" si="66"/>
        <v>scale</v>
      </c>
    </row>
    <row r="948" spans="1:11" ht="144" x14ac:dyDescent="0.3">
      <c r="A948" t="s">
        <v>4798</v>
      </c>
      <c r="B948" t="s">
        <v>4362</v>
      </c>
      <c r="C948" s="90" t="s">
        <v>4840</v>
      </c>
      <c r="E948" t="s">
        <v>5562</v>
      </c>
      <c r="F948" s="91" t="s">
        <v>4840</v>
      </c>
      <c r="H948" t="str">
        <f t="shared" si="65"/>
        <v>unknown</v>
      </c>
      <c r="K948" t="str">
        <f t="shared" si="66"/>
        <v>scale</v>
      </c>
    </row>
    <row r="949" spans="1:11" ht="57.6" x14ac:dyDescent="0.3">
      <c r="A949" t="s">
        <v>4798</v>
      </c>
      <c r="B949" t="s">
        <v>3647</v>
      </c>
      <c r="C949" s="90" t="s">
        <v>4841</v>
      </c>
      <c r="E949" t="s">
        <v>5562</v>
      </c>
      <c r="F949" s="91" t="s">
        <v>4841</v>
      </c>
      <c r="H949" t="str">
        <f t="shared" si="65"/>
        <v>unknown</v>
      </c>
      <c r="K949" t="str">
        <f t="shared" si="66"/>
        <v>scale</v>
      </c>
    </row>
    <row r="950" spans="1:11" ht="57.6" x14ac:dyDescent="0.3">
      <c r="A950" t="s">
        <v>4798</v>
      </c>
      <c r="B950" t="s">
        <v>3649</v>
      </c>
      <c r="C950" s="90" t="s">
        <v>4841</v>
      </c>
      <c r="E950" t="s">
        <v>5562</v>
      </c>
      <c r="F950" s="91" t="s">
        <v>4841</v>
      </c>
      <c r="H950" t="str">
        <f t="shared" si="65"/>
        <v>unknown</v>
      </c>
      <c r="K950" t="str">
        <f t="shared" si="66"/>
        <v>scale</v>
      </c>
    </row>
    <row r="951" spans="1:11" ht="316.8" x14ac:dyDescent="0.3">
      <c r="A951" t="s">
        <v>4798</v>
      </c>
      <c r="B951" t="s">
        <v>3651</v>
      </c>
      <c r="C951" s="90" t="s">
        <v>4842</v>
      </c>
      <c r="E951" t="s">
        <v>5562</v>
      </c>
      <c r="F951" s="91" t="s">
        <v>4842</v>
      </c>
      <c r="H951" t="str">
        <f t="shared" si="65"/>
        <v>unknown</v>
      </c>
      <c r="K951" t="str">
        <f t="shared" si="66"/>
        <v>scale</v>
      </c>
    </row>
    <row r="952" spans="1:11" ht="72" x14ac:dyDescent="0.3">
      <c r="A952" t="s">
        <v>4798</v>
      </c>
      <c r="B952" t="s">
        <v>4843</v>
      </c>
      <c r="C952" s="90" t="s">
        <v>4844</v>
      </c>
      <c r="E952" t="s">
        <v>5562</v>
      </c>
      <c r="F952" s="91" t="s">
        <v>4844</v>
      </c>
      <c r="H952" t="str">
        <f t="shared" si="65"/>
        <v>unknown</v>
      </c>
      <c r="K952" t="str">
        <f t="shared" si="66"/>
        <v>scale</v>
      </c>
    </row>
    <row r="953" spans="1:11" ht="100.8" x14ac:dyDescent="0.3">
      <c r="A953" t="s">
        <v>4798</v>
      </c>
      <c r="B953" t="s">
        <v>4845</v>
      </c>
      <c r="C953" s="90" t="s">
        <v>4846</v>
      </c>
      <c r="E953" t="s">
        <v>5562</v>
      </c>
      <c r="F953" s="91" t="s">
        <v>4846</v>
      </c>
      <c r="H953" t="str">
        <f t="shared" si="65"/>
        <v>unknown</v>
      </c>
      <c r="K953" t="str">
        <f t="shared" si="66"/>
        <v>scale</v>
      </c>
    </row>
    <row r="954" spans="1:11" ht="158.4" x14ac:dyDescent="0.3">
      <c r="A954" t="s">
        <v>4798</v>
      </c>
      <c r="B954" t="s">
        <v>4847</v>
      </c>
      <c r="C954" s="90" t="s">
        <v>4848</v>
      </c>
      <c r="E954" t="s">
        <v>5562</v>
      </c>
      <c r="F954" s="91" t="s">
        <v>4848</v>
      </c>
      <c r="H954" t="str">
        <f t="shared" si="65"/>
        <v>unknown</v>
      </c>
      <c r="K954" t="str">
        <f t="shared" si="66"/>
        <v>scale</v>
      </c>
    </row>
    <row r="955" spans="1:11" ht="100.8" x14ac:dyDescent="0.3">
      <c r="A955" t="s">
        <v>4798</v>
      </c>
      <c r="B955" t="s">
        <v>4849</v>
      </c>
      <c r="C955" s="90" t="s">
        <v>4850</v>
      </c>
      <c r="E955" t="s">
        <v>5562</v>
      </c>
      <c r="F955" s="91" t="s">
        <v>4850</v>
      </c>
      <c r="H955" t="str">
        <f t="shared" si="65"/>
        <v>unknown</v>
      </c>
      <c r="K955" t="str">
        <f t="shared" si="66"/>
        <v>scale</v>
      </c>
    </row>
    <row r="956" spans="1:11" ht="57.6" x14ac:dyDescent="0.3">
      <c r="A956" t="s">
        <v>4798</v>
      </c>
      <c r="B956" t="s">
        <v>4851</v>
      </c>
      <c r="C956" s="90" t="s">
        <v>4852</v>
      </c>
      <c r="E956" t="s">
        <v>5562</v>
      </c>
      <c r="F956" s="91" t="s">
        <v>4852</v>
      </c>
      <c r="H956" t="str">
        <f t="shared" si="65"/>
        <v>unknown</v>
      </c>
      <c r="K956" t="str">
        <f t="shared" si="66"/>
        <v>scale</v>
      </c>
    </row>
    <row r="957" spans="1:11" ht="172.8" x14ac:dyDescent="0.3">
      <c r="A957" t="s">
        <v>4798</v>
      </c>
      <c r="B957" t="s">
        <v>4853</v>
      </c>
      <c r="C957" s="90" t="s">
        <v>4854</v>
      </c>
      <c r="E957" t="s">
        <v>5562</v>
      </c>
      <c r="F957" s="91" t="s">
        <v>4854</v>
      </c>
      <c r="H957" t="str">
        <f t="shared" si="65"/>
        <v>unknown</v>
      </c>
      <c r="K957" t="str">
        <f t="shared" si="66"/>
        <v>scale</v>
      </c>
    </row>
    <row r="958" spans="1:11" ht="172.8" x14ac:dyDescent="0.3">
      <c r="A958" t="s">
        <v>4798</v>
      </c>
      <c r="B958" t="s">
        <v>4855</v>
      </c>
      <c r="C958" s="90" t="s">
        <v>4854</v>
      </c>
      <c r="E958" t="s">
        <v>5562</v>
      </c>
      <c r="F958" s="91" t="s">
        <v>4854</v>
      </c>
      <c r="H958" t="str">
        <f t="shared" si="65"/>
        <v>unknown</v>
      </c>
      <c r="K958" t="str">
        <f t="shared" si="66"/>
        <v>scale</v>
      </c>
    </row>
    <row r="959" spans="1:11" ht="100.8" x14ac:dyDescent="0.3">
      <c r="A959" t="s">
        <v>4798</v>
      </c>
      <c r="B959" t="s">
        <v>4856</v>
      </c>
      <c r="C959" s="90" t="s">
        <v>4857</v>
      </c>
      <c r="E959" t="s">
        <v>5562</v>
      </c>
      <c r="F959" s="91" t="s">
        <v>4857</v>
      </c>
      <c r="H959" t="str">
        <f t="shared" si="65"/>
        <v>unknown</v>
      </c>
      <c r="K959" t="str">
        <f t="shared" si="66"/>
        <v>scale</v>
      </c>
    </row>
    <row r="960" spans="1:11" ht="144" x14ac:dyDescent="0.3">
      <c r="A960" t="s">
        <v>4798</v>
      </c>
      <c r="B960" t="s">
        <v>4858</v>
      </c>
      <c r="C960" s="90" t="s">
        <v>4859</v>
      </c>
      <c r="E960" t="s">
        <v>5562</v>
      </c>
      <c r="F960" s="91" t="s">
        <v>4859</v>
      </c>
      <c r="H960" t="str">
        <f t="shared" si="65"/>
        <v>unknown</v>
      </c>
      <c r="K960" t="str">
        <f t="shared" si="66"/>
        <v>scale</v>
      </c>
    </row>
    <row r="961" spans="1:11" ht="144" x14ac:dyDescent="0.3">
      <c r="A961" t="s">
        <v>4798</v>
      </c>
      <c r="B961" t="s">
        <v>4860</v>
      </c>
      <c r="C961" s="90" t="s">
        <v>4859</v>
      </c>
      <c r="E961" t="s">
        <v>5562</v>
      </c>
      <c r="F961" s="91" t="s">
        <v>4859</v>
      </c>
      <c r="H961" t="str">
        <f t="shared" si="65"/>
        <v>unknown</v>
      </c>
      <c r="K961" t="str">
        <f t="shared" si="66"/>
        <v>scale</v>
      </c>
    </row>
    <row r="962" spans="1:11" ht="158.4" x14ac:dyDescent="0.3">
      <c r="A962" t="s">
        <v>4798</v>
      </c>
      <c r="B962" t="s">
        <v>4861</v>
      </c>
      <c r="C962" s="90" t="s">
        <v>4862</v>
      </c>
      <c r="E962" t="s">
        <v>5562</v>
      </c>
      <c r="F962" s="91" t="s">
        <v>4862</v>
      </c>
      <c r="H962" t="str">
        <f t="shared" ref="H962:H1025" si="67">IF(EXACT(F962,$W$1), "open", IF(EXACT(F962,$X$1), "open", "unknown"))</f>
        <v>unknown</v>
      </c>
      <c r="K962" t="str">
        <f t="shared" ref="K962:K1025" si="68">IF(AND(E962&lt;&gt;"", E962&lt;&gt;"unknown"), E962,
   IF(AND(G962&lt;&gt;"", G962&lt;&gt;"unknown"), G962,
   IF(AND(H962&lt;&gt;"", H962&lt;&gt;"unknown"), H962,
   IF(I962&lt;&gt;"", I962, "ERROR"))))</f>
        <v>scale</v>
      </c>
    </row>
    <row r="963" spans="1:11" ht="100.8" x14ac:dyDescent="0.3">
      <c r="A963" t="s">
        <v>4798</v>
      </c>
      <c r="B963" t="s">
        <v>4863</v>
      </c>
      <c r="C963" s="90" t="s">
        <v>4864</v>
      </c>
      <c r="E963" t="s">
        <v>5562</v>
      </c>
      <c r="F963" s="91" t="s">
        <v>4864</v>
      </c>
      <c r="H963" t="str">
        <f t="shared" si="67"/>
        <v>unknown</v>
      </c>
      <c r="K963" t="str">
        <f t="shared" si="68"/>
        <v>scale</v>
      </c>
    </row>
    <row r="964" spans="1:11" ht="129.6" x14ac:dyDescent="0.3">
      <c r="A964" t="s">
        <v>4798</v>
      </c>
      <c r="B964" t="s">
        <v>4865</v>
      </c>
      <c r="C964" s="90" t="s">
        <v>4866</v>
      </c>
      <c r="E964" t="s">
        <v>5562</v>
      </c>
      <c r="F964" s="91" t="s">
        <v>4866</v>
      </c>
      <c r="H964" t="str">
        <f t="shared" si="67"/>
        <v>unknown</v>
      </c>
      <c r="K964" t="str">
        <f t="shared" si="68"/>
        <v>scale</v>
      </c>
    </row>
    <row r="965" spans="1:11" ht="187.2" x14ac:dyDescent="0.3">
      <c r="A965" t="s">
        <v>4798</v>
      </c>
      <c r="B965" t="s">
        <v>4867</v>
      </c>
      <c r="C965" s="90" t="s">
        <v>4868</v>
      </c>
      <c r="E965" t="s">
        <v>5562</v>
      </c>
      <c r="F965" s="91" t="s">
        <v>4868</v>
      </c>
      <c r="H965" t="str">
        <f t="shared" si="67"/>
        <v>unknown</v>
      </c>
      <c r="K965" t="str">
        <f t="shared" si="68"/>
        <v>scale</v>
      </c>
    </row>
    <row r="966" spans="1:11" ht="129.6" x14ac:dyDescent="0.3">
      <c r="A966" t="s">
        <v>4798</v>
      </c>
      <c r="B966" t="s">
        <v>4869</v>
      </c>
      <c r="C966" s="90" t="s">
        <v>4870</v>
      </c>
      <c r="E966" t="s">
        <v>5562</v>
      </c>
      <c r="F966" s="91" t="s">
        <v>4870</v>
      </c>
      <c r="H966" t="str">
        <f t="shared" si="67"/>
        <v>unknown</v>
      </c>
      <c r="K966" t="str">
        <f t="shared" si="68"/>
        <v>scale</v>
      </c>
    </row>
    <row r="967" spans="1:11" ht="86.4" x14ac:dyDescent="0.3">
      <c r="A967" t="s">
        <v>4798</v>
      </c>
      <c r="B967" t="s">
        <v>4871</v>
      </c>
      <c r="C967" s="90" t="s">
        <v>4872</v>
      </c>
      <c r="E967" t="s">
        <v>5562</v>
      </c>
      <c r="F967" s="91" t="s">
        <v>4872</v>
      </c>
      <c r="H967" t="str">
        <f t="shared" si="67"/>
        <v>unknown</v>
      </c>
      <c r="K967" t="str">
        <f t="shared" si="68"/>
        <v>scale</v>
      </c>
    </row>
    <row r="968" spans="1:11" ht="86.4" x14ac:dyDescent="0.3">
      <c r="A968" t="s">
        <v>4798</v>
      </c>
      <c r="B968" t="s">
        <v>4873</v>
      </c>
      <c r="C968" s="90" t="s">
        <v>4874</v>
      </c>
      <c r="E968" t="s">
        <v>5562</v>
      </c>
      <c r="F968" s="91" t="s">
        <v>4874</v>
      </c>
      <c r="H968" t="str">
        <f t="shared" si="67"/>
        <v>unknown</v>
      </c>
      <c r="K968" t="str">
        <f t="shared" si="68"/>
        <v>scale</v>
      </c>
    </row>
    <row r="969" spans="1:11" ht="86.4" x14ac:dyDescent="0.3">
      <c r="A969" t="s">
        <v>4798</v>
      </c>
      <c r="B969" t="s">
        <v>4875</v>
      </c>
      <c r="C969" s="90" t="s">
        <v>4876</v>
      </c>
      <c r="E969" t="s">
        <v>5562</v>
      </c>
      <c r="F969" s="91" t="s">
        <v>4876</v>
      </c>
      <c r="H969" t="str">
        <f t="shared" si="67"/>
        <v>unknown</v>
      </c>
      <c r="K969" t="str">
        <f t="shared" si="68"/>
        <v>scale</v>
      </c>
    </row>
    <row r="970" spans="1:11" ht="57.6" x14ac:dyDescent="0.3">
      <c r="A970" t="s">
        <v>4798</v>
      </c>
      <c r="B970" t="s">
        <v>4877</v>
      </c>
      <c r="C970" s="90" t="s">
        <v>4878</v>
      </c>
      <c r="E970" t="s">
        <v>5562</v>
      </c>
      <c r="F970" s="91" t="s">
        <v>4878</v>
      </c>
      <c r="H970" t="str">
        <f t="shared" si="67"/>
        <v>unknown</v>
      </c>
      <c r="K970" t="str">
        <f t="shared" si="68"/>
        <v>scale</v>
      </c>
    </row>
    <row r="971" spans="1:11" ht="86.4" x14ac:dyDescent="0.3">
      <c r="A971" t="s">
        <v>4798</v>
      </c>
      <c r="B971" t="s">
        <v>4879</v>
      </c>
      <c r="C971" s="90" t="s">
        <v>3620</v>
      </c>
      <c r="E971" t="s">
        <v>5562</v>
      </c>
      <c r="F971" s="91" t="s">
        <v>3620</v>
      </c>
      <c r="H971" t="str">
        <f t="shared" si="67"/>
        <v>unknown</v>
      </c>
      <c r="K971" t="str">
        <f t="shared" si="68"/>
        <v>scale</v>
      </c>
    </row>
    <row r="972" spans="1:11" ht="115.2" x14ac:dyDescent="0.3">
      <c r="A972" t="s">
        <v>4798</v>
      </c>
      <c r="B972" t="s">
        <v>4880</v>
      </c>
      <c r="C972" s="90" t="s">
        <v>4881</v>
      </c>
      <c r="E972" t="s">
        <v>5562</v>
      </c>
      <c r="F972" s="91" t="s">
        <v>4881</v>
      </c>
      <c r="H972" t="str">
        <f t="shared" si="67"/>
        <v>unknown</v>
      </c>
      <c r="K972" t="str">
        <f t="shared" si="68"/>
        <v>scale</v>
      </c>
    </row>
    <row r="973" spans="1:11" ht="244.8" x14ac:dyDescent="0.3">
      <c r="A973" t="s">
        <v>4798</v>
      </c>
      <c r="B973" t="s">
        <v>4882</v>
      </c>
      <c r="C973" s="90" t="s">
        <v>4883</v>
      </c>
      <c r="E973" t="s">
        <v>5562</v>
      </c>
      <c r="F973" s="91" t="s">
        <v>4883</v>
      </c>
      <c r="H973" t="str">
        <f t="shared" si="67"/>
        <v>unknown</v>
      </c>
      <c r="K973" t="str">
        <f t="shared" si="68"/>
        <v>scale</v>
      </c>
    </row>
    <row r="974" spans="1:11" ht="28.8" x14ac:dyDescent="0.3">
      <c r="A974" t="s">
        <v>4798</v>
      </c>
      <c r="B974" t="s">
        <v>4137</v>
      </c>
      <c r="C974" s="90" t="s">
        <v>4312</v>
      </c>
      <c r="D974" t="s">
        <v>5561</v>
      </c>
      <c r="E974" t="s">
        <v>5560</v>
      </c>
      <c r="F974" s="92" t="s">
        <v>5612</v>
      </c>
      <c r="G974" t="str">
        <f>IF(EXACT($F974, $Q$1), "sector", "unknown")</f>
        <v>unknown</v>
      </c>
      <c r="H974" t="str">
        <f t="shared" si="67"/>
        <v>unknown</v>
      </c>
      <c r="I974" t="s">
        <v>5660</v>
      </c>
      <c r="J974" t="s">
        <v>5667</v>
      </c>
      <c r="K974" t="str">
        <f t="shared" si="68"/>
        <v>rephrase</v>
      </c>
    </row>
    <row r="975" spans="1:11" ht="28.8" x14ac:dyDescent="0.3">
      <c r="A975" t="s">
        <v>4798</v>
      </c>
      <c r="B975" t="s">
        <v>4884</v>
      </c>
      <c r="C975" s="90" t="s">
        <v>4313</v>
      </c>
      <c r="D975" t="s">
        <v>5561</v>
      </c>
      <c r="E975" t="s">
        <v>5560</v>
      </c>
      <c r="F975" s="92" t="s">
        <v>5613</v>
      </c>
      <c r="G975" t="str">
        <f>IF(EXACT($F975, $Q$1), "sector", "unknown")</f>
        <v>unknown</v>
      </c>
      <c r="H975" t="str">
        <f t="shared" si="67"/>
        <v>unknown</v>
      </c>
      <c r="I975" t="s">
        <v>5660</v>
      </c>
      <c r="J975" t="s">
        <v>5667</v>
      </c>
      <c r="K975" t="str">
        <f t="shared" si="68"/>
        <v>rephrase</v>
      </c>
    </row>
    <row r="976" spans="1:11" ht="28.8" x14ac:dyDescent="0.3">
      <c r="A976" t="s">
        <v>4798</v>
      </c>
      <c r="B976" t="s">
        <v>4885</v>
      </c>
      <c r="C976" s="90" t="s">
        <v>4313</v>
      </c>
      <c r="D976" t="s">
        <v>5561</v>
      </c>
      <c r="E976" t="s">
        <v>5560</v>
      </c>
      <c r="F976" s="92" t="s">
        <v>5613</v>
      </c>
      <c r="G976" t="str">
        <f>IF(EXACT($F976, $Q$1), "sector", "unknown")</f>
        <v>unknown</v>
      </c>
      <c r="H976" t="str">
        <f t="shared" si="67"/>
        <v>unknown</v>
      </c>
      <c r="I976" t="s">
        <v>5660</v>
      </c>
      <c r="J976" t="s">
        <v>5667</v>
      </c>
      <c r="K976" t="str">
        <f t="shared" si="68"/>
        <v>rephrase</v>
      </c>
    </row>
    <row r="977" spans="1:11" ht="28.8" x14ac:dyDescent="0.3">
      <c r="A977" t="s">
        <v>4798</v>
      </c>
      <c r="B977" t="s">
        <v>4886</v>
      </c>
      <c r="C977" s="90" t="s">
        <v>4887</v>
      </c>
      <c r="D977" t="s">
        <v>5561</v>
      </c>
      <c r="E977" t="s">
        <v>5560</v>
      </c>
      <c r="F977" s="92">
        <v>1973</v>
      </c>
      <c r="G977" t="str">
        <f>IF(EXACT($F977, $Q$1), "sector", "unknown")</f>
        <v>unknown</v>
      </c>
      <c r="H977" t="str">
        <f t="shared" si="67"/>
        <v>unknown</v>
      </c>
      <c r="I977" t="s">
        <v>5660</v>
      </c>
      <c r="J977" t="s">
        <v>5667</v>
      </c>
      <c r="K977" t="str">
        <f t="shared" si="68"/>
        <v>rephrase</v>
      </c>
    </row>
    <row r="978" spans="1:11" ht="72" x14ac:dyDescent="0.3">
      <c r="A978" t="s">
        <v>4798</v>
      </c>
      <c r="B978" t="s">
        <v>4011</v>
      </c>
      <c r="C978" s="90" t="s">
        <v>4888</v>
      </c>
      <c r="D978" t="s">
        <v>5561</v>
      </c>
      <c r="E978" t="s">
        <v>399</v>
      </c>
      <c r="F978" s="92" t="s">
        <v>5645</v>
      </c>
      <c r="H978" t="str">
        <f t="shared" si="67"/>
        <v>unknown</v>
      </c>
      <c r="K978" t="str">
        <f t="shared" si="68"/>
        <v>sector</v>
      </c>
    </row>
    <row r="979" spans="1:11" ht="331.2" x14ac:dyDescent="0.3">
      <c r="A979" t="s">
        <v>4798</v>
      </c>
      <c r="B979" t="s">
        <v>4889</v>
      </c>
      <c r="C979" s="90" t="s">
        <v>4890</v>
      </c>
      <c r="E979" t="s">
        <v>5562</v>
      </c>
      <c r="F979" s="91" t="s">
        <v>4890</v>
      </c>
      <c r="H979" t="str">
        <f t="shared" si="67"/>
        <v>unknown</v>
      </c>
      <c r="K979" t="str">
        <f t="shared" si="68"/>
        <v>scale</v>
      </c>
    </row>
    <row r="980" spans="1:11" ht="72" x14ac:dyDescent="0.3">
      <c r="A980" t="s">
        <v>4798</v>
      </c>
      <c r="B980" t="s">
        <v>4013</v>
      </c>
      <c r="C980" s="90" t="s">
        <v>4891</v>
      </c>
      <c r="D980" t="s">
        <v>5561</v>
      </c>
      <c r="E980" t="s">
        <v>399</v>
      </c>
      <c r="F980" s="92" t="s">
        <v>5646</v>
      </c>
      <c r="H980" t="str">
        <f t="shared" si="67"/>
        <v>unknown</v>
      </c>
      <c r="K980" t="str">
        <f t="shared" si="68"/>
        <v>sector</v>
      </c>
    </row>
    <row r="981" spans="1:11" ht="409.6" x14ac:dyDescent="0.3">
      <c r="A981" t="s">
        <v>4798</v>
      </c>
      <c r="B981" t="s">
        <v>4892</v>
      </c>
      <c r="C981" s="90" t="s">
        <v>4893</v>
      </c>
      <c r="E981" t="s">
        <v>5562</v>
      </c>
      <c r="F981" s="91" t="s">
        <v>4893</v>
      </c>
      <c r="H981" t="str">
        <f t="shared" si="67"/>
        <v>unknown</v>
      </c>
      <c r="K981" t="str">
        <f t="shared" si="68"/>
        <v>scale</v>
      </c>
    </row>
    <row r="982" spans="1:11" ht="43.2" x14ac:dyDescent="0.3">
      <c r="A982" t="s">
        <v>4798</v>
      </c>
      <c r="B982" t="s">
        <v>4894</v>
      </c>
      <c r="C982" s="90" t="s">
        <v>4895</v>
      </c>
      <c r="D982" t="s">
        <v>5561</v>
      </c>
      <c r="E982" t="s">
        <v>5560</v>
      </c>
      <c r="F982" s="92" t="s">
        <v>5647</v>
      </c>
      <c r="G982" t="str">
        <f>IF(EXACT($F982, $Q$1), "sector", "unknown")</f>
        <v>unknown</v>
      </c>
      <c r="H982" t="str">
        <f t="shared" si="67"/>
        <v>unknown</v>
      </c>
      <c r="I982" t="s">
        <v>5668</v>
      </c>
      <c r="K982" t="str">
        <f t="shared" si="68"/>
        <v>specialValue</v>
      </c>
    </row>
    <row r="983" spans="1:11" ht="129.6" x14ac:dyDescent="0.3">
      <c r="A983" t="s">
        <v>4798</v>
      </c>
      <c r="B983" t="s">
        <v>4896</v>
      </c>
      <c r="C983" s="90" t="s">
        <v>4897</v>
      </c>
      <c r="E983" t="s">
        <v>5562</v>
      </c>
      <c r="F983" s="91" t="s">
        <v>4897</v>
      </c>
      <c r="H983" t="str">
        <f t="shared" si="67"/>
        <v>unknown</v>
      </c>
      <c r="K983" t="str">
        <f t="shared" si="68"/>
        <v>scale</v>
      </c>
    </row>
    <row r="984" spans="1:11" ht="86.4" x14ac:dyDescent="0.3">
      <c r="A984" t="s">
        <v>4798</v>
      </c>
      <c r="B984" t="s">
        <v>4898</v>
      </c>
      <c r="C984" s="90" t="s">
        <v>4899</v>
      </c>
      <c r="E984" t="s">
        <v>5562</v>
      </c>
      <c r="F984" s="91" t="s">
        <v>4899</v>
      </c>
      <c r="H984" t="str">
        <f t="shared" si="67"/>
        <v>unknown</v>
      </c>
      <c r="K984" t="str">
        <f t="shared" si="68"/>
        <v>scale</v>
      </c>
    </row>
    <row r="985" spans="1:11" ht="115.2" x14ac:dyDescent="0.3">
      <c r="A985" t="s">
        <v>4798</v>
      </c>
      <c r="B985" t="s">
        <v>4900</v>
      </c>
      <c r="C985" s="90" t="s">
        <v>4901</v>
      </c>
      <c r="E985" t="s">
        <v>5562</v>
      </c>
      <c r="F985" s="91" t="s">
        <v>4901</v>
      </c>
      <c r="H985" t="str">
        <f t="shared" si="67"/>
        <v>unknown</v>
      </c>
      <c r="K985" t="str">
        <f t="shared" si="68"/>
        <v>scale</v>
      </c>
    </row>
    <row r="986" spans="1:11" ht="115.2" x14ac:dyDescent="0.3">
      <c r="A986" t="s">
        <v>4798</v>
      </c>
      <c r="B986" t="s">
        <v>4902</v>
      </c>
      <c r="C986" s="90" t="s">
        <v>4903</v>
      </c>
      <c r="E986" t="s">
        <v>5562</v>
      </c>
      <c r="F986" s="91" t="s">
        <v>4903</v>
      </c>
      <c r="H986" t="str">
        <f t="shared" si="67"/>
        <v>unknown</v>
      </c>
      <c r="K986" t="str">
        <f t="shared" si="68"/>
        <v>scale</v>
      </c>
    </row>
    <row r="987" spans="1:11" ht="115.2" x14ac:dyDescent="0.3">
      <c r="A987" t="s">
        <v>4798</v>
      </c>
      <c r="B987" t="s">
        <v>4904</v>
      </c>
      <c r="C987" s="90" t="s">
        <v>4905</v>
      </c>
      <c r="E987" t="s">
        <v>5562</v>
      </c>
      <c r="F987" s="91" t="s">
        <v>4905</v>
      </c>
      <c r="H987" t="str">
        <f t="shared" si="67"/>
        <v>unknown</v>
      </c>
      <c r="K987" t="str">
        <f t="shared" si="68"/>
        <v>scale</v>
      </c>
    </row>
    <row r="988" spans="1:11" ht="129.6" x14ac:dyDescent="0.3">
      <c r="A988" t="s">
        <v>4798</v>
      </c>
      <c r="B988" t="s">
        <v>4906</v>
      </c>
      <c r="C988" s="90" t="s">
        <v>4907</v>
      </c>
      <c r="E988" t="s">
        <v>5562</v>
      </c>
      <c r="F988" s="91" t="s">
        <v>4907</v>
      </c>
      <c r="H988" t="str">
        <f t="shared" si="67"/>
        <v>unknown</v>
      </c>
      <c r="K988" t="str">
        <f t="shared" si="68"/>
        <v>scale</v>
      </c>
    </row>
    <row r="989" spans="1:11" ht="158.4" x14ac:dyDescent="0.3">
      <c r="A989" t="s">
        <v>4798</v>
      </c>
      <c r="B989" t="s">
        <v>4908</v>
      </c>
      <c r="C989" s="90" t="s">
        <v>4909</v>
      </c>
      <c r="E989" t="s">
        <v>5562</v>
      </c>
      <c r="F989" s="91" t="s">
        <v>4909</v>
      </c>
      <c r="H989" t="str">
        <f t="shared" si="67"/>
        <v>unknown</v>
      </c>
      <c r="K989" t="str">
        <f t="shared" si="68"/>
        <v>scale</v>
      </c>
    </row>
    <row r="990" spans="1:11" ht="115.2" x14ac:dyDescent="0.3">
      <c r="A990" t="s">
        <v>4798</v>
      </c>
      <c r="B990" t="s">
        <v>3702</v>
      </c>
      <c r="C990" s="90" t="s">
        <v>4910</v>
      </c>
      <c r="E990" t="s">
        <v>5562</v>
      </c>
      <c r="F990" s="91" t="s">
        <v>4910</v>
      </c>
      <c r="H990" t="str">
        <f t="shared" si="67"/>
        <v>unknown</v>
      </c>
      <c r="K990" t="str">
        <f t="shared" si="68"/>
        <v>scale</v>
      </c>
    </row>
    <row r="991" spans="1:11" ht="187.2" x14ac:dyDescent="0.3">
      <c r="A991" t="s">
        <v>4798</v>
      </c>
      <c r="B991" t="s">
        <v>4911</v>
      </c>
      <c r="C991" s="90" t="s">
        <v>4912</v>
      </c>
      <c r="E991" t="s">
        <v>5562</v>
      </c>
      <c r="F991" s="91" t="s">
        <v>4912</v>
      </c>
      <c r="H991" t="str">
        <f t="shared" si="67"/>
        <v>unknown</v>
      </c>
      <c r="K991" t="str">
        <f t="shared" si="68"/>
        <v>scale</v>
      </c>
    </row>
    <row r="992" spans="1:11" ht="129.6" x14ac:dyDescent="0.3">
      <c r="A992" t="s">
        <v>4798</v>
      </c>
      <c r="B992" t="s">
        <v>4913</v>
      </c>
      <c r="C992" s="90" t="s">
        <v>4914</v>
      </c>
      <c r="E992" t="s">
        <v>5562</v>
      </c>
      <c r="F992" s="91" t="s">
        <v>4914</v>
      </c>
      <c r="H992" t="str">
        <f t="shared" si="67"/>
        <v>unknown</v>
      </c>
      <c r="K992" t="str">
        <f t="shared" si="68"/>
        <v>scale</v>
      </c>
    </row>
    <row r="993" spans="1:11" ht="115.2" x14ac:dyDescent="0.3">
      <c r="A993" t="s">
        <v>4798</v>
      </c>
      <c r="B993" t="s">
        <v>4915</v>
      </c>
      <c r="C993" s="90" t="s">
        <v>4916</v>
      </c>
      <c r="E993" t="s">
        <v>5562</v>
      </c>
      <c r="F993" s="91" t="s">
        <v>4916</v>
      </c>
      <c r="H993" t="str">
        <f t="shared" si="67"/>
        <v>unknown</v>
      </c>
      <c r="K993" t="str">
        <f t="shared" si="68"/>
        <v>scale</v>
      </c>
    </row>
    <row r="994" spans="1:11" ht="216" x14ac:dyDescent="0.3">
      <c r="A994" t="s">
        <v>4798</v>
      </c>
      <c r="B994" t="s">
        <v>4917</v>
      </c>
      <c r="C994" s="90" t="s">
        <v>4918</v>
      </c>
      <c r="E994" t="s">
        <v>5562</v>
      </c>
      <c r="F994" s="91" t="s">
        <v>4918</v>
      </c>
      <c r="H994" t="str">
        <f t="shared" si="67"/>
        <v>unknown</v>
      </c>
      <c r="K994" t="str">
        <f t="shared" si="68"/>
        <v>scale</v>
      </c>
    </row>
    <row r="995" spans="1:11" ht="316.8" x14ac:dyDescent="0.3">
      <c r="A995" t="s">
        <v>4798</v>
      </c>
      <c r="B995" t="s">
        <v>4919</v>
      </c>
      <c r="C995" s="90" t="s">
        <v>4920</v>
      </c>
      <c r="E995" t="s">
        <v>5562</v>
      </c>
      <c r="F995" s="91" t="s">
        <v>4920</v>
      </c>
      <c r="H995" t="str">
        <f t="shared" si="67"/>
        <v>unknown</v>
      </c>
      <c r="K995" t="str">
        <f t="shared" si="68"/>
        <v>scale</v>
      </c>
    </row>
    <row r="996" spans="1:11" ht="100.8" x14ac:dyDescent="0.3">
      <c r="A996" t="s">
        <v>4798</v>
      </c>
      <c r="B996" t="s">
        <v>4921</v>
      </c>
      <c r="C996" s="90" t="s">
        <v>4922</v>
      </c>
      <c r="E996" t="s">
        <v>5562</v>
      </c>
      <c r="F996" s="91" t="s">
        <v>4922</v>
      </c>
      <c r="H996" t="str">
        <f t="shared" si="67"/>
        <v>unknown</v>
      </c>
      <c r="K996" t="str">
        <f t="shared" si="68"/>
        <v>scale</v>
      </c>
    </row>
    <row r="997" spans="1:11" ht="100.8" x14ac:dyDescent="0.3">
      <c r="A997" t="s">
        <v>4798</v>
      </c>
      <c r="B997" t="s">
        <v>4923</v>
      </c>
      <c r="C997" s="90" t="s">
        <v>4924</v>
      </c>
      <c r="E997" t="s">
        <v>5562</v>
      </c>
      <c r="F997" s="91" t="s">
        <v>4924</v>
      </c>
      <c r="H997" t="str">
        <f t="shared" si="67"/>
        <v>unknown</v>
      </c>
      <c r="K997" t="str">
        <f t="shared" si="68"/>
        <v>scale</v>
      </c>
    </row>
    <row r="998" spans="1:11" ht="129.6" x14ac:dyDescent="0.3">
      <c r="A998" t="s">
        <v>4798</v>
      </c>
      <c r="B998" t="s">
        <v>4925</v>
      </c>
      <c r="C998" s="90" t="s">
        <v>4926</v>
      </c>
      <c r="E998" t="s">
        <v>5562</v>
      </c>
      <c r="F998" s="91" t="s">
        <v>4926</v>
      </c>
      <c r="H998" t="str">
        <f t="shared" si="67"/>
        <v>unknown</v>
      </c>
      <c r="K998" t="str">
        <f t="shared" si="68"/>
        <v>scale</v>
      </c>
    </row>
    <row r="999" spans="1:11" ht="129.6" x14ac:dyDescent="0.3">
      <c r="A999" t="s">
        <v>4798</v>
      </c>
      <c r="B999" t="s">
        <v>4927</v>
      </c>
      <c r="C999" s="90" t="s">
        <v>4928</v>
      </c>
      <c r="E999" t="s">
        <v>5562</v>
      </c>
      <c r="F999" s="91" t="s">
        <v>4928</v>
      </c>
      <c r="H999" t="str">
        <f t="shared" si="67"/>
        <v>unknown</v>
      </c>
      <c r="K999" t="str">
        <f t="shared" si="68"/>
        <v>scale</v>
      </c>
    </row>
    <row r="1000" spans="1:11" ht="100.8" x14ac:dyDescent="0.3">
      <c r="A1000" t="s">
        <v>4798</v>
      </c>
      <c r="B1000" t="s">
        <v>4929</v>
      </c>
      <c r="C1000" s="90" t="s">
        <v>4924</v>
      </c>
      <c r="E1000" t="s">
        <v>5562</v>
      </c>
      <c r="F1000" s="91" t="s">
        <v>4924</v>
      </c>
      <c r="H1000" t="str">
        <f t="shared" si="67"/>
        <v>unknown</v>
      </c>
      <c r="K1000" t="str">
        <f t="shared" si="68"/>
        <v>scale</v>
      </c>
    </row>
    <row r="1001" spans="1:11" ht="100.8" x14ac:dyDescent="0.3">
      <c r="A1001" t="s">
        <v>4798</v>
      </c>
      <c r="B1001" t="s">
        <v>3723</v>
      </c>
      <c r="C1001" s="90" t="s">
        <v>4930</v>
      </c>
      <c r="E1001" t="s">
        <v>5562</v>
      </c>
      <c r="F1001" s="91" t="s">
        <v>4930</v>
      </c>
      <c r="H1001" t="str">
        <f t="shared" si="67"/>
        <v>unknown</v>
      </c>
      <c r="K1001" t="str">
        <f t="shared" si="68"/>
        <v>scale</v>
      </c>
    </row>
    <row r="1002" spans="1:11" ht="115.2" x14ac:dyDescent="0.3">
      <c r="A1002" t="s">
        <v>4798</v>
      </c>
      <c r="B1002" t="s">
        <v>4931</v>
      </c>
      <c r="C1002" s="90" t="s">
        <v>4932</v>
      </c>
      <c r="E1002" t="s">
        <v>5562</v>
      </c>
      <c r="F1002" s="91" t="s">
        <v>4932</v>
      </c>
      <c r="H1002" t="str">
        <f t="shared" si="67"/>
        <v>unknown</v>
      </c>
      <c r="K1002" t="str">
        <f t="shared" si="68"/>
        <v>scale</v>
      </c>
    </row>
    <row r="1003" spans="1:11" ht="115.2" x14ac:dyDescent="0.3">
      <c r="A1003" t="s">
        <v>4798</v>
      </c>
      <c r="B1003" t="s">
        <v>3727</v>
      </c>
      <c r="C1003" s="90" t="s">
        <v>4932</v>
      </c>
      <c r="E1003" t="s">
        <v>5562</v>
      </c>
      <c r="F1003" s="91" t="s">
        <v>4932</v>
      </c>
      <c r="H1003" t="str">
        <f t="shared" si="67"/>
        <v>unknown</v>
      </c>
      <c r="K1003" t="str">
        <f t="shared" si="68"/>
        <v>scale</v>
      </c>
    </row>
    <row r="1004" spans="1:11" ht="43.2" x14ac:dyDescent="0.3">
      <c r="A1004" t="s">
        <v>4798</v>
      </c>
      <c r="B1004" t="s">
        <v>4933</v>
      </c>
      <c r="C1004" s="90" t="s">
        <v>3383</v>
      </c>
      <c r="E1004" t="s">
        <v>5562</v>
      </c>
      <c r="F1004" s="91" t="s">
        <v>3383</v>
      </c>
      <c r="H1004" t="str">
        <f t="shared" si="67"/>
        <v>unknown</v>
      </c>
      <c r="K1004" t="str">
        <f t="shared" si="68"/>
        <v>scale</v>
      </c>
    </row>
    <row r="1005" spans="1:11" ht="115.2" x14ac:dyDescent="0.3">
      <c r="A1005" t="s">
        <v>4798</v>
      </c>
      <c r="B1005" t="s">
        <v>4934</v>
      </c>
      <c r="C1005" s="90" t="s">
        <v>4932</v>
      </c>
      <c r="E1005" t="s">
        <v>5562</v>
      </c>
      <c r="F1005" s="91" t="s">
        <v>4932</v>
      </c>
      <c r="H1005" t="str">
        <f t="shared" si="67"/>
        <v>unknown</v>
      </c>
      <c r="K1005" t="str">
        <f t="shared" si="68"/>
        <v>scale</v>
      </c>
    </row>
    <row r="1006" spans="1:11" ht="158.4" x14ac:dyDescent="0.3">
      <c r="A1006" t="s">
        <v>4798</v>
      </c>
      <c r="B1006" t="s">
        <v>4935</v>
      </c>
      <c r="C1006" s="90" t="s">
        <v>4936</v>
      </c>
      <c r="E1006" t="s">
        <v>5562</v>
      </c>
      <c r="F1006" s="91" t="s">
        <v>4936</v>
      </c>
      <c r="H1006" t="str">
        <f t="shared" si="67"/>
        <v>unknown</v>
      </c>
      <c r="K1006" t="str">
        <f t="shared" si="68"/>
        <v>scale</v>
      </c>
    </row>
    <row r="1007" spans="1:11" ht="28.8" x14ac:dyDescent="0.3">
      <c r="A1007" t="s">
        <v>4937</v>
      </c>
      <c r="B1007" t="s">
        <v>4938</v>
      </c>
      <c r="C1007" s="90" t="s">
        <v>3996</v>
      </c>
      <c r="D1007" t="s">
        <v>5561</v>
      </c>
      <c r="E1007" t="s">
        <v>5560</v>
      </c>
      <c r="F1007" s="92" t="s">
        <v>5593</v>
      </c>
      <c r="G1007" t="s">
        <v>399</v>
      </c>
      <c r="H1007" t="str">
        <f t="shared" si="67"/>
        <v>unknown</v>
      </c>
      <c r="K1007" t="str">
        <f t="shared" si="68"/>
        <v>sector</v>
      </c>
    </row>
    <row r="1008" spans="1:11" ht="230.4" x14ac:dyDescent="0.3">
      <c r="A1008" t="s">
        <v>4937</v>
      </c>
      <c r="B1008" t="s">
        <v>3562</v>
      </c>
      <c r="C1008" s="90" t="s">
        <v>4939</v>
      </c>
      <c r="E1008" t="s">
        <v>5562</v>
      </c>
      <c r="F1008" s="91" t="s">
        <v>4939</v>
      </c>
      <c r="H1008" t="str">
        <f t="shared" si="67"/>
        <v>unknown</v>
      </c>
      <c r="K1008" t="str">
        <f t="shared" si="68"/>
        <v>scale</v>
      </c>
    </row>
    <row r="1009" spans="1:11" ht="28.8" x14ac:dyDescent="0.3">
      <c r="A1009" t="s">
        <v>4937</v>
      </c>
      <c r="B1009" t="s">
        <v>4064</v>
      </c>
      <c r="C1009" s="90" t="s">
        <v>3996</v>
      </c>
      <c r="D1009" t="s">
        <v>5561</v>
      </c>
      <c r="E1009" t="s">
        <v>5560</v>
      </c>
      <c r="F1009" s="92" t="s">
        <v>5593</v>
      </c>
      <c r="G1009" t="s">
        <v>399</v>
      </c>
      <c r="H1009" t="str">
        <f t="shared" si="67"/>
        <v>unknown</v>
      </c>
      <c r="K1009" t="str">
        <f t="shared" si="68"/>
        <v>sector</v>
      </c>
    </row>
    <row r="1010" spans="1:11" ht="244.8" x14ac:dyDescent="0.3">
      <c r="A1010" t="s">
        <v>4937</v>
      </c>
      <c r="B1010" t="s">
        <v>3316</v>
      </c>
      <c r="C1010" s="90" t="s">
        <v>4940</v>
      </c>
      <c r="E1010" t="s">
        <v>5562</v>
      </c>
      <c r="F1010" s="91" t="s">
        <v>4940</v>
      </c>
      <c r="H1010" t="str">
        <f t="shared" si="67"/>
        <v>unknown</v>
      </c>
      <c r="K1010" t="str">
        <f t="shared" si="68"/>
        <v>scale</v>
      </c>
    </row>
    <row r="1011" spans="1:11" ht="28.8" x14ac:dyDescent="0.3">
      <c r="A1011" t="s">
        <v>4937</v>
      </c>
      <c r="B1011" t="s">
        <v>4807</v>
      </c>
      <c r="C1011" s="90" t="s">
        <v>4941</v>
      </c>
      <c r="D1011" t="s">
        <v>5561</v>
      </c>
      <c r="E1011" t="s">
        <v>399</v>
      </c>
      <c r="F1011" s="92" t="s">
        <v>5648</v>
      </c>
      <c r="H1011" t="str">
        <f t="shared" si="67"/>
        <v>unknown</v>
      </c>
      <c r="K1011" t="str">
        <f t="shared" si="68"/>
        <v>sector</v>
      </c>
    </row>
    <row r="1012" spans="1:11" ht="115.2" x14ac:dyDescent="0.3">
      <c r="A1012" t="s">
        <v>4937</v>
      </c>
      <c r="B1012" t="s">
        <v>4942</v>
      </c>
      <c r="C1012" s="90" t="s">
        <v>4943</v>
      </c>
      <c r="E1012" t="s">
        <v>5562</v>
      </c>
      <c r="F1012" s="91" t="s">
        <v>4943</v>
      </c>
      <c r="H1012" t="str">
        <f t="shared" si="67"/>
        <v>unknown</v>
      </c>
      <c r="K1012" t="str">
        <f t="shared" si="68"/>
        <v>scale</v>
      </c>
    </row>
    <row r="1013" spans="1:11" ht="28.8" x14ac:dyDescent="0.3">
      <c r="A1013" t="s">
        <v>4937</v>
      </c>
      <c r="B1013" t="s">
        <v>4070</v>
      </c>
      <c r="C1013" s="90" t="s">
        <v>3354</v>
      </c>
      <c r="D1013" t="s">
        <v>5561</v>
      </c>
      <c r="E1013" t="s">
        <v>5560</v>
      </c>
      <c r="F1013" s="92" t="s">
        <v>5567</v>
      </c>
      <c r="G1013" t="str">
        <f>IF(EXACT($F1013, $Q$1), "sector", "unknown")</f>
        <v>sector</v>
      </c>
      <c r="H1013" t="str">
        <f t="shared" si="67"/>
        <v>unknown</v>
      </c>
      <c r="K1013" t="str">
        <f t="shared" si="68"/>
        <v>sector</v>
      </c>
    </row>
    <row r="1014" spans="1:11" ht="216" x14ac:dyDescent="0.3">
      <c r="A1014" t="s">
        <v>4937</v>
      </c>
      <c r="B1014" t="s">
        <v>4944</v>
      </c>
      <c r="C1014" s="90" t="s">
        <v>4945</v>
      </c>
      <c r="E1014" t="s">
        <v>5562</v>
      </c>
      <c r="F1014" s="91" t="s">
        <v>4945</v>
      </c>
      <c r="H1014" t="str">
        <f t="shared" si="67"/>
        <v>unknown</v>
      </c>
      <c r="K1014" t="str">
        <f t="shared" si="68"/>
        <v>scale</v>
      </c>
    </row>
    <row r="1015" spans="1:11" ht="115.2" x14ac:dyDescent="0.3">
      <c r="A1015" t="s">
        <v>4937</v>
      </c>
      <c r="B1015" t="s">
        <v>4946</v>
      </c>
      <c r="C1015" s="90" t="s">
        <v>4947</v>
      </c>
      <c r="E1015" t="s">
        <v>5562</v>
      </c>
      <c r="F1015" s="91" t="s">
        <v>4947</v>
      </c>
      <c r="H1015" t="str">
        <f t="shared" si="67"/>
        <v>unknown</v>
      </c>
      <c r="K1015" t="str">
        <f t="shared" si="68"/>
        <v>scale</v>
      </c>
    </row>
    <row r="1016" spans="1:11" ht="86.4" x14ac:dyDescent="0.3">
      <c r="A1016" t="s">
        <v>4937</v>
      </c>
      <c r="B1016" t="s">
        <v>4948</v>
      </c>
      <c r="C1016" s="90" t="s">
        <v>4949</v>
      </c>
      <c r="E1016" t="s">
        <v>5562</v>
      </c>
      <c r="F1016" s="91" t="s">
        <v>4949</v>
      </c>
      <c r="H1016" t="str">
        <f t="shared" si="67"/>
        <v>unknown</v>
      </c>
      <c r="K1016" t="str">
        <f t="shared" si="68"/>
        <v>scale</v>
      </c>
    </row>
    <row r="1017" spans="1:11" ht="115.2" x14ac:dyDescent="0.3">
      <c r="A1017" t="s">
        <v>4937</v>
      </c>
      <c r="B1017" t="s">
        <v>4950</v>
      </c>
      <c r="C1017" s="90" t="s">
        <v>4951</v>
      </c>
      <c r="E1017" t="s">
        <v>5562</v>
      </c>
      <c r="F1017" s="91" t="s">
        <v>4951</v>
      </c>
      <c r="H1017" t="str">
        <f t="shared" si="67"/>
        <v>unknown</v>
      </c>
      <c r="K1017" t="str">
        <f t="shared" si="68"/>
        <v>scale</v>
      </c>
    </row>
    <row r="1018" spans="1:11" ht="100.8" x14ac:dyDescent="0.3">
      <c r="A1018" t="s">
        <v>4937</v>
      </c>
      <c r="B1018" t="s">
        <v>4952</v>
      </c>
      <c r="C1018" s="90" t="s">
        <v>4953</v>
      </c>
      <c r="E1018" t="s">
        <v>5562</v>
      </c>
      <c r="F1018" s="91" t="s">
        <v>4953</v>
      </c>
      <c r="H1018" t="str">
        <f t="shared" si="67"/>
        <v>unknown</v>
      </c>
      <c r="K1018" t="str">
        <f t="shared" si="68"/>
        <v>scale</v>
      </c>
    </row>
    <row r="1019" spans="1:11" ht="100.8" x14ac:dyDescent="0.3">
      <c r="A1019" t="s">
        <v>4937</v>
      </c>
      <c r="B1019" t="s">
        <v>4726</v>
      </c>
      <c r="C1019" s="90" t="s">
        <v>4953</v>
      </c>
      <c r="E1019" t="s">
        <v>5562</v>
      </c>
      <c r="F1019" s="91" t="s">
        <v>4953</v>
      </c>
      <c r="H1019" t="str">
        <f t="shared" si="67"/>
        <v>unknown</v>
      </c>
      <c r="K1019" t="str">
        <f t="shared" si="68"/>
        <v>scale</v>
      </c>
    </row>
    <row r="1020" spans="1:11" ht="57.6" x14ac:dyDescent="0.3">
      <c r="A1020" t="s">
        <v>4937</v>
      </c>
      <c r="B1020" t="s">
        <v>4954</v>
      </c>
      <c r="C1020" s="90" t="s">
        <v>4955</v>
      </c>
      <c r="E1020" t="s">
        <v>5562</v>
      </c>
      <c r="F1020" s="91" t="s">
        <v>4955</v>
      </c>
      <c r="H1020" t="str">
        <f t="shared" si="67"/>
        <v>unknown</v>
      </c>
      <c r="K1020" t="str">
        <f t="shared" si="68"/>
        <v>scale</v>
      </c>
    </row>
    <row r="1021" spans="1:11" ht="230.4" x14ac:dyDescent="0.3">
      <c r="A1021" t="s">
        <v>4937</v>
      </c>
      <c r="B1021" t="s">
        <v>4956</v>
      </c>
      <c r="C1021" s="90" t="s">
        <v>4957</v>
      </c>
      <c r="E1021" t="s">
        <v>5562</v>
      </c>
      <c r="F1021" s="91" t="s">
        <v>4957</v>
      </c>
      <c r="H1021" t="str">
        <f t="shared" si="67"/>
        <v>unknown</v>
      </c>
      <c r="K1021" t="str">
        <f t="shared" si="68"/>
        <v>scale</v>
      </c>
    </row>
    <row r="1022" spans="1:11" ht="86.4" x14ac:dyDescent="0.3">
      <c r="A1022" t="s">
        <v>4937</v>
      </c>
      <c r="B1022" t="s">
        <v>4958</v>
      </c>
      <c r="C1022" s="90" t="s">
        <v>4874</v>
      </c>
      <c r="E1022" t="s">
        <v>5562</v>
      </c>
      <c r="F1022" s="91" t="s">
        <v>4874</v>
      </c>
      <c r="H1022" t="str">
        <f t="shared" si="67"/>
        <v>unknown</v>
      </c>
      <c r="K1022" t="str">
        <f t="shared" si="68"/>
        <v>scale</v>
      </c>
    </row>
    <row r="1023" spans="1:11" ht="388.8" x14ac:dyDescent="0.3">
      <c r="A1023" t="s">
        <v>4937</v>
      </c>
      <c r="B1023" t="s">
        <v>4074</v>
      </c>
      <c r="C1023" s="90" t="s">
        <v>4959</v>
      </c>
      <c r="E1023" t="s">
        <v>5562</v>
      </c>
      <c r="F1023" s="91" t="s">
        <v>4959</v>
      </c>
      <c r="H1023" t="str">
        <f t="shared" si="67"/>
        <v>unknown</v>
      </c>
      <c r="K1023" t="str">
        <f t="shared" si="68"/>
        <v>scale</v>
      </c>
    </row>
    <row r="1024" spans="1:11" ht="115.2" x14ac:dyDescent="0.3">
      <c r="A1024" t="s">
        <v>4937</v>
      </c>
      <c r="B1024" t="s">
        <v>4960</v>
      </c>
      <c r="C1024" s="90" t="s">
        <v>4961</v>
      </c>
      <c r="E1024" t="s">
        <v>5562</v>
      </c>
      <c r="F1024" s="91" t="s">
        <v>4961</v>
      </c>
      <c r="H1024" t="str">
        <f t="shared" si="67"/>
        <v>unknown</v>
      </c>
      <c r="K1024" t="str">
        <f t="shared" si="68"/>
        <v>scale</v>
      </c>
    </row>
    <row r="1025" spans="1:11" ht="115.2" x14ac:dyDescent="0.3">
      <c r="A1025" t="s">
        <v>4937</v>
      </c>
      <c r="B1025" t="s">
        <v>4306</v>
      </c>
      <c r="C1025" s="90" t="s">
        <v>4961</v>
      </c>
      <c r="E1025" t="s">
        <v>5562</v>
      </c>
      <c r="F1025" s="91" t="s">
        <v>4961</v>
      </c>
      <c r="H1025" t="str">
        <f t="shared" si="67"/>
        <v>unknown</v>
      </c>
      <c r="K1025" t="str">
        <f t="shared" si="68"/>
        <v>scale</v>
      </c>
    </row>
    <row r="1026" spans="1:11" ht="115.2" x14ac:dyDescent="0.3">
      <c r="A1026" t="s">
        <v>4937</v>
      </c>
      <c r="B1026" t="s">
        <v>4962</v>
      </c>
      <c r="C1026" s="90" t="s">
        <v>4961</v>
      </c>
      <c r="E1026" t="s">
        <v>5562</v>
      </c>
      <c r="F1026" s="91" t="s">
        <v>4961</v>
      </c>
      <c r="H1026" t="str">
        <f t="shared" ref="H1026:H1089" si="69">IF(EXACT(F1026,$W$1), "open", IF(EXACT(F1026,$X$1), "open", "unknown"))</f>
        <v>unknown</v>
      </c>
      <c r="K1026" t="str">
        <f t="shared" ref="K1026:K1089" si="70">IF(AND(E1026&lt;&gt;"", E1026&lt;&gt;"unknown"), E1026,
   IF(AND(G1026&lt;&gt;"", G1026&lt;&gt;"unknown"), G1026,
   IF(AND(H1026&lt;&gt;"", H1026&lt;&gt;"unknown"), H1026,
   IF(I1026&lt;&gt;"", I1026, "ERROR"))))</f>
        <v>scale</v>
      </c>
    </row>
    <row r="1027" spans="1:11" ht="115.2" x14ac:dyDescent="0.3">
      <c r="A1027" t="s">
        <v>4937</v>
      </c>
      <c r="B1027" t="s">
        <v>4963</v>
      </c>
      <c r="C1027" s="90" t="s">
        <v>3642</v>
      </c>
      <c r="E1027" t="s">
        <v>5562</v>
      </c>
      <c r="F1027" s="91" t="s">
        <v>3642</v>
      </c>
      <c r="H1027" t="str">
        <f t="shared" si="69"/>
        <v>unknown</v>
      </c>
      <c r="K1027" t="str">
        <f t="shared" si="70"/>
        <v>scale</v>
      </c>
    </row>
    <row r="1028" spans="1:11" ht="43.2" x14ac:dyDescent="0.3">
      <c r="A1028" t="s">
        <v>4937</v>
      </c>
      <c r="B1028" t="s">
        <v>4964</v>
      </c>
      <c r="C1028" s="90" t="s">
        <v>3644</v>
      </c>
      <c r="E1028" t="s">
        <v>5562</v>
      </c>
      <c r="F1028" s="91" t="s">
        <v>3644</v>
      </c>
      <c r="H1028" t="str">
        <f t="shared" si="69"/>
        <v>unknown</v>
      </c>
      <c r="K1028" t="str">
        <f t="shared" si="70"/>
        <v>scale</v>
      </c>
    </row>
    <row r="1029" spans="1:11" ht="86.4" x14ac:dyDescent="0.3">
      <c r="A1029" t="s">
        <v>4937</v>
      </c>
      <c r="B1029" t="s">
        <v>4965</v>
      </c>
      <c r="C1029" s="90" t="s">
        <v>4966</v>
      </c>
      <c r="E1029" t="s">
        <v>5562</v>
      </c>
      <c r="F1029" s="91" t="s">
        <v>4966</v>
      </c>
      <c r="H1029" t="str">
        <f t="shared" si="69"/>
        <v>unknown</v>
      </c>
      <c r="K1029" t="str">
        <f t="shared" si="70"/>
        <v>scale</v>
      </c>
    </row>
    <row r="1030" spans="1:11" ht="115.2" x14ac:dyDescent="0.3">
      <c r="A1030" t="s">
        <v>4937</v>
      </c>
      <c r="B1030" t="s">
        <v>4967</v>
      </c>
      <c r="C1030" s="90" t="s">
        <v>4968</v>
      </c>
      <c r="E1030" t="s">
        <v>5562</v>
      </c>
      <c r="F1030" s="91" t="s">
        <v>4968</v>
      </c>
      <c r="H1030" t="str">
        <f t="shared" si="69"/>
        <v>unknown</v>
      </c>
      <c r="K1030" t="str">
        <f t="shared" si="70"/>
        <v>scale</v>
      </c>
    </row>
    <row r="1031" spans="1:11" ht="144" x14ac:dyDescent="0.3">
      <c r="A1031" t="s">
        <v>4937</v>
      </c>
      <c r="B1031" t="s">
        <v>4969</v>
      </c>
      <c r="C1031" s="90" t="s">
        <v>4970</v>
      </c>
      <c r="E1031" t="s">
        <v>5562</v>
      </c>
      <c r="F1031" s="91" t="s">
        <v>4970</v>
      </c>
      <c r="H1031" t="str">
        <f t="shared" si="69"/>
        <v>unknown</v>
      </c>
      <c r="K1031" t="str">
        <f t="shared" si="70"/>
        <v>scale</v>
      </c>
    </row>
    <row r="1032" spans="1:11" ht="144" x14ac:dyDescent="0.3">
      <c r="A1032" t="s">
        <v>4937</v>
      </c>
      <c r="B1032" t="s">
        <v>4971</v>
      </c>
      <c r="C1032" s="90" t="s">
        <v>4972</v>
      </c>
      <c r="E1032" t="s">
        <v>5562</v>
      </c>
      <c r="F1032" s="91" t="s">
        <v>4972</v>
      </c>
      <c r="H1032" t="str">
        <f t="shared" si="69"/>
        <v>unknown</v>
      </c>
      <c r="K1032" t="str">
        <f t="shared" si="70"/>
        <v>scale</v>
      </c>
    </row>
    <row r="1033" spans="1:11" ht="129.6" x14ac:dyDescent="0.3">
      <c r="A1033" t="s">
        <v>4937</v>
      </c>
      <c r="B1033" t="s">
        <v>3831</v>
      </c>
      <c r="C1033" s="90" t="s">
        <v>4973</v>
      </c>
      <c r="E1033" t="s">
        <v>5562</v>
      </c>
      <c r="F1033" s="91" t="s">
        <v>4973</v>
      </c>
      <c r="H1033" t="str">
        <f t="shared" si="69"/>
        <v>unknown</v>
      </c>
      <c r="K1033" t="str">
        <f t="shared" si="70"/>
        <v>scale</v>
      </c>
    </row>
    <row r="1034" spans="1:11" ht="144" x14ac:dyDescent="0.3">
      <c r="A1034" t="s">
        <v>4937</v>
      </c>
      <c r="B1034" t="s">
        <v>3832</v>
      </c>
      <c r="C1034" s="90" t="s">
        <v>4974</v>
      </c>
      <c r="E1034" t="s">
        <v>5562</v>
      </c>
      <c r="F1034" s="91" t="s">
        <v>4974</v>
      </c>
      <c r="H1034" t="str">
        <f t="shared" si="69"/>
        <v>unknown</v>
      </c>
      <c r="K1034" t="str">
        <f t="shared" si="70"/>
        <v>scale</v>
      </c>
    </row>
    <row r="1035" spans="1:11" ht="273.60000000000002" x14ac:dyDescent="0.3">
      <c r="A1035" t="s">
        <v>4937</v>
      </c>
      <c r="B1035" t="s">
        <v>3834</v>
      </c>
      <c r="C1035" s="90" t="s">
        <v>4975</v>
      </c>
      <c r="E1035" t="s">
        <v>5562</v>
      </c>
      <c r="F1035" s="91" t="s">
        <v>4975</v>
      </c>
      <c r="H1035" t="str">
        <f t="shared" si="69"/>
        <v>unknown</v>
      </c>
      <c r="K1035" t="str">
        <f t="shared" si="70"/>
        <v>scale</v>
      </c>
    </row>
    <row r="1036" spans="1:11" ht="100.8" x14ac:dyDescent="0.3">
      <c r="A1036" t="s">
        <v>4937</v>
      </c>
      <c r="B1036" t="s">
        <v>3835</v>
      </c>
      <c r="C1036" s="90" t="s">
        <v>4976</v>
      </c>
      <c r="E1036" t="s">
        <v>5562</v>
      </c>
      <c r="F1036" s="91" t="s">
        <v>4976</v>
      </c>
      <c r="H1036" t="str">
        <f t="shared" si="69"/>
        <v>unknown</v>
      </c>
      <c r="K1036" t="str">
        <f t="shared" si="70"/>
        <v>scale</v>
      </c>
    </row>
    <row r="1037" spans="1:11" ht="115.2" x14ac:dyDescent="0.3">
      <c r="A1037" t="s">
        <v>4977</v>
      </c>
      <c r="B1037" t="s">
        <v>4713</v>
      </c>
      <c r="C1037" s="90" t="s">
        <v>4801</v>
      </c>
      <c r="E1037" t="s">
        <v>5562</v>
      </c>
      <c r="F1037" s="91" t="s">
        <v>4801</v>
      </c>
      <c r="H1037" t="str">
        <f t="shared" si="69"/>
        <v>unknown</v>
      </c>
      <c r="K1037" t="str">
        <f t="shared" si="70"/>
        <v>scale</v>
      </c>
    </row>
    <row r="1038" spans="1:11" ht="129.6" x14ac:dyDescent="0.3">
      <c r="A1038" t="s">
        <v>4977</v>
      </c>
      <c r="B1038" t="s">
        <v>4978</v>
      </c>
      <c r="C1038" s="90" t="s">
        <v>4789</v>
      </c>
      <c r="E1038" t="s">
        <v>5562</v>
      </c>
      <c r="F1038" s="91" t="s">
        <v>4789</v>
      </c>
      <c r="H1038" t="str">
        <f t="shared" si="69"/>
        <v>unknown</v>
      </c>
      <c r="K1038" t="str">
        <f t="shared" si="70"/>
        <v>scale</v>
      </c>
    </row>
    <row r="1039" spans="1:11" ht="100.8" x14ac:dyDescent="0.3">
      <c r="A1039" t="s">
        <v>4977</v>
      </c>
      <c r="B1039" t="s">
        <v>3562</v>
      </c>
      <c r="C1039" s="90" t="s">
        <v>4979</v>
      </c>
      <c r="E1039" t="s">
        <v>5562</v>
      </c>
      <c r="F1039" s="91" t="s">
        <v>4979</v>
      </c>
      <c r="H1039" t="str">
        <f t="shared" si="69"/>
        <v>unknown</v>
      </c>
      <c r="K1039" t="str">
        <f t="shared" si="70"/>
        <v>scale</v>
      </c>
    </row>
    <row r="1040" spans="1:11" ht="115.2" x14ac:dyDescent="0.3">
      <c r="A1040" t="s">
        <v>4977</v>
      </c>
      <c r="B1040" t="s">
        <v>3849</v>
      </c>
      <c r="C1040" s="90" t="s">
        <v>4804</v>
      </c>
      <c r="E1040" t="s">
        <v>5562</v>
      </c>
      <c r="F1040" s="91" t="s">
        <v>4804</v>
      </c>
      <c r="H1040" t="str">
        <f t="shared" si="69"/>
        <v>unknown</v>
      </c>
      <c r="K1040" t="str">
        <f t="shared" si="70"/>
        <v>scale</v>
      </c>
    </row>
    <row r="1041" spans="1:11" ht="86.4" x14ac:dyDescent="0.3">
      <c r="A1041" t="s">
        <v>4977</v>
      </c>
      <c r="B1041" t="s">
        <v>3946</v>
      </c>
      <c r="C1041" s="90" t="s">
        <v>4805</v>
      </c>
      <c r="E1041" t="s">
        <v>5562</v>
      </c>
      <c r="F1041" s="91" t="s">
        <v>4805</v>
      </c>
      <c r="H1041" t="str">
        <f t="shared" si="69"/>
        <v>unknown</v>
      </c>
      <c r="K1041" t="str">
        <f t="shared" si="70"/>
        <v>scale</v>
      </c>
    </row>
    <row r="1042" spans="1:11" ht="72" x14ac:dyDescent="0.3">
      <c r="A1042" t="s">
        <v>4977</v>
      </c>
      <c r="B1042" t="s">
        <v>4059</v>
      </c>
      <c r="C1042" s="90" t="s">
        <v>4806</v>
      </c>
      <c r="E1042" t="s">
        <v>5562</v>
      </c>
      <c r="F1042" s="91" t="s">
        <v>4806</v>
      </c>
      <c r="H1042" t="str">
        <f t="shared" si="69"/>
        <v>unknown</v>
      </c>
      <c r="K1042" t="str">
        <f t="shared" si="70"/>
        <v>scale</v>
      </c>
    </row>
    <row r="1043" spans="1:11" ht="115.2" x14ac:dyDescent="0.3">
      <c r="A1043" t="s">
        <v>4977</v>
      </c>
      <c r="B1043" t="s">
        <v>4980</v>
      </c>
      <c r="C1043" s="90" t="s">
        <v>4808</v>
      </c>
      <c r="E1043" t="s">
        <v>5562</v>
      </c>
      <c r="F1043" s="91" t="s">
        <v>4808</v>
      </c>
      <c r="H1043" t="str">
        <f t="shared" si="69"/>
        <v>unknown</v>
      </c>
      <c r="K1043" t="str">
        <f t="shared" si="70"/>
        <v>scale</v>
      </c>
    </row>
    <row r="1044" spans="1:11" ht="100.8" x14ac:dyDescent="0.3">
      <c r="A1044" t="s">
        <v>4977</v>
      </c>
      <c r="B1044" t="s">
        <v>3948</v>
      </c>
      <c r="C1044" s="90" t="s">
        <v>4810</v>
      </c>
      <c r="E1044" t="s">
        <v>5562</v>
      </c>
      <c r="F1044" s="91" t="s">
        <v>4810</v>
      </c>
      <c r="H1044" t="str">
        <f t="shared" si="69"/>
        <v>unknown</v>
      </c>
      <c r="K1044" t="str">
        <f t="shared" si="70"/>
        <v>scale</v>
      </c>
    </row>
    <row r="1045" spans="1:11" ht="100.8" x14ac:dyDescent="0.3">
      <c r="A1045" t="s">
        <v>4977</v>
      </c>
      <c r="B1045" t="s">
        <v>3564</v>
      </c>
      <c r="C1045" s="90" t="s">
        <v>4981</v>
      </c>
      <c r="E1045" t="s">
        <v>5562</v>
      </c>
      <c r="F1045" s="91" t="s">
        <v>4981</v>
      </c>
      <c r="H1045" t="str">
        <f t="shared" si="69"/>
        <v>unknown</v>
      </c>
      <c r="K1045" t="str">
        <f t="shared" si="70"/>
        <v>scale</v>
      </c>
    </row>
    <row r="1046" spans="1:11" ht="115.2" x14ac:dyDescent="0.3">
      <c r="A1046" t="s">
        <v>4977</v>
      </c>
      <c r="B1046" t="s">
        <v>3566</v>
      </c>
      <c r="C1046" s="90" t="s">
        <v>4813</v>
      </c>
      <c r="E1046" t="s">
        <v>5562</v>
      </c>
      <c r="F1046" s="91" t="s">
        <v>4813</v>
      </c>
      <c r="H1046" t="str">
        <f t="shared" si="69"/>
        <v>unknown</v>
      </c>
      <c r="K1046" t="str">
        <f t="shared" si="70"/>
        <v>scale</v>
      </c>
    </row>
    <row r="1047" spans="1:11" ht="100.8" x14ac:dyDescent="0.3">
      <c r="A1047" t="s">
        <v>4977</v>
      </c>
      <c r="B1047" t="s">
        <v>4628</v>
      </c>
      <c r="C1047" s="90" t="s">
        <v>4814</v>
      </c>
      <c r="E1047" t="s">
        <v>5562</v>
      </c>
      <c r="F1047" s="91" t="s">
        <v>4814</v>
      </c>
      <c r="H1047" t="str">
        <f t="shared" si="69"/>
        <v>unknown</v>
      </c>
      <c r="K1047" t="str">
        <f t="shared" si="70"/>
        <v>scale</v>
      </c>
    </row>
    <row r="1048" spans="1:11" ht="72" x14ac:dyDescent="0.3">
      <c r="A1048" t="s">
        <v>4977</v>
      </c>
      <c r="B1048" t="s">
        <v>4982</v>
      </c>
      <c r="C1048" s="90" t="s">
        <v>4983</v>
      </c>
      <c r="E1048" t="s">
        <v>5562</v>
      </c>
      <c r="F1048" s="91" t="s">
        <v>4983</v>
      </c>
      <c r="H1048" t="str">
        <f t="shared" si="69"/>
        <v>unknown</v>
      </c>
      <c r="K1048" t="str">
        <f t="shared" si="70"/>
        <v>scale</v>
      </c>
    </row>
    <row r="1049" spans="1:11" ht="57.6" x14ac:dyDescent="0.3">
      <c r="A1049" t="s">
        <v>4977</v>
      </c>
      <c r="B1049" t="s">
        <v>4984</v>
      </c>
      <c r="C1049" s="90" t="s">
        <v>4985</v>
      </c>
      <c r="E1049" t="s">
        <v>5562</v>
      </c>
      <c r="F1049" s="91" t="s">
        <v>4985</v>
      </c>
      <c r="H1049" t="str">
        <f t="shared" si="69"/>
        <v>unknown</v>
      </c>
      <c r="K1049" t="str">
        <f t="shared" si="70"/>
        <v>scale</v>
      </c>
    </row>
    <row r="1050" spans="1:11" ht="57.6" x14ac:dyDescent="0.3">
      <c r="A1050" t="s">
        <v>4977</v>
      </c>
      <c r="B1050" t="s">
        <v>3585</v>
      </c>
      <c r="C1050" s="90" t="s">
        <v>4986</v>
      </c>
      <c r="E1050" t="s">
        <v>5562</v>
      </c>
      <c r="F1050" s="91" t="s">
        <v>4986</v>
      </c>
      <c r="H1050" t="str">
        <f t="shared" si="69"/>
        <v>unknown</v>
      </c>
      <c r="K1050" t="str">
        <f t="shared" si="70"/>
        <v>scale</v>
      </c>
    </row>
    <row r="1051" spans="1:11" ht="158.4" x14ac:dyDescent="0.3">
      <c r="A1051" t="s">
        <v>4977</v>
      </c>
      <c r="B1051" t="s">
        <v>4987</v>
      </c>
      <c r="C1051" s="90" t="s">
        <v>4818</v>
      </c>
      <c r="E1051" t="s">
        <v>5562</v>
      </c>
      <c r="F1051" s="91" t="s">
        <v>4818</v>
      </c>
      <c r="H1051" t="str">
        <f t="shared" si="69"/>
        <v>unknown</v>
      </c>
      <c r="K1051" t="str">
        <f t="shared" si="70"/>
        <v>scale</v>
      </c>
    </row>
    <row r="1052" spans="1:11" ht="100.8" x14ac:dyDescent="0.3">
      <c r="A1052" t="s">
        <v>4977</v>
      </c>
      <c r="B1052" t="s">
        <v>4942</v>
      </c>
      <c r="C1052" s="90" t="s">
        <v>3768</v>
      </c>
      <c r="E1052" t="s">
        <v>5562</v>
      </c>
      <c r="F1052" s="91" t="s">
        <v>3768</v>
      </c>
      <c r="H1052" t="str">
        <f t="shared" si="69"/>
        <v>unknown</v>
      </c>
      <c r="K1052" t="str">
        <f t="shared" si="70"/>
        <v>scale</v>
      </c>
    </row>
    <row r="1053" spans="1:11" ht="57.6" x14ac:dyDescent="0.3">
      <c r="A1053" t="s">
        <v>4977</v>
      </c>
      <c r="B1053" t="s">
        <v>4988</v>
      </c>
      <c r="C1053" s="90" t="s">
        <v>4989</v>
      </c>
      <c r="E1053" t="s">
        <v>5562</v>
      </c>
      <c r="F1053" s="91" t="s">
        <v>4989</v>
      </c>
      <c r="H1053" t="str">
        <f t="shared" si="69"/>
        <v>unknown</v>
      </c>
      <c r="K1053" t="str">
        <f t="shared" si="70"/>
        <v>scale</v>
      </c>
    </row>
    <row r="1054" spans="1:11" ht="100.8" x14ac:dyDescent="0.3">
      <c r="A1054" t="s">
        <v>4977</v>
      </c>
      <c r="B1054" t="s">
        <v>4990</v>
      </c>
      <c r="C1054" s="90" t="s">
        <v>4991</v>
      </c>
      <c r="E1054" t="s">
        <v>5562</v>
      </c>
      <c r="F1054" s="91" t="s">
        <v>4991</v>
      </c>
      <c r="H1054" t="str">
        <f t="shared" si="69"/>
        <v>unknown</v>
      </c>
      <c r="K1054" t="str">
        <f t="shared" si="70"/>
        <v>scale</v>
      </c>
    </row>
    <row r="1055" spans="1:11" ht="100.8" x14ac:dyDescent="0.3">
      <c r="A1055" t="s">
        <v>4977</v>
      </c>
      <c r="B1055" t="s">
        <v>3866</v>
      </c>
      <c r="C1055" s="90" t="s">
        <v>3768</v>
      </c>
      <c r="E1055" t="s">
        <v>5562</v>
      </c>
      <c r="F1055" s="91" t="s">
        <v>3768</v>
      </c>
      <c r="H1055" t="str">
        <f t="shared" si="69"/>
        <v>unknown</v>
      </c>
      <c r="K1055" t="str">
        <f t="shared" si="70"/>
        <v>scale</v>
      </c>
    </row>
    <row r="1056" spans="1:11" ht="100.8" x14ac:dyDescent="0.3">
      <c r="A1056" t="s">
        <v>4977</v>
      </c>
      <c r="B1056" t="s">
        <v>4992</v>
      </c>
      <c r="C1056" s="90" t="s">
        <v>4993</v>
      </c>
      <c r="E1056" t="s">
        <v>5562</v>
      </c>
      <c r="F1056" s="91" t="s">
        <v>4993</v>
      </c>
      <c r="H1056" t="str">
        <f t="shared" si="69"/>
        <v>unknown</v>
      </c>
      <c r="K1056" t="str">
        <f t="shared" si="70"/>
        <v>scale</v>
      </c>
    </row>
    <row r="1057" spans="1:11" ht="201.6" x14ac:dyDescent="0.3">
      <c r="A1057" t="s">
        <v>4977</v>
      </c>
      <c r="B1057" t="s">
        <v>4944</v>
      </c>
      <c r="C1057" s="90" t="s">
        <v>4994</v>
      </c>
      <c r="E1057" t="s">
        <v>5562</v>
      </c>
      <c r="F1057" s="91" t="s">
        <v>4994</v>
      </c>
      <c r="H1057" t="str">
        <f t="shared" si="69"/>
        <v>unknown</v>
      </c>
      <c r="K1057" t="str">
        <f t="shared" si="70"/>
        <v>scale</v>
      </c>
    </row>
    <row r="1058" spans="1:11" ht="158.4" x14ac:dyDescent="0.3">
      <c r="A1058" t="s">
        <v>4977</v>
      </c>
      <c r="B1058" t="s">
        <v>4948</v>
      </c>
      <c r="C1058" s="90" t="s">
        <v>4995</v>
      </c>
      <c r="E1058" t="s">
        <v>5562</v>
      </c>
      <c r="F1058" s="91" t="s">
        <v>4995</v>
      </c>
      <c r="H1058" t="str">
        <f t="shared" si="69"/>
        <v>unknown</v>
      </c>
      <c r="K1058" t="str">
        <f t="shared" si="70"/>
        <v>scale</v>
      </c>
    </row>
    <row r="1059" spans="1:11" ht="216" x14ac:dyDescent="0.3">
      <c r="A1059" t="s">
        <v>4977</v>
      </c>
      <c r="B1059" t="s">
        <v>3790</v>
      </c>
      <c r="C1059" s="90" t="s">
        <v>4996</v>
      </c>
      <c r="E1059" t="s">
        <v>5562</v>
      </c>
      <c r="F1059" s="91" t="s">
        <v>4996</v>
      </c>
      <c r="H1059" t="str">
        <f t="shared" si="69"/>
        <v>unknown</v>
      </c>
      <c r="K1059" t="str">
        <f t="shared" si="70"/>
        <v>scale</v>
      </c>
    </row>
    <row r="1060" spans="1:11" ht="216" x14ac:dyDescent="0.3">
      <c r="A1060" t="s">
        <v>4977</v>
      </c>
      <c r="B1060" t="s">
        <v>4997</v>
      </c>
      <c r="C1060" s="90" t="s">
        <v>4996</v>
      </c>
      <c r="E1060" t="s">
        <v>5562</v>
      </c>
      <c r="F1060" s="91" t="s">
        <v>4996</v>
      </c>
      <c r="H1060" t="str">
        <f t="shared" si="69"/>
        <v>unknown</v>
      </c>
      <c r="K1060" t="str">
        <f t="shared" si="70"/>
        <v>scale</v>
      </c>
    </row>
    <row r="1061" spans="1:11" ht="129.6" x14ac:dyDescent="0.3">
      <c r="A1061" t="s">
        <v>4977</v>
      </c>
      <c r="B1061" t="s">
        <v>3794</v>
      </c>
      <c r="C1061" s="90" t="s">
        <v>4998</v>
      </c>
      <c r="E1061" t="s">
        <v>5562</v>
      </c>
      <c r="F1061" s="91" t="s">
        <v>4998</v>
      </c>
      <c r="H1061" t="str">
        <f t="shared" si="69"/>
        <v>unknown</v>
      </c>
      <c r="K1061" t="str">
        <f t="shared" si="70"/>
        <v>scale</v>
      </c>
    </row>
    <row r="1062" spans="1:11" ht="115.2" x14ac:dyDescent="0.3">
      <c r="A1062" t="s">
        <v>4977</v>
      </c>
      <c r="B1062" t="s">
        <v>4999</v>
      </c>
      <c r="C1062" s="90" t="s">
        <v>5000</v>
      </c>
      <c r="E1062" t="s">
        <v>5562</v>
      </c>
      <c r="F1062" s="91" t="s">
        <v>5000</v>
      </c>
      <c r="H1062" t="str">
        <f t="shared" si="69"/>
        <v>unknown</v>
      </c>
      <c r="K1062" t="str">
        <f t="shared" si="70"/>
        <v>scale</v>
      </c>
    </row>
    <row r="1063" spans="1:11" ht="216" x14ac:dyDescent="0.3">
      <c r="A1063" t="s">
        <v>4977</v>
      </c>
      <c r="B1063" t="s">
        <v>5001</v>
      </c>
      <c r="C1063" s="90" t="s">
        <v>5002</v>
      </c>
      <c r="E1063" t="s">
        <v>5562</v>
      </c>
      <c r="F1063" s="91" t="s">
        <v>5002</v>
      </c>
      <c r="H1063" t="str">
        <f t="shared" si="69"/>
        <v>unknown</v>
      </c>
      <c r="K1063" t="str">
        <f t="shared" si="70"/>
        <v>scale</v>
      </c>
    </row>
    <row r="1064" spans="1:11" ht="100.8" x14ac:dyDescent="0.3">
      <c r="A1064" t="s">
        <v>4977</v>
      </c>
      <c r="B1064" t="s">
        <v>4825</v>
      </c>
      <c r="C1064" s="90" t="s">
        <v>5003</v>
      </c>
      <c r="E1064" t="s">
        <v>5562</v>
      </c>
      <c r="F1064" s="91" t="s">
        <v>5003</v>
      </c>
      <c r="H1064" t="str">
        <f t="shared" si="69"/>
        <v>unknown</v>
      </c>
      <c r="K1064" t="str">
        <f t="shared" si="70"/>
        <v>scale</v>
      </c>
    </row>
    <row r="1065" spans="1:11" ht="100.8" x14ac:dyDescent="0.3">
      <c r="A1065" t="s">
        <v>4977</v>
      </c>
      <c r="B1065" t="s">
        <v>3878</v>
      </c>
      <c r="C1065" s="90" t="s">
        <v>5003</v>
      </c>
      <c r="E1065" t="s">
        <v>5562</v>
      </c>
      <c r="F1065" s="91" t="s">
        <v>5003</v>
      </c>
      <c r="H1065" t="str">
        <f t="shared" si="69"/>
        <v>unknown</v>
      </c>
      <c r="K1065" t="str">
        <f t="shared" si="70"/>
        <v>scale</v>
      </c>
    </row>
    <row r="1066" spans="1:11" ht="100.8" x14ac:dyDescent="0.3">
      <c r="A1066" t="s">
        <v>4977</v>
      </c>
      <c r="B1066" t="s">
        <v>3609</v>
      </c>
      <c r="C1066" s="90" t="s">
        <v>5003</v>
      </c>
      <c r="E1066" t="s">
        <v>5562</v>
      </c>
      <c r="F1066" s="91" t="s">
        <v>5003</v>
      </c>
      <c r="H1066" t="str">
        <f t="shared" si="69"/>
        <v>unknown</v>
      </c>
      <c r="K1066" t="str">
        <f t="shared" si="70"/>
        <v>scale</v>
      </c>
    </row>
    <row r="1067" spans="1:11" ht="100.8" x14ac:dyDescent="0.3">
      <c r="A1067" t="s">
        <v>4977</v>
      </c>
      <c r="B1067" t="s">
        <v>3611</v>
      </c>
      <c r="C1067" s="90" t="s">
        <v>5004</v>
      </c>
      <c r="E1067" t="s">
        <v>5562</v>
      </c>
      <c r="F1067" s="91" t="s">
        <v>5004</v>
      </c>
      <c r="H1067" t="str">
        <f t="shared" si="69"/>
        <v>unknown</v>
      </c>
      <c r="K1067" t="str">
        <f t="shared" si="70"/>
        <v>scale</v>
      </c>
    </row>
    <row r="1068" spans="1:11" ht="57.6" x14ac:dyDescent="0.3">
      <c r="A1068" t="s">
        <v>4977</v>
      </c>
      <c r="B1068" t="s">
        <v>5005</v>
      </c>
      <c r="C1068" s="90" t="s">
        <v>5006</v>
      </c>
      <c r="E1068" t="s">
        <v>5562</v>
      </c>
      <c r="F1068" s="91" t="s">
        <v>5006</v>
      </c>
      <c r="H1068" t="str">
        <f t="shared" si="69"/>
        <v>unknown</v>
      </c>
      <c r="K1068" t="str">
        <f t="shared" si="70"/>
        <v>scale</v>
      </c>
    </row>
    <row r="1069" spans="1:11" ht="115.2" x14ac:dyDescent="0.3">
      <c r="A1069" t="s">
        <v>4977</v>
      </c>
      <c r="B1069" t="s">
        <v>3368</v>
      </c>
      <c r="C1069" s="90" t="s">
        <v>5007</v>
      </c>
      <c r="E1069" t="s">
        <v>5562</v>
      </c>
      <c r="F1069" s="91" t="s">
        <v>5007</v>
      </c>
      <c r="H1069" t="str">
        <f t="shared" si="69"/>
        <v>unknown</v>
      </c>
      <c r="K1069" t="str">
        <f t="shared" si="70"/>
        <v>scale</v>
      </c>
    </row>
    <row r="1070" spans="1:11" ht="115.2" x14ac:dyDescent="0.3">
      <c r="A1070" t="s">
        <v>4977</v>
      </c>
      <c r="B1070" t="s">
        <v>5008</v>
      </c>
      <c r="C1070" s="90" t="s">
        <v>5007</v>
      </c>
      <c r="E1070" t="s">
        <v>5562</v>
      </c>
      <c r="F1070" s="91" t="s">
        <v>5007</v>
      </c>
      <c r="H1070" t="str">
        <f t="shared" si="69"/>
        <v>unknown</v>
      </c>
      <c r="K1070" t="str">
        <f t="shared" si="70"/>
        <v>scale</v>
      </c>
    </row>
    <row r="1071" spans="1:11" ht="86.4" x14ac:dyDescent="0.3">
      <c r="A1071" t="s">
        <v>4977</v>
      </c>
      <c r="B1071" t="s">
        <v>5009</v>
      </c>
      <c r="C1071" s="90" t="s">
        <v>5010</v>
      </c>
      <c r="E1071" t="s">
        <v>5562</v>
      </c>
      <c r="F1071" s="91" t="s">
        <v>5010</v>
      </c>
      <c r="H1071" t="str">
        <f t="shared" si="69"/>
        <v>unknown</v>
      </c>
      <c r="K1071" t="str">
        <f t="shared" si="70"/>
        <v>scale</v>
      </c>
    </row>
    <row r="1072" spans="1:11" ht="57.6" x14ac:dyDescent="0.3">
      <c r="A1072" t="s">
        <v>4977</v>
      </c>
      <c r="B1072" t="s">
        <v>4280</v>
      </c>
      <c r="C1072" s="90" t="s">
        <v>5006</v>
      </c>
      <c r="E1072" t="s">
        <v>5562</v>
      </c>
      <c r="F1072" s="91" t="s">
        <v>5006</v>
      </c>
      <c r="H1072" t="str">
        <f t="shared" si="69"/>
        <v>unknown</v>
      </c>
      <c r="K1072" t="str">
        <f t="shared" si="70"/>
        <v>scale</v>
      </c>
    </row>
    <row r="1073" spans="1:11" ht="72" x14ac:dyDescent="0.3">
      <c r="A1073" t="s">
        <v>4977</v>
      </c>
      <c r="B1073" t="s">
        <v>5011</v>
      </c>
      <c r="C1073" s="90" t="s">
        <v>5012</v>
      </c>
      <c r="E1073" t="s">
        <v>5562</v>
      </c>
      <c r="F1073" s="91" t="s">
        <v>5012</v>
      </c>
      <c r="H1073" t="str">
        <f t="shared" si="69"/>
        <v>unknown</v>
      </c>
      <c r="K1073" t="str">
        <f t="shared" si="70"/>
        <v>scale</v>
      </c>
    </row>
    <row r="1074" spans="1:11" ht="115.2" x14ac:dyDescent="0.3">
      <c r="A1074" t="s">
        <v>4977</v>
      </c>
      <c r="B1074" t="s">
        <v>4963</v>
      </c>
      <c r="C1074" s="90" t="s">
        <v>3642</v>
      </c>
      <c r="E1074" t="s">
        <v>5562</v>
      </c>
      <c r="F1074" s="91" t="s">
        <v>3642</v>
      </c>
      <c r="H1074" t="str">
        <f t="shared" si="69"/>
        <v>unknown</v>
      </c>
      <c r="K1074" t="str">
        <f t="shared" si="70"/>
        <v>scale</v>
      </c>
    </row>
    <row r="1075" spans="1:11" ht="43.2" x14ac:dyDescent="0.3">
      <c r="A1075" t="s">
        <v>4977</v>
      </c>
      <c r="B1075" t="s">
        <v>5013</v>
      </c>
      <c r="C1075" s="90" t="s">
        <v>5014</v>
      </c>
      <c r="D1075" t="s">
        <v>5561</v>
      </c>
      <c r="E1075" t="s">
        <v>5560</v>
      </c>
      <c r="F1075" s="92" t="s">
        <v>5649</v>
      </c>
      <c r="G1075" t="str">
        <f>IF(EXACT($F1075, $Q$1), "sector", "unknown")</f>
        <v>unknown</v>
      </c>
      <c r="H1075" t="str">
        <f t="shared" si="69"/>
        <v>unknown</v>
      </c>
      <c r="I1075" t="s">
        <v>5660</v>
      </c>
      <c r="K1075" t="str">
        <f t="shared" si="70"/>
        <v>rephrase</v>
      </c>
    </row>
    <row r="1076" spans="1:11" ht="43.2" x14ac:dyDescent="0.3">
      <c r="A1076" t="s">
        <v>4977</v>
      </c>
      <c r="B1076" t="s">
        <v>3399</v>
      </c>
      <c r="C1076" s="90" t="s">
        <v>5015</v>
      </c>
      <c r="D1076" t="s">
        <v>5561</v>
      </c>
      <c r="E1076" t="s">
        <v>5560</v>
      </c>
      <c r="F1076" s="92" t="s">
        <v>5650</v>
      </c>
      <c r="G1076" t="str">
        <f>IF(EXACT($F1076, $Q$1), "sector", "unknown")</f>
        <v>unknown</v>
      </c>
      <c r="H1076" t="str">
        <f t="shared" si="69"/>
        <v>unknown</v>
      </c>
      <c r="I1076" t="s">
        <v>5660</v>
      </c>
      <c r="K1076" t="str">
        <f t="shared" si="70"/>
        <v>rephrase</v>
      </c>
    </row>
    <row r="1077" spans="1:11" ht="158.4" x14ac:dyDescent="0.3">
      <c r="A1077" t="s">
        <v>4977</v>
      </c>
      <c r="B1077" t="s">
        <v>4964</v>
      </c>
      <c r="C1077" s="90" t="s">
        <v>5016</v>
      </c>
      <c r="E1077" t="s">
        <v>5562</v>
      </c>
      <c r="F1077" s="91" t="s">
        <v>5016</v>
      </c>
      <c r="H1077" t="str">
        <f t="shared" si="69"/>
        <v>unknown</v>
      </c>
      <c r="K1077" t="str">
        <f t="shared" si="70"/>
        <v>scale</v>
      </c>
    </row>
    <row r="1078" spans="1:11" ht="129.6" x14ac:dyDescent="0.3">
      <c r="A1078" t="s">
        <v>4977</v>
      </c>
      <c r="B1078" t="s">
        <v>5017</v>
      </c>
      <c r="C1078" s="90" t="s">
        <v>5018</v>
      </c>
      <c r="E1078" t="s">
        <v>5562</v>
      </c>
      <c r="F1078" s="91" t="s">
        <v>5018</v>
      </c>
      <c r="H1078" t="str">
        <f t="shared" si="69"/>
        <v>unknown</v>
      </c>
      <c r="K1078" t="str">
        <f t="shared" si="70"/>
        <v>scale</v>
      </c>
    </row>
    <row r="1079" spans="1:11" ht="100.8" x14ac:dyDescent="0.3">
      <c r="A1079" t="s">
        <v>4977</v>
      </c>
      <c r="B1079" t="s">
        <v>5019</v>
      </c>
      <c r="C1079" s="90" t="s">
        <v>5020</v>
      </c>
      <c r="E1079" t="s">
        <v>5562</v>
      </c>
      <c r="F1079" s="91" t="s">
        <v>5020</v>
      </c>
      <c r="H1079" t="str">
        <f t="shared" si="69"/>
        <v>unknown</v>
      </c>
      <c r="K1079" t="str">
        <f t="shared" si="70"/>
        <v>scale</v>
      </c>
    </row>
    <row r="1080" spans="1:11" ht="100.8" x14ac:dyDescent="0.3">
      <c r="A1080" t="s">
        <v>4977</v>
      </c>
      <c r="B1080" t="s">
        <v>5021</v>
      </c>
      <c r="C1080" s="90" t="s">
        <v>5020</v>
      </c>
      <c r="E1080" t="s">
        <v>5562</v>
      </c>
      <c r="F1080" s="91" t="s">
        <v>5020</v>
      </c>
      <c r="H1080" t="str">
        <f t="shared" si="69"/>
        <v>unknown</v>
      </c>
      <c r="K1080" t="str">
        <f t="shared" si="70"/>
        <v>scale</v>
      </c>
    </row>
    <row r="1081" spans="1:11" ht="100.8" x14ac:dyDescent="0.3">
      <c r="A1081" t="s">
        <v>4977</v>
      </c>
      <c r="B1081" t="s">
        <v>5022</v>
      </c>
      <c r="C1081" s="90" t="s">
        <v>5023</v>
      </c>
      <c r="E1081" t="s">
        <v>5562</v>
      </c>
      <c r="F1081" s="91" t="s">
        <v>5023</v>
      </c>
      <c r="H1081" t="str">
        <f t="shared" si="69"/>
        <v>unknown</v>
      </c>
      <c r="K1081" t="str">
        <f t="shared" si="70"/>
        <v>scale</v>
      </c>
    </row>
    <row r="1082" spans="1:11" ht="100.8" x14ac:dyDescent="0.3">
      <c r="A1082" t="s">
        <v>4977</v>
      </c>
      <c r="B1082" t="s">
        <v>5024</v>
      </c>
      <c r="C1082" s="90" t="s">
        <v>5023</v>
      </c>
      <c r="E1082" t="s">
        <v>5562</v>
      </c>
      <c r="F1082" s="91" t="s">
        <v>5023</v>
      </c>
      <c r="H1082" t="str">
        <f t="shared" si="69"/>
        <v>unknown</v>
      </c>
      <c r="K1082" t="str">
        <f t="shared" si="70"/>
        <v>scale</v>
      </c>
    </row>
    <row r="1083" spans="1:11" ht="72" x14ac:dyDescent="0.3">
      <c r="A1083" t="s">
        <v>4977</v>
      </c>
      <c r="B1083" t="s">
        <v>5025</v>
      </c>
      <c r="C1083" s="90" t="s">
        <v>5026</v>
      </c>
      <c r="E1083" t="s">
        <v>5562</v>
      </c>
      <c r="F1083" s="91" t="s">
        <v>5026</v>
      </c>
      <c r="H1083" t="str">
        <f t="shared" si="69"/>
        <v>unknown</v>
      </c>
      <c r="K1083" t="str">
        <f t="shared" si="70"/>
        <v>scale</v>
      </c>
    </row>
    <row r="1084" spans="1:11" ht="57.6" x14ac:dyDescent="0.3">
      <c r="A1084" t="s">
        <v>4977</v>
      </c>
      <c r="B1084" t="s">
        <v>5027</v>
      </c>
      <c r="C1084" s="90" t="s">
        <v>5028</v>
      </c>
      <c r="E1084" t="s">
        <v>5562</v>
      </c>
      <c r="F1084" s="91" t="s">
        <v>5028</v>
      </c>
      <c r="H1084" t="str">
        <f t="shared" si="69"/>
        <v>unknown</v>
      </c>
      <c r="K1084" t="str">
        <f t="shared" si="70"/>
        <v>scale</v>
      </c>
    </row>
    <row r="1085" spans="1:11" ht="129.6" x14ac:dyDescent="0.3">
      <c r="A1085" t="s">
        <v>4977</v>
      </c>
      <c r="B1085" t="s">
        <v>3432</v>
      </c>
      <c r="C1085" s="90" t="s">
        <v>5029</v>
      </c>
      <c r="E1085" t="s">
        <v>5562</v>
      </c>
      <c r="F1085" s="91" t="s">
        <v>5029</v>
      </c>
      <c r="H1085" t="str">
        <f t="shared" si="69"/>
        <v>unknown</v>
      </c>
      <c r="K1085" t="str">
        <f t="shared" si="70"/>
        <v>scale</v>
      </c>
    </row>
    <row r="1086" spans="1:11" ht="187.2" x14ac:dyDescent="0.3">
      <c r="A1086" t="s">
        <v>4977</v>
      </c>
      <c r="B1086" t="s">
        <v>5030</v>
      </c>
      <c r="C1086" s="90" t="s">
        <v>5031</v>
      </c>
      <c r="E1086" t="s">
        <v>5562</v>
      </c>
      <c r="F1086" s="91" t="s">
        <v>5031</v>
      </c>
      <c r="H1086" t="str">
        <f t="shared" si="69"/>
        <v>unknown</v>
      </c>
      <c r="K1086" t="str">
        <f t="shared" si="70"/>
        <v>scale</v>
      </c>
    </row>
    <row r="1087" spans="1:11" ht="72" x14ac:dyDescent="0.3">
      <c r="A1087" t="s">
        <v>4977</v>
      </c>
      <c r="B1087" t="s">
        <v>5032</v>
      </c>
      <c r="C1087" s="90" t="s">
        <v>5033</v>
      </c>
      <c r="E1087" t="s">
        <v>5562</v>
      </c>
      <c r="F1087" s="91" t="s">
        <v>5033</v>
      </c>
      <c r="H1087" t="str">
        <f t="shared" si="69"/>
        <v>unknown</v>
      </c>
      <c r="K1087" t="str">
        <f t="shared" si="70"/>
        <v>scale</v>
      </c>
    </row>
    <row r="1088" spans="1:11" ht="86.4" x14ac:dyDescent="0.3">
      <c r="A1088" t="s">
        <v>4977</v>
      </c>
      <c r="B1088" t="s">
        <v>5034</v>
      </c>
      <c r="C1088" s="90" t="s">
        <v>5035</v>
      </c>
      <c r="E1088" t="s">
        <v>5562</v>
      </c>
      <c r="F1088" s="91" t="s">
        <v>5035</v>
      </c>
      <c r="H1088" t="str">
        <f t="shared" si="69"/>
        <v>unknown</v>
      </c>
      <c r="K1088" t="str">
        <f t="shared" si="70"/>
        <v>scale</v>
      </c>
    </row>
    <row r="1089" spans="1:11" ht="86.4" x14ac:dyDescent="0.3">
      <c r="A1089" t="s">
        <v>4977</v>
      </c>
      <c r="B1089" t="s">
        <v>5036</v>
      </c>
      <c r="C1089" s="90" t="s">
        <v>5037</v>
      </c>
      <c r="E1089" t="s">
        <v>5562</v>
      </c>
      <c r="F1089" s="91" t="s">
        <v>5037</v>
      </c>
      <c r="H1089" t="str">
        <f t="shared" si="69"/>
        <v>unknown</v>
      </c>
      <c r="K1089" t="str">
        <f t="shared" si="70"/>
        <v>scale</v>
      </c>
    </row>
    <row r="1090" spans="1:11" ht="201.6" x14ac:dyDescent="0.3">
      <c r="A1090" t="s">
        <v>4977</v>
      </c>
      <c r="B1090" t="s">
        <v>3656</v>
      </c>
      <c r="C1090" s="90" t="s">
        <v>5038</v>
      </c>
      <c r="E1090" t="s">
        <v>5562</v>
      </c>
      <c r="F1090" s="91" t="s">
        <v>5038</v>
      </c>
      <c r="H1090" t="str">
        <f t="shared" ref="H1090:H1153" si="71">IF(EXACT(F1090,$W$1), "open", IF(EXACT(F1090,$X$1), "open", "unknown"))</f>
        <v>unknown</v>
      </c>
      <c r="K1090" t="str">
        <f t="shared" ref="K1090:K1153" si="72">IF(AND(E1090&lt;&gt;"", E1090&lt;&gt;"unknown"), E1090,
   IF(AND(G1090&lt;&gt;"", G1090&lt;&gt;"unknown"), G1090,
   IF(AND(H1090&lt;&gt;"", H1090&lt;&gt;"unknown"), H1090,
   IF(I1090&lt;&gt;"", I1090, "ERROR"))))</f>
        <v>scale</v>
      </c>
    </row>
    <row r="1091" spans="1:11" ht="259.2" x14ac:dyDescent="0.3">
      <c r="A1091" t="s">
        <v>4977</v>
      </c>
      <c r="B1091" t="s">
        <v>3499</v>
      </c>
      <c r="C1091" s="90" t="s">
        <v>5039</v>
      </c>
      <c r="E1091" t="s">
        <v>5562</v>
      </c>
      <c r="F1091" s="91" t="s">
        <v>5039</v>
      </c>
      <c r="H1091" t="str">
        <f t="shared" si="71"/>
        <v>unknown</v>
      </c>
      <c r="K1091" t="str">
        <f t="shared" si="72"/>
        <v>scale</v>
      </c>
    </row>
    <row r="1092" spans="1:11" ht="259.2" x14ac:dyDescent="0.3">
      <c r="A1092" t="s">
        <v>4977</v>
      </c>
      <c r="B1092" t="s">
        <v>3659</v>
      </c>
      <c r="C1092" s="90" t="s">
        <v>5040</v>
      </c>
      <c r="E1092" t="s">
        <v>5562</v>
      </c>
      <c r="F1092" s="91" t="s">
        <v>5040</v>
      </c>
      <c r="H1092" t="str">
        <f t="shared" si="71"/>
        <v>unknown</v>
      </c>
      <c r="K1092" t="str">
        <f t="shared" si="72"/>
        <v>scale</v>
      </c>
    </row>
    <row r="1093" spans="1:11" ht="331.2" x14ac:dyDescent="0.3">
      <c r="A1093" t="s">
        <v>4977</v>
      </c>
      <c r="B1093" t="s">
        <v>5041</v>
      </c>
      <c r="C1093" s="90" t="s">
        <v>5042</v>
      </c>
      <c r="E1093" t="s">
        <v>5562</v>
      </c>
      <c r="F1093" s="91" t="s">
        <v>5042</v>
      </c>
      <c r="H1093" t="str">
        <f t="shared" si="71"/>
        <v>unknown</v>
      </c>
      <c r="K1093" t="str">
        <f t="shared" si="72"/>
        <v>scale</v>
      </c>
    </row>
    <row r="1094" spans="1:11" ht="43.2" x14ac:dyDescent="0.3">
      <c r="A1094" t="s">
        <v>4977</v>
      </c>
      <c r="B1094" t="s">
        <v>5043</v>
      </c>
      <c r="C1094" s="90" t="s">
        <v>5044</v>
      </c>
      <c r="E1094" t="s">
        <v>5562</v>
      </c>
      <c r="F1094" s="91" t="s">
        <v>5044</v>
      </c>
      <c r="H1094" t="str">
        <f t="shared" si="71"/>
        <v>unknown</v>
      </c>
      <c r="K1094" t="str">
        <f t="shared" si="72"/>
        <v>scale</v>
      </c>
    </row>
    <row r="1095" spans="1:11" ht="100.8" x14ac:dyDescent="0.3">
      <c r="A1095" t="s">
        <v>4977</v>
      </c>
      <c r="B1095" t="s">
        <v>5045</v>
      </c>
      <c r="C1095" s="90" t="s">
        <v>5046</v>
      </c>
      <c r="E1095" t="s">
        <v>5562</v>
      </c>
      <c r="F1095" s="91" t="s">
        <v>5046</v>
      </c>
      <c r="H1095" t="str">
        <f t="shared" si="71"/>
        <v>unknown</v>
      </c>
      <c r="K1095" t="str">
        <f t="shared" si="72"/>
        <v>scale</v>
      </c>
    </row>
    <row r="1096" spans="1:11" ht="100.8" x14ac:dyDescent="0.3">
      <c r="A1096" t="s">
        <v>4977</v>
      </c>
      <c r="B1096" t="s">
        <v>5047</v>
      </c>
      <c r="C1096" s="90" t="s">
        <v>3646</v>
      </c>
      <c r="E1096" t="s">
        <v>5562</v>
      </c>
      <c r="F1096" s="91" t="s">
        <v>3646</v>
      </c>
      <c r="H1096" t="str">
        <f t="shared" si="71"/>
        <v>unknown</v>
      </c>
      <c r="K1096" t="str">
        <f t="shared" si="72"/>
        <v>scale</v>
      </c>
    </row>
    <row r="1097" spans="1:11" ht="100.8" x14ac:dyDescent="0.3">
      <c r="A1097" t="s">
        <v>4977</v>
      </c>
      <c r="B1097" t="s">
        <v>5048</v>
      </c>
      <c r="C1097" s="90" t="s">
        <v>3646</v>
      </c>
      <c r="E1097" t="s">
        <v>5562</v>
      </c>
      <c r="F1097" s="91" t="s">
        <v>3646</v>
      </c>
      <c r="H1097" t="str">
        <f t="shared" si="71"/>
        <v>unknown</v>
      </c>
      <c r="K1097" t="str">
        <f t="shared" si="72"/>
        <v>scale</v>
      </c>
    </row>
    <row r="1098" spans="1:11" ht="100.8" x14ac:dyDescent="0.3">
      <c r="A1098" t="s">
        <v>4977</v>
      </c>
      <c r="B1098" t="s">
        <v>5049</v>
      </c>
      <c r="C1098" s="90" t="s">
        <v>5050</v>
      </c>
      <c r="E1098" t="s">
        <v>5562</v>
      </c>
      <c r="F1098" s="91" t="s">
        <v>5050</v>
      </c>
      <c r="H1098" t="str">
        <f t="shared" si="71"/>
        <v>unknown</v>
      </c>
      <c r="K1098" t="str">
        <f t="shared" si="72"/>
        <v>scale</v>
      </c>
    </row>
    <row r="1099" spans="1:11" ht="43.2" x14ac:dyDescent="0.3">
      <c r="A1099" t="s">
        <v>4977</v>
      </c>
      <c r="B1099" t="s">
        <v>3677</v>
      </c>
      <c r="C1099" s="90" t="s">
        <v>3383</v>
      </c>
      <c r="E1099" t="s">
        <v>5562</v>
      </c>
      <c r="F1099" s="91" t="s">
        <v>3383</v>
      </c>
      <c r="H1099" t="str">
        <f t="shared" si="71"/>
        <v>unknown</v>
      </c>
      <c r="K1099" t="str">
        <f t="shared" si="72"/>
        <v>scale</v>
      </c>
    </row>
    <row r="1100" spans="1:11" ht="100.8" x14ac:dyDescent="0.3">
      <c r="A1100" t="s">
        <v>4977</v>
      </c>
      <c r="B1100" t="s">
        <v>3679</v>
      </c>
      <c r="C1100" s="90" t="s">
        <v>5051</v>
      </c>
      <c r="E1100" t="s">
        <v>5562</v>
      </c>
      <c r="F1100" s="91" t="s">
        <v>5051</v>
      </c>
      <c r="H1100" t="str">
        <f t="shared" si="71"/>
        <v>unknown</v>
      </c>
      <c r="K1100" t="str">
        <f t="shared" si="72"/>
        <v>scale</v>
      </c>
    </row>
    <row r="1101" spans="1:11" ht="57.6" x14ac:dyDescent="0.3">
      <c r="A1101" t="s">
        <v>4977</v>
      </c>
      <c r="B1101" t="s">
        <v>4004</v>
      </c>
      <c r="C1101" s="90" t="s">
        <v>5052</v>
      </c>
      <c r="D1101" t="s">
        <v>5561</v>
      </c>
      <c r="E1101" t="s">
        <v>399</v>
      </c>
      <c r="F1101" s="92" t="s">
        <v>5651</v>
      </c>
      <c r="H1101" t="str">
        <f t="shared" si="71"/>
        <v>unknown</v>
      </c>
      <c r="K1101" t="str">
        <f t="shared" si="72"/>
        <v>sector</v>
      </c>
    </row>
    <row r="1102" spans="1:11" ht="100.8" x14ac:dyDescent="0.3">
      <c r="A1102" t="s">
        <v>4977</v>
      </c>
      <c r="B1102" t="s">
        <v>3684</v>
      </c>
      <c r="C1102" s="90" t="s">
        <v>5050</v>
      </c>
      <c r="E1102" t="s">
        <v>5562</v>
      </c>
      <c r="F1102" s="91" t="s">
        <v>5050</v>
      </c>
      <c r="H1102" t="str">
        <f t="shared" si="71"/>
        <v>unknown</v>
      </c>
      <c r="K1102" t="str">
        <f t="shared" si="72"/>
        <v>scale</v>
      </c>
    </row>
    <row r="1103" spans="1:11" ht="86.4" x14ac:dyDescent="0.3">
      <c r="A1103" t="s">
        <v>4977</v>
      </c>
      <c r="B1103" t="s">
        <v>3691</v>
      </c>
      <c r="C1103" s="90" t="s">
        <v>5053</v>
      </c>
      <c r="E1103" t="s">
        <v>5562</v>
      </c>
      <c r="F1103" s="91" t="s">
        <v>5053</v>
      </c>
      <c r="H1103" t="str">
        <f t="shared" si="71"/>
        <v>unknown</v>
      </c>
      <c r="K1103" t="str">
        <f t="shared" si="72"/>
        <v>scale</v>
      </c>
    </row>
    <row r="1104" spans="1:11" ht="72" x14ac:dyDescent="0.3">
      <c r="A1104" t="s">
        <v>4977</v>
      </c>
      <c r="B1104" t="s">
        <v>5054</v>
      </c>
      <c r="C1104" s="90" t="s">
        <v>5055</v>
      </c>
      <c r="E1104" t="s">
        <v>5562</v>
      </c>
      <c r="F1104" s="91" t="s">
        <v>5055</v>
      </c>
      <c r="H1104" t="str">
        <f t="shared" si="71"/>
        <v>unknown</v>
      </c>
      <c r="K1104" t="str">
        <f t="shared" si="72"/>
        <v>scale</v>
      </c>
    </row>
    <row r="1105" spans="1:11" ht="100.8" x14ac:dyDescent="0.3">
      <c r="A1105" t="s">
        <v>4977</v>
      </c>
      <c r="B1105" t="s">
        <v>5056</v>
      </c>
      <c r="C1105" s="90" t="s">
        <v>5057</v>
      </c>
      <c r="E1105" t="s">
        <v>5562</v>
      </c>
      <c r="F1105" s="91" t="s">
        <v>5057</v>
      </c>
      <c r="H1105" t="str">
        <f t="shared" si="71"/>
        <v>unknown</v>
      </c>
      <c r="K1105" t="str">
        <f t="shared" si="72"/>
        <v>scale</v>
      </c>
    </row>
    <row r="1106" spans="1:11" ht="158.4" x14ac:dyDescent="0.3">
      <c r="A1106" t="s">
        <v>4977</v>
      </c>
      <c r="B1106" t="s">
        <v>5058</v>
      </c>
      <c r="C1106" s="90" t="s">
        <v>5059</v>
      </c>
      <c r="E1106" t="s">
        <v>5562</v>
      </c>
      <c r="F1106" s="91" t="s">
        <v>5059</v>
      </c>
      <c r="H1106" t="str">
        <f t="shared" si="71"/>
        <v>unknown</v>
      </c>
      <c r="K1106" t="str">
        <f t="shared" si="72"/>
        <v>scale</v>
      </c>
    </row>
    <row r="1107" spans="1:11" ht="72" x14ac:dyDescent="0.3">
      <c r="A1107" t="s">
        <v>4977</v>
      </c>
      <c r="B1107" t="s">
        <v>5060</v>
      </c>
      <c r="C1107" s="90" t="s">
        <v>5061</v>
      </c>
      <c r="E1107" t="s">
        <v>5562</v>
      </c>
      <c r="F1107" s="91" t="s">
        <v>5061</v>
      </c>
      <c r="H1107" t="str">
        <f t="shared" si="71"/>
        <v>unknown</v>
      </c>
      <c r="K1107" t="str">
        <f t="shared" si="72"/>
        <v>scale</v>
      </c>
    </row>
    <row r="1108" spans="1:11" ht="172.8" x14ac:dyDescent="0.3">
      <c r="A1108" t="s">
        <v>4977</v>
      </c>
      <c r="B1108" t="s">
        <v>5062</v>
      </c>
      <c r="C1108" s="90" t="s">
        <v>5063</v>
      </c>
      <c r="E1108" t="s">
        <v>5562</v>
      </c>
      <c r="F1108" s="91" t="s">
        <v>5063</v>
      </c>
      <c r="H1108" t="str">
        <f t="shared" si="71"/>
        <v>unknown</v>
      </c>
      <c r="K1108" t="str">
        <f t="shared" si="72"/>
        <v>scale</v>
      </c>
    </row>
    <row r="1109" spans="1:11" ht="172.8" x14ac:dyDescent="0.3">
      <c r="A1109" t="s">
        <v>4977</v>
      </c>
      <c r="B1109" t="s">
        <v>5064</v>
      </c>
      <c r="C1109" s="90" t="s">
        <v>5063</v>
      </c>
      <c r="E1109" t="s">
        <v>5562</v>
      </c>
      <c r="F1109" s="91" t="s">
        <v>5063</v>
      </c>
      <c r="H1109" t="str">
        <f t="shared" si="71"/>
        <v>unknown</v>
      </c>
      <c r="K1109" t="str">
        <f t="shared" si="72"/>
        <v>scale</v>
      </c>
    </row>
    <row r="1110" spans="1:11" ht="72" x14ac:dyDescent="0.3">
      <c r="A1110" t="s">
        <v>4977</v>
      </c>
      <c r="B1110" t="s">
        <v>5065</v>
      </c>
      <c r="C1110" s="90" t="s">
        <v>5066</v>
      </c>
      <c r="E1110" t="s">
        <v>5562</v>
      </c>
      <c r="F1110" s="91" t="s">
        <v>5066</v>
      </c>
      <c r="H1110" t="str">
        <f t="shared" si="71"/>
        <v>unknown</v>
      </c>
      <c r="K1110" t="str">
        <f t="shared" si="72"/>
        <v>scale</v>
      </c>
    </row>
    <row r="1111" spans="1:11" ht="43.2" x14ac:dyDescent="0.3">
      <c r="A1111" t="s">
        <v>4977</v>
      </c>
      <c r="B1111" t="s">
        <v>5067</v>
      </c>
      <c r="C1111" s="90" t="s">
        <v>5068</v>
      </c>
      <c r="E1111" t="s">
        <v>5562</v>
      </c>
      <c r="F1111" s="91" t="s">
        <v>5068</v>
      </c>
      <c r="H1111" t="str">
        <f t="shared" si="71"/>
        <v>unknown</v>
      </c>
      <c r="K1111" t="str">
        <f t="shared" si="72"/>
        <v>scale</v>
      </c>
    </row>
    <row r="1112" spans="1:11" ht="43.2" x14ac:dyDescent="0.3">
      <c r="A1112" t="s">
        <v>4977</v>
      </c>
      <c r="B1112" t="s">
        <v>5069</v>
      </c>
      <c r="C1112" s="90" t="s">
        <v>5068</v>
      </c>
      <c r="E1112" t="s">
        <v>5562</v>
      </c>
      <c r="F1112" s="91" t="s">
        <v>5068</v>
      </c>
      <c r="H1112" t="str">
        <f t="shared" si="71"/>
        <v>unknown</v>
      </c>
      <c r="K1112" t="str">
        <f t="shared" si="72"/>
        <v>scale</v>
      </c>
    </row>
    <row r="1113" spans="1:11" ht="187.2" x14ac:dyDescent="0.3">
      <c r="A1113" t="s">
        <v>4977</v>
      </c>
      <c r="B1113" t="s">
        <v>5070</v>
      </c>
      <c r="C1113" s="90" t="s">
        <v>5071</v>
      </c>
      <c r="E1113" t="s">
        <v>5562</v>
      </c>
      <c r="F1113" s="91" t="s">
        <v>5071</v>
      </c>
      <c r="H1113" t="str">
        <f t="shared" si="71"/>
        <v>unknown</v>
      </c>
      <c r="K1113" t="str">
        <f t="shared" si="72"/>
        <v>scale</v>
      </c>
    </row>
    <row r="1114" spans="1:11" ht="115.2" x14ac:dyDescent="0.3">
      <c r="A1114" t="s">
        <v>4977</v>
      </c>
      <c r="B1114" t="s">
        <v>5072</v>
      </c>
      <c r="C1114" s="90" t="s">
        <v>5073</v>
      </c>
      <c r="E1114" t="s">
        <v>5562</v>
      </c>
      <c r="F1114" s="91" t="s">
        <v>5073</v>
      </c>
      <c r="H1114" t="str">
        <f t="shared" si="71"/>
        <v>unknown</v>
      </c>
      <c r="K1114" t="str">
        <f t="shared" si="72"/>
        <v>scale</v>
      </c>
    </row>
    <row r="1115" spans="1:11" ht="100.8" x14ac:dyDescent="0.3">
      <c r="A1115" t="s">
        <v>4977</v>
      </c>
      <c r="B1115" t="s">
        <v>5074</v>
      </c>
      <c r="C1115" s="90" t="s">
        <v>5075</v>
      </c>
      <c r="E1115" t="s">
        <v>5562</v>
      </c>
      <c r="F1115" s="91" t="s">
        <v>5075</v>
      </c>
      <c r="H1115" t="str">
        <f t="shared" si="71"/>
        <v>unknown</v>
      </c>
      <c r="K1115" t="str">
        <f t="shared" si="72"/>
        <v>scale</v>
      </c>
    </row>
    <row r="1116" spans="1:11" ht="86.4" x14ac:dyDescent="0.3">
      <c r="A1116" t="s">
        <v>4977</v>
      </c>
      <c r="B1116" t="s">
        <v>5076</v>
      </c>
      <c r="C1116" s="90" t="s">
        <v>5077</v>
      </c>
      <c r="E1116" t="s">
        <v>5562</v>
      </c>
      <c r="F1116" s="91" t="s">
        <v>5077</v>
      </c>
      <c r="H1116" t="str">
        <f t="shared" si="71"/>
        <v>unknown</v>
      </c>
      <c r="K1116" t="str">
        <f t="shared" si="72"/>
        <v>scale</v>
      </c>
    </row>
    <row r="1117" spans="1:11" ht="86.4" x14ac:dyDescent="0.3">
      <c r="A1117" t="s">
        <v>4977</v>
      </c>
      <c r="B1117" t="s">
        <v>5078</v>
      </c>
      <c r="C1117" s="90" t="s">
        <v>5079</v>
      </c>
      <c r="E1117" t="s">
        <v>5562</v>
      </c>
      <c r="F1117" s="91" t="s">
        <v>5079</v>
      </c>
      <c r="H1117" t="str">
        <f t="shared" si="71"/>
        <v>unknown</v>
      </c>
      <c r="K1117" t="str">
        <f t="shared" si="72"/>
        <v>scale</v>
      </c>
    </row>
    <row r="1118" spans="1:11" ht="216" x14ac:dyDescent="0.3">
      <c r="A1118" t="s">
        <v>4977</v>
      </c>
      <c r="B1118" t="s">
        <v>5080</v>
      </c>
      <c r="C1118" s="90" t="s">
        <v>5081</v>
      </c>
      <c r="E1118" t="s">
        <v>5562</v>
      </c>
      <c r="F1118" s="91" t="s">
        <v>5081</v>
      </c>
      <c r="H1118" t="str">
        <f t="shared" si="71"/>
        <v>unknown</v>
      </c>
      <c r="K1118" t="str">
        <f t="shared" si="72"/>
        <v>scale</v>
      </c>
    </row>
    <row r="1119" spans="1:11" ht="100.8" x14ac:dyDescent="0.3">
      <c r="A1119" t="s">
        <v>4977</v>
      </c>
      <c r="B1119" t="s">
        <v>5082</v>
      </c>
      <c r="C1119" s="90" t="s">
        <v>5083</v>
      </c>
      <c r="E1119" t="s">
        <v>5562</v>
      </c>
      <c r="F1119" s="91" t="s">
        <v>5083</v>
      </c>
      <c r="H1119" t="str">
        <f t="shared" si="71"/>
        <v>unknown</v>
      </c>
      <c r="K1119" t="str">
        <f t="shared" si="72"/>
        <v>scale</v>
      </c>
    </row>
    <row r="1120" spans="1:11" ht="172.8" x14ac:dyDescent="0.3">
      <c r="A1120" t="s">
        <v>4977</v>
      </c>
      <c r="B1120" t="s">
        <v>5084</v>
      </c>
      <c r="C1120" s="90" t="s">
        <v>5085</v>
      </c>
      <c r="E1120" t="s">
        <v>5562</v>
      </c>
      <c r="F1120" s="91" t="s">
        <v>5085</v>
      </c>
      <c r="H1120" t="str">
        <f t="shared" si="71"/>
        <v>unknown</v>
      </c>
      <c r="K1120" t="str">
        <f t="shared" si="72"/>
        <v>scale</v>
      </c>
    </row>
    <row r="1121" spans="1:11" ht="172.8" x14ac:dyDescent="0.3">
      <c r="A1121" t="s">
        <v>4977</v>
      </c>
      <c r="B1121" t="s">
        <v>5086</v>
      </c>
      <c r="C1121" s="90" t="s">
        <v>5085</v>
      </c>
      <c r="E1121" t="s">
        <v>5562</v>
      </c>
      <c r="F1121" s="91" t="s">
        <v>5085</v>
      </c>
      <c r="H1121" t="str">
        <f t="shared" si="71"/>
        <v>unknown</v>
      </c>
      <c r="K1121" t="str">
        <f t="shared" si="72"/>
        <v>scale</v>
      </c>
    </row>
    <row r="1122" spans="1:11" ht="115.2" x14ac:dyDescent="0.3">
      <c r="A1122" t="s">
        <v>4977</v>
      </c>
      <c r="B1122" t="s">
        <v>5087</v>
      </c>
      <c r="C1122" s="90" t="s">
        <v>5088</v>
      </c>
      <c r="E1122" t="s">
        <v>5562</v>
      </c>
      <c r="F1122" s="91" t="s">
        <v>5088</v>
      </c>
      <c r="H1122" t="str">
        <f t="shared" si="71"/>
        <v>unknown</v>
      </c>
      <c r="K1122" t="str">
        <f t="shared" si="72"/>
        <v>scale</v>
      </c>
    </row>
    <row r="1123" spans="1:11" ht="129.6" x14ac:dyDescent="0.3">
      <c r="A1123" t="s">
        <v>4977</v>
      </c>
      <c r="B1123" t="s">
        <v>4472</v>
      </c>
      <c r="C1123" s="90" t="s">
        <v>5089</v>
      </c>
      <c r="E1123" t="s">
        <v>5562</v>
      </c>
      <c r="F1123" s="91" t="s">
        <v>5089</v>
      </c>
      <c r="H1123" t="str">
        <f t="shared" si="71"/>
        <v>unknown</v>
      </c>
      <c r="K1123" t="str">
        <f t="shared" si="72"/>
        <v>scale</v>
      </c>
    </row>
    <row r="1124" spans="1:11" ht="43.2" x14ac:dyDescent="0.3">
      <c r="A1124" t="s">
        <v>4977</v>
      </c>
      <c r="B1124" t="s">
        <v>5090</v>
      </c>
      <c r="C1124" s="90" t="s">
        <v>5091</v>
      </c>
      <c r="E1124" t="s">
        <v>5562</v>
      </c>
      <c r="F1124" s="91" t="s">
        <v>5091</v>
      </c>
      <c r="H1124" t="str">
        <f t="shared" si="71"/>
        <v>unknown</v>
      </c>
      <c r="K1124" t="str">
        <f t="shared" si="72"/>
        <v>scale</v>
      </c>
    </row>
    <row r="1125" spans="1:11" ht="129.6" x14ac:dyDescent="0.3">
      <c r="A1125" t="s">
        <v>4977</v>
      </c>
      <c r="B1125" t="s">
        <v>5092</v>
      </c>
      <c r="C1125" s="90" t="s">
        <v>5093</v>
      </c>
      <c r="E1125" t="s">
        <v>5562</v>
      </c>
      <c r="F1125" s="91" t="s">
        <v>5093</v>
      </c>
      <c r="H1125" t="str">
        <f t="shared" si="71"/>
        <v>unknown</v>
      </c>
      <c r="K1125" t="str">
        <f t="shared" si="72"/>
        <v>scale</v>
      </c>
    </row>
    <row r="1126" spans="1:11" ht="57.6" x14ac:dyDescent="0.3">
      <c r="A1126" t="s">
        <v>4977</v>
      </c>
      <c r="B1126" t="s">
        <v>5094</v>
      </c>
      <c r="C1126" s="90" t="s">
        <v>5095</v>
      </c>
      <c r="E1126" t="s">
        <v>5562</v>
      </c>
      <c r="F1126" s="91" t="s">
        <v>5095</v>
      </c>
      <c r="H1126" t="str">
        <f t="shared" si="71"/>
        <v>unknown</v>
      </c>
      <c r="K1126" t="str">
        <f t="shared" si="72"/>
        <v>scale</v>
      </c>
    </row>
    <row r="1127" spans="1:11" ht="100.8" x14ac:dyDescent="0.3">
      <c r="A1127" t="s">
        <v>4977</v>
      </c>
      <c r="B1127" t="s">
        <v>5096</v>
      </c>
      <c r="C1127" s="90" t="s">
        <v>5097</v>
      </c>
      <c r="E1127" t="s">
        <v>5562</v>
      </c>
      <c r="F1127" s="91" t="s">
        <v>5097</v>
      </c>
      <c r="H1127" t="str">
        <f t="shared" si="71"/>
        <v>unknown</v>
      </c>
      <c r="K1127" t="str">
        <f t="shared" si="72"/>
        <v>scale</v>
      </c>
    </row>
    <row r="1128" spans="1:11" ht="115.2" x14ac:dyDescent="0.3">
      <c r="A1128" t="s">
        <v>4977</v>
      </c>
      <c r="B1128" t="s">
        <v>5098</v>
      </c>
      <c r="C1128" s="90" t="s">
        <v>5099</v>
      </c>
      <c r="E1128" t="s">
        <v>5562</v>
      </c>
      <c r="F1128" s="91" t="s">
        <v>5099</v>
      </c>
      <c r="H1128" t="str">
        <f t="shared" si="71"/>
        <v>unknown</v>
      </c>
      <c r="K1128" t="str">
        <f t="shared" si="72"/>
        <v>scale</v>
      </c>
    </row>
    <row r="1129" spans="1:11" ht="158.4" x14ac:dyDescent="0.3">
      <c r="A1129" t="s">
        <v>4977</v>
      </c>
      <c r="B1129" t="s">
        <v>4485</v>
      </c>
      <c r="C1129" s="90" t="s">
        <v>5100</v>
      </c>
      <c r="E1129" t="s">
        <v>5562</v>
      </c>
      <c r="F1129" s="91" t="s">
        <v>5100</v>
      </c>
      <c r="H1129" t="str">
        <f t="shared" si="71"/>
        <v>unknown</v>
      </c>
      <c r="K1129" t="str">
        <f t="shared" si="72"/>
        <v>scale</v>
      </c>
    </row>
    <row r="1130" spans="1:11" ht="100.8" x14ac:dyDescent="0.3">
      <c r="A1130" t="s">
        <v>4977</v>
      </c>
      <c r="B1130" t="s">
        <v>4487</v>
      </c>
      <c r="C1130" s="90" t="s">
        <v>5101</v>
      </c>
      <c r="E1130" t="s">
        <v>5562</v>
      </c>
      <c r="F1130" s="91" t="s">
        <v>5101</v>
      </c>
      <c r="H1130" t="str">
        <f t="shared" si="71"/>
        <v>unknown</v>
      </c>
      <c r="K1130" t="str">
        <f t="shared" si="72"/>
        <v>scale</v>
      </c>
    </row>
    <row r="1131" spans="1:11" ht="100.8" x14ac:dyDescent="0.3">
      <c r="A1131" t="s">
        <v>4977</v>
      </c>
      <c r="B1131" t="s">
        <v>4489</v>
      </c>
      <c r="C1131" s="90" t="s">
        <v>5101</v>
      </c>
      <c r="E1131" t="s">
        <v>5562</v>
      </c>
      <c r="F1131" s="91" t="s">
        <v>5101</v>
      </c>
      <c r="H1131" t="str">
        <f t="shared" si="71"/>
        <v>unknown</v>
      </c>
      <c r="K1131" t="str">
        <f t="shared" si="72"/>
        <v>scale</v>
      </c>
    </row>
    <row r="1132" spans="1:11" ht="115.2" x14ac:dyDescent="0.3">
      <c r="A1132" t="s">
        <v>4977</v>
      </c>
      <c r="B1132" t="s">
        <v>4491</v>
      </c>
      <c r="C1132" s="90" t="s">
        <v>5102</v>
      </c>
      <c r="E1132" t="s">
        <v>5562</v>
      </c>
      <c r="F1132" s="91" t="s">
        <v>5102</v>
      </c>
      <c r="H1132" t="str">
        <f t="shared" si="71"/>
        <v>unknown</v>
      </c>
      <c r="K1132" t="str">
        <f t="shared" si="72"/>
        <v>scale</v>
      </c>
    </row>
    <row r="1133" spans="1:11" ht="72" x14ac:dyDescent="0.3">
      <c r="A1133" t="s">
        <v>4977</v>
      </c>
      <c r="B1133" t="s">
        <v>4493</v>
      </c>
      <c r="C1133" s="90" t="s">
        <v>5103</v>
      </c>
      <c r="E1133" t="s">
        <v>5562</v>
      </c>
      <c r="F1133" s="91" t="s">
        <v>5103</v>
      </c>
      <c r="H1133" t="str">
        <f t="shared" si="71"/>
        <v>unknown</v>
      </c>
      <c r="K1133" t="str">
        <f t="shared" si="72"/>
        <v>scale</v>
      </c>
    </row>
    <row r="1134" spans="1:11" ht="115.2" x14ac:dyDescent="0.3">
      <c r="A1134" t="s">
        <v>4977</v>
      </c>
      <c r="B1134" t="s">
        <v>5104</v>
      </c>
      <c r="C1134" s="90" t="s">
        <v>5105</v>
      </c>
      <c r="E1134" t="s">
        <v>5562</v>
      </c>
      <c r="F1134" s="91" t="s">
        <v>5105</v>
      </c>
      <c r="H1134" t="str">
        <f t="shared" si="71"/>
        <v>unknown</v>
      </c>
      <c r="K1134" t="str">
        <f t="shared" si="72"/>
        <v>scale</v>
      </c>
    </row>
    <row r="1135" spans="1:11" ht="158.4" x14ac:dyDescent="0.3">
      <c r="A1135" t="s">
        <v>4977</v>
      </c>
      <c r="B1135" t="s">
        <v>5106</v>
      </c>
      <c r="C1135" s="90" t="s">
        <v>5107</v>
      </c>
      <c r="E1135" t="s">
        <v>5562</v>
      </c>
      <c r="F1135" s="91" t="s">
        <v>5107</v>
      </c>
      <c r="H1135" t="str">
        <f t="shared" si="71"/>
        <v>unknown</v>
      </c>
      <c r="K1135" t="str">
        <f t="shared" si="72"/>
        <v>scale</v>
      </c>
    </row>
    <row r="1136" spans="1:11" ht="86.4" x14ac:dyDescent="0.3">
      <c r="A1136" t="s">
        <v>4977</v>
      </c>
      <c r="B1136" t="s">
        <v>5108</v>
      </c>
      <c r="C1136" s="90" t="s">
        <v>3925</v>
      </c>
      <c r="E1136" t="s">
        <v>5562</v>
      </c>
      <c r="F1136" s="91" t="s">
        <v>3925</v>
      </c>
      <c r="H1136" t="str">
        <f t="shared" si="71"/>
        <v>unknown</v>
      </c>
      <c r="K1136" t="str">
        <f t="shared" si="72"/>
        <v>scale</v>
      </c>
    </row>
    <row r="1137" spans="1:11" ht="115.2" x14ac:dyDescent="0.3">
      <c r="A1137" t="s">
        <v>4977</v>
      </c>
      <c r="B1137" t="s">
        <v>5109</v>
      </c>
      <c r="C1137" s="90" t="s">
        <v>5110</v>
      </c>
      <c r="E1137" t="s">
        <v>5562</v>
      </c>
      <c r="F1137" s="91" t="s">
        <v>5110</v>
      </c>
      <c r="H1137" t="str">
        <f t="shared" si="71"/>
        <v>unknown</v>
      </c>
      <c r="K1137" t="str">
        <f t="shared" si="72"/>
        <v>scale</v>
      </c>
    </row>
    <row r="1138" spans="1:11" ht="129.6" x14ac:dyDescent="0.3">
      <c r="A1138" t="s">
        <v>4977</v>
      </c>
      <c r="B1138" t="s">
        <v>5111</v>
      </c>
      <c r="C1138" s="90" t="s">
        <v>5112</v>
      </c>
      <c r="E1138" t="s">
        <v>5562</v>
      </c>
      <c r="F1138" s="91" t="s">
        <v>5112</v>
      </c>
      <c r="H1138" t="str">
        <f t="shared" si="71"/>
        <v>unknown</v>
      </c>
      <c r="K1138" t="str">
        <f t="shared" si="72"/>
        <v>scale</v>
      </c>
    </row>
    <row r="1139" spans="1:11" ht="115.2" x14ac:dyDescent="0.3">
      <c r="A1139" t="s">
        <v>4977</v>
      </c>
      <c r="B1139" t="s">
        <v>5113</v>
      </c>
      <c r="C1139" s="90" t="s">
        <v>4910</v>
      </c>
      <c r="E1139" t="s">
        <v>5562</v>
      </c>
      <c r="F1139" s="91" t="s">
        <v>4910</v>
      </c>
      <c r="H1139" t="str">
        <f t="shared" si="71"/>
        <v>unknown</v>
      </c>
      <c r="K1139" t="str">
        <f t="shared" si="72"/>
        <v>scale</v>
      </c>
    </row>
    <row r="1140" spans="1:11" ht="72" x14ac:dyDescent="0.3">
      <c r="A1140" t="s">
        <v>4977</v>
      </c>
      <c r="B1140" t="s">
        <v>5114</v>
      </c>
      <c r="C1140" s="90" t="s">
        <v>5115</v>
      </c>
      <c r="E1140" t="s">
        <v>5562</v>
      </c>
      <c r="F1140" s="91" t="s">
        <v>5115</v>
      </c>
      <c r="H1140" t="str">
        <f t="shared" si="71"/>
        <v>unknown</v>
      </c>
      <c r="K1140" t="str">
        <f t="shared" si="72"/>
        <v>scale</v>
      </c>
    </row>
    <row r="1141" spans="1:11" ht="72" x14ac:dyDescent="0.3">
      <c r="A1141" t="s">
        <v>4977</v>
      </c>
      <c r="B1141" t="s">
        <v>5116</v>
      </c>
      <c r="C1141" s="90" t="s">
        <v>5115</v>
      </c>
      <c r="E1141" t="s">
        <v>5562</v>
      </c>
      <c r="F1141" s="91" t="s">
        <v>5115</v>
      </c>
      <c r="H1141" t="str">
        <f t="shared" si="71"/>
        <v>unknown</v>
      </c>
      <c r="K1141" t="str">
        <f t="shared" si="72"/>
        <v>scale</v>
      </c>
    </row>
    <row r="1142" spans="1:11" ht="72" x14ac:dyDescent="0.3">
      <c r="A1142" t="s">
        <v>4977</v>
      </c>
      <c r="B1142" t="s">
        <v>5117</v>
      </c>
      <c r="C1142" s="90" t="s">
        <v>5118</v>
      </c>
      <c r="E1142" t="s">
        <v>5562</v>
      </c>
      <c r="F1142" s="91" t="s">
        <v>5118</v>
      </c>
      <c r="H1142" t="str">
        <f t="shared" si="71"/>
        <v>unknown</v>
      </c>
      <c r="K1142" t="str">
        <f t="shared" si="72"/>
        <v>scale</v>
      </c>
    </row>
    <row r="1143" spans="1:11" ht="72" x14ac:dyDescent="0.3">
      <c r="A1143" t="s">
        <v>4977</v>
      </c>
      <c r="B1143" t="s">
        <v>5119</v>
      </c>
      <c r="C1143" s="90" t="s">
        <v>5120</v>
      </c>
      <c r="E1143" t="s">
        <v>5562</v>
      </c>
      <c r="F1143" s="91" t="s">
        <v>5120</v>
      </c>
      <c r="H1143" t="str">
        <f t="shared" si="71"/>
        <v>unknown</v>
      </c>
      <c r="K1143" t="str">
        <f t="shared" si="72"/>
        <v>scale</v>
      </c>
    </row>
    <row r="1144" spans="1:11" ht="100.8" x14ac:dyDescent="0.3">
      <c r="A1144" t="s">
        <v>4977</v>
      </c>
      <c r="B1144" t="s">
        <v>4032</v>
      </c>
      <c r="C1144" s="90" t="s">
        <v>5121</v>
      </c>
      <c r="E1144" t="s">
        <v>5562</v>
      </c>
      <c r="F1144" s="91" t="s">
        <v>5121</v>
      </c>
      <c r="H1144" t="str">
        <f t="shared" si="71"/>
        <v>unknown</v>
      </c>
      <c r="K1144" t="str">
        <f t="shared" si="72"/>
        <v>scale</v>
      </c>
    </row>
    <row r="1145" spans="1:11" ht="100.8" x14ac:dyDescent="0.3">
      <c r="A1145" t="s">
        <v>4977</v>
      </c>
      <c r="B1145" t="s">
        <v>5122</v>
      </c>
      <c r="C1145" s="90" t="s">
        <v>4976</v>
      </c>
      <c r="E1145" t="s">
        <v>5562</v>
      </c>
      <c r="F1145" s="91" t="s">
        <v>4976</v>
      </c>
      <c r="H1145" t="str">
        <f t="shared" si="71"/>
        <v>unknown</v>
      </c>
      <c r="K1145" t="str">
        <f t="shared" si="72"/>
        <v>scale</v>
      </c>
    </row>
    <row r="1146" spans="1:11" ht="43.2" x14ac:dyDescent="0.3">
      <c r="A1146" t="s">
        <v>5123</v>
      </c>
      <c r="B1146" t="s">
        <v>4938</v>
      </c>
      <c r="C1146" s="90" t="s">
        <v>5124</v>
      </c>
      <c r="D1146" t="s">
        <v>5561</v>
      </c>
      <c r="E1146" t="s">
        <v>399</v>
      </c>
      <c r="F1146" s="92" t="s">
        <v>5652</v>
      </c>
      <c r="H1146" t="str">
        <f t="shared" si="71"/>
        <v>unknown</v>
      </c>
      <c r="K1146" t="str">
        <f t="shared" si="72"/>
        <v>sector</v>
      </c>
    </row>
    <row r="1147" spans="1:11" ht="144" x14ac:dyDescent="0.3">
      <c r="A1147" t="s">
        <v>5123</v>
      </c>
      <c r="B1147" t="s">
        <v>4713</v>
      </c>
      <c r="C1147" s="90" t="s">
        <v>5125</v>
      </c>
      <c r="E1147" t="s">
        <v>5562</v>
      </c>
      <c r="F1147" s="91" t="s">
        <v>5125</v>
      </c>
      <c r="H1147" t="str">
        <f t="shared" si="71"/>
        <v>unknown</v>
      </c>
      <c r="K1147" t="str">
        <f t="shared" si="72"/>
        <v>scale</v>
      </c>
    </row>
    <row r="1148" spans="1:11" ht="172.8" x14ac:dyDescent="0.3">
      <c r="A1148" t="s">
        <v>5123</v>
      </c>
      <c r="B1148" t="s">
        <v>3562</v>
      </c>
      <c r="C1148" s="90" t="s">
        <v>5126</v>
      </c>
      <c r="E1148" t="s">
        <v>5562</v>
      </c>
      <c r="F1148" s="91" t="s">
        <v>5126</v>
      </c>
      <c r="H1148" t="str">
        <f t="shared" si="71"/>
        <v>unknown</v>
      </c>
      <c r="K1148" t="str">
        <f t="shared" si="72"/>
        <v>scale</v>
      </c>
    </row>
    <row r="1149" spans="1:11" ht="86.4" x14ac:dyDescent="0.3">
      <c r="A1149" t="s">
        <v>5123</v>
      </c>
      <c r="B1149" t="s">
        <v>3946</v>
      </c>
      <c r="C1149" s="90" t="s">
        <v>3925</v>
      </c>
      <c r="E1149" t="s">
        <v>5562</v>
      </c>
      <c r="F1149" s="91" t="s">
        <v>3925</v>
      </c>
      <c r="H1149" t="str">
        <f t="shared" si="71"/>
        <v>unknown</v>
      </c>
      <c r="K1149" t="str">
        <f t="shared" si="72"/>
        <v>scale</v>
      </c>
    </row>
    <row r="1150" spans="1:11" ht="72" x14ac:dyDescent="0.3">
      <c r="A1150" t="s">
        <v>5123</v>
      </c>
      <c r="B1150" t="s">
        <v>5127</v>
      </c>
      <c r="C1150" s="90" t="s">
        <v>5128</v>
      </c>
      <c r="E1150" t="s">
        <v>5562</v>
      </c>
      <c r="F1150" s="91" t="s">
        <v>5128</v>
      </c>
      <c r="H1150" t="str">
        <f t="shared" si="71"/>
        <v>unknown</v>
      </c>
      <c r="K1150" t="str">
        <f t="shared" si="72"/>
        <v>scale</v>
      </c>
    </row>
    <row r="1151" spans="1:11" ht="86.4" x14ac:dyDescent="0.3">
      <c r="A1151" t="s">
        <v>5123</v>
      </c>
      <c r="B1151" t="s">
        <v>3954</v>
      </c>
      <c r="C1151" s="90" t="s">
        <v>5129</v>
      </c>
      <c r="E1151" t="s">
        <v>5562</v>
      </c>
      <c r="F1151" s="91" t="s">
        <v>5129</v>
      </c>
      <c r="H1151" t="str">
        <f t="shared" si="71"/>
        <v>unknown</v>
      </c>
      <c r="K1151" t="str">
        <f t="shared" si="72"/>
        <v>scale</v>
      </c>
    </row>
    <row r="1152" spans="1:11" ht="158.4" x14ac:dyDescent="0.3">
      <c r="A1152" t="s">
        <v>5123</v>
      </c>
      <c r="B1152" t="s">
        <v>5130</v>
      </c>
      <c r="C1152" s="90" t="s">
        <v>5131</v>
      </c>
      <c r="E1152" t="s">
        <v>5562</v>
      </c>
      <c r="F1152" s="94" t="s">
        <v>5131</v>
      </c>
      <c r="H1152" t="str">
        <f t="shared" si="71"/>
        <v>unknown</v>
      </c>
      <c r="K1152" t="str">
        <f t="shared" si="72"/>
        <v>scale</v>
      </c>
    </row>
    <row r="1153" spans="1:11" ht="187.2" x14ac:dyDescent="0.3">
      <c r="A1153" t="s">
        <v>5123</v>
      </c>
      <c r="B1153" t="s">
        <v>5132</v>
      </c>
      <c r="C1153" s="90" t="s">
        <v>5133</v>
      </c>
      <c r="E1153" t="s">
        <v>5562</v>
      </c>
      <c r="F1153" s="91" t="s">
        <v>5133</v>
      </c>
      <c r="H1153" t="str">
        <f t="shared" si="71"/>
        <v>unknown</v>
      </c>
      <c r="K1153" t="str">
        <f t="shared" si="72"/>
        <v>scale</v>
      </c>
    </row>
    <row r="1154" spans="1:11" ht="57.6" x14ac:dyDescent="0.3">
      <c r="A1154" t="s">
        <v>5123</v>
      </c>
      <c r="B1154" t="s">
        <v>4068</v>
      </c>
      <c r="C1154" s="90" t="s">
        <v>5134</v>
      </c>
      <c r="E1154" t="s">
        <v>5562</v>
      </c>
      <c r="F1154" s="91" t="s">
        <v>5134</v>
      </c>
      <c r="H1154" t="str">
        <f t="shared" ref="H1154:H1217" si="73">IF(EXACT(F1154,$W$1), "open", IF(EXACT(F1154,$X$1), "open", "unknown"))</f>
        <v>unknown</v>
      </c>
      <c r="K1154" t="str">
        <f t="shared" ref="K1154:K1217" si="74">IF(AND(E1154&lt;&gt;"", E1154&lt;&gt;"unknown"), E1154,
   IF(AND(G1154&lt;&gt;"", G1154&lt;&gt;"unknown"), G1154,
   IF(AND(H1154&lt;&gt;"", H1154&lt;&gt;"unknown"), H1154,
   IF(I1154&lt;&gt;"", I1154, "ERROR"))))</f>
        <v>scale</v>
      </c>
    </row>
    <row r="1155" spans="1:11" ht="43.2" x14ac:dyDescent="0.3">
      <c r="A1155" t="s">
        <v>5123</v>
      </c>
      <c r="B1155" t="s">
        <v>5135</v>
      </c>
      <c r="C1155" s="90" t="s">
        <v>5136</v>
      </c>
      <c r="E1155" t="s">
        <v>5562</v>
      </c>
      <c r="F1155" s="91" t="s">
        <v>5136</v>
      </c>
      <c r="H1155" t="str">
        <f t="shared" si="73"/>
        <v>unknown</v>
      </c>
      <c r="K1155" t="str">
        <f t="shared" si="74"/>
        <v>scale</v>
      </c>
    </row>
    <row r="1156" spans="1:11" ht="331.2" x14ac:dyDescent="0.3">
      <c r="A1156" t="s">
        <v>5123</v>
      </c>
      <c r="B1156" t="s">
        <v>4944</v>
      </c>
      <c r="C1156" s="90" t="s">
        <v>5137</v>
      </c>
      <c r="E1156" t="s">
        <v>5562</v>
      </c>
      <c r="F1156" s="91" t="s">
        <v>5137</v>
      </c>
      <c r="H1156" t="str">
        <f t="shared" si="73"/>
        <v>unknown</v>
      </c>
      <c r="K1156" t="str">
        <f t="shared" si="74"/>
        <v>scale</v>
      </c>
    </row>
    <row r="1157" spans="1:11" ht="28.8" x14ac:dyDescent="0.3">
      <c r="A1157" t="s">
        <v>5123</v>
      </c>
      <c r="B1157" t="s">
        <v>3960</v>
      </c>
      <c r="C1157" s="90" t="s">
        <v>3354</v>
      </c>
      <c r="D1157" t="s">
        <v>5561</v>
      </c>
      <c r="E1157" t="s">
        <v>5560</v>
      </c>
      <c r="F1157" s="92" t="s">
        <v>5567</v>
      </c>
      <c r="G1157" t="str">
        <f>IF(EXACT($F1157, $Q$1), "sector", "unknown")</f>
        <v>sector</v>
      </c>
      <c r="H1157" t="str">
        <f t="shared" si="73"/>
        <v>unknown</v>
      </c>
      <c r="K1157" t="str">
        <f t="shared" si="74"/>
        <v>sector</v>
      </c>
    </row>
    <row r="1158" spans="1:11" ht="158.4" x14ac:dyDescent="0.3">
      <c r="A1158" t="s">
        <v>5123</v>
      </c>
      <c r="B1158" t="s">
        <v>4952</v>
      </c>
      <c r="C1158" s="90" t="s">
        <v>5138</v>
      </c>
      <c r="E1158" t="s">
        <v>5562</v>
      </c>
      <c r="F1158" s="91" t="s">
        <v>5138</v>
      </c>
      <c r="H1158" t="str">
        <f t="shared" si="73"/>
        <v>unknown</v>
      </c>
      <c r="K1158" t="str">
        <f t="shared" si="74"/>
        <v>scale</v>
      </c>
    </row>
    <row r="1159" spans="1:11" ht="129.6" x14ac:dyDescent="0.3">
      <c r="A1159" t="s">
        <v>5123</v>
      </c>
      <c r="B1159" t="s">
        <v>5139</v>
      </c>
      <c r="C1159" s="90" t="s">
        <v>5140</v>
      </c>
      <c r="E1159" t="s">
        <v>5562</v>
      </c>
      <c r="F1159" s="91" t="s">
        <v>5140</v>
      </c>
      <c r="H1159" t="str">
        <f t="shared" si="73"/>
        <v>unknown</v>
      </c>
      <c r="K1159" t="str">
        <f t="shared" si="74"/>
        <v>scale</v>
      </c>
    </row>
    <row r="1160" spans="1:11" ht="115.2" x14ac:dyDescent="0.3">
      <c r="A1160" t="s">
        <v>5123</v>
      </c>
      <c r="B1160" t="s">
        <v>5141</v>
      </c>
      <c r="C1160" s="90" t="s">
        <v>5142</v>
      </c>
      <c r="E1160" t="s">
        <v>5562</v>
      </c>
      <c r="F1160" s="91" t="s">
        <v>5142</v>
      </c>
      <c r="H1160" t="str">
        <f t="shared" si="73"/>
        <v>unknown</v>
      </c>
      <c r="K1160" t="str">
        <f t="shared" si="74"/>
        <v>scale</v>
      </c>
    </row>
    <row r="1161" spans="1:11" ht="86.4" x14ac:dyDescent="0.3">
      <c r="A1161" t="s">
        <v>5123</v>
      </c>
      <c r="B1161" t="s">
        <v>5143</v>
      </c>
      <c r="C1161" s="90" t="s">
        <v>5144</v>
      </c>
      <c r="E1161" t="s">
        <v>5562</v>
      </c>
      <c r="F1161" s="91" t="s">
        <v>5144</v>
      </c>
      <c r="H1161" t="str">
        <f t="shared" si="73"/>
        <v>unknown</v>
      </c>
      <c r="K1161" t="str">
        <f t="shared" si="74"/>
        <v>scale</v>
      </c>
    </row>
    <row r="1162" spans="1:11" ht="115.2" x14ac:dyDescent="0.3">
      <c r="A1162" t="s">
        <v>5123</v>
      </c>
      <c r="B1162" t="s">
        <v>5145</v>
      </c>
      <c r="C1162" s="90" t="s">
        <v>3642</v>
      </c>
      <c r="E1162" t="s">
        <v>5562</v>
      </c>
      <c r="F1162" s="91" t="s">
        <v>3642</v>
      </c>
      <c r="H1162" t="str">
        <f t="shared" si="73"/>
        <v>unknown</v>
      </c>
      <c r="K1162" t="str">
        <f t="shared" si="74"/>
        <v>scale</v>
      </c>
    </row>
    <row r="1163" spans="1:11" ht="100.8" x14ac:dyDescent="0.3">
      <c r="A1163" t="s">
        <v>5123</v>
      </c>
      <c r="B1163" t="s">
        <v>3609</v>
      </c>
      <c r="C1163" s="90" t="s">
        <v>5003</v>
      </c>
      <c r="E1163" t="s">
        <v>5562</v>
      </c>
      <c r="F1163" s="91" t="s">
        <v>5003</v>
      </c>
      <c r="H1163" t="str">
        <f t="shared" si="73"/>
        <v>unknown</v>
      </c>
      <c r="K1163" t="str">
        <f t="shared" si="74"/>
        <v>scale</v>
      </c>
    </row>
    <row r="1164" spans="1:11" ht="129.6" x14ac:dyDescent="0.3">
      <c r="A1164" t="s">
        <v>5123</v>
      </c>
      <c r="B1164" t="s">
        <v>5146</v>
      </c>
      <c r="C1164" s="90" t="s">
        <v>5147</v>
      </c>
      <c r="E1164" t="s">
        <v>5562</v>
      </c>
      <c r="F1164" s="91" t="s">
        <v>5147</v>
      </c>
      <c r="H1164" t="str">
        <f t="shared" si="73"/>
        <v>unknown</v>
      </c>
      <c r="K1164" t="str">
        <f t="shared" si="74"/>
        <v>scale</v>
      </c>
    </row>
    <row r="1165" spans="1:11" ht="129.6" x14ac:dyDescent="0.3">
      <c r="A1165" t="s">
        <v>5123</v>
      </c>
      <c r="B1165" t="s">
        <v>5005</v>
      </c>
      <c r="C1165" s="90" t="s">
        <v>5147</v>
      </c>
      <c r="E1165" t="s">
        <v>5562</v>
      </c>
      <c r="F1165" s="91" t="s">
        <v>5147</v>
      </c>
      <c r="H1165" t="str">
        <f t="shared" si="73"/>
        <v>unknown</v>
      </c>
      <c r="K1165" t="str">
        <f t="shared" si="74"/>
        <v>scale</v>
      </c>
    </row>
    <row r="1166" spans="1:11" ht="129.6" x14ac:dyDescent="0.3">
      <c r="A1166" t="s">
        <v>5123</v>
      </c>
      <c r="B1166" t="s">
        <v>4280</v>
      </c>
      <c r="C1166" s="90" t="s">
        <v>5148</v>
      </c>
      <c r="E1166" t="s">
        <v>5562</v>
      </c>
      <c r="F1166" s="91" t="s">
        <v>5148</v>
      </c>
      <c r="H1166" t="str">
        <f t="shared" si="73"/>
        <v>unknown</v>
      </c>
      <c r="K1166" t="str">
        <f t="shared" si="74"/>
        <v>scale</v>
      </c>
    </row>
    <row r="1167" spans="1:11" ht="129.6" x14ac:dyDescent="0.3">
      <c r="A1167" t="s">
        <v>5123</v>
      </c>
      <c r="B1167" t="s">
        <v>3894</v>
      </c>
      <c r="C1167" s="90" t="s">
        <v>5149</v>
      </c>
      <c r="E1167" t="s">
        <v>5562</v>
      </c>
      <c r="F1167" s="91" t="s">
        <v>5149</v>
      </c>
      <c r="H1167" t="str">
        <f t="shared" si="73"/>
        <v>unknown</v>
      </c>
      <c r="K1167" t="str">
        <f t="shared" si="74"/>
        <v>scale</v>
      </c>
    </row>
    <row r="1168" spans="1:11" ht="129.6" x14ac:dyDescent="0.3">
      <c r="A1168" t="s">
        <v>5123</v>
      </c>
      <c r="B1168" t="s">
        <v>3375</v>
      </c>
      <c r="C1168" s="90" t="s">
        <v>5148</v>
      </c>
      <c r="E1168" t="s">
        <v>5562</v>
      </c>
      <c r="F1168" s="91" t="s">
        <v>5148</v>
      </c>
      <c r="H1168" t="str">
        <f t="shared" si="73"/>
        <v>unknown</v>
      </c>
      <c r="K1168" t="str">
        <f t="shared" si="74"/>
        <v>scale</v>
      </c>
    </row>
    <row r="1169" spans="1:11" ht="259.2" x14ac:dyDescent="0.3">
      <c r="A1169" t="s">
        <v>5123</v>
      </c>
      <c r="B1169" t="s">
        <v>3614</v>
      </c>
      <c r="C1169" s="90" t="s">
        <v>5150</v>
      </c>
      <c r="E1169" t="s">
        <v>5562</v>
      </c>
      <c r="F1169" s="91" t="s">
        <v>5150</v>
      </c>
      <c r="H1169" t="str">
        <f t="shared" si="73"/>
        <v>unknown</v>
      </c>
      <c r="K1169" t="str">
        <f t="shared" si="74"/>
        <v>scale</v>
      </c>
    </row>
    <row r="1170" spans="1:11" ht="72" x14ac:dyDescent="0.3">
      <c r="A1170" t="s">
        <v>5123</v>
      </c>
      <c r="B1170" t="s">
        <v>4074</v>
      </c>
      <c r="C1170" s="90" t="s">
        <v>5151</v>
      </c>
      <c r="E1170" t="s">
        <v>5562</v>
      </c>
      <c r="F1170" s="91" t="s">
        <v>5151</v>
      </c>
      <c r="H1170" t="str">
        <f t="shared" si="73"/>
        <v>unknown</v>
      </c>
      <c r="K1170" t="str">
        <f t="shared" si="74"/>
        <v>scale</v>
      </c>
    </row>
    <row r="1171" spans="1:11" ht="43.2" x14ac:dyDescent="0.3">
      <c r="A1171" t="s">
        <v>5123</v>
      </c>
      <c r="B1171" t="s">
        <v>5152</v>
      </c>
      <c r="C1171" s="90" t="s">
        <v>5153</v>
      </c>
      <c r="E1171" t="s">
        <v>5562</v>
      </c>
      <c r="F1171" s="91" t="s">
        <v>5153</v>
      </c>
      <c r="H1171" t="str">
        <f t="shared" si="73"/>
        <v>unknown</v>
      </c>
      <c r="K1171" t="str">
        <f t="shared" si="74"/>
        <v>scale</v>
      </c>
    </row>
    <row r="1172" spans="1:11" ht="100.8" x14ac:dyDescent="0.3">
      <c r="A1172" t="s">
        <v>5123</v>
      </c>
      <c r="B1172" t="s">
        <v>4296</v>
      </c>
      <c r="C1172" s="90" t="s">
        <v>5154</v>
      </c>
      <c r="E1172" t="s">
        <v>5562</v>
      </c>
      <c r="F1172" s="91" t="s">
        <v>5154</v>
      </c>
      <c r="H1172" t="str">
        <f t="shared" si="73"/>
        <v>unknown</v>
      </c>
      <c r="K1172" t="str">
        <f t="shared" si="74"/>
        <v>scale</v>
      </c>
    </row>
    <row r="1173" spans="1:11" ht="86.4" x14ac:dyDescent="0.3">
      <c r="A1173" t="s">
        <v>5123</v>
      </c>
      <c r="B1173" t="s">
        <v>4302</v>
      </c>
      <c r="C1173" s="90" t="s">
        <v>5155</v>
      </c>
      <c r="E1173" t="s">
        <v>5562</v>
      </c>
      <c r="F1173" s="91" t="s">
        <v>5155</v>
      </c>
      <c r="H1173" t="str">
        <f t="shared" si="73"/>
        <v>unknown</v>
      </c>
      <c r="K1173" t="str">
        <f t="shared" si="74"/>
        <v>scale</v>
      </c>
    </row>
    <row r="1174" spans="1:11" ht="86.4" x14ac:dyDescent="0.3">
      <c r="A1174" t="s">
        <v>5123</v>
      </c>
      <c r="B1174" t="s">
        <v>4304</v>
      </c>
      <c r="C1174" s="90" t="s">
        <v>4949</v>
      </c>
      <c r="E1174" t="s">
        <v>5562</v>
      </c>
      <c r="F1174" s="91" t="s">
        <v>4949</v>
      </c>
      <c r="H1174" t="str">
        <f t="shared" si="73"/>
        <v>unknown</v>
      </c>
      <c r="K1174" t="str">
        <f t="shared" si="74"/>
        <v>scale</v>
      </c>
    </row>
    <row r="1175" spans="1:11" ht="100.8" x14ac:dyDescent="0.3">
      <c r="A1175" t="s">
        <v>5123</v>
      </c>
      <c r="B1175" t="s">
        <v>5156</v>
      </c>
      <c r="C1175" s="90" t="s">
        <v>5057</v>
      </c>
      <c r="E1175" t="s">
        <v>5562</v>
      </c>
      <c r="F1175" s="91" t="s">
        <v>5057</v>
      </c>
      <c r="H1175" t="str">
        <f t="shared" si="73"/>
        <v>unknown</v>
      </c>
      <c r="K1175" t="str">
        <f t="shared" si="74"/>
        <v>scale</v>
      </c>
    </row>
    <row r="1176" spans="1:11" ht="86.4" x14ac:dyDescent="0.3">
      <c r="A1176" t="s">
        <v>5123</v>
      </c>
      <c r="B1176" t="s">
        <v>4330</v>
      </c>
      <c r="C1176" s="90" t="s">
        <v>5155</v>
      </c>
      <c r="E1176" t="s">
        <v>5562</v>
      </c>
      <c r="F1176" s="91" t="s">
        <v>5155</v>
      </c>
      <c r="H1176" t="str">
        <f t="shared" si="73"/>
        <v>unknown</v>
      </c>
      <c r="K1176" t="str">
        <f t="shared" si="74"/>
        <v>scale</v>
      </c>
    </row>
    <row r="1177" spans="1:11" ht="86.4" x14ac:dyDescent="0.3">
      <c r="A1177" t="s">
        <v>5123</v>
      </c>
      <c r="B1177" t="s">
        <v>4332</v>
      </c>
      <c r="C1177" s="90" t="s">
        <v>4949</v>
      </c>
      <c r="E1177" t="s">
        <v>5562</v>
      </c>
      <c r="F1177" s="91" t="s">
        <v>4949</v>
      </c>
      <c r="H1177" t="str">
        <f t="shared" si="73"/>
        <v>unknown</v>
      </c>
      <c r="K1177" t="str">
        <f t="shared" si="74"/>
        <v>scale</v>
      </c>
    </row>
    <row r="1178" spans="1:11" ht="28.8" x14ac:dyDescent="0.3">
      <c r="A1178" t="s">
        <v>5123</v>
      </c>
      <c r="B1178" t="s">
        <v>3984</v>
      </c>
      <c r="C1178" s="90" t="s">
        <v>3996</v>
      </c>
      <c r="D1178" t="s">
        <v>5561</v>
      </c>
      <c r="E1178" t="s">
        <v>5560</v>
      </c>
      <c r="F1178" s="92" t="s">
        <v>5593</v>
      </c>
      <c r="G1178" t="s">
        <v>399</v>
      </c>
      <c r="H1178" t="str">
        <f t="shared" si="73"/>
        <v>unknown</v>
      </c>
      <c r="K1178" t="str">
        <f t="shared" si="74"/>
        <v>sector</v>
      </c>
    </row>
    <row r="1179" spans="1:11" ht="100.8" x14ac:dyDescent="0.3">
      <c r="A1179" t="s">
        <v>5123</v>
      </c>
      <c r="B1179" t="s">
        <v>3625</v>
      </c>
      <c r="C1179" s="90" t="s">
        <v>5157</v>
      </c>
      <c r="E1179" t="s">
        <v>5562</v>
      </c>
      <c r="F1179" s="91" t="s">
        <v>5157</v>
      </c>
      <c r="H1179" t="str">
        <f t="shared" si="73"/>
        <v>unknown</v>
      </c>
      <c r="K1179" t="str">
        <f t="shared" si="74"/>
        <v>scale</v>
      </c>
    </row>
    <row r="1180" spans="1:11" ht="100.8" x14ac:dyDescent="0.3">
      <c r="A1180" t="s">
        <v>5123</v>
      </c>
      <c r="B1180" t="s">
        <v>3627</v>
      </c>
      <c r="C1180" s="90" t="s">
        <v>5057</v>
      </c>
      <c r="E1180" t="s">
        <v>5562</v>
      </c>
      <c r="F1180" s="91" t="s">
        <v>5057</v>
      </c>
      <c r="H1180" t="str">
        <f t="shared" si="73"/>
        <v>unknown</v>
      </c>
      <c r="K1180" t="str">
        <f t="shared" si="74"/>
        <v>scale</v>
      </c>
    </row>
    <row r="1181" spans="1:11" ht="100.8" x14ac:dyDescent="0.3">
      <c r="A1181" t="s">
        <v>5123</v>
      </c>
      <c r="B1181" t="s">
        <v>5158</v>
      </c>
      <c r="C1181" s="90" t="s">
        <v>5057</v>
      </c>
      <c r="E1181" t="s">
        <v>5562</v>
      </c>
      <c r="F1181" s="91" t="s">
        <v>5057</v>
      </c>
      <c r="H1181" t="str">
        <f t="shared" si="73"/>
        <v>unknown</v>
      </c>
      <c r="K1181" t="str">
        <f t="shared" si="74"/>
        <v>scale</v>
      </c>
    </row>
    <row r="1182" spans="1:11" ht="28.8" x14ac:dyDescent="0.3">
      <c r="A1182" t="s">
        <v>5123</v>
      </c>
      <c r="B1182" t="s">
        <v>5159</v>
      </c>
      <c r="C1182" s="90" t="s">
        <v>3996</v>
      </c>
      <c r="D1182" t="s">
        <v>5561</v>
      </c>
      <c r="E1182" t="s">
        <v>5560</v>
      </c>
      <c r="F1182" s="92" t="s">
        <v>5593</v>
      </c>
      <c r="G1182" t="s">
        <v>399</v>
      </c>
      <c r="H1182" t="str">
        <f t="shared" si="73"/>
        <v>unknown</v>
      </c>
      <c r="K1182" t="str">
        <f t="shared" si="74"/>
        <v>sector</v>
      </c>
    </row>
    <row r="1183" spans="1:11" ht="28.8" x14ac:dyDescent="0.3">
      <c r="A1183" t="s">
        <v>5123</v>
      </c>
      <c r="B1183" t="s">
        <v>5160</v>
      </c>
      <c r="C1183" s="90" t="s">
        <v>3996</v>
      </c>
      <c r="D1183" t="s">
        <v>5561</v>
      </c>
      <c r="E1183" t="s">
        <v>5560</v>
      </c>
      <c r="F1183" s="92" t="s">
        <v>5593</v>
      </c>
      <c r="G1183" t="s">
        <v>399</v>
      </c>
      <c r="H1183" t="str">
        <f t="shared" si="73"/>
        <v>unknown</v>
      </c>
      <c r="K1183" t="str">
        <f t="shared" si="74"/>
        <v>sector</v>
      </c>
    </row>
    <row r="1184" spans="1:11" ht="100.8" x14ac:dyDescent="0.3">
      <c r="A1184" t="s">
        <v>5123</v>
      </c>
      <c r="B1184" t="s">
        <v>5161</v>
      </c>
      <c r="C1184" s="90" t="s">
        <v>5057</v>
      </c>
      <c r="E1184" t="s">
        <v>5562</v>
      </c>
      <c r="F1184" s="91" t="s">
        <v>5057</v>
      </c>
      <c r="H1184" t="str">
        <f t="shared" si="73"/>
        <v>unknown</v>
      </c>
      <c r="K1184" t="str">
        <f t="shared" si="74"/>
        <v>scale</v>
      </c>
    </row>
    <row r="1185" spans="1:11" ht="144" x14ac:dyDescent="0.3">
      <c r="A1185" t="s">
        <v>5123</v>
      </c>
      <c r="B1185" t="s">
        <v>3420</v>
      </c>
      <c r="C1185" s="90" t="s">
        <v>5162</v>
      </c>
      <c r="E1185" t="s">
        <v>5562</v>
      </c>
      <c r="F1185" s="91" t="s">
        <v>5162</v>
      </c>
      <c r="H1185" t="str">
        <f t="shared" si="73"/>
        <v>unknown</v>
      </c>
      <c r="K1185" t="str">
        <f t="shared" si="74"/>
        <v>scale</v>
      </c>
    </row>
    <row r="1186" spans="1:11" ht="187.2" x14ac:dyDescent="0.3">
      <c r="A1186" t="s">
        <v>5123</v>
      </c>
      <c r="B1186" t="s">
        <v>3918</v>
      </c>
      <c r="C1186" s="90" t="s">
        <v>5163</v>
      </c>
      <c r="E1186" t="s">
        <v>5562</v>
      </c>
      <c r="F1186" s="91" t="s">
        <v>5163</v>
      </c>
      <c r="H1186" t="str">
        <f t="shared" si="73"/>
        <v>unknown</v>
      </c>
      <c r="K1186" t="str">
        <f t="shared" si="74"/>
        <v>scale</v>
      </c>
    </row>
    <row r="1187" spans="1:11" ht="86.4" x14ac:dyDescent="0.3">
      <c r="A1187" t="s">
        <v>5123</v>
      </c>
      <c r="B1187" t="s">
        <v>5164</v>
      </c>
      <c r="C1187" s="90" t="s">
        <v>3925</v>
      </c>
      <c r="E1187" t="s">
        <v>5562</v>
      </c>
      <c r="F1187" s="91" t="s">
        <v>3925</v>
      </c>
      <c r="H1187" t="str">
        <f t="shared" si="73"/>
        <v>unknown</v>
      </c>
      <c r="K1187" t="str">
        <f t="shared" si="74"/>
        <v>scale</v>
      </c>
    </row>
    <row r="1188" spans="1:11" ht="115.2" x14ac:dyDescent="0.3">
      <c r="A1188" t="s">
        <v>5123</v>
      </c>
      <c r="B1188" t="s">
        <v>5165</v>
      </c>
      <c r="C1188" s="90" t="s">
        <v>5166</v>
      </c>
      <c r="E1188" t="s">
        <v>5562</v>
      </c>
      <c r="F1188" s="91" t="s">
        <v>5166</v>
      </c>
      <c r="H1188" t="str">
        <f t="shared" si="73"/>
        <v>unknown</v>
      </c>
      <c r="K1188" t="str">
        <f t="shared" si="74"/>
        <v>scale</v>
      </c>
    </row>
    <row r="1189" spans="1:11" ht="100.8" x14ac:dyDescent="0.3">
      <c r="A1189" t="s">
        <v>5123</v>
      </c>
      <c r="B1189" t="s">
        <v>5167</v>
      </c>
      <c r="C1189" s="90" t="s">
        <v>5168</v>
      </c>
      <c r="E1189" t="s">
        <v>5562</v>
      </c>
      <c r="F1189" s="91" t="s">
        <v>5168</v>
      </c>
      <c r="H1189" t="str">
        <f t="shared" si="73"/>
        <v>unknown</v>
      </c>
      <c r="K1189" t="str">
        <f t="shared" si="74"/>
        <v>scale</v>
      </c>
    </row>
    <row r="1190" spans="1:11" ht="115.2" x14ac:dyDescent="0.3">
      <c r="A1190" t="s">
        <v>5123</v>
      </c>
      <c r="B1190" t="s">
        <v>5169</v>
      </c>
      <c r="C1190" s="90" t="s">
        <v>5170</v>
      </c>
      <c r="E1190" t="s">
        <v>5562</v>
      </c>
      <c r="F1190" s="91" t="s">
        <v>5170</v>
      </c>
      <c r="H1190" t="str">
        <f t="shared" si="73"/>
        <v>unknown</v>
      </c>
      <c r="K1190" t="str">
        <f t="shared" si="74"/>
        <v>scale</v>
      </c>
    </row>
    <row r="1191" spans="1:11" ht="158.4" x14ac:dyDescent="0.3">
      <c r="A1191" t="s">
        <v>5123</v>
      </c>
      <c r="B1191" t="s">
        <v>3469</v>
      </c>
      <c r="C1191" s="90" t="s">
        <v>5171</v>
      </c>
      <c r="E1191" t="s">
        <v>5562</v>
      </c>
      <c r="F1191" s="91" t="s">
        <v>5171</v>
      </c>
      <c r="H1191" t="str">
        <f t="shared" si="73"/>
        <v>unknown</v>
      </c>
      <c r="K1191" t="str">
        <f t="shared" si="74"/>
        <v>scale</v>
      </c>
    </row>
    <row r="1192" spans="1:11" ht="57.6" x14ac:dyDescent="0.3">
      <c r="A1192" t="s">
        <v>5123</v>
      </c>
      <c r="B1192" t="s">
        <v>5172</v>
      </c>
      <c r="C1192" s="90" t="s">
        <v>5173</v>
      </c>
      <c r="E1192" t="s">
        <v>5562</v>
      </c>
      <c r="F1192" s="91" t="s">
        <v>5173</v>
      </c>
      <c r="H1192" t="str">
        <f t="shared" si="73"/>
        <v>unknown</v>
      </c>
      <c r="K1192" t="str">
        <f t="shared" si="74"/>
        <v>scale</v>
      </c>
    </row>
    <row r="1193" spans="1:11" ht="115.2" x14ac:dyDescent="0.3">
      <c r="A1193" t="s">
        <v>5123</v>
      </c>
      <c r="B1193" t="s">
        <v>5174</v>
      </c>
      <c r="C1193" s="90" t="s">
        <v>5175</v>
      </c>
      <c r="E1193" t="s">
        <v>5562</v>
      </c>
      <c r="F1193" s="91" t="s">
        <v>5175</v>
      </c>
      <c r="H1193" t="str">
        <f t="shared" si="73"/>
        <v>unknown</v>
      </c>
      <c r="K1193" t="str">
        <f t="shared" si="74"/>
        <v>scale</v>
      </c>
    </row>
    <row r="1194" spans="1:11" ht="115.2" x14ac:dyDescent="0.3">
      <c r="A1194" t="s">
        <v>5123</v>
      </c>
      <c r="B1194" t="s">
        <v>5176</v>
      </c>
      <c r="C1194" s="90" t="s">
        <v>5177</v>
      </c>
      <c r="E1194" t="s">
        <v>5562</v>
      </c>
      <c r="F1194" s="91" t="s">
        <v>5177</v>
      </c>
      <c r="H1194" t="str">
        <f t="shared" si="73"/>
        <v>unknown</v>
      </c>
      <c r="K1194" t="str">
        <f t="shared" si="74"/>
        <v>scale</v>
      </c>
    </row>
    <row r="1195" spans="1:11" ht="100.8" x14ac:dyDescent="0.3">
      <c r="A1195" t="s">
        <v>5123</v>
      </c>
      <c r="B1195" t="s">
        <v>3842</v>
      </c>
      <c r="C1195" s="90" t="s">
        <v>5178</v>
      </c>
      <c r="E1195" t="s">
        <v>5562</v>
      </c>
      <c r="F1195" s="91" t="s">
        <v>5178</v>
      </c>
      <c r="H1195" t="str">
        <f t="shared" si="73"/>
        <v>unknown</v>
      </c>
      <c r="K1195" t="str">
        <f t="shared" si="74"/>
        <v>scale</v>
      </c>
    </row>
    <row r="1196" spans="1:11" ht="100.8" x14ac:dyDescent="0.3">
      <c r="A1196" t="s">
        <v>5123</v>
      </c>
      <c r="B1196" t="s">
        <v>5179</v>
      </c>
      <c r="C1196" s="90" t="s">
        <v>5180</v>
      </c>
      <c r="E1196" t="s">
        <v>5562</v>
      </c>
      <c r="F1196" s="91" t="s">
        <v>5180</v>
      </c>
      <c r="H1196" t="str">
        <f t="shared" si="73"/>
        <v>unknown</v>
      </c>
      <c r="K1196" t="str">
        <f t="shared" si="74"/>
        <v>scale</v>
      </c>
    </row>
    <row r="1197" spans="1:11" ht="115.2" x14ac:dyDescent="0.3">
      <c r="A1197" t="s">
        <v>5123</v>
      </c>
      <c r="B1197" t="s">
        <v>4394</v>
      </c>
      <c r="C1197" s="90" t="s">
        <v>5177</v>
      </c>
      <c r="E1197" t="s">
        <v>5562</v>
      </c>
      <c r="F1197" s="91" t="s">
        <v>5177</v>
      </c>
      <c r="H1197" t="str">
        <f t="shared" si="73"/>
        <v>unknown</v>
      </c>
      <c r="K1197" t="str">
        <f t="shared" si="74"/>
        <v>scale</v>
      </c>
    </row>
    <row r="1198" spans="1:11" ht="129.6" x14ac:dyDescent="0.3">
      <c r="A1198" t="s">
        <v>5123</v>
      </c>
      <c r="B1198" t="s">
        <v>5181</v>
      </c>
      <c r="C1198" s="90" t="s">
        <v>5182</v>
      </c>
      <c r="E1198" t="s">
        <v>5562</v>
      </c>
      <c r="F1198" s="91" t="s">
        <v>5182</v>
      </c>
      <c r="H1198" t="str">
        <f t="shared" si="73"/>
        <v>unknown</v>
      </c>
      <c r="K1198" t="str">
        <f t="shared" si="74"/>
        <v>scale</v>
      </c>
    </row>
    <row r="1199" spans="1:11" ht="57.6" x14ac:dyDescent="0.3">
      <c r="A1199" t="s">
        <v>5123</v>
      </c>
      <c r="B1199" t="s">
        <v>5183</v>
      </c>
      <c r="C1199" s="90" t="s">
        <v>5184</v>
      </c>
      <c r="E1199" t="s">
        <v>5562</v>
      </c>
      <c r="F1199" s="91" t="s">
        <v>5184</v>
      </c>
      <c r="H1199" t="str">
        <f t="shared" si="73"/>
        <v>unknown</v>
      </c>
      <c r="K1199" t="str">
        <f t="shared" si="74"/>
        <v>scale</v>
      </c>
    </row>
    <row r="1200" spans="1:11" ht="57.6" x14ac:dyDescent="0.3">
      <c r="A1200" t="s">
        <v>5123</v>
      </c>
      <c r="B1200" t="s">
        <v>5185</v>
      </c>
      <c r="C1200" s="90" t="s">
        <v>5186</v>
      </c>
      <c r="E1200" t="s">
        <v>5562</v>
      </c>
      <c r="F1200" s="91" t="s">
        <v>5186</v>
      </c>
      <c r="H1200" t="str">
        <f t="shared" si="73"/>
        <v>unknown</v>
      </c>
      <c r="K1200" t="str">
        <f t="shared" si="74"/>
        <v>scale</v>
      </c>
    </row>
    <row r="1201" spans="1:11" ht="86.4" x14ac:dyDescent="0.3">
      <c r="A1201" t="s">
        <v>5123</v>
      </c>
      <c r="B1201" t="s">
        <v>5187</v>
      </c>
      <c r="C1201" s="90" t="s">
        <v>5188</v>
      </c>
      <c r="E1201" t="s">
        <v>5562</v>
      </c>
      <c r="F1201" s="91" t="s">
        <v>5188</v>
      </c>
      <c r="H1201" t="str">
        <f t="shared" si="73"/>
        <v>unknown</v>
      </c>
      <c r="K1201" t="str">
        <f t="shared" si="74"/>
        <v>scale</v>
      </c>
    </row>
    <row r="1202" spans="1:11" ht="57.6" x14ac:dyDescent="0.3">
      <c r="A1202" t="s">
        <v>5123</v>
      </c>
      <c r="B1202" t="s">
        <v>5189</v>
      </c>
      <c r="C1202" s="90" t="s">
        <v>5190</v>
      </c>
      <c r="E1202" t="s">
        <v>5562</v>
      </c>
      <c r="F1202" s="91" t="s">
        <v>5190</v>
      </c>
      <c r="H1202" t="str">
        <f t="shared" si="73"/>
        <v>unknown</v>
      </c>
      <c r="K1202" t="str">
        <f t="shared" si="74"/>
        <v>scale</v>
      </c>
    </row>
    <row r="1203" spans="1:11" ht="43.2" x14ac:dyDescent="0.3">
      <c r="A1203" t="s">
        <v>5123</v>
      </c>
      <c r="B1203" t="s">
        <v>5191</v>
      </c>
      <c r="C1203" s="90" t="s">
        <v>3644</v>
      </c>
      <c r="E1203" t="s">
        <v>5562</v>
      </c>
      <c r="F1203" s="91" t="s">
        <v>3644</v>
      </c>
      <c r="H1203" t="str">
        <f t="shared" si="73"/>
        <v>unknown</v>
      </c>
      <c r="K1203" t="str">
        <f t="shared" si="74"/>
        <v>scale</v>
      </c>
    </row>
    <row r="1204" spans="1:11" ht="43.2" x14ac:dyDescent="0.3">
      <c r="A1204" t="s">
        <v>5123</v>
      </c>
      <c r="B1204" t="s">
        <v>5192</v>
      </c>
      <c r="C1204" s="90" t="s">
        <v>5193</v>
      </c>
      <c r="E1204" t="s">
        <v>5562</v>
      </c>
      <c r="F1204" s="91" t="s">
        <v>5193</v>
      </c>
      <c r="H1204" t="str">
        <f t="shared" si="73"/>
        <v>unknown</v>
      </c>
      <c r="K1204" t="str">
        <f t="shared" si="74"/>
        <v>scale</v>
      </c>
    </row>
    <row r="1205" spans="1:11" ht="158.4" x14ac:dyDescent="0.3">
      <c r="A1205" t="s">
        <v>5123</v>
      </c>
      <c r="B1205" t="s">
        <v>5194</v>
      </c>
      <c r="C1205" s="90" t="s">
        <v>5195</v>
      </c>
      <c r="E1205" t="s">
        <v>5562</v>
      </c>
      <c r="F1205" s="91" t="s">
        <v>5195</v>
      </c>
      <c r="H1205" t="str">
        <f t="shared" si="73"/>
        <v>unknown</v>
      </c>
      <c r="K1205" t="str">
        <f t="shared" si="74"/>
        <v>scale</v>
      </c>
    </row>
    <row r="1206" spans="1:11" ht="100.8" x14ac:dyDescent="0.3">
      <c r="A1206" t="s">
        <v>5123</v>
      </c>
      <c r="B1206" t="s">
        <v>5196</v>
      </c>
      <c r="C1206" s="90" t="s">
        <v>5197</v>
      </c>
      <c r="E1206" t="s">
        <v>5562</v>
      </c>
      <c r="F1206" s="91" t="s">
        <v>5197</v>
      </c>
      <c r="H1206" t="str">
        <f t="shared" si="73"/>
        <v>unknown</v>
      </c>
      <c r="K1206" t="str">
        <f t="shared" si="74"/>
        <v>scale</v>
      </c>
    </row>
    <row r="1207" spans="1:11" ht="158.4" x14ac:dyDescent="0.3">
      <c r="A1207" t="s">
        <v>5123</v>
      </c>
      <c r="B1207" t="s">
        <v>5198</v>
      </c>
      <c r="C1207" s="90" t="s">
        <v>5199</v>
      </c>
      <c r="E1207" t="s">
        <v>5562</v>
      </c>
      <c r="F1207" s="91" t="s">
        <v>5199</v>
      </c>
      <c r="H1207" t="str">
        <f t="shared" si="73"/>
        <v>unknown</v>
      </c>
      <c r="K1207" t="str">
        <f t="shared" si="74"/>
        <v>scale</v>
      </c>
    </row>
    <row r="1208" spans="1:11" ht="72" x14ac:dyDescent="0.3">
      <c r="A1208" t="s">
        <v>5123</v>
      </c>
      <c r="B1208" t="s">
        <v>5200</v>
      </c>
      <c r="C1208" s="90" t="s">
        <v>5201</v>
      </c>
      <c r="E1208" t="s">
        <v>5562</v>
      </c>
      <c r="F1208" s="91" t="s">
        <v>5201</v>
      </c>
      <c r="H1208" t="str">
        <f t="shared" si="73"/>
        <v>unknown</v>
      </c>
      <c r="K1208" t="str">
        <f t="shared" si="74"/>
        <v>scale</v>
      </c>
    </row>
    <row r="1209" spans="1:11" ht="72" x14ac:dyDescent="0.3">
      <c r="A1209" t="s">
        <v>5123</v>
      </c>
      <c r="B1209" t="s">
        <v>5202</v>
      </c>
      <c r="C1209" s="90" t="s">
        <v>5203</v>
      </c>
      <c r="E1209" t="s">
        <v>5562</v>
      </c>
      <c r="F1209" s="91" t="s">
        <v>5203</v>
      </c>
      <c r="H1209" t="str">
        <f t="shared" si="73"/>
        <v>unknown</v>
      </c>
      <c r="K1209" t="str">
        <f t="shared" si="74"/>
        <v>scale</v>
      </c>
    </row>
    <row r="1210" spans="1:11" ht="100.8" x14ac:dyDescent="0.3">
      <c r="A1210" t="s">
        <v>5123</v>
      </c>
      <c r="B1210" t="s">
        <v>5204</v>
      </c>
      <c r="C1210" s="90" t="s">
        <v>5205</v>
      </c>
      <c r="E1210" t="s">
        <v>5562</v>
      </c>
      <c r="F1210" s="91" t="s">
        <v>5205</v>
      </c>
      <c r="H1210" t="str">
        <f t="shared" si="73"/>
        <v>unknown</v>
      </c>
      <c r="K1210" t="str">
        <f t="shared" si="74"/>
        <v>scale</v>
      </c>
    </row>
    <row r="1211" spans="1:11" ht="409.6" x14ac:dyDescent="0.3">
      <c r="A1211" t="s">
        <v>5123</v>
      </c>
      <c r="B1211" t="s">
        <v>5206</v>
      </c>
      <c r="C1211" s="90" t="s">
        <v>5207</v>
      </c>
      <c r="E1211" t="s">
        <v>5562</v>
      </c>
      <c r="F1211" s="91" t="s">
        <v>5207</v>
      </c>
      <c r="H1211" t="str">
        <f t="shared" si="73"/>
        <v>unknown</v>
      </c>
      <c r="K1211" t="str">
        <f t="shared" si="74"/>
        <v>scale</v>
      </c>
    </row>
    <row r="1212" spans="1:11" ht="409.6" x14ac:dyDescent="0.3">
      <c r="A1212" t="s">
        <v>5123</v>
      </c>
      <c r="B1212" t="s">
        <v>5208</v>
      </c>
      <c r="C1212" s="90" t="s">
        <v>5209</v>
      </c>
      <c r="E1212" t="s">
        <v>5562</v>
      </c>
      <c r="F1212" s="91" t="s">
        <v>5209</v>
      </c>
      <c r="H1212" t="str">
        <f t="shared" si="73"/>
        <v>unknown</v>
      </c>
      <c r="K1212" t="str">
        <f t="shared" si="74"/>
        <v>scale</v>
      </c>
    </row>
    <row r="1213" spans="1:11" ht="28.8" x14ac:dyDescent="0.3">
      <c r="A1213" t="s">
        <v>5123</v>
      </c>
      <c r="B1213" t="s">
        <v>5210</v>
      </c>
      <c r="C1213" s="90" t="s">
        <v>5211</v>
      </c>
      <c r="D1213" t="s">
        <v>5561</v>
      </c>
      <c r="E1213" t="s">
        <v>5560</v>
      </c>
      <c r="F1213" s="92" t="s">
        <v>5653</v>
      </c>
      <c r="G1213" t="str">
        <f>IF(EXACT($F1213, $Q$1), "sector", "unknown")</f>
        <v>unknown</v>
      </c>
      <c r="H1213" t="str">
        <f t="shared" si="73"/>
        <v>unknown</v>
      </c>
      <c r="I1213" t="s">
        <v>5672</v>
      </c>
      <c r="K1213" t="str">
        <f t="shared" si="74"/>
        <v>askedTwice</v>
      </c>
    </row>
    <row r="1214" spans="1:11" ht="115.2" x14ac:dyDescent="0.3">
      <c r="A1214" t="s">
        <v>5123</v>
      </c>
      <c r="B1214" t="s">
        <v>5212</v>
      </c>
      <c r="C1214" s="90" t="s">
        <v>5213</v>
      </c>
      <c r="E1214" t="s">
        <v>5562</v>
      </c>
      <c r="F1214" s="91" t="s">
        <v>5213</v>
      </c>
      <c r="H1214" t="str">
        <f t="shared" si="73"/>
        <v>unknown</v>
      </c>
      <c r="K1214" t="str">
        <f t="shared" si="74"/>
        <v>scale</v>
      </c>
    </row>
    <row r="1215" spans="1:11" ht="57.6" x14ac:dyDescent="0.3">
      <c r="A1215" t="s">
        <v>5123</v>
      </c>
      <c r="B1215" t="s">
        <v>5214</v>
      </c>
      <c r="C1215" s="90" t="s">
        <v>5215</v>
      </c>
      <c r="E1215" t="s">
        <v>5562</v>
      </c>
      <c r="F1215" s="91" t="s">
        <v>5215</v>
      </c>
      <c r="H1215" t="str">
        <f t="shared" si="73"/>
        <v>unknown</v>
      </c>
      <c r="K1215" t="str">
        <f t="shared" si="74"/>
        <v>scale</v>
      </c>
    </row>
    <row r="1216" spans="1:11" ht="43.2" x14ac:dyDescent="0.3">
      <c r="A1216" t="s">
        <v>5123</v>
      </c>
      <c r="B1216" t="s">
        <v>5216</v>
      </c>
      <c r="C1216" s="90" t="s">
        <v>5217</v>
      </c>
      <c r="E1216" t="s">
        <v>5562</v>
      </c>
      <c r="F1216" s="91" t="s">
        <v>5217</v>
      </c>
      <c r="H1216" t="str">
        <f t="shared" si="73"/>
        <v>unknown</v>
      </c>
      <c r="K1216" t="str">
        <f t="shared" si="74"/>
        <v>scale</v>
      </c>
    </row>
    <row r="1217" spans="1:11" ht="115.2" x14ac:dyDescent="0.3">
      <c r="A1217" t="s">
        <v>5123</v>
      </c>
      <c r="B1217" t="s">
        <v>5218</v>
      </c>
      <c r="C1217" s="90" t="s">
        <v>5219</v>
      </c>
      <c r="E1217" t="s">
        <v>5562</v>
      </c>
      <c r="F1217" s="91" t="s">
        <v>5219</v>
      </c>
      <c r="H1217" t="str">
        <f t="shared" si="73"/>
        <v>unknown</v>
      </c>
      <c r="K1217" t="str">
        <f t="shared" si="74"/>
        <v>scale</v>
      </c>
    </row>
    <row r="1218" spans="1:11" ht="129.6" x14ac:dyDescent="0.3">
      <c r="A1218" t="s">
        <v>5123</v>
      </c>
      <c r="B1218" t="s">
        <v>5220</v>
      </c>
      <c r="C1218" s="90" t="s">
        <v>5221</v>
      </c>
      <c r="E1218" t="s">
        <v>5562</v>
      </c>
      <c r="F1218" s="91" t="s">
        <v>5221</v>
      </c>
      <c r="H1218" t="str">
        <f t="shared" ref="H1218:H1281" si="75">IF(EXACT(F1218,$W$1), "open", IF(EXACT(F1218,$X$1), "open", "unknown"))</f>
        <v>unknown</v>
      </c>
      <c r="K1218" t="str">
        <f t="shared" ref="K1218:K1281" si="76">IF(AND(E1218&lt;&gt;"", E1218&lt;&gt;"unknown"), E1218,
   IF(AND(G1218&lt;&gt;"", G1218&lt;&gt;"unknown"), G1218,
   IF(AND(H1218&lt;&gt;"", H1218&lt;&gt;"unknown"), H1218,
   IF(I1218&lt;&gt;"", I1218, "ERROR"))))</f>
        <v>scale</v>
      </c>
    </row>
    <row r="1219" spans="1:11" ht="129.6" x14ac:dyDescent="0.3">
      <c r="A1219" t="s">
        <v>5123</v>
      </c>
      <c r="B1219" t="s">
        <v>5222</v>
      </c>
      <c r="C1219" s="90" t="s">
        <v>5223</v>
      </c>
      <c r="E1219" t="s">
        <v>5562</v>
      </c>
      <c r="F1219" s="91" t="s">
        <v>5223</v>
      </c>
      <c r="H1219" t="str">
        <f t="shared" si="75"/>
        <v>unknown</v>
      </c>
      <c r="K1219" t="str">
        <f t="shared" si="76"/>
        <v>scale</v>
      </c>
    </row>
    <row r="1220" spans="1:11" ht="129.6" x14ac:dyDescent="0.3">
      <c r="A1220" t="s">
        <v>5123</v>
      </c>
      <c r="B1220" t="s">
        <v>5224</v>
      </c>
      <c r="C1220" s="90" t="s">
        <v>5225</v>
      </c>
      <c r="E1220" t="s">
        <v>5562</v>
      </c>
      <c r="F1220" s="91" t="s">
        <v>5225</v>
      </c>
      <c r="H1220" t="str">
        <f t="shared" si="75"/>
        <v>unknown</v>
      </c>
      <c r="K1220" t="str">
        <f t="shared" si="76"/>
        <v>scale</v>
      </c>
    </row>
    <row r="1221" spans="1:11" ht="172.8" x14ac:dyDescent="0.3">
      <c r="A1221" t="s">
        <v>5123</v>
      </c>
      <c r="B1221" t="s">
        <v>3547</v>
      </c>
      <c r="C1221" s="90" t="s">
        <v>5226</v>
      </c>
      <c r="E1221" t="s">
        <v>5562</v>
      </c>
      <c r="F1221" s="91" t="s">
        <v>5226</v>
      </c>
      <c r="H1221" t="str">
        <f t="shared" si="75"/>
        <v>unknown</v>
      </c>
      <c r="K1221" t="str">
        <f t="shared" si="76"/>
        <v>scale</v>
      </c>
    </row>
    <row r="1222" spans="1:11" ht="100.8" x14ac:dyDescent="0.3">
      <c r="A1222" t="s">
        <v>5123</v>
      </c>
      <c r="B1222" t="s">
        <v>5227</v>
      </c>
      <c r="C1222" s="90" t="s">
        <v>5046</v>
      </c>
      <c r="E1222" t="s">
        <v>5562</v>
      </c>
      <c r="F1222" s="91" t="s">
        <v>5046</v>
      </c>
      <c r="H1222" t="str">
        <f t="shared" si="75"/>
        <v>unknown</v>
      </c>
      <c r="K1222" t="str">
        <f t="shared" si="76"/>
        <v>scale</v>
      </c>
    </row>
    <row r="1223" spans="1:11" ht="144" x14ac:dyDescent="0.3">
      <c r="A1223" t="s">
        <v>5123</v>
      </c>
      <c r="B1223" t="s">
        <v>5228</v>
      </c>
      <c r="C1223" s="90" t="s">
        <v>5229</v>
      </c>
      <c r="E1223" t="s">
        <v>5562</v>
      </c>
      <c r="F1223" s="91" t="s">
        <v>5229</v>
      </c>
      <c r="H1223" t="str">
        <f t="shared" si="75"/>
        <v>unknown</v>
      </c>
      <c r="K1223" t="str">
        <f t="shared" si="76"/>
        <v>scale</v>
      </c>
    </row>
    <row r="1224" spans="1:11" ht="43.2" x14ac:dyDescent="0.3">
      <c r="A1224" t="s">
        <v>5123</v>
      </c>
      <c r="B1224" t="s">
        <v>5230</v>
      </c>
      <c r="C1224" s="90" t="s">
        <v>5231</v>
      </c>
      <c r="E1224" t="s">
        <v>5562</v>
      </c>
      <c r="F1224" s="91" t="s">
        <v>5231</v>
      </c>
      <c r="H1224" t="str">
        <f t="shared" si="75"/>
        <v>unknown</v>
      </c>
      <c r="K1224" t="str">
        <f t="shared" si="76"/>
        <v>scale</v>
      </c>
    </row>
    <row r="1225" spans="1:11" ht="43.2" x14ac:dyDescent="0.3">
      <c r="A1225" t="s">
        <v>5123</v>
      </c>
      <c r="B1225" t="s">
        <v>5232</v>
      </c>
      <c r="C1225" s="90" t="s">
        <v>3644</v>
      </c>
      <c r="E1225" t="s">
        <v>5562</v>
      </c>
      <c r="F1225" s="91" t="s">
        <v>3644</v>
      </c>
      <c r="H1225" t="str">
        <f t="shared" si="75"/>
        <v>unknown</v>
      </c>
      <c r="K1225" t="str">
        <f t="shared" si="76"/>
        <v>scale</v>
      </c>
    </row>
    <row r="1226" spans="1:11" ht="72" x14ac:dyDescent="0.3">
      <c r="A1226" t="s">
        <v>5123</v>
      </c>
      <c r="B1226" t="s">
        <v>5054</v>
      </c>
      <c r="C1226" s="90" t="s">
        <v>5233</v>
      </c>
      <c r="E1226" t="s">
        <v>5562</v>
      </c>
      <c r="F1226" s="91" t="s">
        <v>5233</v>
      </c>
      <c r="H1226" t="str">
        <f t="shared" si="75"/>
        <v>unknown</v>
      </c>
      <c r="K1226" t="str">
        <f t="shared" si="76"/>
        <v>scale</v>
      </c>
    </row>
    <row r="1227" spans="1:11" ht="86.4" x14ac:dyDescent="0.3">
      <c r="A1227" t="s">
        <v>5123</v>
      </c>
      <c r="B1227" t="s">
        <v>5058</v>
      </c>
      <c r="C1227" s="90" t="s">
        <v>5234</v>
      </c>
      <c r="E1227" t="s">
        <v>5562</v>
      </c>
      <c r="F1227" s="91" t="s">
        <v>5234</v>
      </c>
      <c r="H1227" t="str">
        <f t="shared" si="75"/>
        <v>unknown</v>
      </c>
      <c r="K1227" t="str">
        <f t="shared" si="76"/>
        <v>scale</v>
      </c>
    </row>
    <row r="1228" spans="1:11" ht="43.2" x14ac:dyDescent="0.3">
      <c r="A1228" t="s">
        <v>5123</v>
      </c>
      <c r="B1228" t="s">
        <v>5235</v>
      </c>
      <c r="C1228" s="90" t="s">
        <v>5236</v>
      </c>
      <c r="E1228" t="s">
        <v>5562</v>
      </c>
      <c r="F1228" s="91" t="s">
        <v>5236</v>
      </c>
      <c r="H1228" t="str">
        <f t="shared" si="75"/>
        <v>unknown</v>
      </c>
      <c r="K1228" t="str">
        <f t="shared" si="76"/>
        <v>scale</v>
      </c>
    </row>
    <row r="1229" spans="1:11" ht="43.2" x14ac:dyDescent="0.3">
      <c r="A1229" t="s">
        <v>5123</v>
      </c>
      <c r="B1229" t="s">
        <v>5060</v>
      </c>
      <c r="C1229" s="90" t="s">
        <v>5217</v>
      </c>
      <c r="E1229" t="s">
        <v>5562</v>
      </c>
      <c r="F1229" s="91" t="s">
        <v>5217</v>
      </c>
      <c r="H1229" t="str">
        <f t="shared" si="75"/>
        <v>unknown</v>
      </c>
      <c r="K1229" t="str">
        <f t="shared" si="76"/>
        <v>scale</v>
      </c>
    </row>
    <row r="1230" spans="1:11" ht="72" x14ac:dyDescent="0.3">
      <c r="A1230" t="s">
        <v>5123</v>
      </c>
      <c r="B1230" t="s">
        <v>4016</v>
      </c>
      <c r="C1230" s="90" t="s">
        <v>5237</v>
      </c>
      <c r="E1230" t="s">
        <v>5562</v>
      </c>
      <c r="F1230" s="91" t="s">
        <v>5237</v>
      </c>
      <c r="H1230" t="str">
        <f t="shared" si="75"/>
        <v>unknown</v>
      </c>
      <c r="K1230" t="str">
        <f t="shared" si="76"/>
        <v>scale</v>
      </c>
    </row>
    <row r="1231" spans="1:11" ht="72" x14ac:dyDescent="0.3">
      <c r="A1231" t="s">
        <v>5123</v>
      </c>
      <c r="B1231" t="s">
        <v>5062</v>
      </c>
      <c r="C1231" s="90" t="s">
        <v>5238</v>
      </c>
      <c r="E1231" t="s">
        <v>5562</v>
      </c>
      <c r="F1231" s="91" t="s">
        <v>5238</v>
      </c>
      <c r="H1231" t="str">
        <f t="shared" si="75"/>
        <v>unknown</v>
      </c>
      <c r="K1231" t="str">
        <f t="shared" si="76"/>
        <v>scale</v>
      </c>
    </row>
    <row r="1232" spans="1:11" ht="43.2" x14ac:dyDescent="0.3">
      <c r="A1232" t="s">
        <v>5123</v>
      </c>
      <c r="B1232" t="s">
        <v>5064</v>
      </c>
      <c r="C1232" s="90" t="s">
        <v>5239</v>
      </c>
      <c r="E1232" t="s">
        <v>5562</v>
      </c>
      <c r="F1232" s="91" t="s">
        <v>5239</v>
      </c>
      <c r="H1232" t="str">
        <f t="shared" si="75"/>
        <v>unknown</v>
      </c>
      <c r="K1232" t="str">
        <f t="shared" si="76"/>
        <v>scale</v>
      </c>
    </row>
    <row r="1233" spans="1:11" ht="201.6" x14ac:dyDescent="0.3">
      <c r="A1233" t="s">
        <v>5123</v>
      </c>
      <c r="B1233" t="s">
        <v>4464</v>
      </c>
      <c r="C1233" s="90" t="s">
        <v>5240</v>
      </c>
      <c r="E1233" t="s">
        <v>5562</v>
      </c>
      <c r="F1233" s="91" t="s">
        <v>5240</v>
      </c>
      <c r="H1233" t="str">
        <f t="shared" si="75"/>
        <v>unknown</v>
      </c>
      <c r="K1233" t="str">
        <f t="shared" si="76"/>
        <v>scale</v>
      </c>
    </row>
    <row r="1234" spans="1:11" ht="187.2" x14ac:dyDescent="0.3">
      <c r="A1234" t="s">
        <v>5123</v>
      </c>
      <c r="B1234" t="s">
        <v>5241</v>
      </c>
      <c r="C1234" s="90" t="s">
        <v>5242</v>
      </c>
      <c r="E1234" t="s">
        <v>5562</v>
      </c>
      <c r="F1234" s="91" t="s">
        <v>5242</v>
      </c>
      <c r="H1234" t="str">
        <f t="shared" si="75"/>
        <v>unknown</v>
      </c>
      <c r="K1234" t="str">
        <f t="shared" si="76"/>
        <v>scale</v>
      </c>
    </row>
    <row r="1235" spans="1:11" ht="129.6" x14ac:dyDescent="0.3">
      <c r="A1235" t="s">
        <v>5123</v>
      </c>
      <c r="B1235" t="s">
        <v>5243</v>
      </c>
      <c r="C1235" s="90" t="s">
        <v>5244</v>
      </c>
      <c r="E1235" t="s">
        <v>5562</v>
      </c>
      <c r="F1235" s="91" t="s">
        <v>5244</v>
      </c>
      <c r="H1235" t="str">
        <f t="shared" si="75"/>
        <v>unknown</v>
      </c>
      <c r="K1235" t="str">
        <f t="shared" si="76"/>
        <v>scale</v>
      </c>
    </row>
    <row r="1236" spans="1:11" ht="43.2" x14ac:dyDescent="0.3">
      <c r="A1236" t="s">
        <v>5123</v>
      </c>
      <c r="B1236" t="s">
        <v>5245</v>
      </c>
      <c r="C1236" s="90" t="s">
        <v>3383</v>
      </c>
      <c r="E1236" t="s">
        <v>5562</v>
      </c>
      <c r="F1236" s="91" t="s">
        <v>3383</v>
      </c>
      <c r="H1236" t="str">
        <f t="shared" si="75"/>
        <v>unknown</v>
      </c>
      <c r="K1236" t="str">
        <f t="shared" si="76"/>
        <v>scale</v>
      </c>
    </row>
    <row r="1237" spans="1:11" ht="86.4" x14ac:dyDescent="0.3">
      <c r="A1237" t="s">
        <v>5123</v>
      </c>
      <c r="B1237" t="s">
        <v>5246</v>
      </c>
      <c r="C1237" s="90" t="s">
        <v>5247</v>
      </c>
      <c r="E1237" t="s">
        <v>5562</v>
      </c>
      <c r="F1237" s="91" t="s">
        <v>5247</v>
      </c>
      <c r="H1237" t="str">
        <f t="shared" si="75"/>
        <v>unknown</v>
      </c>
      <c r="K1237" t="str">
        <f t="shared" si="76"/>
        <v>scale</v>
      </c>
    </row>
    <row r="1238" spans="1:11" ht="100.8" x14ac:dyDescent="0.3">
      <c r="A1238" t="s">
        <v>5123</v>
      </c>
      <c r="B1238" t="s">
        <v>5248</v>
      </c>
      <c r="C1238" s="90" t="s">
        <v>5249</v>
      </c>
      <c r="E1238" t="s">
        <v>5562</v>
      </c>
      <c r="F1238" s="91" t="s">
        <v>5249</v>
      </c>
      <c r="H1238" t="str">
        <f t="shared" si="75"/>
        <v>unknown</v>
      </c>
      <c r="K1238" t="str">
        <f t="shared" si="76"/>
        <v>scale</v>
      </c>
    </row>
    <row r="1239" spans="1:11" ht="144" x14ac:dyDescent="0.3">
      <c r="A1239" t="s">
        <v>5123</v>
      </c>
      <c r="B1239" t="s">
        <v>5250</v>
      </c>
      <c r="C1239" s="90" t="s">
        <v>5251</v>
      </c>
      <c r="E1239" t="s">
        <v>5562</v>
      </c>
      <c r="F1239" s="91" t="s">
        <v>5251</v>
      </c>
      <c r="H1239" t="str">
        <f t="shared" si="75"/>
        <v>unknown</v>
      </c>
      <c r="K1239" t="str">
        <f t="shared" si="76"/>
        <v>scale</v>
      </c>
    </row>
    <row r="1240" spans="1:11" ht="129.6" x14ac:dyDescent="0.3">
      <c r="A1240" t="s">
        <v>5123</v>
      </c>
      <c r="B1240" t="s">
        <v>5252</v>
      </c>
      <c r="C1240" s="90" t="s">
        <v>5253</v>
      </c>
      <c r="E1240" t="s">
        <v>5562</v>
      </c>
      <c r="F1240" s="91" t="s">
        <v>5253</v>
      </c>
      <c r="H1240" t="str">
        <f t="shared" si="75"/>
        <v>unknown</v>
      </c>
      <c r="K1240" t="str">
        <f t="shared" si="76"/>
        <v>scale</v>
      </c>
    </row>
    <row r="1241" spans="1:11" ht="187.2" x14ac:dyDescent="0.3">
      <c r="A1241" t="s">
        <v>5123</v>
      </c>
      <c r="B1241" t="s">
        <v>4143</v>
      </c>
      <c r="C1241" s="90" t="s">
        <v>5254</v>
      </c>
      <c r="E1241" t="s">
        <v>5562</v>
      </c>
      <c r="F1241" s="91" t="s">
        <v>5254</v>
      </c>
      <c r="H1241" t="str">
        <f t="shared" si="75"/>
        <v>unknown</v>
      </c>
      <c r="K1241" t="str">
        <f t="shared" si="76"/>
        <v>scale</v>
      </c>
    </row>
    <row r="1242" spans="1:11" ht="86.4" x14ac:dyDescent="0.3">
      <c r="A1242" t="s">
        <v>5123</v>
      </c>
      <c r="B1242" t="s">
        <v>5255</v>
      </c>
      <c r="C1242" s="90" t="s">
        <v>4874</v>
      </c>
      <c r="E1242" t="s">
        <v>5562</v>
      </c>
      <c r="F1242" s="91" t="s">
        <v>4874</v>
      </c>
      <c r="H1242" t="str">
        <f t="shared" si="75"/>
        <v>unknown</v>
      </c>
      <c r="K1242" t="str">
        <f t="shared" si="76"/>
        <v>scale</v>
      </c>
    </row>
    <row r="1243" spans="1:11" ht="86.4" x14ac:dyDescent="0.3">
      <c r="A1243" t="s">
        <v>5123</v>
      </c>
      <c r="B1243" t="s">
        <v>5256</v>
      </c>
      <c r="C1243" s="90" t="s">
        <v>4874</v>
      </c>
      <c r="E1243" t="s">
        <v>5562</v>
      </c>
      <c r="F1243" s="91" t="s">
        <v>4874</v>
      </c>
      <c r="H1243" t="str">
        <f t="shared" si="75"/>
        <v>unknown</v>
      </c>
      <c r="K1243" t="str">
        <f t="shared" si="76"/>
        <v>scale</v>
      </c>
    </row>
    <row r="1244" spans="1:11" ht="144" x14ac:dyDescent="0.3">
      <c r="A1244" t="s">
        <v>5123</v>
      </c>
      <c r="B1244" t="s">
        <v>5257</v>
      </c>
      <c r="C1244" s="90" t="s">
        <v>5258</v>
      </c>
      <c r="E1244" t="s">
        <v>5562</v>
      </c>
      <c r="F1244" s="91" t="s">
        <v>5258</v>
      </c>
      <c r="H1244" t="str">
        <f t="shared" si="75"/>
        <v>unknown</v>
      </c>
      <c r="K1244" t="str">
        <f t="shared" si="76"/>
        <v>scale</v>
      </c>
    </row>
    <row r="1245" spans="1:11" ht="187.2" x14ac:dyDescent="0.3">
      <c r="A1245" t="s">
        <v>5123</v>
      </c>
      <c r="B1245" t="s">
        <v>5259</v>
      </c>
      <c r="C1245" s="90" t="s">
        <v>5260</v>
      </c>
      <c r="E1245" t="s">
        <v>5562</v>
      </c>
      <c r="F1245" s="91" t="s">
        <v>5260</v>
      </c>
      <c r="H1245" t="str">
        <f t="shared" si="75"/>
        <v>unknown</v>
      </c>
      <c r="K1245" t="str">
        <f t="shared" si="76"/>
        <v>scale</v>
      </c>
    </row>
    <row r="1246" spans="1:11" ht="115.2" x14ac:dyDescent="0.3">
      <c r="A1246" t="s">
        <v>5123</v>
      </c>
      <c r="B1246" t="s">
        <v>5261</v>
      </c>
      <c r="C1246" s="90" t="s">
        <v>3778</v>
      </c>
      <c r="E1246" t="s">
        <v>5562</v>
      </c>
      <c r="F1246" s="91" t="s">
        <v>3778</v>
      </c>
      <c r="H1246" t="str">
        <f t="shared" si="75"/>
        <v>unknown</v>
      </c>
      <c r="K1246" t="str">
        <f t="shared" si="76"/>
        <v>scale</v>
      </c>
    </row>
    <row r="1247" spans="1:11" ht="158.4" x14ac:dyDescent="0.3">
      <c r="A1247" t="s">
        <v>5123</v>
      </c>
      <c r="B1247" t="s">
        <v>5262</v>
      </c>
      <c r="C1247" s="90" t="s">
        <v>5263</v>
      </c>
      <c r="E1247" t="s">
        <v>5562</v>
      </c>
      <c r="F1247" s="91" t="s">
        <v>5263</v>
      </c>
      <c r="H1247" t="str">
        <f t="shared" si="75"/>
        <v>unknown</v>
      </c>
      <c r="K1247" t="str">
        <f t="shared" si="76"/>
        <v>scale</v>
      </c>
    </row>
    <row r="1248" spans="1:11" ht="216" x14ac:dyDescent="0.3">
      <c r="A1248" t="s">
        <v>5123</v>
      </c>
      <c r="B1248" t="s">
        <v>5264</v>
      </c>
      <c r="C1248" s="90" t="s">
        <v>5265</v>
      </c>
      <c r="E1248" t="s">
        <v>5562</v>
      </c>
      <c r="F1248" s="91" t="s">
        <v>5265</v>
      </c>
      <c r="H1248" t="str">
        <f t="shared" si="75"/>
        <v>unknown</v>
      </c>
      <c r="K1248" t="str">
        <f t="shared" si="76"/>
        <v>scale</v>
      </c>
    </row>
    <row r="1249" spans="1:11" ht="129.6" x14ac:dyDescent="0.3">
      <c r="A1249" t="s">
        <v>5123</v>
      </c>
      <c r="B1249" t="s">
        <v>5266</v>
      </c>
      <c r="C1249" s="90" t="s">
        <v>5267</v>
      </c>
      <c r="E1249" t="s">
        <v>5562</v>
      </c>
      <c r="F1249" s="91" t="s">
        <v>5267</v>
      </c>
      <c r="H1249" t="str">
        <f t="shared" si="75"/>
        <v>unknown</v>
      </c>
      <c r="K1249" t="str">
        <f t="shared" si="76"/>
        <v>scale</v>
      </c>
    </row>
    <row r="1250" spans="1:11" ht="129.6" x14ac:dyDescent="0.3">
      <c r="A1250" t="s">
        <v>5123</v>
      </c>
      <c r="B1250" t="s">
        <v>5268</v>
      </c>
      <c r="C1250" s="90" t="s">
        <v>5267</v>
      </c>
      <c r="E1250" t="s">
        <v>5562</v>
      </c>
      <c r="F1250" s="91" t="s">
        <v>5267</v>
      </c>
      <c r="H1250" t="str">
        <f t="shared" si="75"/>
        <v>unknown</v>
      </c>
      <c r="K1250" t="str">
        <f t="shared" si="76"/>
        <v>scale</v>
      </c>
    </row>
    <row r="1251" spans="1:11" ht="115.2" x14ac:dyDescent="0.3">
      <c r="A1251" t="s">
        <v>5123</v>
      </c>
      <c r="B1251" t="s">
        <v>5269</v>
      </c>
      <c r="C1251" s="90" t="s">
        <v>5270</v>
      </c>
      <c r="E1251" t="s">
        <v>5562</v>
      </c>
      <c r="F1251" s="91" t="s">
        <v>5270</v>
      </c>
      <c r="H1251" t="str">
        <f t="shared" si="75"/>
        <v>unknown</v>
      </c>
      <c r="K1251" t="str">
        <f t="shared" si="76"/>
        <v>scale</v>
      </c>
    </row>
    <row r="1252" spans="1:11" ht="100.8" x14ac:dyDescent="0.3">
      <c r="A1252" t="s">
        <v>5123</v>
      </c>
      <c r="B1252" t="s">
        <v>5271</v>
      </c>
      <c r="C1252" s="90" t="s">
        <v>3646</v>
      </c>
      <c r="E1252" t="s">
        <v>5562</v>
      </c>
      <c r="F1252" s="91" t="s">
        <v>3646</v>
      </c>
      <c r="H1252" t="str">
        <f t="shared" si="75"/>
        <v>unknown</v>
      </c>
      <c r="K1252" t="str">
        <f t="shared" si="76"/>
        <v>scale</v>
      </c>
    </row>
    <row r="1253" spans="1:11" ht="100.8" x14ac:dyDescent="0.3">
      <c r="A1253" t="s">
        <v>5123</v>
      </c>
      <c r="B1253" t="s">
        <v>5272</v>
      </c>
      <c r="C1253" s="90" t="s">
        <v>3646</v>
      </c>
      <c r="E1253" t="s">
        <v>5562</v>
      </c>
      <c r="F1253" s="91" t="s">
        <v>3646</v>
      </c>
      <c r="H1253" t="str">
        <f t="shared" si="75"/>
        <v>unknown</v>
      </c>
      <c r="K1253" t="str">
        <f t="shared" si="76"/>
        <v>scale</v>
      </c>
    </row>
    <row r="1254" spans="1:11" ht="129.6" x14ac:dyDescent="0.3">
      <c r="A1254" t="s">
        <v>5123</v>
      </c>
      <c r="B1254" t="s">
        <v>4482</v>
      </c>
      <c r="C1254" s="90" t="s">
        <v>5273</v>
      </c>
      <c r="E1254" t="s">
        <v>5562</v>
      </c>
      <c r="F1254" s="91" t="s">
        <v>5273</v>
      </c>
      <c r="H1254" t="str">
        <f t="shared" si="75"/>
        <v>unknown</v>
      </c>
      <c r="K1254" t="str">
        <f t="shared" si="76"/>
        <v>scale</v>
      </c>
    </row>
    <row r="1255" spans="1:11" ht="144" x14ac:dyDescent="0.3">
      <c r="A1255" t="s">
        <v>5123</v>
      </c>
      <c r="B1255" t="s">
        <v>5274</v>
      </c>
      <c r="C1255" s="90" t="s">
        <v>5275</v>
      </c>
      <c r="E1255" t="s">
        <v>5562</v>
      </c>
      <c r="F1255" s="91" t="s">
        <v>5275</v>
      </c>
      <c r="H1255" t="str">
        <f t="shared" si="75"/>
        <v>unknown</v>
      </c>
      <c r="K1255" t="str">
        <f t="shared" si="76"/>
        <v>scale</v>
      </c>
    </row>
    <row r="1256" spans="1:11" ht="115.2" x14ac:dyDescent="0.3">
      <c r="A1256" t="s">
        <v>5123</v>
      </c>
      <c r="B1256" t="s">
        <v>5276</v>
      </c>
      <c r="C1256" s="90" t="s">
        <v>4932</v>
      </c>
      <c r="E1256" t="s">
        <v>5562</v>
      </c>
      <c r="F1256" s="91" t="s">
        <v>4932</v>
      </c>
      <c r="H1256" t="str">
        <f t="shared" si="75"/>
        <v>unknown</v>
      </c>
      <c r="K1256" t="str">
        <f t="shared" si="76"/>
        <v>scale</v>
      </c>
    </row>
    <row r="1257" spans="1:11" ht="115.2" x14ac:dyDescent="0.3">
      <c r="A1257" t="s">
        <v>5123</v>
      </c>
      <c r="B1257" t="s">
        <v>3739</v>
      </c>
      <c r="C1257" s="90" t="s">
        <v>4932</v>
      </c>
      <c r="E1257" t="s">
        <v>5562</v>
      </c>
      <c r="F1257" s="91" t="s">
        <v>4932</v>
      </c>
      <c r="H1257" t="str">
        <f t="shared" si="75"/>
        <v>unknown</v>
      </c>
      <c r="K1257" t="str">
        <f t="shared" si="76"/>
        <v>scale</v>
      </c>
    </row>
    <row r="1258" spans="1:11" ht="115.2" x14ac:dyDescent="0.3">
      <c r="A1258" t="s">
        <v>5123</v>
      </c>
      <c r="B1258" t="s">
        <v>5277</v>
      </c>
      <c r="C1258" s="90" t="s">
        <v>5278</v>
      </c>
      <c r="E1258" t="s">
        <v>5562</v>
      </c>
      <c r="F1258" s="91" t="s">
        <v>5278</v>
      </c>
      <c r="H1258" t="str">
        <f t="shared" si="75"/>
        <v>unknown</v>
      </c>
      <c r="K1258" t="str">
        <f t="shared" si="76"/>
        <v>scale</v>
      </c>
    </row>
    <row r="1259" spans="1:11" ht="216" x14ac:dyDescent="0.3">
      <c r="A1259" t="s">
        <v>5123</v>
      </c>
      <c r="B1259" t="s">
        <v>5279</v>
      </c>
      <c r="C1259" s="90" t="s">
        <v>5280</v>
      </c>
      <c r="E1259" t="s">
        <v>5562</v>
      </c>
      <c r="F1259" s="91" t="s">
        <v>5280</v>
      </c>
      <c r="H1259" t="str">
        <f t="shared" si="75"/>
        <v>unknown</v>
      </c>
      <c r="K1259" t="str">
        <f t="shared" si="76"/>
        <v>scale</v>
      </c>
    </row>
    <row r="1260" spans="1:11" ht="244.8" x14ac:dyDescent="0.3">
      <c r="A1260" t="s">
        <v>5123</v>
      </c>
      <c r="B1260" t="s">
        <v>5281</v>
      </c>
      <c r="C1260" s="90" t="s">
        <v>5282</v>
      </c>
      <c r="E1260" t="s">
        <v>5562</v>
      </c>
      <c r="F1260" s="91" t="s">
        <v>5282</v>
      </c>
      <c r="H1260" t="str">
        <f t="shared" si="75"/>
        <v>unknown</v>
      </c>
      <c r="K1260" t="str">
        <f t="shared" si="76"/>
        <v>scale</v>
      </c>
    </row>
    <row r="1261" spans="1:11" ht="158.4" x14ac:dyDescent="0.3">
      <c r="A1261" t="s">
        <v>5123</v>
      </c>
      <c r="B1261" t="s">
        <v>5283</v>
      </c>
      <c r="C1261" s="90" t="s">
        <v>5284</v>
      </c>
      <c r="E1261" t="s">
        <v>5562</v>
      </c>
      <c r="F1261" s="91" t="s">
        <v>5284</v>
      </c>
      <c r="H1261" t="str">
        <f t="shared" si="75"/>
        <v>unknown</v>
      </c>
      <c r="K1261" t="str">
        <f t="shared" si="76"/>
        <v>scale</v>
      </c>
    </row>
    <row r="1262" spans="1:11" ht="259.2" x14ac:dyDescent="0.3">
      <c r="A1262" t="s">
        <v>5123</v>
      </c>
      <c r="B1262" t="s">
        <v>5285</v>
      </c>
      <c r="C1262" s="90" t="s">
        <v>5286</v>
      </c>
      <c r="E1262" t="s">
        <v>5562</v>
      </c>
      <c r="F1262" s="91" t="s">
        <v>5286</v>
      </c>
      <c r="H1262" t="str">
        <f t="shared" si="75"/>
        <v>unknown</v>
      </c>
      <c r="K1262" t="str">
        <f t="shared" si="76"/>
        <v>scale</v>
      </c>
    </row>
    <row r="1263" spans="1:11" ht="100.8" x14ac:dyDescent="0.3">
      <c r="A1263" t="s">
        <v>5287</v>
      </c>
      <c r="B1263" t="s">
        <v>3562</v>
      </c>
      <c r="C1263" s="90" t="s">
        <v>5288</v>
      </c>
      <c r="E1263" t="s">
        <v>5562</v>
      </c>
      <c r="F1263" s="91" t="s">
        <v>5288</v>
      </c>
      <c r="H1263" t="str">
        <f t="shared" si="75"/>
        <v>unknown</v>
      </c>
      <c r="K1263" t="str">
        <f t="shared" si="76"/>
        <v>scale</v>
      </c>
    </row>
    <row r="1264" spans="1:11" ht="144" x14ac:dyDescent="0.3">
      <c r="A1264" t="s">
        <v>5287</v>
      </c>
      <c r="B1264" t="s">
        <v>4064</v>
      </c>
      <c r="C1264" s="90" t="s">
        <v>5289</v>
      </c>
      <c r="E1264" t="s">
        <v>5562</v>
      </c>
      <c r="F1264" s="91" t="s">
        <v>5289</v>
      </c>
      <c r="H1264" t="str">
        <f t="shared" si="75"/>
        <v>unknown</v>
      </c>
      <c r="K1264" t="str">
        <f t="shared" si="76"/>
        <v>scale</v>
      </c>
    </row>
    <row r="1265" spans="1:11" ht="115.2" x14ac:dyDescent="0.3">
      <c r="A1265" t="s">
        <v>5287</v>
      </c>
      <c r="B1265" t="s">
        <v>3774</v>
      </c>
      <c r="C1265" s="90" t="s">
        <v>4020</v>
      </c>
      <c r="E1265" t="s">
        <v>5562</v>
      </c>
      <c r="F1265" s="91" t="s">
        <v>4020</v>
      </c>
      <c r="H1265" t="str">
        <f t="shared" si="75"/>
        <v>unknown</v>
      </c>
      <c r="K1265" t="str">
        <f t="shared" si="76"/>
        <v>scale</v>
      </c>
    </row>
    <row r="1266" spans="1:11" ht="100.8" x14ac:dyDescent="0.3">
      <c r="A1266" t="s">
        <v>5287</v>
      </c>
      <c r="B1266" t="s">
        <v>3958</v>
      </c>
      <c r="C1266" s="90" t="s">
        <v>5003</v>
      </c>
      <c r="E1266" t="s">
        <v>5562</v>
      </c>
      <c r="F1266" s="91" t="s">
        <v>5003</v>
      </c>
      <c r="H1266" t="str">
        <f t="shared" si="75"/>
        <v>unknown</v>
      </c>
      <c r="K1266" t="str">
        <f t="shared" si="76"/>
        <v>scale</v>
      </c>
    </row>
    <row r="1267" spans="1:11" ht="100.8" x14ac:dyDescent="0.3">
      <c r="A1267" t="s">
        <v>5287</v>
      </c>
      <c r="B1267" t="s">
        <v>5290</v>
      </c>
      <c r="C1267" s="90" t="s">
        <v>5291</v>
      </c>
      <c r="E1267" t="s">
        <v>5562</v>
      </c>
      <c r="F1267" s="91" t="s">
        <v>5291</v>
      </c>
      <c r="H1267" t="str">
        <f t="shared" si="75"/>
        <v>unknown</v>
      </c>
      <c r="K1267" t="str">
        <f t="shared" si="76"/>
        <v>scale</v>
      </c>
    </row>
    <row r="1268" spans="1:11" ht="129.6" x14ac:dyDescent="0.3">
      <c r="A1268" t="s">
        <v>5287</v>
      </c>
      <c r="B1268" t="s">
        <v>5292</v>
      </c>
      <c r="C1268" s="90" t="s">
        <v>5293</v>
      </c>
      <c r="E1268" t="s">
        <v>5562</v>
      </c>
      <c r="F1268" s="91" t="s">
        <v>5293</v>
      </c>
      <c r="H1268" t="str">
        <f t="shared" si="75"/>
        <v>unknown</v>
      </c>
      <c r="K1268" t="str">
        <f t="shared" si="76"/>
        <v>scale</v>
      </c>
    </row>
    <row r="1269" spans="1:11" ht="115.2" x14ac:dyDescent="0.3">
      <c r="A1269" t="s">
        <v>5287</v>
      </c>
      <c r="B1269" t="s">
        <v>5294</v>
      </c>
      <c r="C1269" s="90" t="s">
        <v>3770</v>
      </c>
      <c r="E1269" t="s">
        <v>5562</v>
      </c>
      <c r="F1269" s="91" t="s">
        <v>3770</v>
      </c>
      <c r="H1269" t="str">
        <f t="shared" si="75"/>
        <v>unknown</v>
      </c>
      <c r="K1269" t="str">
        <f t="shared" si="76"/>
        <v>scale</v>
      </c>
    </row>
    <row r="1270" spans="1:11" ht="409.6" x14ac:dyDescent="0.3">
      <c r="A1270" t="s">
        <v>5287</v>
      </c>
      <c r="B1270" t="s">
        <v>4288</v>
      </c>
      <c r="C1270" s="90" t="s">
        <v>5295</v>
      </c>
      <c r="E1270" t="s">
        <v>5562</v>
      </c>
      <c r="F1270" s="91" t="s">
        <v>5295</v>
      </c>
      <c r="H1270" t="str">
        <f t="shared" si="75"/>
        <v>unknown</v>
      </c>
      <c r="K1270" t="str">
        <f t="shared" si="76"/>
        <v>scale</v>
      </c>
    </row>
    <row r="1271" spans="1:11" ht="129.6" x14ac:dyDescent="0.3">
      <c r="A1271" t="s">
        <v>5287</v>
      </c>
      <c r="B1271" t="s">
        <v>5296</v>
      </c>
      <c r="C1271" s="90" t="s">
        <v>5297</v>
      </c>
      <c r="E1271" t="s">
        <v>5562</v>
      </c>
      <c r="F1271" s="91" t="s">
        <v>5297</v>
      </c>
      <c r="H1271" t="str">
        <f t="shared" si="75"/>
        <v>unknown</v>
      </c>
      <c r="K1271" t="str">
        <f t="shared" si="76"/>
        <v>scale</v>
      </c>
    </row>
    <row r="1272" spans="1:11" ht="100.8" x14ac:dyDescent="0.3">
      <c r="A1272" t="s">
        <v>5287</v>
      </c>
      <c r="B1272" t="s">
        <v>4330</v>
      </c>
      <c r="C1272" s="90" t="s">
        <v>5298</v>
      </c>
      <c r="E1272" t="s">
        <v>5562</v>
      </c>
      <c r="F1272" s="91" t="s">
        <v>5298</v>
      </c>
      <c r="H1272" t="str">
        <f t="shared" si="75"/>
        <v>unknown</v>
      </c>
      <c r="K1272" t="str">
        <f t="shared" si="76"/>
        <v>scale</v>
      </c>
    </row>
    <row r="1273" spans="1:11" ht="100.8" x14ac:dyDescent="0.3">
      <c r="A1273" t="s">
        <v>5287</v>
      </c>
      <c r="B1273" t="s">
        <v>3627</v>
      </c>
      <c r="C1273" s="90" t="s">
        <v>5299</v>
      </c>
      <c r="E1273" t="s">
        <v>5562</v>
      </c>
      <c r="F1273" s="91" t="s">
        <v>5299</v>
      </c>
      <c r="H1273" t="str">
        <f t="shared" si="75"/>
        <v>unknown</v>
      </c>
      <c r="K1273" t="str">
        <f t="shared" si="76"/>
        <v>scale</v>
      </c>
    </row>
    <row r="1274" spans="1:11" ht="86.4" x14ac:dyDescent="0.3">
      <c r="A1274" t="s">
        <v>5287</v>
      </c>
      <c r="B1274" t="s">
        <v>5300</v>
      </c>
      <c r="C1274" s="90" t="s">
        <v>5301</v>
      </c>
      <c r="E1274" t="s">
        <v>5562</v>
      </c>
      <c r="F1274" s="91" t="s">
        <v>5301</v>
      </c>
      <c r="H1274" t="str">
        <f t="shared" si="75"/>
        <v>unknown</v>
      </c>
      <c r="K1274" t="str">
        <f t="shared" si="76"/>
        <v>scale</v>
      </c>
    </row>
    <row r="1275" spans="1:11" ht="115.2" x14ac:dyDescent="0.3">
      <c r="A1275" t="s">
        <v>5287</v>
      </c>
      <c r="B1275" t="s">
        <v>4964</v>
      </c>
      <c r="C1275" s="90" t="s">
        <v>3712</v>
      </c>
      <c r="E1275" t="s">
        <v>5562</v>
      </c>
      <c r="F1275" s="91" t="s">
        <v>3712</v>
      </c>
      <c r="H1275" t="str">
        <f t="shared" si="75"/>
        <v>unknown</v>
      </c>
      <c r="K1275" t="str">
        <f t="shared" si="76"/>
        <v>scale</v>
      </c>
    </row>
    <row r="1276" spans="1:11" ht="43.2" x14ac:dyDescent="0.3">
      <c r="A1276" t="s">
        <v>5287</v>
      </c>
      <c r="B1276" t="s">
        <v>5302</v>
      </c>
      <c r="C1276" s="90" t="s">
        <v>3644</v>
      </c>
      <c r="E1276" t="s">
        <v>5562</v>
      </c>
      <c r="F1276" s="91" t="s">
        <v>3644</v>
      </c>
      <c r="H1276" t="str">
        <f t="shared" si="75"/>
        <v>unknown</v>
      </c>
      <c r="K1276" t="str">
        <f t="shared" si="76"/>
        <v>scale</v>
      </c>
    </row>
    <row r="1277" spans="1:11" ht="100.8" x14ac:dyDescent="0.3">
      <c r="A1277" t="s">
        <v>5287</v>
      </c>
      <c r="B1277" t="s">
        <v>5303</v>
      </c>
      <c r="C1277" s="90" t="s">
        <v>5154</v>
      </c>
      <c r="E1277" t="s">
        <v>5562</v>
      </c>
      <c r="F1277" s="91" t="s">
        <v>5154</v>
      </c>
      <c r="H1277" t="str">
        <f t="shared" si="75"/>
        <v>unknown</v>
      </c>
      <c r="K1277" t="str">
        <f t="shared" si="76"/>
        <v>scale</v>
      </c>
    </row>
    <row r="1278" spans="1:11" ht="115.2" x14ac:dyDescent="0.3">
      <c r="A1278" t="s">
        <v>5287</v>
      </c>
      <c r="B1278" t="s">
        <v>4965</v>
      </c>
      <c r="C1278" s="90" t="s">
        <v>5304</v>
      </c>
      <c r="E1278" t="s">
        <v>5562</v>
      </c>
      <c r="F1278" s="91" t="s">
        <v>5304</v>
      </c>
      <c r="H1278" t="str">
        <f t="shared" si="75"/>
        <v>unknown</v>
      </c>
      <c r="K1278" t="str">
        <f t="shared" si="76"/>
        <v>scale</v>
      </c>
    </row>
    <row r="1279" spans="1:11" ht="115.2" x14ac:dyDescent="0.3">
      <c r="A1279" t="s">
        <v>5287</v>
      </c>
      <c r="B1279" t="s">
        <v>5305</v>
      </c>
      <c r="C1279" s="90" t="s">
        <v>4834</v>
      </c>
      <c r="E1279" t="s">
        <v>5562</v>
      </c>
      <c r="F1279" s="91" t="s">
        <v>4834</v>
      </c>
      <c r="H1279" t="str">
        <f t="shared" si="75"/>
        <v>unknown</v>
      </c>
      <c r="K1279" t="str">
        <f t="shared" si="76"/>
        <v>scale</v>
      </c>
    </row>
    <row r="1280" spans="1:11" ht="100.8" x14ac:dyDescent="0.3">
      <c r="A1280" t="s">
        <v>5287</v>
      </c>
      <c r="B1280" t="s">
        <v>3915</v>
      </c>
      <c r="C1280" s="90" t="s">
        <v>5154</v>
      </c>
      <c r="E1280" t="s">
        <v>5562</v>
      </c>
      <c r="F1280" s="91" t="s">
        <v>5154</v>
      </c>
      <c r="H1280" t="str">
        <f t="shared" si="75"/>
        <v>unknown</v>
      </c>
      <c r="K1280" t="str">
        <f t="shared" si="76"/>
        <v>scale</v>
      </c>
    </row>
    <row r="1281" spans="1:11" ht="28.8" x14ac:dyDescent="0.3">
      <c r="A1281" t="s">
        <v>5287</v>
      </c>
      <c r="B1281" t="s">
        <v>5160</v>
      </c>
      <c r="C1281" s="90" t="s">
        <v>3354</v>
      </c>
      <c r="D1281" t="s">
        <v>5561</v>
      </c>
      <c r="E1281" t="s">
        <v>5560</v>
      </c>
      <c r="F1281" s="92" t="s">
        <v>5567</v>
      </c>
      <c r="G1281" t="str">
        <f>IF(EXACT($F1281, $Q$1), "sector", "unknown")</f>
        <v>sector</v>
      </c>
      <c r="H1281" t="str">
        <f t="shared" si="75"/>
        <v>unknown</v>
      </c>
      <c r="K1281" t="str">
        <f t="shared" si="76"/>
        <v>sector</v>
      </c>
    </row>
    <row r="1282" spans="1:11" ht="129.6" x14ac:dyDescent="0.3">
      <c r="A1282" t="s">
        <v>5287</v>
      </c>
      <c r="B1282" t="s">
        <v>5306</v>
      </c>
      <c r="C1282" s="90" t="s">
        <v>5307</v>
      </c>
      <c r="E1282" t="s">
        <v>5562</v>
      </c>
      <c r="F1282" s="91" t="s">
        <v>5307</v>
      </c>
      <c r="H1282" t="str">
        <f t="shared" ref="H1282:H1345" si="77">IF(EXACT(F1282,$W$1), "open", IF(EXACT(F1282,$X$1), "open", "unknown"))</f>
        <v>unknown</v>
      </c>
      <c r="K1282" t="str">
        <f t="shared" ref="K1282:K1345" si="78">IF(AND(E1282&lt;&gt;"", E1282&lt;&gt;"unknown"), E1282,
   IF(AND(G1282&lt;&gt;"", G1282&lt;&gt;"unknown"), G1282,
   IF(AND(H1282&lt;&gt;"", H1282&lt;&gt;"unknown"), H1282,
   IF(I1282&lt;&gt;"", I1282, "ERROR"))))</f>
        <v>scale</v>
      </c>
    </row>
    <row r="1283" spans="1:11" ht="100.8" x14ac:dyDescent="0.3">
      <c r="A1283" t="s">
        <v>5287</v>
      </c>
      <c r="B1283" t="s">
        <v>4353</v>
      </c>
      <c r="C1283" s="90" t="s">
        <v>5298</v>
      </c>
      <c r="E1283" t="s">
        <v>5562</v>
      </c>
      <c r="F1283" s="91" t="s">
        <v>5298</v>
      </c>
      <c r="H1283" t="str">
        <f t="shared" si="77"/>
        <v>unknown</v>
      </c>
      <c r="K1283" t="str">
        <f t="shared" si="78"/>
        <v>scale</v>
      </c>
    </row>
    <row r="1284" spans="1:11" ht="100.8" x14ac:dyDescent="0.3">
      <c r="A1284" t="s">
        <v>5287</v>
      </c>
      <c r="B1284" t="s">
        <v>5308</v>
      </c>
      <c r="C1284" s="90" t="s">
        <v>5309</v>
      </c>
      <c r="E1284" t="s">
        <v>5562</v>
      </c>
      <c r="F1284" s="91" t="s">
        <v>5309</v>
      </c>
      <c r="H1284" t="str">
        <f t="shared" si="77"/>
        <v>unknown</v>
      </c>
      <c r="K1284" t="str">
        <f t="shared" si="78"/>
        <v>scale</v>
      </c>
    </row>
    <row r="1285" spans="1:11" ht="230.4" x14ac:dyDescent="0.3">
      <c r="A1285" t="s">
        <v>5287</v>
      </c>
      <c r="B1285" t="s">
        <v>5310</v>
      </c>
      <c r="C1285" s="90" t="s">
        <v>5311</v>
      </c>
      <c r="E1285" t="s">
        <v>5562</v>
      </c>
      <c r="F1285" s="91" t="s">
        <v>5311</v>
      </c>
      <c r="H1285" t="str">
        <f t="shared" si="77"/>
        <v>unknown</v>
      </c>
      <c r="K1285" t="str">
        <f t="shared" si="78"/>
        <v>scale</v>
      </c>
    </row>
    <row r="1286" spans="1:11" ht="201.6" x14ac:dyDescent="0.3">
      <c r="A1286" t="s">
        <v>5287</v>
      </c>
      <c r="B1286" t="s">
        <v>5030</v>
      </c>
      <c r="C1286" s="90" t="s">
        <v>5312</v>
      </c>
      <c r="E1286" t="s">
        <v>5562</v>
      </c>
      <c r="F1286" s="91" t="s">
        <v>5312</v>
      </c>
      <c r="H1286" t="str">
        <f t="shared" si="77"/>
        <v>unknown</v>
      </c>
      <c r="K1286" t="str">
        <f t="shared" si="78"/>
        <v>scale</v>
      </c>
    </row>
    <row r="1287" spans="1:11" ht="172.8" x14ac:dyDescent="0.3">
      <c r="A1287" t="s">
        <v>5287</v>
      </c>
      <c r="B1287" t="s">
        <v>5313</v>
      </c>
      <c r="C1287" s="90" t="s">
        <v>5314</v>
      </c>
      <c r="E1287" t="s">
        <v>5562</v>
      </c>
      <c r="F1287" s="91" t="s">
        <v>5314</v>
      </c>
      <c r="H1287" t="str">
        <f t="shared" si="77"/>
        <v>unknown</v>
      </c>
      <c r="K1287" t="str">
        <f t="shared" si="78"/>
        <v>scale</v>
      </c>
    </row>
    <row r="1288" spans="1:11" ht="43.2" x14ac:dyDescent="0.3">
      <c r="A1288" t="s">
        <v>5287</v>
      </c>
      <c r="B1288" t="s">
        <v>5315</v>
      </c>
      <c r="C1288" s="90" t="s">
        <v>5217</v>
      </c>
      <c r="E1288" t="s">
        <v>5562</v>
      </c>
      <c r="F1288" s="91" t="s">
        <v>5217</v>
      </c>
      <c r="H1288" t="str">
        <f t="shared" si="77"/>
        <v>unknown</v>
      </c>
      <c r="K1288" t="str">
        <f t="shared" si="78"/>
        <v>scale</v>
      </c>
    </row>
    <row r="1289" spans="1:11" ht="100.8" x14ac:dyDescent="0.3">
      <c r="A1289" t="s">
        <v>5287</v>
      </c>
      <c r="B1289" t="s">
        <v>5316</v>
      </c>
      <c r="C1289" s="90" t="s">
        <v>5317</v>
      </c>
      <c r="E1289" t="s">
        <v>5562</v>
      </c>
      <c r="F1289" s="91" t="s">
        <v>5317</v>
      </c>
      <c r="H1289" t="str">
        <f t="shared" si="77"/>
        <v>unknown</v>
      </c>
      <c r="K1289" t="str">
        <f t="shared" si="78"/>
        <v>scale</v>
      </c>
    </row>
    <row r="1290" spans="1:11" ht="115.2" x14ac:dyDescent="0.3">
      <c r="A1290" t="s">
        <v>5287</v>
      </c>
      <c r="B1290" t="s">
        <v>5318</v>
      </c>
      <c r="C1290" s="90" t="s">
        <v>4834</v>
      </c>
      <c r="E1290" t="s">
        <v>5562</v>
      </c>
      <c r="F1290" s="91" t="s">
        <v>4834</v>
      </c>
      <c r="H1290" t="str">
        <f t="shared" si="77"/>
        <v>unknown</v>
      </c>
      <c r="K1290" t="str">
        <f t="shared" si="78"/>
        <v>scale</v>
      </c>
    </row>
    <row r="1291" spans="1:11" ht="144" x14ac:dyDescent="0.3">
      <c r="A1291" t="s">
        <v>5287</v>
      </c>
      <c r="B1291" t="s">
        <v>4746</v>
      </c>
      <c r="C1291" s="90" t="s">
        <v>5319</v>
      </c>
      <c r="E1291" t="s">
        <v>5562</v>
      </c>
      <c r="F1291" s="91" t="s">
        <v>5319</v>
      </c>
      <c r="H1291" t="str">
        <f t="shared" si="77"/>
        <v>unknown</v>
      </c>
      <c r="K1291" t="str">
        <f t="shared" si="78"/>
        <v>scale</v>
      </c>
    </row>
    <row r="1292" spans="1:11" ht="115.2" x14ac:dyDescent="0.3">
      <c r="A1292" t="s">
        <v>5287</v>
      </c>
      <c r="B1292" t="s">
        <v>5320</v>
      </c>
      <c r="C1292" s="90" t="s">
        <v>5321</v>
      </c>
      <c r="E1292" t="s">
        <v>5562</v>
      </c>
      <c r="F1292" s="91" t="s">
        <v>5321</v>
      </c>
      <c r="H1292" t="str">
        <f t="shared" si="77"/>
        <v>unknown</v>
      </c>
      <c r="K1292" t="str">
        <f t="shared" si="78"/>
        <v>scale</v>
      </c>
    </row>
    <row r="1293" spans="1:11" ht="115.2" x14ac:dyDescent="0.3">
      <c r="A1293" t="s">
        <v>5287</v>
      </c>
      <c r="B1293" t="s">
        <v>5322</v>
      </c>
      <c r="C1293" s="90" t="s">
        <v>5304</v>
      </c>
      <c r="E1293" t="s">
        <v>5562</v>
      </c>
      <c r="F1293" s="91" t="s">
        <v>5304</v>
      </c>
      <c r="H1293" t="str">
        <f t="shared" si="77"/>
        <v>unknown</v>
      </c>
      <c r="K1293" t="str">
        <f t="shared" si="78"/>
        <v>scale</v>
      </c>
    </row>
    <row r="1294" spans="1:11" ht="100.8" x14ac:dyDescent="0.3">
      <c r="A1294" t="s">
        <v>5287</v>
      </c>
      <c r="B1294" t="s">
        <v>5323</v>
      </c>
      <c r="C1294" s="90" t="s">
        <v>3646</v>
      </c>
      <c r="E1294" t="s">
        <v>5562</v>
      </c>
      <c r="F1294" s="91" t="s">
        <v>3646</v>
      </c>
      <c r="H1294" t="str">
        <f t="shared" si="77"/>
        <v>unknown</v>
      </c>
      <c r="K1294" t="str">
        <f t="shared" si="78"/>
        <v>scale</v>
      </c>
    </row>
    <row r="1295" spans="1:11" ht="187.2" x14ac:dyDescent="0.3">
      <c r="A1295" t="s">
        <v>5287</v>
      </c>
      <c r="B1295" t="s">
        <v>5324</v>
      </c>
      <c r="C1295" s="90" t="s">
        <v>5325</v>
      </c>
      <c r="E1295" t="s">
        <v>5562</v>
      </c>
      <c r="F1295" s="91" t="s">
        <v>5325</v>
      </c>
      <c r="H1295" t="str">
        <f t="shared" si="77"/>
        <v>unknown</v>
      </c>
      <c r="K1295" t="str">
        <f t="shared" si="78"/>
        <v>scale</v>
      </c>
    </row>
    <row r="1296" spans="1:11" ht="158.4" x14ac:dyDescent="0.3">
      <c r="A1296" t="s">
        <v>5287</v>
      </c>
      <c r="B1296" t="s">
        <v>5326</v>
      </c>
      <c r="C1296" s="90" t="s">
        <v>5327</v>
      </c>
      <c r="E1296" t="s">
        <v>5562</v>
      </c>
      <c r="F1296" s="91" t="s">
        <v>5327</v>
      </c>
      <c r="H1296" t="str">
        <f t="shared" si="77"/>
        <v>unknown</v>
      </c>
      <c r="K1296" t="str">
        <f t="shared" si="78"/>
        <v>scale</v>
      </c>
    </row>
    <row r="1297" spans="1:11" ht="331.2" x14ac:dyDescent="0.3">
      <c r="A1297" t="s">
        <v>5287</v>
      </c>
      <c r="B1297" t="s">
        <v>5328</v>
      </c>
      <c r="C1297" s="90" t="s">
        <v>5329</v>
      </c>
      <c r="E1297" t="s">
        <v>5562</v>
      </c>
      <c r="F1297" s="91" t="s">
        <v>5329</v>
      </c>
      <c r="H1297" t="str">
        <f t="shared" si="77"/>
        <v>unknown</v>
      </c>
      <c r="K1297" t="str">
        <f t="shared" si="78"/>
        <v>scale</v>
      </c>
    </row>
    <row r="1298" spans="1:11" ht="115.2" x14ac:dyDescent="0.3">
      <c r="A1298" t="s">
        <v>5287</v>
      </c>
      <c r="B1298" t="s">
        <v>5330</v>
      </c>
      <c r="C1298" s="90" t="s">
        <v>3712</v>
      </c>
      <c r="E1298" t="s">
        <v>5562</v>
      </c>
      <c r="F1298" s="91" t="s">
        <v>3712</v>
      </c>
      <c r="H1298" t="str">
        <f t="shared" si="77"/>
        <v>unknown</v>
      </c>
      <c r="K1298" t="str">
        <f t="shared" si="78"/>
        <v>scale</v>
      </c>
    </row>
    <row r="1299" spans="1:11" ht="115.2" x14ac:dyDescent="0.3">
      <c r="A1299" t="s">
        <v>5287</v>
      </c>
      <c r="B1299" t="s">
        <v>5331</v>
      </c>
      <c r="C1299" s="90" t="s">
        <v>3712</v>
      </c>
      <c r="E1299" t="s">
        <v>5562</v>
      </c>
      <c r="F1299" s="91" t="s">
        <v>3712</v>
      </c>
      <c r="H1299" t="str">
        <f t="shared" si="77"/>
        <v>unknown</v>
      </c>
      <c r="K1299" t="str">
        <f t="shared" si="78"/>
        <v>scale</v>
      </c>
    </row>
    <row r="1300" spans="1:11" ht="115.2" x14ac:dyDescent="0.3">
      <c r="A1300" t="s">
        <v>5287</v>
      </c>
      <c r="B1300" t="s">
        <v>5332</v>
      </c>
      <c r="C1300" s="90" t="s">
        <v>3712</v>
      </c>
      <c r="E1300" t="s">
        <v>5562</v>
      </c>
      <c r="F1300" s="91" t="s">
        <v>3712</v>
      </c>
      <c r="H1300" t="str">
        <f t="shared" si="77"/>
        <v>unknown</v>
      </c>
      <c r="K1300" t="str">
        <f t="shared" si="78"/>
        <v>scale</v>
      </c>
    </row>
    <row r="1301" spans="1:11" ht="115.2" x14ac:dyDescent="0.3">
      <c r="A1301" t="s">
        <v>5287</v>
      </c>
      <c r="B1301" t="s">
        <v>5333</v>
      </c>
      <c r="C1301" s="90" t="s">
        <v>3712</v>
      </c>
      <c r="E1301" t="s">
        <v>5562</v>
      </c>
      <c r="F1301" s="91" t="s">
        <v>3712</v>
      </c>
      <c r="H1301" t="str">
        <f t="shared" si="77"/>
        <v>unknown</v>
      </c>
      <c r="K1301" t="str">
        <f t="shared" si="78"/>
        <v>scale</v>
      </c>
    </row>
    <row r="1302" spans="1:11" ht="115.2" x14ac:dyDescent="0.3">
      <c r="A1302" t="s">
        <v>5287</v>
      </c>
      <c r="B1302" t="s">
        <v>5334</v>
      </c>
      <c r="C1302" s="90" t="s">
        <v>3712</v>
      </c>
      <c r="E1302" t="s">
        <v>5562</v>
      </c>
      <c r="F1302" s="91" t="s">
        <v>3712</v>
      </c>
      <c r="H1302" t="str">
        <f t="shared" si="77"/>
        <v>unknown</v>
      </c>
      <c r="K1302" t="str">
        <f t="shared" si="78"/>
        <v>scale</v>
      </c>
    </row>
    <row r="1303" spans="1:11" ht="115.2" x14ac:dyDescent="0.3">
      <c r="A1303" t="s">
        <v>5287</v>
      </c>
      <c r="B1303" t="s">
        <v>5335</v>
      </c>
      <c r="C1303" s="90" t="s">
        <v>3712</v>
      </c>
      <c r="E1303" t="s">
        <v>5562</v>
      </c>
      <c r="F1303" s="91" t="s">
        <v>3712</v>
      </c>
      <c r="H1303" t="str">
        <f t="shared" si="77"/>
        <v>unknown</v>
      </c>
      <c r="K1303" t="str">
        <f t="shared" si="78"/>
        <v>scale</v>
      </c>
    </row>
    <row r="1304" spans="1:11" ht="115.2" x14ac:dyDescent="0.3">
      <c r="A1304" t="s">
        <v>5287</v>
      </c>
      <c r="B1304" t="s">
        <v>5336</v>
      </c>
      <c r="C1304" s="90" t="s">
        <v>3712</v>
      </c>
      <c r="E1304" t="s">
        <v>5562</v>
      </c>
      <c r="F1304" s="91" t="s">
        <v>3712</v>
      </c>
      <c r="H1304" t="str">
        <f t="shared" si="77"/>
        <v>unknown</v>
      </c>
      <c r="K1304" t="str">
        <f t="shared" si="78"/>
        <v>scale</v>
      </c>
    </row>
    <row r="1305" spans="1:11" ht="129.6" x14ac:dyDescent="0.3">
      <c r="A1305" t="s">
        <v>5287</v>
      </c>
      <c r="B1305" t="s">
        <v>4708</v>
      </c>
      <c r="C1305" s="90" t="s">
        <v>5337</v>
      </c>
      <c r="E1305" t="s">
        <v>5562</v>
      </c>
      <c r="F1305" s="91" t="s">
        <v>5337</v>
      </c>
      <c r="H1305" t="str">
        <f t="shared" si="77"/>
        <v>unknown</v>
      </c>
      <c r="K1305" t="str">
        <f t="shared" si="78"/>
        <v>scale</v>
      </c>
    </row>
    <row r="1306" spans="1:11" ht="115.2" x14ac:dyDescent="0.3">
      <c r="A1306" t="s">
        <v>5287</v>
      </c>
      <c r="B1306" t="s">
        <v>5338</v>
      </c>
      <c r="C1306" s="90" t="s">
        <v>5339</v>
      </c>
      <c r="E1306" t="s">
        <v>5562</v>
      </c>
      <c r="F1306" s="91" t="s">
        <v>5339</v>
      </c>
      <c r="H1306" t="str">
        <f t="shared" si="77"/>
        <v>unknown</v>
      </c>
      <c r="K1306" t="str">
        <f t="shared" si="78"/>
        <v>scale</v>
      </c>
    </row>
    <row r="1307" spans="1:11" ht="115.2" x14ac:dyDescent="0.3">
      <c r="A1307" t="s">
        <v>5287</v>
      </c>
      <c r="B1307" t="s">
        <v>5340</v>
      </c>
      <c r="C1307" s="90" t="s">
        <v>5341</v>
      </c>
      <c r="E1307" t="s">
        <v>5562</v>
      </c>
      <c r="F1307" s="91" t="s">
        <v>5341</v>
      </c>
      <c r="H1307" t="str">
        <f t="shared" si="77"/>
        <v>unknown</v>
      </c>
      <c r="K1307" t="str">
        <f t="shared" si="78"/>
        <v>scale</v>
      </c>
    </row>
    <row r="1308" spans="1:11" ht="86.4" x14ac:dyDescent="0.3">
      <c r="A1308" t="s">
        <v>5287</v>
      </c>
      <c r="B1308" t="s">
        <v>5342</v>
      </c>
      <c r="C1308" s="90" t="s">
        <v>5343</v>
      </c>
      <c r="E1308" t="s">
        <v>5562</v>
      </c>
      <c r="F1308" s="91" t="s">
        <v>5343</v>
      </c>
      <c r="H1308" t="str">
        <f t="shared" si="77"/>
        <v>unknown</v>
      </c>
      <c r="K1308" t="str">
        <f t="shared" si="78"/>
        <v>scale</v>
      </c>
    </row>
    <row r="1309" spans="1:11" ht="115.2" x14ac:dyDescent="0.3">
      <c r="A1309" t="s">
        <v>5287</v>
      </c>
      <c r="B1309" t="s">
        <v>5344</v>
      </c>
      <c r="C1309" s="90" t="s">
        <v>4905</v>
      </c>
      <c r="E1309" t="s">
        <v>5562</v>
      </c>
      <c r="F1309" s="91" t="s">
        <v>4905</v>
      </c>
      <c r="H1309" t="str">
        <f t="shared" si="77"/>
        <v>unknown</v>
      </c>
      <c r="K1309" t="str">
        <f t="shared" si="78"/>
        <v>scale</v>
      </c>
    </row>
    <row r="1310" spans="1:11" ht="115.2" x14ac:dyDescent="0.3">
      <c r="A1310" t="s">
        <v>5287</v>
      </c>
      <c r="B1310" t="s">
        <v>5345</v>
      </c>
      <c r="C1310" s="90" t="s">
        <v>5346</v>
      </c>
      <c r="E1310" t="s">
        <v>5562</v>
      </c>
      <c r="F1310" s="91" t="s">
        <v>5346</v>
      </c>
      <c r="H1310" t="str">
        <f t="shared" si="77"/>
        <v>unknown</v>
      </c>
      <c r="K1310" t="str">
        <f t="shared" si="78"/>
        <v>scale</v>
      </c>
    </row>
    <row r="1311" spans="1:11" ht="115.2" x14ac:dyDescent="0.3">
      <c r="A1311" t="s">
        <v>5287</v>
      </c>
      <c r="B1311" t="s">
        <v>5347</v>
      </c>
      <c r="C1311" s="90" t="s">
        <v>5348</v>
      </c>
      <c r="E1311" t="s">
        <v>5562</v>
      </c>
      <c r="F1311" s="91" t="s">
        <v>5348</v>
      </c>
      <c r="H1311" t="str">
        <f t="shared" si="77"/>
        <v>unknown</v>
      </c>
      <c r="K1311" t="str">
        <f t="shared" si="78"/>
        <v>scale</v>
      </c>
    </row>
    <row r="1312" spans="1:11" ht="86.4" x14ac:dyDescent="0.3">
      <c r="A1312" t="s">
        <v>5287</v>
      </c>
      <c r="B1312" t="s">
        <v>3538</v>
      </c>
      <c r="C1312" s="90" t="s">
        <v>5343</v>
      </c>
      <c r="E1312" t="s">
        <v>5562</v>
      </c>
      <c r="F1312" s="91" t="s">
        <v>5343</v>
      </c>
      <c r="H1312" t="str">
        <f t="shared" si="77"/>
        <v>unknown</v>
      </c>
      <c r="K1312" t="str">
        <f t="shared" si="78"/>
        <v>scale</v>
      </c>
    </row>
    <row r="1313" spans="1:11" ht="115.2" x14ac:dyDescent="0.3">
      <c r="A1313" t="s">
        <v>5287</v>
      </c>
      <c r="B1313" t="s">
        <v>5349</v>
      </c>
      <c r="C1313" s="90" t="s">
        <v>3712</v>
      </c>
      <c r="E1313" t="s">
        <v>5562</v>
      </c>
      <c r="F1313" s="91" t="s">
        <v>3712</v>
      </c>
      <c r="H1313" t="str">
        <f t="shared" si="77"/>
        <v>unknown</v>
      </c>
      <c r="K1313" t="str">
        <f t="shared" si="78"/>
        <v>scale</v>
      </c>
    </row>
    <row r="1314" spans="1:11" ht="115.2" x14ac:dyDescent="0.3">
      <c r="A1314" t="s">
        <v>5287</v>
      </c>
      <c r="B1314" t="s">
        <v>5350</v>
      </c>
      <c r="C1314" s="90" t="s">
        <v>3712</v>
      </c>
      <c r="E1314" t="s">
        <v>5562</v>
      </c>
      <c r="F1314" s="91" t="s">
        <v>3712</v>
      </c>
      <c r="H1314" t="str">
        <f t="shared" si="77"/>
        <v>unknown</v>
      </c>
      <c r="K1314" t="str">
        <f t="shared" si="78"/>
        <v>scale</v>
      </c>
    </row>
    <row r="1315" spans="1:11" ht="115.2" x14ac:dyDescent="0.3">
      <c r="A1315" t="s">
        <v>5287</v>
      </c>
      <c r="B1315" t="s">
        <v>5351</v>
      </c>
      <c r="C1315" s="90" t="s">
        <v>5352</v>
      </c>
      <c r="E1315" t="s">
        <v>5562</v>
      </c>
      <c r="F1315" s="91" t="s">
        <v>5352</v>
      </c>
      <c r="H1315" t="str">
        <f t="shared" si="77"/>
        <v>unknown</v>
      </c>
      <c r="K1315" t="str">
        <f t="shared" si="78"/>
        <v>scale</v>
      </c>
    </row>
    <row r="1316" spans="1:11" ht="129.6" x14ac:dyDescent="0.3">
      <c r="A1316" t="s">
        <v>5287</v>
      </c>
      <c r="B1316" t="s">
        <v>5353</v>
      </c>
      <c r="C1316" s="90" t="s">
        <v>5354</v>
      </c>
      <c r="E1316" t="s">
        <v>5562</v>
      </c>
      <c r="F1316" s="91" t="s">
        <v>5354</v>
      </c>
      <c r="H1316" t="str">
        <f t="shared" si="77"/>
        <v>unknown</v>
      </c>
      <c r="K1316" t="str">
        <f t="shared" si="78"/>
        <v>scale</v>
      </c>
    </row>
    <row r="1317" spans="1:11" ht="115.2" x14ac:dyDescent="0.3">
      <c r="A1317" t="s">
        <v>5287</v>
      </c>
      <c r="B1317" t="s">
        <v>5355</v>
      </c>
      <c r="C1317" s="90" t="s">
        <v>3712</v>
      </c>
      <c r="E1317" t="s">
        <v>5562</v>
      </c>
      <c r="F1317" s="91" t="s">
        <v>3712</v>
      </c>
      <c r="H1317" t="str">
        <f t="shared" si="77"/>
        <v>unknown</v>
      </c>
      <c r="K1317" t="str">
        <f t="shared" si="78"/>
        <v>scale</v>
      </c>
    </row>
    <row r="1318" spans="1:11" ht="129.6" x14ac:dyDescent="0.3">
      <c r="A1318" t="s">
        <v>5287</v>
      </c>
      <c r="B1318" t="s">
        <v>5356</v>
      </c>
      <c r="C1318" s="90" t="s">
        <v>5357</v>
      </c>
      <c r="E1318" t="s">
        <v>5562</v>
      </c>
      <c r="F1318" s="91" t="s">
        <v>5357</v>
      </c>
      <c r="H1318" t="str">
        <f t="shared" si="77"/>
        <v>unknown</v>
      </c>
      <c r="K1318" t="str">
        <f t="shared" si="78"/>
        <v>scale</v>
      </c>
    </row>
    <row r="1319" spans="1:11" ht="115.2" x14ac:dyDescent="0.3">
      <c r="A1319" t="s">
        <v>5287</v>
      </c>
      <c r="B1319" t="s">
        <v>5358</v>
      </c>
      <c r="C1319" s="90" t="s">
        <v>3778</v>
      </c>
      <c r="E1319" t="s">
        <v>5562</v>
      </c>
      <c r="F1319" s="91" t="s">
        <v>3778</v>
      </c>
      <c r="H1319" t="str">
        <f t="shared" si="77"/>
        <v>unknown</v>
      </c>
      <c r="K1319" t="str">
        <f t="shared" si="78"/>
        <v>scale</v>
      </c>
    </row>
    <row r="1320" spans="1:11" ht="172.8" x14ac:dyDescent="0.3">
      <c r="A1320" t="s">
        <v>5287</v>
      </c>
      <c r="B1320" t="s">
        <v>5359</v>
      </c>
      <c r="C1320" s="90" t="s">
        <v>5360</v>
      </c>
      <c r="E1320" t="s">
        <v>5562</v>
      </c>
      <c r="F1320" s="91" t="s">
        <v>5360</v>
      </c>
      <c r="H1320" t="str">
        <f t="shared" si="77"/>
        <v>unknown</v>
      </c>
      <c r="K1320" t="str">
        <f t="shared" si="78"/>
        <v>scale</v>
      </c>
    </row>
    <row r="1321" spans="1:11" ht="244.8" x14ac:dyDescent="0.3">
      <c r="A1321" t="s">
        <v>5287</v>
      </c>
      <c r="B1321" t="s">
        <v>5361</v>
      </c>
      <c r="C1321" s="90" t="s">
        <v>5362</v>
      </c>
      <c r="E1321" t="s">
        <v>5562</v>
      </c>
      <c r="F1321" s="91" t="s">
        <v>5362</v>
      </c>
      <c r="H1321" t="str">
        <f t="shared" si="77"/>
        <v>unknown</v>
      </c>
      <c r="K1321" t="str">
        <f t="shared" si="78"/>
        <v>scale</v>
      </c>
    </row>
    <row r="1322" spans="1:11" ht="201.6" x14ac:dyDescent="0.3">
      <c r="A1322" t="s">
        <v>5287</v>
      </c>
      <c r="B1322" t="s">
        <v>5363</v>
      </c>
      <c r="C1322" s="90" t="s">
        <v>5364</v>
      </c>
      <c r="E1322" t="s">
        <v>5562</v>
      </c>
      <c r="F1322" s="91" t="s">
        <v>5364</v>
      </c>
      <c r="H1322" t="str">
        <f t="shared" si="77"/>
        <v>unknown</v>
      </c>
      <c r="K1322" t="str">
        <f t="shared" si="78"/>
        <v>scale</v>
      </c>
    </row>
    <row r="1323" spans="1:11" ht="216" x14ac:dyDescent="0.3">
      <c r="A1323" t="s">
        <v>5287</v>
      </c>
      <c r="B1323" t="s">
        <v>5365</v>
      </c>
      <c r="C1323" s="90" t="s">
        <v>5366</v>
      </c>
      <c r="E1323" t="s">
        <v>5562</v>
      </c>
      <c r="F1323" s="91" t="s">
        <v>5366</v>
      </c>
      <c r="H1323" t="str">
        <f t="shared" si="77"/>
        <v>unknown</v>
      </c>
      <c r="K1323" t="str">
        <f t="shared" si="78"/>
        <v>scale</v>
      </c>
    </row>
    <row r="1324" spans="1:11" ht="144" x14ac:dyDescent="0.3">
      <c r="A1324" t="s">
        <v>5287</v>
      </c>
      <c r="B1324" t="s">
        <v>5367</v>
      </c>
      <c r="C1324" s="90" t="s">
        <v>5368</v>
      </c>
      <c r="E1324" t="s">
        <v>5562</v>
      </c>
      <c r="F1324" s="91" t="s">
        <v>5368</v>
      </c>
      <c r="H1324" t="str">
        <f t="shared" si="77"/>
        <v>unknown</v>
      </c>
      <c r="K1324" t="str">
        <f t="shared" si="78"/>
        <v>scale</v>
      </c>
    </row>
    <row r="1325" spans="1:11" ht="144" x14ac:dyDescent="0.3">
      <c r="A1325" t="s">
        <v>5287</v>
      </c>
      <c r="B1325" t="s">
        <v>5369</v>
      </c>
      <c r="C1325" s="90" t="s">
        <v>5370</v>
      </c>
      <c r="E1325" t="s">
        <v>5562</v>
      </c>
      <c r="F1325" s="91" t="s">
        <v>5370</v>
      </c>
      <c r="H1325" t="str">
        <f t="shared" si="77"/>
        <v>unknown</v>
      </c>
      <c r="K1325" t="str">
        <f t="shared" si="78"/>
        <v>scale</v>
      </c>
    </row>
    <row r="1326" spans="1:11" ht="144" x14ac:dyDescent="0.3">
      <c r="A1326" t="s">
        <v>5371</v>
      </c>
      <c r="B1326" t="s">
        <v>4978</v>
      </c>
      <c r="C1326" s="90" t="s">
        <v>5372</v>
      </c>
      <c r="E1326" t="s">
        <v>5562</v>
      </c>
      <c r="F1326" s="91" t="s">
        <v>5372</v>
      </c>
      <c r="H1326" t="str">
        <f t="shared" si="77"/>
        <v>unknown</v>
      </c>
      <c r="K1326" t="str">
        <f t="shared" si="78"/>
        <v>scale</v>
      </c>
    </row>
    <row r="1327" spans="1:11" ht="187.2" x14ac:dyDescent="0.3">
      <c r="A1327" t="s">
        <v>5371</v>
      </c>
      <c r="B1327" t="s">
        <v>3562</v>
      </c>
      <c r="C1327" s="90" t="s">
        <v>5373</v>
      </c>
      <c r="E1327" t="s">
        <v>5562</v>
      </c>
      <c r="F1327" s="91" t="s">
        <v>5373</v>
      </c>
      <c r="H1327" t="str">
        <f t="shared" si="77"/>
        <v>unknown</v>
      </c>
      <c r="K1327" t="str">
        <f t="shared" si="78"/>
        <v>scale</v>
      </c>
    </row>
    <row r="1328" spans="1:11" ht="201.6" x14ac:dyDescent="0.3">
      <c r="A1328" t="s">
        <v>5371</v>
      </c>
      <c r="B1328" t="s">
        <v>3774</v>
      </c>
      <c r="C1328" s="90" t="s">
        <v>5374</v>
      </c>
      <c r="E1328" t="s">
        <v>5562</v>
      </c>
      <c r="F1328" s="91" t="s">
        <v>5374</v>
      </c>
      <c r="H1328" t="str">
        <f t="shared" si="77"/>
        <v>unknown</v>
      </c>
      <c r="K1328" t="str">
        <f t="shared" si="78"/>
        <v>scale</v>
      </c>
    </row>
    <row r="1329" spans="1:11" ht="86.4" x14ac:dyDescent="0.3">
      <c r="A1329" t="s">
        <v>5371</v>
      </c>
      <c r="B1329" t="s">
        <v>3952</v>
      </c>
      <c r="C1329" s="90" t="s">
        <v>5375</v>
      </c>
      <c r="E1329" t="s">
        <v>5562</v>
      </c>
      <c r="F1329" s="91" t="s">
        <v>5375</v>
      </c>
      <c r="H1329" t="str">
        <f t="shared" si="77"/>
        <v>unknown</v>
      </c>
      <c r="K1329" t="str">
        <f t="shared" si="78"/>
        <v>scale</v>
      </c>
    </row>
    <row r="1330" spans="1:11" ht="43.2" x14ac:dyDescent="0.3">
      <c r="A1330" t="s">
        <v>5371</v>
      </c>
      <c r="B1330" t="s">
        <v>3579</v>
      </c>
      <c r="C1330" s="90" t="s">
        <v>3498</v>
      </c>
      <c r="E1330" t="s">
        <v>5562</v>
      </c>
      <c r="F1330" s="91" t="s">
        <v>3498</v>
      </c>
      <c r="H1330" t="str">
        <f t="shared" si="77"/>
        <v>unknown</v>
      </c>
      <c r="K1330" t="str">
        <f t="shared" si="78"/>
        <v>scale</v>
      </c>
    </row>
    <row r="1331" spans="1:11" ht="115.2" x14ac:dyDescent="0.3">
      <c r="A1331" t="s">
        <v>5371</v>
      </c>
      <c r="B1331" t="s">
        <v>5376</v>
      </c>
      <c r="C1331" s="90" t="s">
        <v>5377</v>
      </c>
      <c r="E1331" t="s">
        <v>5562</v>
      </c>
      <c r="F1331" s="91" t="s">
        <v>5377</v>
      </c>
      <c r="H1331" t="str">
        <f t="shared" si="77"/>
        <v>unknown</v>
      </c>
      <c r="K1331" t="str">
        <f t="shared" si="78"/>
        <v>scale</v>
      </c>
    </row>
    <row r="1332" spans="1:11" ht="230.4" x14ac:dyDescent="0.3">
      <c r="A1332" t="s">
        <v>5371</v>
      </c>
      <c r="B1332" t="s">
        <v>4256</v>
      </c>
      <c r="C1332" s="90" t="s">
        <v>5378</v>
      </c>
      <c r="E1332" t="s">
        <v>5562</v>
      </c>
      <c r="F1332" s="91" t="s">
        <v>5378</v>
      </c>
      <c r="H1332" t="str">
        <f t="shared" si="77"/>
        <v>unknown</v>
      </c>
      <c r="K1332" t="str">
        <f t="shared" si="78"/>
        <v>scale</v>
      </c>
    </row>
    <row r="1333" spans="1:11" ht="230.4" x14ac:dyDescent="0.3">
      <c r="A1333" t="s">
        <v>5371</v>
      </c>
      <c r="B1333" t="s">
        <v>4724</v>
      </c>
      <c r="C1333" s="90" t="s">
        <v>5379</v>
      </c>
      <c r="E1333" t="s">
        <v>5562</v>
      </c>
      <c r="F1333" s="91" t="s">
        <v>5379</v>
      </c>
      <c r="H1333" t="str">
        <f t="shared" si="77"/>
        <v>unknown</v>
      </c>
      <c r="K1333" t="str">
        <f t="shared" si="78"/>
        <v>scale</v>
      </c>
    </row>
    <row r="1334" spans="1:11" ht="28.8" x14ac:dyDescent="0.3">
      <c r="A1334" t="s">
        <v>5371</v>
      </c>
      <c r="B1334" t="s">
        <v>4990</v>
      </c>
      <c r="C1334" s="90" t="s">
        <v>3980</v>
      </c>
      <c r="D1334" t="s">
        <v>5561</v>
      </c>
      <c r="E1334" t="s">
        <v>399</v>
      </c>
      <c r="F1334" s="92" t="s">
        <v>5591</v>
      </c>
      <c r="H1334" t="str">
        <f t="shared" si="77"/>
        <v>unknown</v>
      </c>
      <c r="K1334" t="str">
        <f t="shared" si="78"/>
        <v>sector</v>
      </c>
    </row>
    <row r="1335" spans="1:11" ht="187.2" x14ac:dyDescent="0.3">
      <c r="A1335" t="s">
        <v>5371</v>
      </c>
      <c r="B1335" t="s">
        <v>5380</v>
      </c>
      <c r="C1335" s="90" t="s">
        <v>5381</v>
      </c>
      <c r="E1335" t="s">
        <v>5562</v>
      </c>
      <c r="F1335" s="91" t="s">
        <v>5381</v>
      </c>
      <c r="H1335" t="str">
        <f t="shared" si="77"/>
        <v>unknown</v>
      </c>
      <c r="K1335" t="str">
        <f t="shared" si="78"/>
        <v>scale</v>
      </c>
    </row>
    <row r="1336" spans="1:11" ht="57.6" x14ac:dyDescent="0.3">
      <c r="A1336" t="s">
        <v>5371</v>
      </c>
      <c r="B1336" t="s">
        <v>5382</v>
      </c>
      <c r="C1336" s="90" t="s">
        <v>5383</v>
      </c>
      <c r="E1336" t="s">
        <v>5562</v>
      </c>
      <c r="F1336" s="91" t="s">
        <v>5383</v>
      </c>
      <c r="H1336" t="str">
        <f t="shared" si="77"/>
        <v>unknown</v>
      </c>
      <c r="K1336" t="str">
        <f t="shared" si="78"/>
        <v>scale</v>
      </c>
    </row>
    <row r="1337" spans="1:11" ht="187.2" x14ac:dyDescent="0.3">
      <c r="A1337" t="s">
        <v>5371</v>
      </c>
      <c r="B1337" t="s">
        <v>4265</v>
      </c>
      <c r="C1337" s="90" t="s">
        <v>5373</v>
      </c>
      <c r="E1337" t="s">
        <v>5562</v>
      </c>
      <c r="F1337" s="91" t="s">
        <v>5373</v>
      </c>
      <c r="H1337" t="str">
        <f t="shared" si="77"/>
        <v>unknown</v>
      </c>
      <c r="K1337" t="str">
        <f t="shared" si="78"/>
        <v>scale</v>
      </c>
    </row>
    <row r="1338" spans="1:11" ht="230.4" x14ac:dyDescent="0.3">
      <c r="A1338" t="s">
        <v>5371</v>
      </c>
      <c r="B1338" t="s">
        <v>3869</v>
      </c>
      <c r="C1338" s="90" t="s">
        <v>5384</v>
      </c>
      <c r="E1338" t="s">
        <v>5562</v>
      </c>
      <c r="F1338" s="91" t="s">
        <v>5384</v>
      </c>
      <c r="H1338" t="str">
        <f t="shared" si="77"/>
        <v>unknown</v>
      </c>
      <c r="K1338" t="str">
        <f t="shared" si="78"/>
        <v>scale</v>
      </c>
    </row>
    <row r="1339" spans="1:11" ht="144" x14ac:dyDescent="0.3">
      <c r="A1339" t="s">
        <v>5371</v>
      </c>
      <c r="B1339" t="s">
        <v>5385</v>
      </c>
      <c r="C1339" s="90" t="s">
        <v>5386</v>
      </c>
      <c r="E1339" t="s">
        <v>5562</v>
      </c>
      <c r="F1339" s="91" t="s">
        <v>5386</v>
      </c>
      <c r="H1339" t="str">
        <f t="shared" si="77"/>
        <v>unknown</v>
      </c>
      <c r="K1339" t="str">
        <f t="shared" si="78"/>
        <v>scale</v>
      </c>
    </row>
    <row r="1340" spans="1:11" ht="28.8" x14ac:dyDescent="0.3">
      <c r="A1340" t="s">
        <v>5371</v>
      </c>
      <c r="B1340" t="s">
        <v>5387</v>
      </c>
      <c r="C1340" s="90" t="s">
        <v>3980</v>
      </c>
      <c r="D1340" t="s">
        <v>5561</v>
      </c>
      <c r="E1340" t="s">
        <v>399</v>
      </c>
      <c r="F1340" s="92" t="s">
        <v>5591</v>
      </c>
      <c r="H1340" t="str">
        <f t="shared" si="77"/>
        <v>unknown</v>
      </c>
      <c r="K1340" t="str">
        <f t="shared" si="78"/>
        <v>sector</v>
      </c>
    </row>
    <row r="1341" spans="1:11" ht="100.8" x14ac:dyDescent="0.3">
      <c r="A1341" t="s">
        <v>5371</v>
      </c>
      <c r="B1341" t="s">
        <v>3599</v>
      </c>
      <c r="C1341" s="90" t="s">
        <v>5388</v>
      </c>
      <c r="E1341" t="s">
        <v>5562</v>
      </c>
      <c r="F1341" s="91" t="s">
        <v>5388</v>
      </c>
      <c r="H1341" t="str">
        <f t="shared" si="77"/>
        <v>unknown</v>
      </c>
      <c r="K1341" t="str">
        <f t="shared" si="78"/>
        <v>scale</v>
      </c>
    </row>
    <row r="1342" spans="1:11" ht="144" x14ac:dyDescent="0.3">
      <c r="A1342" t="s">
        <v>5371</v>
      </c>
      <c r="B1342" t="s">
        <v>3876</v>
      </c>
      <c r="C1342" s="90" t="s">
        <v>5389</v>
      </c>
      <c r="E1342" t="s">
        <v>5562</v>
      </c>
      <c r="F1342" s="91" t="s">
        <v>5389</v>
      </c>
      <c r="H1342" t="str">
        <f t="shared" si="77"/>
        <v>unknown</v>
      </c>
      <c r="K1342" t="str">
        <f t="shared" si="78"/>
        <v>scale</v>
      </c>
    </row>
    <row r="1343" spans="1:11" ht="259.2" x14ac:dyDescent="0.3">
      <c r="A1343" t="s">
        <v>5371</v>
      </c>
      <c r="B1343" t="s">
        <v>5390</v>
      </c>
      <c r="C1343" s="90" t="s">
        <v>5391</v>
      </c>
      <c r="E1343" t="s">
        <v>5562</v>
      </c>
      <c r="F1343" s="91" t="s">
        <v>5391</v>
      </c>
      <c r="H1343" t="str">
        <f t="shared" si="77"/>
        <v>unknown</v>
      </c>
      <c r="K1343" t="str">
        <f t="shared" si="78"/>
        <v>scale</v>
      </c>
    </row>
    <row r="1344" spans="1:11" ht="360" x14ac:dyDescent="0.3">
      <c r="A1344" t="s">
        <v>5371</v>
      </c>
      <c r="B1344" t="s">
        <v>5392</v>
      </c>
      <c r="C1344" s="90" t="s">
        <v>5393</v>
      </c>
      <c r="E1344" t="s">
        <v>5562</v>
      </c>
      <c r="F1344" s="91" t="s">
        <v>5393</v>
      </c>
      <c r="H1344" t="str">
        <f t="shared" si="77"/>
        <v>unknown</v>
      </c>
      <c r="K1344" t="str">
        <f t="shared" si="78"/>
        <v>scale</v>
      </c>
    </row>
    <row r="1345" spans="1:11" ht="115.2" x14ac:dyDescent="0.3">
      <c r="A1345" t="s">
        <v>5371</v>
      </c>
      <c r="B1345" t="s">
        <v>3614</v>
      </c>
      <c r="C1345" s="90" t="s">
        <v>5394</v>
      </c>
      <c r="E1345" t="s">
        <v>5562</v>
      </c>
      <c r="F1345" s="91" t="s">
        <v>5394</v>
      </c>
      <c r="H1345" t="str">
        <f t="shared" si="77"/>
        <v>unknown</v>
      </c>
      <c r="K1345" t="str">
        <f t="shared" si="78"/>
        <v>scale</v>
      </c>
    </row>
    <row r="1346" spans="1:11" ht="409.6" x14ac:dyDescent="0.3">
      <c r="A1346" t="s">
        <v>5371</v>
      </c>
      <c r="B1346" t="s">
        <v>5395</v>
      </c>
      <c r="C1346" s="90" t="s">
        <v>5396</v>
      </c>
      <c r="E1346" t="s">
        <v>5562</v>
      </c>
      <c r="F1346" s="91" t="s">
        <v>5396</v>
      </c>
      <c r="H1346" t="str">
        <f t="shared" ref="H1346:H1409" si="79">IF(EXACT(F1346,$W$1), "open", IF(EXACT(F1346,$X$1), "open", "unknown"))</f>
        <v>unknown</v>
      </c>
      <c r="K1346" t="str">
        <f t="shared" ref="K1346:K1409" si="80">IF(AND(E1346&lt;&gt;"", E1346&lt;&gt;"unknown"), E1346,
   IF(AND(G1346&lt;&gt;"", G1346&lt;&gt;"unknown"), G1346,
   IF(AND(H1346&lt;&gt;"", H1346&lt;&gt;"unknown"), H1346,
   IF(I1346&lt;&gt;"", I1346, "ERROR"))))</f>
        <v>scale</v>
      </c>
    </row>
    <row r="1347" spans="1:11" ht="43.2" x14ac:dyDescent="0.3">
      <c r="A1347" t="s">
        <v>5371</v>
      </c>
      <c r="B1347" t="s">
        <v>5397</v>
      </c>
      <c r="C1347" s="90" t="s">
        <v>3383</v>
      </c>
      <c r="E1347" t="s">
        <v>5562</v>
      </c>
      <c r="F1347" s="91" t="s">
        <v>3383</v>
      </c>
      <c r="H1347" t="str">
        <f t="shared" si="79"/>
        <v>unknown</v>
      </c>
      <c r="K1347" t="str">
        <f t="shared" si="80"/>
        <v>scale</v>
      </c>
    </row>
    <row r="1348" spans="1:11" ht="201.6" x14ac:dyDescent="0.3">
      <c r="A1348" t="s">
        <v>5371</v>
      </c>
      <c r="B1348" t="s">
        <v>5398</v>
      </c>
      <c r="C1348" s="90" t="s">
        <v>5399</v>
      </c>
      <c r="E1348" t="s">
        <v>5562</v>
      </c>
      <c r="F1348" s="91" t="s">
        <v>5399</v>
      </c>
      <c r="H1348" t="str">
        <f t="shared" si="79"/>
        <v>unknown</v>
      </c>
      <c r="K1348" t="str">
        <f t="shared" si="80"/>
        <v>scale</v>
      </c>
    </row>
    <row r="1349" spans="1:11" ht="129.6" x14ac:dyDescent="0.3">
      <c r="A1349" t="s">
        <v>5371</v>
      </c>
      <c r="B1349" t="s">
        <v>4324</v>
      </c>
      <c r="C1349" s="90" t="s">
        <v>5400</v>
      </c>
      <c r="E1349" t="s">
        <v>5562</v>
      </c>
      <c r="F1349" s="91" t="s">
        <v>5400</v>
      </c>
      <c r="H1349" t="str">
        <f t="shared" si="79"/>
        <v>unknown</v>
      </c>
      <c r="K1349" t="str">
        <f t="shared" si="80"/>
        <v>scale</v>
      </c>
    </row>
    <row r="1350" spans="1:11" ht="144" x14ac:dyDescent="0.3">
      <c r="A1350" t="s">
        <v>5371</v>
      </c>
      <c r="B1350" t="s">
        <v>5401</v>
      </c>
      <c r="C1350" s="90" t="s">
        <v>5402</v>
      </c>
      <c r="E1350" t="s">
        <v>5562</v>
      </c>
      <c r="F1350" s="91" t="s">
        <v>5402</v>
      </c>
      <c r="H1350" t="str">
        <f t="shared" si="79"/>
        <v>unknown</v>
      </c>
      <c r="K1350" t="str">
        <f t="shared" si="80"/>
        <v>scale</v>
      </c>
    </row>
    <row r="1351" spans="1:11" ht="57.6" x14ac:dyDescent="0.3">
      <c r="A1351" t="s">
        <v>5371</v>
      </c>
      <c r="B1351" t="s">
        <v>3984</v>
      </c>
      <c r="C1351" s="90" t="s">
        <v>5403</v>
      </c>
      <c r="D1351" t="s">
        <v>5561</v>
      </c>
      <c r="E1351" t="s">
        <v>399</v>
      </c>
      <c r="F1351" s="92" t="s">
        <v>5654</v>
      </c>
      <c r="H1351" t="str">
        <f t="shared" si="79"/>
        <v>unknown</v>
      </c>
      <c r="K1351" t="str">
        <f t="shared" si="80"/>
        <v>sector</v>
      </c>
    </row>
    <row r="1352" spans="1:11" ht="158.4" x14ac:dyDescent="0.3">
      <c r="A1352" t="s">
        <v>5371</v>
      </c>
      <c r="B1352" t="s">
        <v>5404</v>
      </c>
      <c r="C1352" s="90" t="s">
        <v>5405</v>
      </c>
      <c r="E1352" t="s">
        <v>5562</v>
      </c>
      <c r="F1352" s="91" t="s">
        <v>5405</v>
      </c>
      <c r="H1352" t="str">
        <f t="shared" si="79"/>
        <v>unknown</v>
      </c>
      <c r="K1352" t="str">
        <f t="shared" si="80"/>
        <v>scale</v>
      </c>
    </row>
    <row r="1353" spans="1:11" ht="43.2" x14ac:dyDescent="0.3">
      <c r="A1353" t="s">
        <v>5371</v>
      </c>
      <c r="B1353" t="s">
        <v>5406</v>
      </c>
      <c r="C1353" s="90" t="s">
        <v>3383</v>
      </c>
      <c r="E1353" t="s">
        <v>5562</v>
      </c>
      <c r="F1353" s="91" t="s">
        <v>3383</v>
      </c>
      <c r="H1353" t="str">
        <f t="shared" si="79"/>
        <v>unknown</v>
      </c>
      <c r="K1353" t="str">
        <f t="shared" si="80"/>
        <v>scale</v>
      </c>
    </row>
    <row r="1354" spans="1:11" ht="115.2" x14ac:dyDescent="0.3">
      <c r="A1354" t="s">
        <v>5371</v>
      </c>
      <c r="B1354" t="s">
        <v>5407</v>
      </c>
      <c r="C1354" s="90" t="s">
        <v>5408</v>
      </c>
      <c r="E1354" t="s">
        <v>5562</v>
      </c>
      <c r="F1354" s="91" t="s">
        <v>5408</v>
      </c>
      <c r="H1354" t="str">
        <f t="shared" si="79"/>
        <v>unknown</v>
      </c>
      <c r="K1354" t="str">
        <f t="shared" si="80"/>
        <v>scale</v>
      </c>
    </row>
    <row r="1355" spans="1:11" ht="100.8" x14ac:dyDescent="0.3">
      <c r="A1355" t="s">
        <v>5371</v>
      </c>
      <c r="B1355" t="s">
        <v>5409</v>
      </c>
      <c r="C1355" s="90" t="s">
        <v>5410</v>
      </c>
      <c r="E1355" t="s">
        <v>5562</v>
      </c>
      <c r="F1355" s="91" t="s">
        <v>5410</v>
      </c>
      <c r="H1355" t="str">
        <f t="shared" si="79"/>
        <v>unknown</v>
      </c>
      <c r="K1355" t="str">
        <f t="shared" si="80"/>
        <v>scale</v>
      </c>
    </row>
    <row r="1356" spans="1:11" ht="187.2" x14ac:dyDescent="0.3">
      <c r="A1356" t="s">
        <v>5371</v>
      </c>
      <c r="B1356" t="s">
        <v>5411</v>
      </c>
      <c r="C1356" s="90" t="s">
        <v>5412</v>
      </c>
      <c r="E1356" t="s">
        <v>5562</v>
      </c>
      <c r="F1356" s="91" t="s">
        <v>5412</v>
      </c>
      <c r="H1356" t="str">
        <f t="shared" si="79"/>
        <v>unknown</v>
      </c>
      <c r="K1356" t="str">
        <f t="shared" si="80"/>
        <v>scale</v>
      </c>
    </row>
    <row r="1357" spans="1:11" ht="57.6" x14ac:dyDescent="0.3">
      <c r="A1357" t="s">
        <v>5371</v>
      </c>
      <c r="B1357" t="s">
        <v>5413</v>
      </c>
      <c r="C1357" s="90" t="s">
        <v>5414</v>
      </c>
      <c r="E1357" t="s">
        <v>5562</v>
      </c>
      <c r="F1357" s="91" t="s">
        <v>5414</v>
      </c>
      <c r="H1357" t="str">
        <f t="shared" si="79"/>
        <v>unknown</v>
      </c>
      <c r="K1357" t="str">
        <f t="shared" si="80"/>
        <v>scale</v>
      </c>
    </row>
    <row r="1358" spans="1:11" ht="129.6" x14ac:dyDescent="0.3">
      <c r="A1358" t="s">
        <v>5371</v>
      </c>
      <c r="B1358" t="s">
        <v>5415</v>
      </c>
      <c r="C1358" s="90" t="s">
        <v>5416</v>
      </c>
      <c r="E1358" t="s">
        <v>5562</v>
      </c>
      <c r="F1358" s="91" t="s">
        <v>5416</v>
      </c>
      <c r="H1358" t="str">
        <f t="shared" si="79"/>
        <v>unknown</v>
      </c>
      <c r="K1358" t="str">
        <f t="shared" si="80"/>
        <v>scale</v>
      </c>
    </row>
    <row r="1359" spans="1:11" ht="100.8" x14ac:dyDescent="0.3">
      <c r="A1359" t="s">
        <v>5371</v>
      </c>
      <c r="B1359" t="s">
        <v>5417</v>
      </c>
      <c r="C1359" s="90" t="s">
        <v>5418</v>
      </c>
      <c r="E1359" t="s">
        <v>5562</v>
      </c>
      <c r="F1359" s="91" t="s">
        <v>5418</v>
      </c>
      <c r="H1359" t="str">
        <f t="shared" si="79"/>
        <v>unknown</v>
      </c>
      <c r="K1359" t="str">
        <f t="shared" si="80"/>
        <v>scale</v>
      </c>
    </row>
    <row r="1360" spans="1:11" ht="100.8" x14ac:dyDescent="0.3">
      <c r="A1360" t="s">
        <v>5371</v>
      </c>
      <c r="B1360" t="s">
        <v>5419</v>
      </c>
      <c r="C1360" s="90" t="s">
        <v>5420</v>
      </c>
      <c r="E1360" t="s">
        <v>5562</v>
      </c>
      <c r="F1360" s="91" t="s">
        <v>5420</v>
      </c>
      <c r="H1360" t="str">
        <f t="shared" si="79"/>
        <v>unknown</v>
      </c>
      <c r="K1360" t="str">
        <f t="shared" si="80"/>
        <v>scale</v>
      </c>
    </row>
    <row r="1361" spans="1:11" ht="115.2" x14ac:dyDescent="0.3">
      <c r="A1361" t="s">
        <v>5371</v>
      </c>
      <c r="B1361" t="s">
        <v>4738</v>
      </c>
      <c r="C1361" s="90" t="s">
        <v>3770</v>
      </c>
      <c r="E1361" t="s">
        <v>5562</v>
      </c>
      <c r="F1361" s="91" t="s">
        <v>3770</v>
      </c>
      <c r="H1361" t="str">
        <f t="shared" si="79"/>
        <v>unknown</v>
      </c>
      <c r="K1361" t="str">
        <f t="shared" si="80"/>
        <v>scale</v>
      </c>
    </row>
    <row r="1362" spans="1:11" ht="115.2" x14ac:dyDescent="0.3">
      <c r="A1362" t="s">
        <v>5371</v>
      </c>
      <c r="B1362" t="s">
        <v>4740</v>
      </c>
      <c r="C1362" s="90" t="s">
        <v>3636</v>
      </c>
      <c r="E1362" t="s">
        <v>5562</v>
      </c>
      <c r="F1362" s="91" t="s">
        <v>3636</v>
      </c>
      <c r="H1362" t="str">
        <f t="shared" si="79"/>
        <v>unknown</v>
      </c>
      <c r="K1362" t="str">
        <f t="shared" si="80"/>
        <v>scale</v>
      </c>
    </row>
    <row r="1363" spans="1:11" ht="129.6" x14ac:dyDescent="0.3">
      <c r="A1363" t="s">
        <v>5371</v>
      </c>
      <c r="B1363" t="s">
        <v>5421</v>
      </c>
      <c r="C1363" s="90" t="s">
        <v>5422</v>
      </c>
      <c r="E1363" t="s">
        <v>5562</v>
      </c>
      <c r="F1363" s="91" t="s">
        <v>5422</v>
      </c>
      <c r="H1363" t="str">
        <f t="shared" si="79"/>
        <v>unknown</v>
      </c>
      <c r="K1363" t="str">
        <f t="shared" si="80"/>
        <v>scale</v>
      </c>
    </row>
    <row r="1364" spans="1:11" ht="115.2" x14ac:dyDescent="0.3">
      <c r="A1364" t="s">
        <v>5371</v>
      </c>
      <c r="B1364" t="s">
        <v>5423</v>
      </c>
      <c r="C1364" s="90" t="s">
        <v>3712</v>
      </c>
      <c r="E1364" t="s">
        <v>5562</v>
      </c>
      <c r="F1364" s="91" t="s">
        <v>3712</v>
      </c>
      <c r="H1364" t="str">
        <f t="shared" si="79"/>
        <v>unknown</v>
      </c>
      <c r="K1364" t="str">
        <f t="shared" si="80"/>
        <v>scale</v>
      </c>
    </row>
    <row r="1365" spans="1:11" ht="129.6" x14ac:dyDescent="0.3">
      <c r="A1365" t="s">
        <v>5371</v>
      </c>
      <c r="B1365" t="s">
        <v>3455</v>
      </c>
      <c r="C1365" s="90" t="s">
        <v>5424</v>
      </c>
      <c r="E1365" t="s">
        <v>5562</v>
      </c>
      <c r="F1365" s="91" t="s">
        <v>5424</v>
      </c>
      <c r="H1365" t="str">
        <f t="shared" si="79"/>
        <v>unknown</v>
      </c>
      <c r="K1365" t="str">
        <f t="shared" si="80"/>
        <v>scale</v>
      </c>
    </row>
    <row r="1366" spans="1:11" ht="115.2" x14ac:dyDescent="0.3">
      <c r="A1366" t="s">
        <v>5371</v>
      </c>
      <c r="B1366" t="s">
        <v>5425</v>
      </c>
      <c r="C1366" s="90" t="s">
        <v>3770</v>
      </c>
      <c r="E1366" t="s">
        <v>5562</v>
      </c>
      <c r="F1366" s="91" t="s">
        <v>3770</v>
      </c>
      <c r="H1366" t="str">
        <f t="shared" si="79"/>
        <v>unknown</v>
      </c>
      <c r="K1366" t="str">
        <f t="shared" si="80"/>
        <v>scale</v>
      </c>
    </row>
    <row r="1367" spans="1:11" ht="115.2" x14ac:dyDescent="0.3">
      <c r="A1367" t="s">
        <v>5371</v>
      </c>
      <c r="B1367" t="s">
        <v>3456</v>
      </c>
      <c r="C1367" s="90" t="s">
        <v>3636</v>
      </c>
      <c r="E1367" t="s">
        <v>5562</v>
      </c>
      <c r="F1367" s="91" t="s">
        <v>3636</v>
      </c>
      <c r="H1367" t="str">
        <f t="shared" si="79"/>
        <v>unknown</v>
      </c>
      <c r="K1367" t="str">
        <f t="shared" si="80"/>
        <v>scale</v>
      </c>
    </row>
    <row r="1368" spans="1:11" ht="129.6" x14ac:dyDescent="0.3">
      <c r="A1368" t="s">
        <v>5371</v>
      </c>
      <c r="B1368" t="s">
        <v>5426</v>
      </c>
      <c r="C1368" s="90" t="s">
        <v>5427</v>
      </c>
      <c r="E1368" t="s">
        <v>5562</v>
      </c>
      <c r="F1368" s="91" t="s">
        <v>5427</v>
      </c>
      <c r="H1368" t="str">
        <f t="shared" si="79"/>
        <v>unknown</v>
      </c>
      <c r="K1368" t="str">
        <f t="shared" si="80"/>
        <v>scale</v>
      </c>
    </row>
    <row r="1369" spans="1:11" ht="86.4" x14ac:dyDescent="0.3">
      <c r="A1369" t="s">
        <v>5371</v>
      </c>
      <c r="B1369" t="s">
        <v>5428</v>
      </c>
      <c r="C1369" s="90" t="s">
        <v>5429</v>
      </c>
      <c r="E1369" t="s">
        <v>5562</v>
      </c>
      <c r="F1369" s="91" t="s">
        <v>5429</v>
      </c>
      <c r="H1369" t="str">
        <f t="shared" si="79"/>
        <v>unknown</v>
      </c>
      <c r="K1369" t="str">
        <f t="shared" si="80"/>
        <v>scale</v>
      </c>
    </row>
    <row r="1370" spans="1:11" ht="158.4" x14ac:dyDescent="0.3">
      <c r="A1370" t="s">
        <v>5371</v>
      </c>
      <c r="B1370" t="s">
        <v>3463</v>
      </c>
      <c r="C1370" s="90" t="s">
        <v>5430</v>
      </c>
      <c r="E1370" t="s">
        <v>5562</v>
      </c>
      <c r="F1370" s="91" t="s">
        <v>5430</v>
      </c>
      <c r="H1370" t="str">
        <f t="shared" si="79"/>
        <v>unknown</v>
      </c>
      <c r="K1370" t="str">
        <f t="shared" si="80"/>
        <v>scale</v>
      </c>
    </row>
    <row r="1371" spans="1:11" ht="158.4" x14ac:dyDescent="0.3">
      <c r="A1371" t="s">
        <v>5371</v>
      </c>
      <c r="B1371" t="s">
        <v>5431</v>
      </c>
      <c r="C1371" s="90" t="s">
        <v>5432</v>
      </c>
      <c r="E1371" t="s">
        <v>5562</v>
      </c>
      <c r="F1371" s="91" t="s">
        <v>5432</v>
      </c>
      <c r="H1371" t="str">
        <f t="shared" si="79"/>
        <v>unknown</v>
      </c>
      <c r="K1371" t="str">
        <f t="shared" si="80"/>
        <v>scale</v>
      </c>
    </row>
    <row r="1372" spans="1:11" ht="158.4" x14ac:dyDescent="0.3">
      <c r="A1372" t="s">
        <v>5371</v>
      </c>
      <c r="B1372" t="s">
        <v>5433</v>
      </c>
      <c r="C1372" s="90" t="s">
        <v>5432</v>
      </c>
      <c r="E1372" t="s">
        <v>5562</v>
      </c>
      <c r="F1372" s="91" t="s">
        <v>5432</v>
      </c>
      <c r="H1372" t="str">
        <f t="shared" si="79"/>
        <v>unknown</v>
      </c>
      <c r="K1372" t="str">
        <f t="shared" si="80"/>
        <v>scale</v>
      </c>
    </row>
    <row r="1373" spans="1:11" ht="129.6" x14ac:dyDescent="0.3">
      <c r="A1373" t="s">
        <v>5371</v>
      </c>
      <c r="B1373" t="s">
        <v>5174</v>
      </c>
      <c r="C1373" s="90" t="s">
        <v>5434</v>
      </c>
      <c r="E1373" t="s">
        <v>5562</v>
      </c>
      <c r="F1373" s="91" t="s">
        <v>5434</v>
      </c>
      <c r="H1373" t="str">
        <f t="shared" si="79"/>
        <v>unknown</v>
      </c>
      <c r="K1373" t="str">
        <f t="shared" si="80"/>
        <v>scale</v>
      </c>
    </row>
    <row r="1374" spans="1:11" ht="43.2" x14ac:dyDescent="0.3">
      <c r="A1374" t="s">
        <v>5371</v>
      </c>
      <c r="B1374" t="s">
        <v>5435</v>
      </c>
      <c r="C1374" s="90" t="s">
        <v>3383</v>
      </c>
      <c r="E1374" t="s">
        <v>5562</v>
      </c>
      <c r="F1374" s="91" t="s">
        <v>3383</v>
      </c>
      <c r="H1374" t="str">
        <f t="shared" si="79"/>
        <v>unknown</v>
      </c>
      <c r="K1374" t="str">
        <f t="shared" si="80"/>
        <v>scale</v>
      </c>
    </row>
    <row r="1375" spans="1:11" ht="72" x14ac:dyDescent="0.3">
      <c r="A1375" t="s">
        <v>5371</v>
      </c>
      <c r="B1375" t="s">
        <v>5436</v>
      </c>
      <c r="C1375" s="90" t="s">
        <v>5437</v>
      </c>
      <c r="E1375" t="s">
        <v>5562</v>
      </c>
      <c r="F1375" s="91" t="s">
        <v>5437</v>
      </c>
      <c r="H1375" t="str">
        <f t="shared" si="79"/>
        <v>unknown</v>
      </c>
      <c r="K1375" t="str">
        <f t="shared" si="80"/>
        <v>scale</v>
      </c>
    </row>
    <row r="1376" spans="1:11" ht="129.6" x14ac:dyDescent="0.3">
      <c r="A1376" t="s">
        <v>5371</v>
      </c>
      <c r="B1376" t="s">
        <v>4754</v>
      </c>
      <c r="C1376" s="90" t="s">
        <v>5438</v>
      </c>
      <c r="E1376" t="s">
        <v>5562</v>
      </c>
      <c r="F1376" s="91" t="s">
        <v>5438</v>
      </c>
      <c r="H1376" t="str">
        <f t="shared" si="79"/>
        <v>unknown</v>
      </c>
      <c r="K1376" t="str">
        <f t="shared" si="80"/>
        <v>scale</v>
      </c>
    </row>
    <row r="1377" spans="1:11" ht="158.4" x14ac:dyDescent="0.3">
      <c r="A1377" t="s">
        <v>5371</v>
      </c>
      <c r="B1377" t="s">
        <v>5439</v>
      </c>
      <c r="C1377" s="90" t="s">
        <v>5440</v>
      </c>
      <c r="E1377" t="s">
        <v>5562</v>
      </c>
      <c r="F1377" s="91" t="s">
        <v>5440</v>
      </c>
      <c r="H1377" t="str">
        <f t="shared" si="79"/>
        <v>unknown</v>
      </c>
      <c r="K1377" t="str">
        <f t="shared" si="80"/>
        <v>scale</v>
      </c>
    </row>
    <row r="1378" spans="1:11" ht="115.2" x14ac:dyDescent="0.3">
      <c r="A1378" t="s">
        <v>5371</v>
      </c>
      <c r="B1378" t="s">
        <v>5441</v>
      </c>
      <c r="C1378" s="90" t="s">
        <v>5442</v>
      </c>
      <c r="E1378" t="s">
        <v>5562</v>
      </c>
      <c r="F1378" s="91" t="s">
        <v>5442</v>
      </c>
      <c r="H1378" t="str">
        <f t="shared" si="79"/>
        <v>unknown</v>
      </c>
      <c r="K1378" t="str">
        <f t="shared" si="80"/>
        <v>scale</v>
      </c>
    </row>
    <row r="1379" spans="1:11" ht="187.2" x14ac:dyDescent="0.3">
      <c r="A1379" t="s">
        <v>5371</v>
      </c>
      <c r="B1379" t="s">
        <v>5443</v>
      </c>
      <c r="C1379" s="90" t="s">
        <v>5444</v>
      </c>
      <c r="E1379" t="s">
        <v>5562</v>
      </c>
      <c r="F1379" s="91" t="s">
        <v>5444</v>
      </c>
      <c r="H1379" t="str">
        <f t="shared" si="79"/>
        <v>unknown</v>
      </c>
      <c r="K1379" t="str">
        <f t="shared" si="80"/>
        <v>scale</v>
      </c>
    </row>
    <row r="1380" spans="1:11" ht="409.6" x14ac:dyDescent="0.3">
      <c r="A1380" t="s">
        <v>5371</v>
      </c>
      <c r="B1380" t="s">
        <v>5445</v>
      </c>
      <c r="C1380" s="90" t="s">
        <v>5446</v>
      </c>
      <c r="E1380" t="s">
        <v>5562</v>
      </c>
      <c r="F1380" s="91" t="s">
        <v>5446</v>
      </c>
      <c r="H1380" t="str">
        <f t="shared" si="79"/>
        <v>unknown</v>
      </c>
      <c r="K1380" t="str">
        <f t="shared" si="80"/>
        <v>scale</v>
      </c>
    </row>
    <row r="1381" spans="1:11" ht="409.6" x14ac:dyDescent="0.3">
      <c r="A1381" t="s">
        <v>5371</v>
      </c>
      <c r="B1381" t="s">
        <v>5447</v>
      </c>
      <c r="C1381" s="90" t="s">
        <v>5448</v>
      </c>
      <c r="E1381" t="s">
        <v>5562</v>
      </c>
      <c r="F1381" s="91" t="s">
        <v>5448</v>
      </c>
      <c r="H1381" t="str">
        <f t="shared" si="79"/>
        <v>unknown</v>
      </c>
      <c r="K1381" t="str">
        <f t="shared" si="80"/>
        <v>scale</v>
      </c>
    </row>
    <row r="1382" spans="1:11" ht="115.2" x14ac:dyDescent="0.3">
      <c r="A1382" t="s">
        <v>5371</v>
      </c>
      <c r="B1382" t="s">
        <v>5449</v>
      </c>
      <c r="C1382" s="90" t="s">
        <v>5450</v>
      </c>
      <c r="E1382" t="s">
        <v>5562</v>
      </c>
      <c r="F1382" s="91" t="s">
        <v>5450</v>
      </c>
      <c r="H1382" t="str">
        <f t="shared" si="79"/>
        <v>unknown</v>
      </c>
      <c r="K1382" t="str">
        <f t="shared" si="80"/>
        <v>scale</v>
      </c>
    </row>
    <row r="1383" spans="1:11" ht="302.39999999999998" x14ac:dyDescent="0.3">
      <c r="A1383" t="s">
        <v>5371</v>
      </c>
      <c r="B1383" t="s">
        <v>5451</v>
      </c>
      <c r="C1383" s="90" t="s">
        <v>5452</v>
      </c>
      <c r="E1383" t="s">
        <v>5562</v>
      </c>
      <c r="F1383" s="91" t="s">
        <v>5452</v>
      </c>
      <c r="H1383" t="str">
        <f t="shared" si="79"/>
        <v>unknown</v>
      </c>
      <c r="K1383" t="str">
        <f t="shared" si="80"/>
        <v>scale</v>
      </c>
    </row>
    <row r="1384" spans="1:11" ht="100.8" x14ac:dyDescent="0.3">
      <c r="A1384" t="s">
        <v>5371</v>
      </c>
      <c r="B1384" t="s">
        <v>5453</v>
      </c>
      <c r="C1384" s="90" t="s">
        <v>5454</v>
      </c>
      <c r="E1384" t="s">
        <v>5562</v>
      </c>
      <c r="F1384" s="91" t="s">
        <v>5454</v>
      </c>
      <c r="H1384" t="str">
        <f t="shared" si="79"/>
        <v>unknown</v>
      </c>
      <c r="K1384" t="str">
        <f t="shared" si="80"/>
        <v>scale</v>
      </c>
    </row>
    <row r="1385" spans="1:11" ht="115.2" x14ac:dyDescent="0.3">
      <c r="A1385" t="s">
        <v>5371</v>
      </c>
      <c r="B1385" t="s">
        <v>5455</v>
      </c>
      <c r="C1385" s="90" t="s">
        <v>5456</v>
      </c>
      <c r="E1385" t="s">
        <v>5562</v>
      </c>
      <c r="F1385" s="91" t="s">
        <v>5456</v>
      </c>
      <c r="H1385" t="str">
        <f t="shared" si="79"/>
        <v>unknown</v>
      </c>
      <c r="K1385" t="str">
        <f t="shared" si="80"/>
        <v>scale</v>
      </c>
    </row>
    <row r="1386" spans="1:11" ht="115.2" x14ac:dyDescent="0.3">
      <c r="A1386" t="s">
        <v>5371</v>
      </c>
      <c r="B1386" t="s">
        <v>5457</v>
      </c>
      <c r="C1386" s="90" t="s">
        <v>5458</v>
      </c>
      <c r="E1386" t="s">
        <v>5562</v>
      </c>
      <c r="F1386" s="91" t="s">
        <v>5458</v>
      </c>
      <c r="H1386" t="str">
        <f t="shared" si="79"/>
        <v>unknown</v>
      </c>
      <c r="K1386" t="str">
        <f t="shared" si="80"/>
        <v>scale</v>
      </c>
    </row>
    <row r="1387" spans="1:11" ht="115.2" x14ac:dyDescent="0.3">
      <c r="A1387" t="s">
        <v>5371</v>
      </c>
      <c r="B1387" t="s">
        <v>5459</v>
      </c>
      <c r="C1387" s="90" t="s">
        <v>5460</v>
      </c>
      <c r="E1387" t="s">
        <v>5562</v>
      </c>
      <c r="F1387" s="91" t="s">
        <v>5460</v>
      </c>
      <c r="H1387" t="str">
        <f t="shared" si="79"/>
        <v>unknown</v>
      </c>
      <c r="K1387" t="str">
        <f t="shared" si="80"/>
        <v>scale</v>
      </c>
    </row>
    <row r="1388" spans="1:11" ht="129.6" x14ac:dyDescent="0.3">
      <c r="A1388" t="s">
        <v>5371</v>
      </c>
      <c r="B1388" t="s">
        <v>5461</v>
      </c>
      <c r="C1388" s="90" t="s">
        <v>5462</v>
      </c>
      <c r="E1388" t="s">
        <v>5562</v>
      </c>
      <c r="F1388" s="91" t="s">
        <v>5462</v>
      </c>
      <c r="H1388" t="str">
        <f t="shared" si="79"/>
        <v>unknown</v>
      </c>
      <c r="K1388" t="str">
        <f t="shared" si="80"/>
        <v>scale</v>
      </c>
    </row>
    <row r="1389" spans="1:11" ht="129.6" x14ac:dyDescent="0.3">
      <c r="A1389" t="s">
        <v>5371</v>
      </c>
      <c r="B1389" t="s">
        <v>5463</v>
      </c>
      <c r="C1389" s="90" t="s">
        <v>5462</v>
      </c>
      <c r="E1389" t="s">
        <v>5562</v>
      </c>
      <c r="F1389" s="91" t="s">
        <v>5462</v>
      </c>
      <c r="H1389" t="str">
        <f t="shared" si="79"/>
        <v>unknown</v>
      </c>
      <c r="K1389" t="str">
        <f t="shared" si="80"/>
        <v>scale</v>
      </c>
    </row>
    <row r="1390" spans="1:11" ht="129.6" x14ac:dyDescent="0.3">
      <c r="A1390" t="s">
        <v>5371</v>
      </c>
      <c r="B1390" t="s">
        <v>5464</v>
      </c>
      <c r="C1390" s="90" t="s">
        <v>5462</v>
      </c>
      <c r="E1390" t="s">
        <v>5562</v>
      </c>
      <c r="F1390" s="91" t="s">
        <v>5462</v>
      </c>
      <c r="H1390" t="str">
        <f t="shared" si="79"/>
        <v>unknown</v>
      </c>
      <c r="K1390" t="str">
        <f t="shared" si="80"/>
        <v>scale</v>
      </c>
    </row>
    <row r="1391" spans="1:11" ht="43.2" x14ac:dyDescent="0.3">
      <c r="A1391" t="s">
        <v>5371</v>
      </c>
      <c r="B1391" t="s">
        <v>4777</v>
      </c>
      <c r="C1391" s="90" t="s">
        <v>3442</v>
      </c>
      <c r="E1391" t="s">
        <v>5562</v>
      </c>
      <c r="F1391" s="91" t="s">
        <v>3442</v>
      </c>
      <c r="H1391" t="str">
        <f t="shared" si="79"/>
        <v>unknown</v>
      </c>
      <c r="K1391" t="str">
        <f t="shared" si="80"/>
        <v>scale</v>
      </c>
    </row>
    <row r="1392" spans="1:11" ht="72" x14ac:dyDescent="0.3">
      <c r="A1392" t="s">
        <v>5371</v>
      </c>
      <c r="B1392" t="s">
        <v>5335</v>
      </c>
      <c r="C1392" s="90" t="s">
        <v>5465</v>
      </c>
      <c r="E1392" t="s">
        <v>5562</v>
      </c>
      <c r="F1392" s="91" t="s">
        <v>5465</v>
      </c>
      <c r="H1392" t="str">
        <f t="shared" si="79"/>
        <v>unknown</v>
      </c>
      <c r="K1392" t="str">
        <f t="shared" si="80"/>
        <v>scale</v>
      </c>
    </row>
    <row r="1393" spans="1:11" ht="144" x14ac:dyDescent="0.3">
      <c r="A1393" t="s">
        <v>5371</v>
      </c>
      <c r="B1393" t="s">
        <v>4708</v>
      </c>
      <c r="C1393" s="90" t="s">
        <v>5466</v>
      </c>
      <c r="E1393" t="s">
        <v>5562</v>
      </c>
      <c r="F1393" s="91" t="s">
        <v>5466</v>
      </c>
      <c r="H1393" t="str">
        <f t="shared" si="79"/>
        <v>unknown</v>
      </c>
      <c r="K1393" t="str">
        <f t="shared" si="80"/>
        <v>scale</v>
      </c>
    </row>
    <row r="1394" spans="1:11" ht="100.8" x14ac:dyDescent="0.3">
      <c r="A1394" t="s">
        <v>5371</v>
      </c>
      <c r="B1394" t="s">
        <v>5467</v>
      </c>
      <c r="C1394" s="90" t="s">
        <v>5454</v>
      </c>
      <c r="E1394" t="s">
        <v>5562</v>
      </c>
      <c r="F1394" s="91" t="s">
        <v>5454</v>
      </c>
      <c r="H1394" t="str">
        <f t="shared" si="79"/>
        <v>unknown</v>
      </c>
      <c r="K1394" t="str">
        <f t="shared" si="80"/>
        <v>scale</v>
      </c>
    </row>
    <row r="1395" spans="1:11" ht="316.8" x14ac:dyDescent="0.3">
      <c r="A1395" t="s">
        <v>5371</v>
      </c>
      <c r="B1395" t="s">
        <v>4114</v>
      </c>
      <c r="C1395" s="90" t="s">
        <v>5468</v>
      </c>
      <c r="E1395" t="s">
        <v>5562</v>
      </c>
      <c r="F1395" s="91" t="s">
        <v>5468</v>
      </c>
      <c r="H1395" t="str">
        <f t="shared" si="79"/>
        <v>unknown</v>
      </c>
      <c r="K1395" t="str">
        <f t="shared" si="80"/>
        <v>scale</v>
      </c>
    </row>
    <row r="1396" spans="1:11" ht="43.2" x14ac:dyDescent="0.3">
      <c r="A1396" t="s">
        <v>5371</v>
      </c>
      <c r="B1396" t="s">
        <v>5469</v>
      </c>
      <c r="C1396" s="90" t="s">
        <v>3383</v>
      </c>
      <c r="E1396" t="s">
        <v>5562</v>
      </c>
      <c r="F1396" s="91" t="s">
        <v>3383</v>
      </c>
      <c r="H1396" t="str">
        <f t="shared" si="79"/>
        <v>unknown</v>
      </c>
      <c r="K1396" t="str">
        <f t="shared" si="80"/>
        <v>scale</v>
      </c>
    </row>
    <row r="1397" spans="1:11" ht="129.6" x14ac:dyDescent="0.3">
      <c r="A1397" t="s">
        <v>5371</v>
      </c>
      <c r="B1397" t="s">
        <v>3533</v>
      </c>
      <c r="C1397" s="90" t="s">
        <v>5470</v>
      </c>
      <c r="E1397" t="s">
        <v>5562</v>
      </c>
      <c r="F1397" s="91" t="s">
        <v>5470</v>
      </c>
      <c r="H1397" t="str">
        <f t="shared" si="79"/>
        <v>unknown</v>
      </c>
      <c r="K1397" t="str">
        <f t="shared" si="80"/>
        <v>scale</v>
      </c>
    </row>
    <row r="1398" spans="1:11" ht="201.6" x14ac:dyDescent="0.3">
      <c r="A1398" t="s">
        <v>5371</v>
      </c>
      <c r="B1398" t="s">
        <v>5471</v>
      </c>
      <c r="C1398" s="90" t="s">
        <v>5472</v>
      </c>
      <c r="E1398" t="s">
        <v>5562</v>
      </c>
      <c r="F1398" s="91" t="s">
        <v>5472</v>
      </c>
      <c r="H1398" t="str">
        <f t="shared" si="79"/>
        <v>unknown</v>
      </c>
      <c r="K1398" t="str">
        <f t="shared" si="80"/>
        <v>scale</v>
      </c>
    </row>
    <row r="1399" spans="1:11" ht="187.2" x14ac:dyDescent="0.3">
      <c r="A1399" t="s">
        <v>5371</v>
      </c>
      <c r="B1399" t="s">
        <v>5473</v>
      </c>
      <c r="C1399" s="90" t="s">
        <v>5444</v>
      </c>
      <c r="E1399" t="s">
        <v>5562</v>
      </c>
      <c r="F1399" s="91" t="s">
        <v>5444</v>
      </c>
      <c r="H1399" t="str">
        <f t="shared" si="79"/>
        <v>unknown</v>
      </c>
      <c r="K1399" t="str">
        <f t="shared" si="80"/>
        <v>scale</v>
      </c>
    </row>
    <row r="1400" spans="1:11" ht="115.2" x14ac:dyDescent="0.3">
      <c r="A1400" t="s">
        <v>5371</v>
      </c>
      <c r="B1400" t="s">
        <v>3537</v>
      </c>
      <c r="C1400" s="90" t="s">
        <v>5474</v>
      </c>
      <c r="E1400" t="s">
        <v>5562</v>
      </c>
      <c r="F1400" s="91" t="s">
        <v>5474</v>
      </c>
      <c r="H1400" t="str">
        <f t="shared" si="79"/>
        <v>unknown</v>
      </c>
      <c r="K1400" t="str">
        <f t="shared" si="80"/>
        <v>scale</v>
      </c>
    </row>
    <row r="1401" spans="1:11" ht="115.2" x14ac:dyDescent="0.3">
      <c r="A1401" t="s">
        <v>5371</v>
      </c>
      <c r="B1401" t="s">
        <v>5475</v>
      </c>
      <c r="C1401" s="90" t="s">
        <v>5476</v>
      </c>
      <c r="E1401" t="s">
        <v>5562</v>
      </c>
      <c r="F1401" s="91" t="s">
        <v>5476</v>
      </c>
      <c r="H1401" t="str">
        <f t="shared" si="79"/>
        <v>unknown</v>
      </c>
      <c r="K1401" t="str">
        <f t="shared" si="80"/>
        <v>scale</v>
      </c>
    </row>
    <row r="1402" spans="1:11" ht="201.6" x14ac:dyDescent="0.3">
      <c r="A1402" t="s">
        <v>5371</v>
      </c>
      <c r="B1402" t="s">
        <v>5477</v>
      </c>
      <c r="C1402" s="90" t="s">
        <v>5478</v>
      </c>
      <c r="E1402" t="s">
        <v>5562</v>
      </c>
      <c r="F1402" s="91" t="s">
        <v>5478</v>
      </c>
      <c r="H1402" t="str">
        <f t="shared" si="79"/>
        <v>unknown</v>
      </c>
      <c r="K1402" t="str">
        <f t="shared" si="80"/>
        <v>scale</v>
      </c>
    </row>
    <row r="1403" spans="1:11" ht="201.6" x14ac:dyDescent="0.3">
      <c r="A1403" t="s">
        <v>5371</v>
      </c>
      <c r="B1403" t="s">
        <v>5479</v>
      </c>
      <c r="C1403" s="90" t="s">
        <v>5478</v>
      </c>
      <c r="E1403" t="s">
        <v>5562</v>
      </c>
      <c r="F1403" s="91" t="s">
        <v>5478</v>
      </c>
      <c r="H1403" t="str">
        <f t="shared" si="79"/>
        <v>unknown</v>
      </c>
      <c r="K1403" t="str">
        <f t="shared" si="80"/>
        <v>scale</v>
      </c>
    </row>
    <row r="1404" spans="1:11" ht="28.8" x14ac:dyDescent="0.3">
      <c r="A1404" t="s">
        <v>5371</v>
      </c>
      <c r="B1404" t="s">
        <v>5480</v>
      </c>
      <c r="C1404" s="90" t="s">
        <v>5481</v>
      </c>
      <c r="D1404" t="s">
        <v>5561</v>
      </c>
      <c r="E1404" t="s">
        <v>5560</v>
      </c>
      <c r="F1404" s="91"/>
      <c r="G1404" t="str">
        <f>IF(EXACT($F1404, $Q$1), "sector", "unknown")</f>
        <v>unknown</v>
      </c>
      <c r="H1404" t="str">
        <f t="shared" si="79"/>
        <v>unknown</v>
      </c>
      <c r="I1404" t="s">
        <v>5670</v>
      </c>
      <c r="K1404" t="str">
        <f t="shared" si="80"/>
        <v>blank</v>
      </c>
    </row>
    <row r="1405" spans="1:11" ht="129.6" x14ac:dyDescent="0.3">
      <c r="A1405" t="s">
        <v>5371</v>
      </c>
      <c r="B1405" t="s">
        <v>5482</v>
      </c>
      <c r="C1405" s="90" t="s">
        <v>5483</v>
      </c>
      <c r="E1405" t="s">
        <v>5562</v>
      </c>
      <c r="F1405" s="91" t="s">
        <v>5483</v>
      </c>
      <c r="H1405" t="str">
        <f t="shared" si="79"/>
        <v>unknown</v>
      </c>
      <c r="K1405" t="str">
        <f t="shared" si="80"/>
        <v>scale</v>
      </c>
    </row>
    <row r="1406" spans="1:11" ht="100.8" x14ac:dyDescent="0.3">
      <c r="A1406" t="s">
        <v>5371</v>
      </c>
      <c r="B1406" t="s">
        <v>4923</v>
      </c>
      <c r="C1406" s="90" t="s">
        <v>3841</v>
      </c>
      <c r="E1406" t="s">
        <v>5562</v>
      </c>
      <c r="F1406" s="91" t="s">
        <v>3841</v>
      </c>
      <c r="H1406" t="str">
        <f t="shared" si="79"/>
        <v>unknown</v>
      </c>
      <c r="K1406" t="str">
        <f t="shared" si="80"/>
        <v>scale</v>
      </c>
    </row>
    <row r="1407" spans="1:11" ht="100.8" x14ac:dyDescent="0.3">
      <c r="A1407" t="s">
        <v>5371</v>
      </c>
      <c r="B1407" t="s">
        <v>4925</v>
      </c>
      <c r="C1407" s="90" t="s">
        <v>3841</v>
      </c>
      <c r="E1407" t="s">
        <v>5562</v>
      </c>
      <c r="F1407" s="91" t="s">
        <v>3841</v>
      </c>
      <c r="H1407" t="str">
        <f t="shared" si="79"/>
        <v>unknown</v>
      </c>
      <c r="K1407" t="str">
        <f t="shared" si="80"/>
        <v>scale</v>
      </c>
    </row>
    <row r="1408" spans="1:11" ht="86.4" x14ac:dyDescent="0.3">
      <c r="A1408" t="s">
        <v>5484</v>
      </c>
      <c r="B1408" t="s">
        <v>3562</v>
      </c>
      <c r="C1408" s="90" t="s">
        <v>5485</v>
      </c>
      <c r="E1408" t="s">
        <v>5562</v>
      </c>
      <c r="F1408" s="91" t="s">
        <v>5485</v>
      </c>
      <c r="H1408" t="str">
        <f t="shared" si="79"/>
        <v>unknown</v>
      </c>
      <c r="K1408" t="str">
        <f t="shared" si="80"/>
        <v>scale</v>
      </c>
    </row>
    <row r="1409" spans="1:11" ht="100.8" x14ac:dyDescent="0.3">
      <c r="A1409" t="s">
        <v>5484</v>
      </c>
      <c r="B1409" t="s">
        <v>3774</v>
      </c>
      <c r="C1409" s="90" t="s">
        <v>5486</v>
      </c>
      <c r="E1409" t="s">
        <v>5562</v>
      </c>
      <c r="F1409" s="91" t="s">
        <v>5486</v>
      </c>
      <c r="H1409" t="str">
        <f t="shared" si="79"/>
        <v>unknown</v>
      </c>
      <c r="K1409" t="str">
        <f t="shared" si="80"/>
        <v>scale</v>
      </c>
    </row>
    <row r="1410" spans="1:11" ht="100.8" x14ac:dyDescent="0.3">
      <c r="A1410" t="s">
        <v>5484</v>
      </c>
      <c r="B1410" t="s">
        <v>3575</v>
      </c>
      <c r="C1410" s="90" t="s">
        <v>5487</v>
      </c>
      <c r="E1410" t="s">
        <v>5562</v>
      </c>
      <c r="F1410" s="91" t="s">
        <v>5487</v>
      </c>
      <c r="H1410" t="str">
        <f t="shared" ref="H1410:H1472" si="81">IF(EXACT(F1410,$W$1), "open", IF(EXACT(F1410,$X$1), "open", "unknown"))</f>
        <v>unknown</v>
      </c>
      <c r="K1410" t="str">
        <f t="shared" ref="K1410:K1472" si="82">IF(AND(E1410&lt;&gt;"", E1410&lt;&gt;"unknown"), E1410,
   IF(AND(G1410&lt;&gt;"", G1410&lt;&gt;"unknown"), G1410,
   IF(AND(H1410&lt;&gt;"", H1410&lt;&gt;"unknown"), H1410,
   IF(I1410&lt;&gt;"", I1410, "ERROR"))))</f>
        <v>scale</v>
      </c>
    </row>
    <row r="1411" spans="1:11" ht="86.4" x14ac:dyDescent="0.3">
      <c r="A1411" t="s">
        <v>5484</v>
      </c>
      <c r="B1411" t="s">
        <v>5376</v>
      </c>
      <c r="C1411" s="90" t="s">
        <v>5488</v>
      </c>
      <c r="E1411" t="s">
        <v>5562</v>
      </c>
      <c r="F1411" s="91" t="s">
        <v>5488</v>
      </c>
      <c r="H1411" t="str">
        <f t="shared" si="81"/>
        <v>unknown</v>
      </c>
      <c r="K1411" t="str">
        <f t="shared" si="82"/>
        <v>scale</v>
      </c>
    </row>
    <row r="1412" spans="1:11" ht="72" x14ac:dyDescent="0.3">
      <c r="A1412" t="s">
        <v>5484</v>
      </c>
      <c r="B1412" t="s">
        <v>4803</v>
      </c>
      <c r="C1412" s="90" t="s">
        <v>5489</v>
      </c>
      <c r="E1412" t="s">
        <v>5562</v>
      </c>
      <c r="F1412" s="91" t="s">
        <v>5489</v>
      </c>
      <c r="H1412" t="str">
        <f t="shared" si="81"/>
        <v>unknown</v>
      </c>
      <c r="K1412" t="str">
        <f t="shared" si="82"/>
        <v>scale</v>
      </c>
    </row>
    <row r="1413" spans="1:11" ht="129.6" x14ac:dyDescent="0.3">
      <c r="A1413" t="s">
        <v>5484</v>
      </c>
      <c r="B1413" t="s">
        <v>4987</v>
      </c>
      <c r="C1413" s="90" t="s">
        <v>5490</v>
      </c>
      <c r="E1413" t="s">
        <v>5562</v>
      </c>
      <c r="F1413" s="91" t="s">
        <v>5490</v>
      </c>
      <c r="H1413" t="str">
        <f t="shared" si="81"/>
        <v>unknown</v>
      </c>
      <c r="K1413" t="str">
        <f t="shared" si="82"/>
        <v>scale</v>
      </c>
    </row>
    <row r="1414" spans="1:11" ht="144" x14ac:dyDescent="0.3">
      <c r="A1414" t="s">
        <v>5484</v>
      </c>
      <c r="B1414" t="s">
        <v>3958</v>
      </c>
      <c r="C1414" s="90" t="s">
        <v>5491</v>
      </c>
      <c r="E1414" t="s">
        <v>5562</v>
      </c>
      <c r="F1414" s="91" t="s">
        <v>5491</v>
      </c>
      <c r="H1414" t="str">
        <f t="shared" si="81"/>
        <v>unknown</v>
      </c>
      <c r="K1414" t="str">
        <f t="shared" si="82"/>
        <v>scale</v>
      </c>
    </row>
    <row r="1415" spans="1:11" ht="72" x14ac:dyDescent="0.3">
      <c r="A1415" t="s">
        <v>5484</v>
      </c>
      <c r="B1415" t="s">
        <v>5492</v>
      </c>
      <c r="C1415" s="90" t="s">
        <v>5493</v>
      </c>
      <c r="E1415" t="s">
        <v>5562</v>
      </c>
      <c r="F1415" s="91" t="s">
        <v>5493</v>
      </c>
      <c r="H1415" t="str">
        <f t="shared" si="81"/>
        <v>unknown</v>
      </c>
      <c r="K1415" t="str">
        <f t="shared" si="82"/>
        <v>scale</v>
      </c>
    </row>
    <row r="1416" spans="1:11" ht="187.2" x14ac:dyDescent="0.3">
      <c r="A1416" t="s">
        <v>5484</v>
      </c>
      <c r="B1416" t="s">
        <v>3788</v>
      </c>
      <c r="C1416" s="90" t="s">
        <v>5494</v>
      </c>
      <c r="E1416" t="s">
        <v>5562</v>
      </c>
      <c r="F1416" s="91" t="s">
        <v>5494</v>
      </c>
      <c r="H1416" t="str">
        <f t="shared" si="81"/>
        <v>unknown</v>
      </c>
      <c r="K1416" t="str">
        <f t="shared" si="82"/>
        <v>scale</v>
      </c>
    </row>
    <row r="1417" spans="1:11" ht="86.4" x14ac:dyDescent="0.3">
      <c r="A1417" t="s">
        <v>5484</v>
      </c>
      <c r="B1417" t="s">
        <v>3790</v>
      </c>
      <c r="C1417" s="90" t="s">
        <v>5053</v>
      </c>
      <c r="E1417" t="s">
        <v>5562</v>
      </c>
      <c r="F1417" s="91" t="s">
        <v>5053</v>
      </c>
      <c r="H1417" t="str">
        <f t="shared" si="81"/>
        <v>unknown</v>
      </c>
      <c r="K1417" t="str">
        <f t="shared" si="82"/>
        <v>scale</v>
      </c>
    </row>
    <row r="1418" spans="1:11" ht="86.4" x14ac:dyDescent="0.3">
      <c r="A1418" t="s">
        <v>5484</v>
      </c>
      <c r="B1418" t="s">
        <v>4997</v>
      </c>
      <c r="C1418" s="90" t="s">
        <v>5495</v>
      </c>
      <c r="E1418" t="s">
        <v>5562</v>
      </c>
      <c r="F1418" s="91" t="s">
        <v>5495</v>
      </c>
      <c r="H1418" t="str">
        <f t="shared" si="81"/>
        <v>unknown</v>
      </c>
      <c r="K1418" t="str">
        <f t="shared" si="82"/>
        <v>scale</v>
      </c>
    </row>
    <row r="1419" spans="1:11" ht="86.4" x14ac:dyDescent="0.3">
      <c r="A1419" t="s">
        <v>5484</v>
      </c>
      <c r="B1419" t="s">
        <v>5496</v>
      </c>
      <c r="C1419" s="90" t="s">
        <v>5053</v>
      </c>
      <c r="E1419" t="s">
        <v>5562</v>
      </c>
      <c r="F1419" s="91" t="s">
        <v>5053</v>
      </c>
      <c r="H1419" t="str">
        <f t="shared" si="81"/>
        <v>unknown</v>
      </c>
      <c r="K1419" t="str">
        <f t="shared" si="82"/>
        <v>scale</v>
      </c>
    </row>
    <row r="1420" spans="1:11" ht="86.4" x14ac:dyDescent="0.3">
      <c r="A1420" t="s">
        <v>5484</v>
      </c>
      <c r="B1420" t="s">
        <v>5497</v>
      </c>
      <c r="C1420" s="90" t="s">
        <v>5053</v>
      </c>
      <c r="E1420" t="s">
        <v>5562</v>
      </c>
      <c r="F1420" s="91" t="s">
        <v>5053</v>
      </c>
      <c r="H1420" t="str">
        <f t="shared" si="81"/>
        <v>unknown</v>
      </c>
      <c r="K1420" t="str">
        <f t="shared" si="82"/>
        <v>scale</v>
      </c>
    </row>
    <row r="1421" spans="1:11" ht="115.2" x14ac:dyDescent="0.3">
      <c r="A1421" t="s">
        <v>2565</v>
      </c>
      <c r="B1421" t="s">
        <v>3849</v>
      </c>
      <c r="C1421" s="90" t="s">
        <v>5498</v>
      </c>
      <c r="E1421" t="s">
        <v>5562</v>
      </c>
      <c r="F1421" s="91" t="s">
        <v>5498</v>
      </c>
      <c r="H1421" t="str">
        <f t="shared" si="81"/>
        <v>unknown</v>
      </c>
      <c r="K1421" t="str">
        <f t="shared" si="82"/>
        <v>scale</v>
      </c>
    </row>
    <row r="1422" spans="1:11" ht="100.8" x14ac:dyDescent="0.3">
      <c r="A1422" t="s">
        <v>2565</v>
      </c>
      <c r="B1422" t="s">
        <v>3852</v>
      </c>
      <c r="C1422" s="90" t="s">
        <v>4024</v>
      </c>
      <c r="E1422" t="s">
        <v>5562</v>
      </c>
      <c r="F1422" s="91" t="s">
        <v>4024</v>
      </c>
      <c r="H1422" t="str">
        <f t="shared" si="81"/>
        <v>unknown</v>
      </c>
      <c r="K1422" t="str">
        <f t="shared" si="82"/>
        <v>scale</v>
      </c>
    </row>
    <row r="1423" spans="1:11" ht="100.8" x14ac:dyDescent="0.3">
      <c r="A1423" t="s">
        <v>2565</v>
      </c>
      <c r="B1423" t="s">
        <v>5499</v>
      </c>
      <c r="C1423" s="90" t="s">
        <v>5157</v>
      </c>
      <c r="E1423" t="s">
        <v>5562</v>
      </c>
      <c r="F1423" s="91" t="s">
        <v>5157</v>
      </c>
      <c r="H1423" t="str">
        <f t="shared" si="81"/>
        <v>unknown</v>
      </c>
      <c r="K1423" t="str">
        <f t="shared" si="82"/>
        <v>scale</v>
      </c>
    </row>
    <row r="1424" spans="1:11" ht="144" x14ac:dyDescent="0.3">
      <c r="A1424" t="s">
        <v>2565</v>
      </c>
      <c r="B1424" t="s">
        <v>5500</v>
      </c>
      <c r="C1424" s="90" t="s">
        <v>5501</v>
      </c>
      <c r="E1424" t="s">
        <v>5562</v>
      </c>
      <c r="F1424" s="91" t="s">
        <v>5501</v>
      </c>
      <c r="H1424" t="str">
        <f t="shared" si="81"/>
        <v>unknown</v>
      </c>
      <c r="K1424" t="str">
        <f t="shared" si="82"/>
        <v>scale</v>
      </c>
    </row>
    <row r="1425" spans="1:11" ht="100.8" x14ac:dyDescent="0.3">
      <c r="A1425" t="s">
        <v>2565</v>
      </c>
      <c r="B1425" t="s">
        <v>4726</v>
      </c>
      <c r="C1425" s="90" t="s">
        <v>5502</v>
      </c>
      <c r="E1425" t="s">
        <v>5562</v>
      </c>
      <c r="F1425" s="91" t="s">
        <v>5502</v>
      </c>
      <c r="H1425" t="str">
        <f t="shared" si="81"/>
        <v>unknown</v>
      </c>
      <c r="K1425" t="str">
        <f t="shared" si="82"/>
        <v>scale</v>
      </c>
    </row>
    <row r="1426" spans="1:11" ht="158.4" x14ac:dyDescent="0.3">
      <c r="A1426" t="s">
        <v>5503</v>
      </c>
      <c r="B1426" t="s">
        <v>4938</v>
      </c>
      <c r="C1426" s="90" t="s">
        <v>5504</v>
      </c>
      <c r="E1426" t="s">
        <v>5562</v>
      </c>
      <c r="F1426" s="91" t="s">
        <v>5504</v>
      </c>
      <c r="H1426" t="str">
        <f t="shared" si="81"/>
        <v>unknown</v>
      </c>
      <c r="K1426" t="str">
        <f t="shared" si="82"/>
        <v>scale</v>
      </c>
    </row>
    <row r="1427" spans="1:11" ht="86.4" x14ac:dyDescent="0.3">
      <c r="A1427" t="s">
        <v>5503</v>
      </c>
      <c r="B1427" t="s">
        <v>3562</v>
      </c>
      <c r="C1427" s="90" t="s">
        <v>5505</v>
      </c>
      <c r="E1427" t="s">
        <v>5562</v>
      </c>
      <c r="F1427" s="91" t="s">
        <v>5505</v>
      </c>
      <c r="H1427" t="str">
        <f t="shared" si="81"/>
        <v>unknown</v>
      </c>
      <c r="K1427" t="str">
        <f t="shared" si="82"/>
        <v>scale</v>
      </c>
    </row>
    <row r="1428" spans="1:11" ht="374.4" x14ac:dyDescent="0.3">
      <c r="A1428" t="s">
        <v>5503</v>
      </c>
      <c r="B1428" t="s">
        <v>5506</v>
      </c>
      <c r="C1428" s="90" t="s">
        <v>5507</v>
      </c>
      <c r="E1428" t="s">
        <v>5562</v>
      </c>
      <c r="F1428" s="91" t="s">
        <v>5507</v>
      </c>
      <c r="H1428" t="str">
        <f t="shared" si="81"/>
        <v>unknown</v>
      </c>
      <c r="K1428" t="str">
        <f t="shared" si="82"/>
        <v>scale</v>
      </c>
    </row>
    <row r="1429" spans="1:11" ht="345.6" x14ac:dyDescent="0.3">
      <c r="A1429" t="s">
        <v>5503</v>
      </c>
      <c r="B1429" t="s">
        <v>5508</v>
      </c>
      <c r="C1429" s="90" t="s">
        <v>5509</v>
      </c>
      <c r="E1429" t="s">
        <v>5562</v>
      </c>
      <c r="F1429" s="91" t="s">
        <v>5509</v>
      </c>
      <c r="H1429" t="str">
        <f t="shared" si="81"/>
        <v>unknown</v>
      </c>
      <c r="K1429" t="str">
        <f t="shared" si="82"/>
        <v>scale</v>
      </c>
    </row>
    <row r="1430" spans="1:11" ht="115.2" x14ac:dyDescent="0.3">
      <c r="A1430" t="s">
        <v>5503</v>
      </c>
      <c r="B1430" t="s">
        <v>3599</v>
      </c>
      <c r="C1430" s="90" t="s">
        <v>5510</v>
      </c>
      <c r="E1430" t="s">
        <v>5562</v>
      </c>
      <c r="F1430" s="91" t="s">
        <v>5510</v>
      </c>
      <c r="H1430" t="str">
        <f t="shared" si="81"/>
        <v>unknown</v>
      </c>
      <c r="K1430" t="str">
        <f t="shared" si="82"/>
        <v>scale</v>
      </c>
    </row>
    <row r="1431" spans="1:11" ht="115.2" x14ac:dyDescent="0.3">
      <c r="A1431" t="s">
        <v>5503</v>
      </c>
      <c r="B1431" t="s">
        <v>3330</v>
      </c>
      <c r="C1431" s="90" t="s">
        <v>3636</v>
      </c>
      <c r="E1431" t="s">
        <v>5562</v>
      </c>
      <c r="F1431" s="91" t="s">
        <v>3636</v>
      </c>
      <c r="H1431" t="str">
        <f t="shared" si="81"/>
        <v>unknown</v>
      </c>
      <c r="K1431" t="str">
        <f t="shared" si="82"/>
        <v>scale</v>
      </c>
    </row>
    <row r="1432" spans="1:11" ht="115.2" x14ac:dyDescent="0.3">
      <c r="A1432" t="s">
        <v>5503</v>
      </c>
      <c r="B1432" t="s">
        <v>3332</v>
      </c>
      <c r="C1432" s="90" t="s">
        <v>3636</v>
      </c>
      <c r="E1432" t="s">
        <v>5562</v>
      </c>
      <c r="F1432" s="91" t="s">
        <v>3636</v>
      </c>
      <c r="H1432" t="str">
        <f t="shared" si="81"/>
        <v>unknown</v>
      </c>
      <c r="K1432" t="str">
        <f t="shared" si="82"/>
        <v>scale</v>
      </c>
    </row>
    <row r="1433" spans="1:11" ht="144" x14ac:dyDescent="0.3">
      <c r="A1433" t="s">
        <v>5503</v>
      </c>
      <c r="B1433" t="s">
        <v>3603</v>
      </c>
      <c r="C1433" s="90" t="s">
        <v>5511</v>
      </c>
      <c r="E1433" t="s">
        <v>5562</v>
      </c>
      <c r="F1433" s="91" t="s">
        <v>5511</v>
      </c>
      <c r="H1433" t="str">
        <f t="shared" si="81"/>
        <v>unknown</v>
      </c>
      <c r="K1433" t="str">
        <f t="shared" si="82"/>
        <v>scale</v>
      </c>
    </row>
    <row r="1434" spans="1:11" ht="144" x14ac:dyDescent="0.3">
      <c r="A1434" t="s">
        <v>5503</v>
      </c>
      <c r="B1434" t="s">
        <v>3341</v>
      </c>
      <c r="C1434" s="90" t="s">
        <v>5512</v>
      </c>
      <c r="E1434" t="s">
        <v>5562</v>
      </c>
      <c r="F1434" s="91" t="s">
        <v>5512</v>
      </c>
      <c r="H1434" t="str">
        <f t="shared" si="81"/>
        <v>unknown</v>
      </c>
      <c r="K1434" t="str">
        <f t="shared" si="82"/>
        <v>scale</v>
      </c>
    </row>
    <row r="1435" spans="1:11" ht="115.2" x14ac:dyDescent="0.3">
      <c r="A1435" t="s">
        <v>5503</v>
      </c>
      <c r="B1435" t="s">
        <v>5513</v>
      </c>
      <c r="C1435" s="90" t="s">
        <v>3877</v>
      </c>
      <c r="E1435" t="s">
        <v>5562</v>
      </c>
      <c r="F1435" s="91" t="s">
        <v>3877</v>
      </c>
      <c r="H1435" t="str">
        <f t="shared" si="81"/>
        <v>unknown</v>
      </c>
      <c r="K1435" t="str">
        <f t="shared" si="82"/>
        <v>scale</v>
      </c>
    </row>
    <row r="1436" spans="1:11" ht="115.2" x14ac:dyDescent="0.3">
      <c r="A1436" t="s">
        <v>5503</v>
      </c>
      <c r="B1436" t="s">
        <v>5514</v>
      </c>
      <c r="C1436" s="90" t="s">
        <v>5304</v>
      </c>
      <c r="E1436" t="s">
        <v>5562</v>
      </c>
      <c r="F1436" s="91" t="s">
        <v>5304</v>
      </c>
      <c r="H1436" t="str">
        <f t="shared" si="81"/>
        <v>unknown</v>
      </c>
      <c r="K1436" t="str">
        <f t="shared" si="82"/>
        <v>scale</v>
      </c>
    </row>
    <row r="1437" spans="1:11" ht="144" x14ac:dyDescent="0.3">
      <c r="A1437" t="s">
        <v>5503</v>
      </c>
      <c r="B1437" t="s">
        <v>5515</v>
      </c>
      <c r="C1437" s="90" t="s">
        <v>5516</v>
      </c>
      <c r="E1437" t="s">
        <v>5562</v>
      </c>
      <c r="F1437" s="91" t="s">
        <v>5516</v>
      </c>
      <c r="H1437" t="str">
        <f t="shared" si="81"/>
        <v>unknown</v>
      </c>
      <c r="K1437" t="str">
        <f t="shared" si="82"/>
        <v>scale</v>
      </c>
    </row>
    <row r="1438" spans="1:11" ht="129.6" x14ac:dyDescent="0.3">
      <c r="A1438" t="s">
        <v>5503</v>
      </c>
      <c r="B1438" t="s">
        <v>5517</v>
      </c>
      <c r="C1438" s="90" t="s">
        <v>5518</v>
      </c>
      <c r="E1438" t="s">
        <v>5562</v>
      </c>
      <c r="F1438" s="91" t="s">
        <v>5518</v>
      </c>
      <c r="H1438" t="str">
        <f t="shared" si="81"/>
        <v>unknown</v>
      </c>
      <c r="K1438" t="str">
        <f t="shared" si="82"/>
        <v>scale</v>
      </c>
    </row>
    <row r="1439" spans="1:11" ht="43.2" x14ac:dyDescent="0.3">
      <c r="A1439" t="s">
        <v>5503</v>
      </c>
      <c r="B1439" t="s">
        <v>5519</v>
      </c>
      <c r="C1439" s="90" t="s">
        <v>5520</v>
      </c>
      <c r="D1439" t="s">
        <v>5561</v>
      </c>
      <c r="E1439" t="s">
        <v>5560</v>
      </c>
      <c r="F1439" s="92" t="s">
        <v>5655</v>
      </c>
      <c r="G1439" t="str">
        <f>IF(EXACT($F1439, $Q$1), "sector", "unknown")</f>
        <v>unknown</v>
      </c>
      <c r="H1439" t="str">
        <f t="shared" si="81"/>
        <v>unknown</v>
      </c>
      <c r="I1439" t="s">
        <v>5661</v>
      </c>
      <c r="K1439" t="str">
        <f t="shared" si="82"/>
        <v>specialScale</v>
      </c>
    </row>
    <row r="1440" spans="1:11" ht="115.2" x14ac:dyDescent="0.3">
      <c r="A1440" t="s">
        <v>5503</v>
      </c>
      <c r="B1440" t="s">
        <v>3347</v>
      </c>
      <c r="C1440" s="90" t="s">
        <v>5521</v>
      </c>
      <c r="E1440" t="s">
        <v>5562</v>
      </c>
      <c r="F1440" s="91" t="s">
        <v>5521</v>
      </c>
      <c r="H1440" t="str">
        <f t="shared" si="81"/>
        <v>unknown</v>
      </c>
      <c r="K1440" t="str">
        <f t="shared" si="82"/>
        <v>scale</v>
      </c>
    </row>
    <row r="1441" spans="1:11" ht="115.2" x14ac:dyDescent="0.3">
      <c r="A1441" t="s">
        <v>5503</v>
      </c>
      <c r="B1441" t="s">
        <v>5522</v>
      </c>
      <c r="C1441" s="90" t="s">
        <v>4020</v>
      </c>
      <c r="E1441" t="s">
        <v>5562</v>
      </c>
      <c r="F1441" s="91" t="s">
        <v>4020</v>
      </c>
      <c r="H1441" t="str">
        <f t="shared" si="81"/>
        <v>unknown</v>
      </c>
      <c r="K1441" t="str">
        <f t="shared" si="82"/>
        <v>scale</v>
      </c>
    </row>
    <row r="1442" spans="1:11" ht="100.8" x14ac:dyDescent="0.3">
      <c r="A1442" t="s">
        <v>5503</v>
      </c>
      <c r="B1442" t="s">
        <v>3981</v>
      </c>
      <c r="C1442" s="90" t="s">
        <v>5523</v>
      </c>
      <c r="E1442" t="s">
        <v>5562</v>
      </c>
      <c r="F1442" s="91" t="s">
        <v>5523</v>
      </c>
      <c r="H1442" t="str">
        <f t="shared" si="81"/>
        <v>unknown</v>
      </c>
      <c r="K1442" t="str">
        <f t="shared" si="82"/>
        <v>scale</v>
      </c>
    </row>
    <row r="1443" spans="1:11" ht="403.2" x14ac:dyDescent="0.3">
      <c r="A1443" t="s">
        <v>5503</v>
      </c>
      <c r="B1443" t="s">
        <v>4290</v>
      </c>
      <c r="C1443" s="90" t="s">
        <v>5524</v>
      </c>
      <c r="E1443" t="s">
        <v>5562</v>
      </c>
      <c r="F1443" s="91" t="s">
        <v>5524</v>
      </c>
      <c r="H1443" t="str">
        <f t="shared" si="81"/>
        <v>unknown</v>
      </c>
      <c r="K1443" t="str">
        <f t="shared" si="82"/>
        <v>scale</v>
      </c>
    </row>
    <row r="1444" spans="1:11" ht="100.8" x14ac:dyDescent="0.3">
      <c r="A1444" t="s">
        <v>5503</v>
      </c>
      <c r="B1444" t="s">
        <v>5525</v>
      </c>
      <c r="C1444" s="90" t="s">
        <v>5003</v>
      </c>
      <c r="E1444" t="s">
        <v>5562</v>
      </c>
      <c r="F1444" s="91" t="s">
        <v>5003</v>
      </c>
      <c r="H1444" t="str">
        <f t="shared" si="81"/>
        <v>unknown</v>
      </c>
      <c r="K1444" t="str">
        <f t="shared" si="82"/>
        <v>scale</v>
      </c>
    </row>
    <row r="1445" spans="1:11" ht="100.8" x14ac:dyDescent="0.3">
      <c r="A1445" t="s">
        <v>5503</v>
      </c>
      <c r="B1445" t="s">
        <v>3984</v>
      </c>
      <c r="C1445" s="90" t="s">
        <v>5526</v>
      </c>
      <c r="E1445" t="s">
        <v>5562</v>
      </c>
      <c r="F1445" s="91" t="s">
        <v>5526</v>
      </c>
      <c r="H1445" t="str">
        <f t="shared" si="81"/>
        <v>unknown</v>
      </c>
      <c r="K1445" t="str">
        <f t="shared" si="82"/>
        <v>scale</v>
      </c>
    </row>
    <row r="1446" spans="1:11" ht="115.2" x14ac:dyDescent="0.3">
      <c r="A1446" t="s">
        <v>5503</v>
      </c>
      <c r="B1446" t="s">
        <v>5527</v>
      </c>
      <c r="C1446" s="90" t="s">
        <v>4020</v>
      </c>
      <c r="E1446" t="s">
        <v>5562</v>
      </c>
      <c r="F1446" s="91" t="s">
        <v>4020</v>
      </c>
      <c r="H1446" t="str">
        <f t="shared" si="81"/>
        <v>unknown</v>
      </c>
      <c r="K1446" t="str">
        <f t="shared" si="82"/>
        <v>scale</v>
      </c>
    </row>
    <row r="1447" spans="1:11" ht="28.8" x14ac:dyDescent="0.3">
      <c r="A1447" t="s">
        <v>5503</v>
      </c>
      <c r="B1447" t="s">
        <v>5528</v>
      </c>
      <c r="C1447" s="90" t="s">
        <v>3989</v>
      </c>
      <c r="D1447" t="s">
        <v>5561</v>
      </c>
      <c r="E1447" t="s">
        <v>399</v>
      </c>
      <c r="F1447" s="92" t="s">
        <v>5592</v>
      </c>
      <c r="H1447" t="str">
        <f t="shared" si="81"/>
        <v>unknown</v>
      </c>
      <c r="K1447" t="str">
        <f t="shared" si="82"/>
        <v>sector</v>
      </c>
    </row>
    <row r="1448" spans="1:11" ht="86.4" x14ac:dyDescent="0.3">
      <c r="A1448" t="s">
        <v>5503</v>
      </c>
      <c r="B1448" t="s">
        <v>5529</v>
      </c>
      <c r="C1448" s="90" t="s">
        <v>5530</v>
      </c>
      <c r="E1448" t="s">
        <v>5562</v>
      </c>
      <c r="F1448" s="91" t="s">
        <v>5530</v>
      </c>
      <c r="H1448" t="str">
        <f t="shared" si="81"/>
        <v>unknown</v>
      </c>
      <c r="K1448" t="str">
        <f t="shared" si="82"/>
        <v>scale</v>
      </c>
    </row>
    <row r="1449" spans="1:11" ht="129.6" x14ac:dyDescent="0.3">
      <c r="A1449" t="s">
        <v>5503</v>
      </c>
      <c r="B1449" t="s">
        <v>3915</v>
      </c>
      <c r="C1449" s="90" t="s">
        <v>5531</v>
      </c>
      <c r="E1449" t="s">
        <v>5562</v>
      </c>
      <c r="F1449" s="91" t="s">
        <v>5531</v>
      </c>
      <c r="H1449" t="str">
        <f t="shared" si="81"/>
        <v>unknown</v>
      </c>
      <c r="K1449" t="str">
        <f t="shared" si="82"/>
        <v>scale</v>
      </c>
    </row>
    <row r="1450" spans="1:11" ht="43.2" x14ac:dyDescent="0.3">
      <c r="A1450" t="s">
        <v>5503</v>
      </c>
      <c r="B1450" t="s">
        <v>5160</v>
      </c>
      <c r="C1450" s="90" t="s">
        <v>3516</v>
      </c>
      <c r="D1450" t="s">
        <v>5561</v>
      </c>
      <c r="E1450" t="s">
        <v>399</v>
      </c>
      <c r="F1450" s="92" t="s">
        <v>5571</v>
      </c>
      <c r="H1450" t="str">
        <f t="shared" si="81"/>
        <v>unknown</v>
      </c>
      <c r="K1450" t="str">
        <f t="shared" si="82"/>
        <v>sector</v>
      </c>
    </row>
    <row r="1451" spans="1:11" ht="86.4" x14ac:dyDescent="0.3">
      <c r="A1451" t="s">
        <v>5503</v>
      </c>
      <c r="B1451" t="s">
        <v>4644</v>
      </c>
      <c r="C1451" s="90" t="s">
        <v>3925</v>
      </c>
      <c r="E1451" t="s">
        <v>5562</v>
      </c>
      <c r="F1451" s="91" t="s">
        <v>3925</v>
      </c>
      <c r="H1451" t="str">
        <f t="shared" si="81"/>
        <v>unknown</v>
      </c>
      <c r="K1451" t="str">
        <f t="shared" si="82"/>
        <v>scale</v>
      </c>
    </row>
    <row r="1452" spans="1:11" ht="187.2" x14ac:dyDescent="0.3">
      <c r="A1452" t="s">
        <v>5503</v>
      </c>
      <c r="B1452" t="s">
        <v>5532</v>
      </c>
      <c r="C1452" s="90" t="s">
        <v>5533</v>
      </c>
      <c r="E1452" t="s">
        <v>5562</v>
      </c>
      <c r="F1452" s="91" t="s">
        <v>5533</v>
      </c>
      <c r="H1452" t="str">
        <f t="shared" si="81"/>
        <v>unknown</v>
      </c>
      <c r="K1452" t="str">
        <f t="shared" si="82"/>
        <v>scale</v>
      </c>
    </row>
    <row r="1453" spans="1:11" ht="187.2" x14ac:dyDescent="0.3">
      <c r="A1453" t="s">
        <v>5503</v>
      </c>
      <c r="B1453" t="s">
        <v>5534</v>
      </c>
      <c r="C1453" s="90" t="s">
        <v>5533</v>
      </c>
      <c r="E1453" t="s">
        <v>5562</v>
      </c>
      <c r="F1453" s="91" t="s">
        <v>5533</v>
      </c>
      <c r="H1453" t="str">
        <f t="shared" si="81"/>
        <v>unknown</v>
      </c>
      <c r="K1453" t="str">
        <f t="shared" si="82"/>
        <v>scale</v>
      </c>
    </row>
    <row r="1454" spans="1:11" ht="43.2" x14ac:dyDescent="0.3">
      <c r="A1454" t="s">
        <v>5503</v>
      </c>
      <c r="B1454" t="s">
        <v>5535</v>
      </c>
      <c r="C1454" s="90" t="s">
        <v>5536</v>
      </c>
      <c r="E1454" t="s">
        <v>5562</v>
      </c>
      <c r="F1454" s="91" t="s">
        <v>5536</v>
      </c>
      <c r="H1454" t="str">
        <f t="shared" si="81"/>
        <v>unknown</v>
      </c>
      <c r="K1454" t="str">
        <f t="shared" si="82"/>
        <v>scale</v>
      </c>
    </row>
    <row r="1455" spans="1:11" ht="115.2" x14ac:dyDescent="0.3">
      <c r="A1455" t="s">
        <v>5503</v>
      </c>
      <c r="B1455" t="s">
        <v>3916</v>
      </c>
      <c r="C1455" s="90" t="s">
        <v>5537</v>
      </c>
      <c r="E1455" t="s">
        <v>5562</v>
      </c>
      <c r="F1455" s="91" t="s">
        <v>5537</v>
      </c>
      <c r="H1455" t="str">
        <f t="shared" si="81"/>
        <v>unknown</v>
      </c>
      <c r="K1455" t="str">
        <f t="shared" si="82"/>
        <v>scale</v>
      </c>
    </row>
    <row r="1456" spans="1:11" ht="43.2" x14ac:dyDescent="0.3">
      <c r="A1456" t="s">
        <v>5503</v>
      </c>
      <c r="B1456" t="s">
        <v>5538</v>
      </c>
      <c r="C1456" s="90" t="s">
        <v>5536</v>
      </c>
      <c r="E1456" t="s">
        <v>5562</v>
      </c>
      <c r="F1456" s="91" t="s">
        <v>5536</v>
      </c>
      <c r="H1456" t="str">
        <f t="shared" si="81"/>
        <v>unknown</v>
      </c>
      <c r="K1456" t="str">
        <f t="shared" si="82"/>
        <v>scale</v>
      </c>
    </row>
    <row r="1457" spans="1:11" ht="172.8" x14ac:dyDescent="0.3">
      <c r="A1457" t="s">
        <v>5503</v>
      </c>
      <c r="B1457" t="s">
        <v>3988</v>
      </c>
      <c r="C1457" s="90" t="s">
        <v>5539</v>
      </c>
      <c r="E1457" t="s">
        <v>5562</v>
      </c>
      <c r="F1457" s="91" t="s">
        <v>5539</v>
      </c>
      <c r="H1457" t="str">
        <f t="shared" si="81"/>
        <v>unknown</v>
      </c>
      <c r="K1457" t="str">
        <f t="shared" si="82"/>
        <v>scale</v>
      </c>
    </row>
    <row r="1458" spans="1:11" ht="86.4" x14ac:dyDescent="0.3">
      <c r="A1458" t="s">
        <v>5503</v>
      </c>
      <c r="B1458" t="s">
        <v>5540</v>
      </c>
      <c r="C1458" s="90" t="s">
        <v>5541</v>
      </c>
      <c r="E1458" t="s">
        <v>5562</v>
      </c>
      <c r="F1458" s="91" t="s">
        <v>5541</v>
      </c>
      <c r="H1458" t="str">
        <f t="shared" si="81"/>
        <v>unknown</v>
      </c>
      <c r="K1458" t="str">
        <f t="shared" si="82"/>
        <v>scale</v>
      </c>
    </row>
    <row r="1459" spans="1:11" ht="28.8" x14ac:dyDescent="0.3">
      <c r="A1459" t="s">
        <v>5503</v>
      </c>
      <c r="B1459" t="s">
        <v>5542</v>
      </c>
      <c r="C1459" s="90" t="s">
        <v>3348</v>
      </c>
      <c r="D1459" t="s">
        <v>5561</v>
      </c>
      <c r="E1459" t="s">
        <v>5560</v>
      </c>
      <c r="F1459" s="92" t="s">
        <v>5566</v>
      </c>
      <c r="G1459" t="str">
        <f>IF(EXACT($F1459, $Q$1), "sector", "unknown")</f>
        <v>unknown</v>
      </c>
      <c r="H1459" t="str">
        <f t="shared" si="81"/>
        <v>open</v>
      </c>
      <c r="K1459" t="str">
        <f t="shared" si="82"/>
        <v>open</v>
      </c>
    </row>
    <row r="1460" spans="1:11" ht="100.8" x14ac:dyDescent="0.3">
      <c r="A1460" t="s">
        <v>5543</v>
      </c>
      <c r="B1460" t="s">
        <v>3562</v>
      </c>
      <c r="C1460" s="90" t="s">
        <v>5544</v>
      </c>
      <c r="E1460" t="s">
        <v>5562</v>
      </c>
      <c r="F1460" s="91" t="s">
        <v>5544</v>
      </c>
      <c r="H1460" t="str">
        <f t="shared" si="81"/>
        <v>unknown</v>
      </c>
      <c r="K1460" t="str">
        <f t="shared" si="82"/>
        <v>scale</v>
      </c>
    </row>
    <row r="1461" spans="1:11" ht="115.2" x14ac:dyDescent="0.3">
      <c r="A1461" t="s">
        <v>5543</v>
      </c>
      <c r="B1461" t="s">
        <v>3774</v>
      </c>
      <c r="C1461" s="90" t="s">
        <v>5545</v>
      </c>
      <c r="E1461" t="s">
        <v>5562</v>
      </c>
      <c r="F1461" s="91" t="s">
        <v>5545</v>
      </c>
      <c r="H1461" t="str">
        <f t="shared" si="81"/>
        <v>unknown</v>
      </c>
      <c r="K1461" t="str">
        <f t="shared" si="82"/>
        <v>scale</v>
      </c>
    </row>
    <row r="1462" spans="1:11" ht="144" x14ac:dyDescent="0.3">
      <c r="A1462" t="s">
        <v>5543</v>
      </c>
      <c r="B1462" t="s">
        <v>3575</v>
      </c>
      <c r="C1462" s="90" t="s">
        <v>5546</v>
      </c>
      <c r="E1462" t="s">
        <v>5562</v>
      </c>
      <c r="F1462" s="91" t="s">
        <v>5546</v>
      </c>
      <c r="H1462" t="str">
        <f t="shared" si="81"/>
        <v>unknown</v>
      </c>
      <c r="K1462" t="str">
        <f t="shared" si="82"/>
        <v>scale</v>
      </c>
    </row>
    <row r="1463" spans="1:11" ht="259.2" x14ac:dyDescent="0.3">
      <c r="A1463" t="s">
        <v>5543</v>
      </c>
      <c r="B1463" t="s">
        <v>3579</v>
      </c>
      <c r="C1463" s="90" t="s">
        <v>5547</v>
      </c>
      <c r="E1463" t="s">
        <v>5562</v>
      </c>
      <c r="F1463" s="91" t="s">
        <v>5547</v>
      </c>
      <c r="H1463" t="str">
        <f t="shared" si="81"/>
        <v>unknown</v>
      </c>
      <c r="K1463" t="str">
        <f t="shared" si="82"/>
        <v>scale</v>
      </c>
    </row>
    <row r="1464" spans="1:11" ht="115.2" x14ac:dyDescent="0.3">
      <c r="A1464" t="s">
        <v>5543</v>
      </c>
      <c r="B1464" t="s">
        <v>4254</v>
      </c>
      <c r="C1464" s="90" t="s">
        <v>5548</v>
      </c>
      <c r="E1464" t="s">
        <v>5562</v>
      </c>
      <c r="F1464" s="91" t="s">
        <v>5548</v>
      </c>
      <c r="H1464" t="str">
        <f t="shared" si="81"/>
        <v>unknown</v>
      </c>
      <c r="K1464" t="str">
        <f t="shared" si="82"/>
        <v>scale</v>
      </c>
    </row>
    <row r="1465" spans="1:11" ht="158.4" x14ac:dyDescent="0.3">
      <c r="A1465" t="s">
        <v>5543</v>
      </c>
      <c r="B1465" t="s">
        <v>3785</v>
      </c>
      <c r="C1465" s="90" t="s">
        <v>5549</v>
      </c>
      <c r="E1465" t="s">
        <v>5562</v>
      </c>
      <c r="F1465" s="91" t="s">
        <v>5549</v>
      </c>
      <c r="H1465" t="str">
        <f t="shared" si="81"/>
        <v>unknown</v>
      </c>
      <c r="K1465" t="str">
        <f t="shared" si="82"/>
        <v>scale</v>
      </c>
    </row>
    <row r="1466" spans="1:11" ht="115.2" x14ac:dyDescent="0.3">
      <c r="A1466" t="s">
        <v>5543</v>
      </c>
      <c r="B1466" t="s">
        <v>5550</v>
      </c>
      <c r="C1466" s="90" t="s">
        <v>4910</v>
      </c>
      <c r="E1466" t="s">
        <v>5562</v>
      </c>
      <c r="F1466" s="91" t="s">
        <v>4910</v>
      </c>
      <c r="H1466" t="str">
        <f t="shared" si="81"/>
        <v>unknown</v>
      </c>
      <c r="K1466" t="str">
        <f t="shared" si="82"/>
        <v>scale</v>
      </c>
    </row>
    <row r="1467" spans="1:11" ht="172.8" x14ac:dyDescent="0.3">
      <c r="A1467" t="s">
        <v>5551</v>
      </c>
      <c r="B1467" t="s">
        <v>3562</v>
      </c>
      <c r="C1467" s="90" t="s">
        <v>5552</v>
      </c>
      <c r="E1467" t="s">
        <v>5562</v>
      </c>
      <c r="F1467" s="91" t="s">
        <v>5552</v>
      </c>
      <c r="H1467" t="str">
        <f t="shared" si="81"/>
        <v>unknown</v>
      </c>
      <c r="K1467" t="str">
        <f t="shared" si="82"/>
        <v>scale</v>
      </c>
    </row>
    <row r="1468" spans="1:11" ht="100.8" x14ac:dyDescent="0.3">
      <c r="A1468" t="s">
        <v>5551</v>
      </c>
      <c r="B1468" t="s">
        <v>3852</v>
      </c>
      <c r="C1468" s="90" t="s">
        <v>4953</v>
      </c>
      <c r="E1468" t="s">
        <v>5562</v>
      </c>
      <c r="F1468" s="91" t="s">
        <v>4953</v>
      </c>
      <c r="H1468" t="str">
        <f t="shared" si="81"/>
        <v>unknown</v>
      </c>
      <c r="K1468" t="str">
        <f t="shared" si="82"/>
        <v>scale</v>
      </c>
    </row>
    <row r="1469" spans="1:11" ht="115.2" x14ac:dyDescent="0.3">
      <c r="A1469" t="s">
        <v>5551</v>
      </c>
      <c r="B1469" t="s">
        <v>3575</v>
      </c>
      <c r="C1469" s="90" t="s">
        <v>5553</v>
      </c>
      <c r="E1469" t="s">
        <v>5562</v>
      </c>
      <c r="F1469" s="91" t="s">
        <v>5553</v>
      </c>
      <c r="H1469" t="str">
        <f t="shared" si="81"/>
        <v>unknown</v>
      </c>
      <c r="K1469" t="str">
        <f t="shared" si="82"/>
        <v>scale</v>
      </c>
    </row>
    <row r="1470" spans="1:11" ht="86.4" x14ac:dyDescent="0.3">
      <c r="A1470" t="s">
        <v>5551</v>
      </c>
      <c r="B1470" t="s">
        <v>4070</v>
      </c>
      <c r="C1470" s="90" t="s">
        <v>5554</v>
      </c>
      <c r="D1470" t="s">
        <v>5561</v>
      </c>
      <c r="E1470" t="s">
        <v>5560</v>
      </c>
      <c r="F1470" s="92" t="s">
        <v>5656</v>
      </c>
      <c r="G1470" t="str">
        <f>IF(EXACT($F1470, $Q$1), "sector", "unknown")</f>
        <v>unknown</v>
      </c>
      <c r="H1470" t="str">
        <f t="shared" si="81"/>
        <v>unknown</v>
      </c>
      <c r="I1470" t="s">
        <v>5662</v>
      </c>
      <c r="K1470" t="str">
        <f t="shared" si="82"/>
        <v>stataIsNotCoded</v>
      </c>
    </row>
    <row r="1471" spans="1:11" ht="72" x14ac:dyDescent="0.3">
      <c r="A1471" t="s">
        <v>5551</v>
      </c>
      <c r="B1471" t="s">
        <v>5555</v>
      </c>
      <c r="C1471" s="90" t="s">
        <v>5556</v>
      </c>
      <c r="E1471" t="s">
        <v>5562</v>
      </c>
      <c r="F1471" s="91" t="s">
        <v>5556</v>
      </c>
      <c r="H1471" t="str">
        <f t="shared" si="81"/>
        <v>unknown</v>
      </c>
      <c r="K1471" t="str">
        <f t="shared" si="82"/>
        <v>scale</v>
      </c>
    </row>
    <row r="1472" spans="1:11" ht="115.2" x14ac:dyDescent="0.3">
      <c r="A1472" t="s">
        <v>5551</v>
      </c>
      <c r="B1472" t="s">
        <v>5557</v>
      </c>
      <c r="C1472" s="90" t="s">
        <v>5558</v>
      </c>
      <c r="E1472" t="s">
        <v>5562</v>
      </c>
      <c r="F1472" s="91" t="s">
        <v>5558</v>
      </c>
      <c r="H1472" t="str">
        <f t="shared" si="81"/>
        <v>unknown</v>
      </c>
      <c r="K1472" t="str">
        <f t="shared" si="82"/>
        <v>scale</v>
      </c>
    </row>
  </sheetData>
  <phoneticPr fontId="1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78D2D-6161-48D2-9B9B-60F1B8C873F8}">
  <sheetPr codeName="Sheet23"/>
  <dimension ref="A1:S1472"/>
  <sheetViews>
    <sheetView workbookViewId="0">
      <selection activeCell="I2" sqref="I2"/>
    </sheetView>
  </sheetViews>
  <sheetFormatPr defaultRowHeight="14.4" x14ac:dyDescent="0.3"/>
  <cols>
    <col min="1" max="1" width="13.44140625" customWidth="1"/>
    <col min="2" max="2" width="13.6640625" customWidth="1"/>
    <col min="3" max="3" width="29" style="90" customWidth="1"/>
    <col min="4" max="4" width="11" customWidth="1"/>
    <col min="5" max="5" width="22.21875" customWidth="1"/>
    <col min="6" max="7" width="15.88671875" customWidth="1"/>
    <col min="8" max="8" width="21.6640625" bestFit="1" customWidth="1"/>
    <col min="9" max="9" width="12.21875" bestFit="1" customWidth="1"/>
    <col min="10" max="11" width="12.21875" customWidth="1"/>
    <col min="19" max="19" width="21" customWidth="1"/>
  </cols>
  <sheetData>
    <row r="1" spans="1:19" x14ac:dyDescent="0.3">
      <c r="A1" t="s">
        <v>3308</v>
      </c>
      <c r="B1" t="s">
        <v>3309</v>
      </c>
      <c r="C1" s="90" t="s">
        <v>3310</v>
      </c>
      <c r="D1" t="s">
        <v>5673</v>
      </c>
      <c r="E1" s="101" t="s">
        <v>5676</v>
      </c>
      <c r="F1" s="103" t="s">
        <v>6644</v>
      </c>
      <c r="G1" s="104" t="s">
        <v>6678</v>
      </c>
      <c r="H1" s="104" t="s">
        <v>6679</v>
      </c>
      <c r="I1" s="105" t="s">
        <v>6680</v>
      </c>
      <c r="J1" s="105" t="s">
        <v>6681</v>
      </c>
      <c r="K1" s="105" t="s">
        <v>6682</v>
      </c>
      <c r="L1" s="105" t="s">
        <v>6645</v>
      </c>
      <c r="M1" s="105" t="s">
        <v>6646</v>
      </c>
      <c r="N1" s="105" t="s">
        <v>6647</v>
      </c>
      <c r="O1" s="104" t="s">
        <v>6648</v>
      </c>
      <c r="P1" s="104" t="s">
        <v>6649</v>
      </c>
      <c r="Q1" s="104" t="s">
        <v>6650</v>
      </c>
      <c r="R1" s="103" t="s">
        <v>6651</v>
      </c>
      <c r="S1" s="102" t="s">
        <v>6652</v>
      </c>
    </row>
    <row r="2" spans="1:19" ht="43.2" x14ac:dyDescent="0.3">
      <c r="A2" t="s">
        <v>3311</v>
      </c>
      <c r="B2" t="s">
        <v>3312</v>
      </c>
      <c r="C2" s="90" t="s">
        <v>3313</v>
      </c>
      <c r="D2" t="s">
        <v>5562</v>
      </c>
      <c r="E2" s="101" t="s">
        <v>5677</v>
      </c>
      <c r="F2" t="str" cm="1">
        <f t="array" aca="1" ref="F2" ca="1">INDIRECT("'" &amp; A2 &amp; "'!" &amp; B2)</f>
        <v>b51</v>
      </c>
      <c r="G2" cm="1">
        <f t="array" aca="1" ref="G2" ca="1">INDIRECT("'" &amp; A2 &amp; "'!" &amp; ADDRESS(1, COLUMN(INDIRECT("'" &amp; A2 &amp; "'!" &amp; B2))))</f>
        <v>2001</v>
      </c>
      <c r="H2" t="str">
        <f ca="1">VLOOKUP($G2, survey_codes_dict!A:C, 2, FALSE)</f>
        <v>2001</v>
      </c>
      <c r="I2" s="102" t="str">
        <f ca="1">VLOOKUP($G2, survey_codes_dict!A:D, 4, FALSE)</f>
        <v>1999_1</v>
      </c>
      <c r="J2" s="102" t="str">
        <f t="shared" ref="J2:J65" ca="1" si="0">_xlfn.CONCAT($H2, "__", F2)</f>
        <v>2001__b51</v>
      </c>
      <c r="K2" s="102" t="str">
        <f t="shared" ref="K2:K65" ca="1" si="1">_xlfn.CONCAT($I2, "__", F2)</f>
        <v>1999_1__b51</v>
      </c>
      <c r="L2" s="102"/>
      <c r="M2" s="102"/>
      <c r="N2" s="102"/>
      <c r="O2" s="102"/>
      <c r="P2" s="102"/>
      <c r="Q2" s="102"/>
      <c r="R2" s="102"/>
      <c r="S2" s="101"/>
    </row>
    <row r="3" spans="1:19" ht="72" x14ac:dyDescent="0.3">
      <c r="A3" t="s">
        <v>3311</v>
      </c>
      <c r="B3" t="s">
        <v>3314</v>
      </c>
      <c r="C3" s="90" t="s">
        <v>3315</v>
      </c>
      <c r="D3" t="s">
        <v>5562</v>
      </c>
      <c r="E3" s="101" t="s">
        <v>5678</v>
      </c>
      <c r="F3" t="str" cm="1">
        <f t="array" aca="1" ref="F3" ca="1">INDIRECT("'" &amp; A3 &amp; "'!" &amp; B3)</f>
        <v>מקום הראיון</v>
      </c>
      <c r="G3" t="str" cm="1">
        <f t="array" aca="1" ref="G3" ca="1">INDIRECT("'" &amp; A3 &amp; "'!" &amp; ADDRESS(1, COLUMN(INDIRECT("'" &amp; A3 &amp; "'!" &amp; B3))))</f>
        <v>שאלה</v>
      </c>
      <c r="H3" t="e">
        <f ca="1">VLOOKUP($G3, survey_codes_dict!A:C, 2, FALSE)</f>
        <v>#N/A</v>
      </c>
      <c r="I3" s="102" t="e">
        <f ca="1">VLOOKUP($G3, survey_codes_dict!A:D, 4, FALSE)</f>
        <v>#N/A</v>
      </c>
      <c r="J3" s="102" t="e">
        <f t="shared" ca="1" si="0"/>
        <v>#N/A</v>
      </c>
      <c r="K3" s="102" t="e">
        <f t="shared" ca="1" si="1"/>
        <v>#N/A</v>
      </c>
      <c r="L3" s="102"/>
      <c r="M3" s="102"/>
      <c r="N3" s="102"/>
      <c r="O3" s="102"/>
      <c r="P3" s="102"/>
      <c r="Q3" s="102"/>
      <c r="R3" s="102"/>
      <c r="S3" s="102"/>
    </row>
    <row r="4" spans="1:19" ht="43.2" x14ac:dyDescent="0.3">
      <c r="A4" t="s">
        <v>3311</v>
      </c>
      <c r="B4" t="s">
        <v>3316</v>
      </c>
      <c r="C4" s="90" t="s">
        <v>3317</v>
      </c>
      <c r="D4" t="s">
        <v>5562</v>
      </c>
      <c r="E4" s="101" t="s">
        <v>5679</v>
      </c>
      <c r="F4" t="str" cm="1">
        <f t="array" aca="1" ref="F4" ca="1">INDIRECT("'" &amp; A4 &amp; "'!" &amp; B4)</f>
        <v>sector</v>
      </c>
      <c r="G4" cm="1">
        <f t="array" aca="1" ref="G4" ca="1">INDIRECT("'" &amp; A4 &amp; "'!" &amp; ADDRESS(1, COLUMN(INDIRECT("'" &amp; A4 &amp; "'!" &amp; B4))))</f>
        <v>2020</v>
      </c>
      <c r="H4" t="e">
        <f ca="1">VLOOKUP($G4, survey_codes_dict!A:C, 2, FALSE)</f>
        <v>#N/A</v>
      </c>
      <c r="I4" s="102" t="e">
        <f ca="1">VLOOKUP($G4, survey_codes_dict!A:D, 4, FALSE)</f>
        <v>#N/A</v>
      </c>
      <c r="J4" s="102" t="e">
        <f t="shared" ca="1" si="0"/>
        <v>#N/A</v>
      </c>
      <c r="K4" s="102" t="e">
        <f t="shared" ca="1" si="1"/>
        <v>#N/A</v>
      </c>
      <c r="L4" s="102"/>
      <c r="M4" s="102"/>
      <c r="N4" s="102"/>
      <c r="O4" s="102"/>
      <c r="P4" s="102"/>
      <c r="Q4" s="102"/>
      <c r="R4" s="102"/>
      <c r="S4" s="102"/>
    </row>
    <row r="5" spans="1:19" ht="43.2" x14ac:dyDescent="0.3">
      <c r="A5" t="s">
        <v>3311</v>
      </c>
      <c r="B5" t="s">
        <v>3318</v>
      </c>
      <c r="C5" s="90" t="s">
        <v>3319</v>
      </c>
      <c r="D5" t="s">
        <v>5562</v>
      </c>
      <c r="E5" s="101" t="s">
        <v>5680</v>
      </c>
      <c r="F5" t="str" cm="1">
        <f t="array" aca="1" ref="F5" ca="1">INDIRECT("'" &amp; A5 &amp; "'!" &amp; B5)</f>
        <v>version</v>
      </c>
      <c r="G5" cm="1">
        <f t="array" aca="1" ref="G5" ca="1">INDIRECT("'" &amp; A5 &amp; "'!" &amp; ADDRESS(1, COLUMN(INDIRECT("'" &amp; A5 &amp; "'!" &amp; B5))))</f>
        <v>43556</v>
      </c>
      <c r="H5" t="e">
        <f ca="1">VLOOKUP($G5, survey_codes_dict!A:C, 2, FALSE)</f>
        <v>#N/A</v>
      </c>
      <c r="I5" s="102" t="e">
        <f ca="1">VLOOKUP($G5, survey_codes_dict!A:D, 4, FALSE)</f>
        <v>#N/A</v>
      </c>
      <c r="J5" s="102" t="e">
        <f t="shared" ca="1" si="0"/>
        <v>#N/A</v>
      </c>
      <c r="K5" s="102" t="e">
        <f t="shared" ca="1" si="1"/>
        <v>#N/A</v>
      </c>
      <c r="L5" s="102"/>
      <c r="M5" s="102"/>
      <c r="N5" s="102"/>
      <c r="O5" s="102"/>
      <c r="P5" s="102"/>
      <c r="Q5" s="102"/>
      <c r="R5" s="102"/>
      <c r="S5" s="102"/>
    </row>
    <row r="6" spans="1:19" ht="28.8" x14ac:dyDescent="0.3">
      <c r="A6" t="s">
        <v>3311</v>
      </c>
      <c r="B6" t="s">
        <v>3320</v>
      </c>
      <c r="C6" s="90" t="s">
        <v>3321</v>
      </c>
      <c r="D6" t="s">
        <v>5562</v>
      </c>
      <c r="E6" s="101" t="s">
        <v>5565</v>
      </c>
      <c r="F6" t="str" cm="1">
        <f t="array" aca="1" ref="F6" ca="1">INDIRECT("'" &amp; A6 &amp; "'!" &amp; B6)</f>
        <v>version</v>
      </c>
      <c r="G6" cm="1">
        <f t="array" aca="1" ref="G6" ca="1">INDIRECT("'" &amp; A6 &amp; "'!" &amp; ADDRESS(1, COLUMN(INDIRECT("'" &amp; A6 &amp; "'!" &amp; B6))))</f>
        <v>2009</v>
      </c>
      <c r="H6" t="e">
        <f ca="1">VLOOKUP($G6, survey_codes_dict!A:C, 2, FALSE)</f>
        <v>#N/A</v>
      </c>
      <c r="I6" s="102" t="e">
        <f ca="1">VLOOKUP($G6, survey_codes_dict!A:D, 4, FALSE)</f>
        <v>#N/A</v>
      </c>
      <c r="J6" s="102" t="e">
        <f t="shared" ca="1" si="0"/>
        <v>#N/A</v>
      </c>
      <c r="K6" s="102" t="e">
        <f t="shared" ca="1" si="1"/>
        <v>#N/A</v>
      </c>
      <c r="L6" s="102"/>
      <c r="M6" s="102"/>
      <c r="N6" s="102"/>
      <c r="O6" s="102"/>
      <c r="P6" s="102"/>
      <c r="Q6" s="102"/>
      <c r="R6" s="102"/>
      <c r="S6" s="102"/>
    </row>
    <row r="7" spans="1:19" ht="57.6" x14ac:dyDescent="0.3">
      <c r="A7" t="s">
        <v>3311</v>
      </c>
      <c r="B7" t="s">
        <v>3322</v>
      </c>
      <c r="C7" s="90" t="s">
        <v>3323</v>
      </c>
      <c r="D7" t="s">
        <v>5562</v>
      </c>
      <c r="E7" s="101" t="s">
        <v>5681</v>
      </c>
      <c r="F7" t="str" cm="1">
        <f t="array" aca="1" ref="F7" ca="1">INDIRECT("'" &amp; A7 &amp; "'!" &amp; B7)</f>
        <v>b55</v>
      </c>
      <c r="G7" cm="1">
        <f t="array" aca="1" ref="G7" ca="1">INDIRECT("'" &amp; A7 &amp; "'!" &amp; ADDRESS(1, COLUMN(INDIRECT("'" &amp; A7 &amp; "'!" &amp; B7))))</f>
        <v>2001</v>
      </c>
      <c r="H7" t="str">
        <f ca="1">VLOOKUP($G7, survey_codes_dict!A:C, 2, FALSE)</f>
        <v>2001</v>
      </c>
      <c r="I7" s="102" t="str">
        <f ca="1">VLOOKUP($G7, survey_codes_dict!A:D, 4, FALSE)</f>
        <v>1999_1</v>
      </c>
      <c r="J7" s="102" t="str">
        <f t="shared" ca="1" si="0"/>
        <v>2001__b55</v>
      </c>
      <c r="K7" s="102" t="str">
        <f t="shared" ca="1" si="1"/>
        <v>1999_1__b55</v>
      </c>
      <c r="L7" s="102"/>
      <c r="M7" s="102"/>
      <c r="N7" s="102"/>
      <c r="O7" s="102"/>
      <c r="P7" s="102"/>
      <c r="Q7" s="102"/>
      <c r="R7" s="102"/>
      <c r="S7" s="101"/>
    </row>
    <row r="8" spans="1:19" ht="144" x14ac:dyDescent="0.3">
      <c r="A8" t="s">
        <v>3311</v>
      </c>
      <c r="B8" t="s">
        <v>3324</v>
      </c>
      <c r="C8" s="90" t="s">
        <v>3325</v>
      </c>
      <c r="D8" t="s">
        <v>5562</v>
      </c>
      <c r="E8" s="101" t="s">
        <v>5682</v>
      </c>
      <c r="F8" t="str" cm="1">
        <f t="array" aca="1" ref="F8" ca="1">INDIRECT("'" &amp; A8 &amp; "'!" &amp; B8)</f>
        <v>c24</v>
      </c>
      <c r="G8" t="str" cm="1">
        <f t="array" aca="1" ref="G8" ca="1">INDIRECT("'" &amp; A8 &amp; "'!" &amp; ADDRESS(1, COLUMN(INDIRECT("'" &amp; A8 &amp; "'!" &amp; B8))))</f>
        <v>1977 - 4</v>
      </c>
      <c r="H8" t="str">
        <f ca="1">VLOOKUP($G8, survey_codes_dict!A:C, 2, FALSE)</f>
        <v>1977_4</v>
      </c>
      <c r="I8" s="102" t="str">
        <f ca="1">VLOOKUP($G8, survey_codes_dict!A:D, 4, FALSE)</f>
        <v>1977_3</v>
      </c>
      <c r="J8" s="102" t="str">
        <f t="shared" ca="1" si="0"/>
        <v>1977_4__c24</v>
      </c>
      <c r="K8" s="102" t="str">
        <f t="shared" ca="1" si="1"/>
        <v>1977_3__c24</v>
      </c>
      <c r="L8" s="102"/>
      <c r="M8" s="102"/>
      <c r="N8" s="102"/>
      <c r="O8" s="102"/>
      <c r="P8" s="102"/>
      <c r="Q8" s="102"/>
      <c r="R8" s="102"/>
      <c r="S8" s="101"/>
    </row>
    <row r="9" spans="1:19" ht="144" x14ac:dyDescent="0.3">
      <c r="A9" t="s">
        <v>3311</v>
      </c>
      <c r="B9" t="s">
        <v>3326</v>
      </c>
      <c r="C9" s="90" t="s">
        <v>3327</v>
      </c>
      <c r="D9" t="s">
        <v>5562</v>
      </c>
      <c r="E9" s="101" t="s">
        <v>5683</v>
      </c>
      <c r="F9" t="str" cm="1">
        <f t="array" aca="1" ref="F9" ca="1">INDIRECT("'" &amp; A9 &amp; "'!" &amp; B9)</f>
        <v>g62</v>
      </c>
      <c r="G9" t="str" cm="1">
        <f t="array" aca="1" ref="G9" ca="1">INDIRECT("'" &amp; A9 &amp; "'!" &amp; ADDRESS(1, COLUMN(INDIRECT("'" &amp; A9 &amp; "'!" &amp; B9))))</f>
        <v>1973 - 4</v>
      </c>
      <c r="H9" t="str">
        <f ca="1">VLOOKUP($G9, survey_codes_dict!A:C, 2, FALSE)</f>
        <v>1973_4</v>
      </c>
      <c r="I9" s="102" t="str">
        <f ca="1">VLOOKUP($G9, survey_codes_dict!A:D, 4, FALSE)</f>
        <v>1973_3</v>
      </c>
      <c r="J9" s="102" t="str">
        <f t="shared" ca="1" si="0"/>
        <v>1973_4__g62</v>
      </c>
      <c r="K9" s="102" t="str">
        <f t="shared" ca="1" si="1"/>
        <v>1973_3__g62</v>
      </c>
      <c r="L9" s="102"/>
      <c r="M9" s="102"/>
      <c r="N9" s="102"/>
      <c r="O9" s="102"/>
      <c r="P9" s="102"/>
      <c r="Q9" s="102"/>
      <c r="R9" s="102"/>
      <c r="S9" s="101"/>
    </row>
    <row r="10" spans="1:19" ht="144" x14ac:dyDescent="0.3">
      <c r="A10" t="s">
        <v>3311</v>
      </c>
      <c r="B10" t="s">
        <v>3328</v>
      </c>
      <c r="C10" s="90" t="s">
        <v>3329</v>
      </c>
      <c r="D10" t="s">
        <v>5562</v>
      </c>
      <c r="E10" s="101" t="s">
        <v>5684</v>
      </c>
      <c r="F10" t="str" cm="1">
        <f t="array" aca="1" ref="F10" ca="1">INDIRECT("'" &amp; A10 &amp; "'!" &amp; B10)</f>
        <v>c79</v>
      </c>
      <c r="G10" t="str" cm="1">
        <f t="array" aca="1" ref="G10" ca="1">INDIRECT("'" &amp; A10 &amp; "'!" &amp; ADDRESS(1, COLUMN(INDIRECT("'" &amp; A10 &amp; "'!" &amp; B10))))</f>
        <v>1969 - 1</v>
      </c>
      <c r="H10" t="str">
        <f ca="1">VLOOKUP($G10, survey_codes_dict!A:C, 2, FALSE)</f>
        <v>1969_1</v>
      </c>
      <c r="I10" s="102">
        <f ca="1">VLOOKUP($G10, survey_codes_dict!A:D, 4, FALSE)</f>
        <v>0</v>
      </c>
      <c r="J10" s="102" t="str">
        <f t="shared" ca="1" si="0"/>
        <v>1969_1__c79</v>
      </c>
      <c r="K10" s="102" t="str">
        <f t="shared" ca="1" si="1"/>
        <v>0__c79</v>
      </c>
      <c r="L10" s="102"/>
      <c r="M10" s="102"/>
      <c r="N10" s="102"/>
      <c r="O10" s="102"/>
      <c r="P10" s="102"/>
      <c r="Q10" s="102"/>
      <c r="R10" s="102"/>
      <c r="S10" s="101"/>
    </row>
    <row r="11" spans="1:19" ht="129.6" x14ac:dyDescent="0.3">
      <c r="A11" t="s">
        <v>3311</v>
      </c>
      <c r="B11" t="s">
        <v>3330</v>
      </c>
      <c r="C11" s="90" t="s">
        <v>3331</v>
      </c>
      <c r="D11" t="s">
        <v>5562</v>
      </c>
      <c r="E11" s="101" t="s">
        <v>5685</v>
      </c>
      <c r="F11" t="str" cm="1">
        <f t="array" aca="1" ref="F11" ca="1">INDIRECT("'" &amp; A11 &amp; "'!" &amp; B11)</f>
        <v>agegroup</v>
      </c>
      <c r="G11" cm="1">
        <f t="array" aca="1" ref="G11" ca="1">INDIRECT("'" &amp; A11 &amp; "'!" &amp; ADDRESS(1, COLUMN(INDIRECT("'" &amp; A11 &amp; "'!" &amp; B11))))</f>
        <v>2020</v>
      </c>
      <c r="H11" t="e">
        <f ca="1">VLOOKUP($G11, survey_codes_dict!A:C, 2, FALSE)</f>
        <v>#N/A</v>
      </c>
      <c r="I11" s="102" t="e">
        <f ca="1">VLOOKUP($G11, survey_codes_dict!A:D, 4, FALSE)</f>
        <v>#N/A</v>
      </c>
      <c r="J11" s="102" t="e">
        <f t="shared" ca="1" si="0"/>
        <v>#N/A</v>
      </c>
      <c r="K11" s="102" t="e">
        <f t="shared" ca="1" si="1"/>
        <v>#N/A</v>
      </c>
      <c r="L11" s="102"/>
      <c r="M11" s="102"/>
      <c r="N11" s="102"/>
      <c r="O11" s="102"/>
      <c r="P11" s="102"/>
      <c r="Q11" s="102"/>
      <c r="R11" s="102"/>
      <c r="S11" s="102"/>
    </row>
    <row r="12" spans="1:19" ht="43.2" x14ac:dyDescent="0.3">
      <c r="A12" t="s">
        <v>3311</v>
      </c>
      <c r="B12" t="s">
        <v>3332</v>
      </c>
      <c r="C12" s="90" t="s">
        <v>3333</v>
      </c>
      <c r="D12" t="s">
        <v>5562</v>
      </c>
      <c r="E12" s="101" t="s">
        <v>5686</v>
      </c>
      <c r="F12" t="str" cm="1">
        <f t="array" aca="1" ref="F12" ca="1">INDIRECT("'" &amp; A12 &amp; "'!" &amp; B12)</f>
        <v>gender</v>
      </c>
      <c r="G12" cm="1">
        <f t="array" aca="1" ref="G12" ca="1">INDIRECT("'" &amp; A12 &amp; "'!" &amp; ADDRESS(1, COLUMN(INDIRECT("'" &amp; A12 &amp; "'!" &amp; B12))))</f>
        <v>2020</v>
      </c>
      <c r="H12" t="e">
        <f ca="1">VLOOKUP($G12, survey_codes_dict!A:C, 2, FALSE)</f>
        <v>#N/A</v>
      </c>
      <c r="I12" s="102" t="e">
        <f ca="1">VLOOKUP($G12, survey_codes_dict!A:D, 4, FALSE)</f>
        <v>#N/A</v>
      </c>
      <c r="J12" s="102" t="e">
        <f t="shared" ca="1" si="0"/>
        <v>#N/A</v>
      </c>
      <c r="K12" s="102" t="e">
        <f t="shared" ca="1" si="1"/>
        <v>#N/A</v>
      </c>
      <c r="L12" s="102"/>
      <c r="M12" s="102"/>
      <c r="N12" s="102"/>
      <c r="O12" s="102"/>
      <c r="P12" s="102"/>
      <c r="Q12" s="102"/>
      <c r="R12" s="102"/>
      <c r="S12" s="102"/>
    </row>
    <row r="13" spans="1:19" ht="43.2" x14ac:dyDescent="0.3">
      <c r="A13" t="s">
        <v>3311</v>
      </c>
      <c r="B13" t="s">
        <v>3334</v>
      </c>
      <c r="C13" s="90" t="s">
        <v>3335</v>
      </c>
      <c r="D13" t="s">
        <v>5562</v>
      </c>
      <c r="E13" s="101" t="s">
        <v>5687</v>
      </c>
      <c r="F13" t="str" cm="1">
        <f t="array" aca="1" ref="F13" ca="1">INDIRECT("'" &amp; A13 &amp; "'!" &amp; B13)</f>
        <v>c39</v>
      </c>
      <c r="G13" cm="1">
        <f t="array" aca="1" ref="G13" ca="1">INDIRECT("'" &amp; A13 &amp; "'!" &amp; ADDRESS(1, COLUMN(INDIRECT("'" &amp; A13 &amp; "'!" &amp; B13))))</f>
        <v>1999</v>
      </c>
      <c r="H13" t="str">
        <f ca="1">VLOOKUP($G13, survey_codes_dict!A:C, 2, FALSE)</f>
        <v>1999_1</v>
      </c>
      <c r="I13" s="102" t="str">
        <f ca="1">VLOOKUP($G13, survey_codes_dict!A:D, 4, FALSE)</f>
        <v>1996_Jews</v>
      </c>
      <c r="J13" s="102" t="str">
        <f t="shared" ca="1" si="0"/>
        <v>1999_1__c39</v>
      </c>
      <c r="K13" s="102" t="str">
        <f t="shared" ca="1" si="1"/>
        <v>1996_Jews__c39</v>
      </c>
      <c r="L13" s="102"/>
      <c r="M13" s="102"/>
      <c r="N13" s="102"/>
      <c r="O13" s="102"/>
      <c r="P13" s="102"/>
      <c r="Q13" s="102"/>
      <c r="R13" s="102"/>
      <c r="S13" s="101"/>
    </row>
    <row r="14" spans="1:19" ht="43.2" x14ac:dyDescent="0.3">
      <c r="A14" t="s">
        <v>3311</v>
      </c>
      <c r="B14" t="s">
        <v>3336</v>
      </c>
      <c r="C14" s="90" t="s">
        <v>3337</v>
      </c>
      <c r="D14" t="s">
        <v>5562</v>
      </c>
      <c r="E14" s="101" t="s">
        <v>5688</v>
      </c>
      <c r="F14" t="str" cm="1">
        <f t="array" aca="1" ref="F14" ca="1">INDIRECT("'" &amp; A14 &amp; "'!" &amp; B14)</f>
        <v>ccc56</v>
      </c>
      <c r="G14" cm="1">
        <f t="array" aca="1" ref="G14" ca="1">INDIRECT("'" &amp; A14 &amp; "'!" &amp; ADDRESS(1, COLUMN(INDIRECT("'" &amp; A14 &amp; "'!" &amp; B14))))</f>
        <v>1996</v>
      </c>
      <c r="H14" t="str">
        <f ca="1">VLOOKUP($G14, survey_codes_dict!A:C, 2, FALSE)</f>
        <v>1996_Jews</v>
      </c>
      <c r="I14" s="102" t="str">
        <f ca="1">VLOOKUP($G14, survey_codes_dict!A:D, 4, FALSE)</f>
        <v>1992</v>
      </c>
      <c r="J14" s="102" t="str">
        <f t="shared" ca="1" si="0"/>
        <v>1996_Jews__ccc56</v>
      </c>
      <c r="K14" s="102" t="str">
        <f t="shared" ca="1" si="1"/>
        <v>1992__ccc56</v>
      </c>
      <c r="L14" s="102"/>
      <c r="M14" s="102"/>
      <c r="N14" s="102"/>
      <c r="O14" s="102"/>
      <c r="P14" s="102"/>
      <c r="Q14" s="102"/>
      <c r="R14" s="102"/>
      <c r="S14" s="101"/>
    </row>
    <row r="15" spans="1:19" ht="43.2" x14ac:dyDescent="0.3">
      <c r="A15" t="s">
        <v>3311</v>
      </c>
      <c r="B15" t="s">
        <v>3338</v>
      </c>
      <c r="C15" s="90" t="s">
        <v>3335</v>
      </c>
      <c r="D15" t="s">
        <v>5562</v>
      </c>
      <c r="E15" s="101" t="s">
        <v>5687</v>
      </c>
      <c r="F15" t="str" cm="1">
        <f t="array" aca="1" ref="F15" ca="1">INDIRECT("'" &amp; A15 &amp; "'!" &amp; B15)</f>
        <v>i67</v>
      </c>
      <c r="G15" cm="1">
        <f t="array" aca="1" ref="G15" ca="1">INDIRECT("'" &amp; A15 &amp; "'!" &amp; ADDRESS(1, COLUMN(INDIRECT("'" &amp; A15 &amp; "'!" &amp; B15))))</f>
        <v>1992</v>
      </c>
      <c r="H15" t="str">
        <f ca="1">VLOOKUP($G15, survey_codes_dict!A:C, 2, FALSE)</f>
        <v>1992</v>
      </c>
      <c r="I15" s="102" t="str">
        <f ca="1">VLOOKUP($G15, survey_codes_dict!A:D, 4, FALSE)</f>
        <v>1988_N=873</v>
      </c>
      <c r="J15" s="102" t="str">
        <f t="shared" ca="1" si="0"/>
        <v>1992__i67</v>
      </c>
      <c r="K15" s="102" t="str">
        <f t="shared" ca="1" si="1"/>
        <v>1988_N=873__i67</v>
      </c>
      <c r="L15" s="102"/>
      <c r="M15" s="102"/>
      <c r="N15" s="102"/>
      <c r="O15" s="102"/>
      <c r="P15" s="102"/>
      <c r="Q15" s="102"/>
      <c r="R15" s="102"/>
      <c r="S15" s="101"/>
    </row>
    <row r="16" spans="1:19" ht="43.2" x14ac:dyDescent="0.3">
      <c r="A16" t="s">
        <v>3311</v>
      </c>
      <c r="B16" t="s">
        <v>3339</v>
      </c>
      <c r="C16" s="90" t="s">
        <v>3340</v>
      </c>
      <c r="D16" t="s">
        <v>5562</v>
      </c>
      <c r="E16" s="101" t="s">
        <v>5689</v>
      </c>
      <c r="F16" t="str" cm="1">
        <f t="array" aca="1" ref="F16" ca="1">INDIRECT("'" &amp; A16 &amp; "'!" &amp; B16)</f>
        <v>b138</v>
      </c>
      <c r="G16" t="str" cm="1">
        <f t="array" aca="1" ref="G16" ca="1">INDIRECT("'" &amp; A16 &amp; "'!" &amp; ADDRESS(1, COLUMN(INDIRECT("'" &amp; A16 &amp; "'!" &amp; B16))))</f>
        <v>1981 - 3</v>
      </c>
      <c r="H16" t="str">
        <f ca="1">VLOOKUP($G16, survey_codes_dict!A:C, 2, FALSE)</f>
        <v>1981_3</v>
      </c>
      <c r="I16" s="102">
        <f ca="1">VLOOKUP($G16, survey_codes_dict!A:D, 4, FALSE)</f>
        <v>0</v>
      </c>
      <c r="J16" s="102" t="str">
        <f t="shared" ca="1" si="0"/>
        <v>1981_3__b138</v>
      </c>
      <c r="K16" s="102" t="str">
        <f t="shared" ca="1" si="1"/>
        <v>0__b138</v>
      </c>
      <c r="L16" s="102"/>
      <c r="M16" s="102"/>
      <c r="N16" s="102"/>
      <c r="O16" s="102"/>
      <c r="P16" s="102"/>
      <c r="Q16" s="102"/>
      <c r="R16" s="102"/>
      <c r="S16" s="101"/>
    </row>
    <row r="17" spans="1:19" ht="144" x14ac:dyDescent="0.3">
      <c r="A17" t="s">
        <v>3311</v>
      </c>
      <c r="B17" t="s">
        <v>3341</v>
      </c>
      <c r="C17" s="90" t="s">
        <v>3342</v>
      </c>
      <c r="D17" t="s">
        <v>5562</v>
      </c>
      <c r="E17" s="101" t="s">
        <v>5690</v>
      </c>
      <c r="F17" t="str" cm="1">
        <f t="array" aca="1" ref="F17" ca="1">INDIRECT("'" &amp; A17 &amp; "'!" &amp; B17)</f>
        <v>educ</v>
      </c>
      <c r="G17" cm="1">
        <f t="array" aca="1" ref="G17" ca="1">INDIRECT("'" &amp; A17 &amp; "'!" &amp; ADDRESS(1, COLUMN(INDIRECT("'" &amp; A17 &amp; "'!" &amp; B17))))</f>
        <v>2020</v>
      </c>
      <c r="H17" t="e">
        <f ca="1">VLOOKUP($G17, survey_codes_dict!A:C, 2, FALSE)</f>
        <v>#N/A</v>
      </c>
      <c r="I17" s="102" t="e">
        <f ca="1">VLOOKUP($G17, survey_codes_dict!A:D, 4, FALSE)</f>
        <v>#N/A</v>
      </c>
      <c r="J17" s="102" t="e">
        <f t="shared" ca="1" si="0"/>
        <v>#N/A</v>
      </c>
      <c r="K17" s="102" t="e">
        <f t="shared" ca="1" si="1"/>
        <v>#N/A</v>
      </c>
      <c r="L17" s="102"/>
      <c r="M17" s="102"/>
      <c r="N17" s="102"/>
      <c r="O17" s="102"/>
      <c r="P17" s="102"/>
      <c r="Q17" s="102"/>
      <c r="R17" s="102"/>
      <c r="S17" s="102"/>
    </row>
    <row r="18" spans="1:19" ht="129.6" x14ac:dyDescent="0.3">
      <c r="A18" t="s">
        <v>3311</v>
      </c>
      <c r="B18" t="s">
        <v>3343</v>
      </c>
      <c r="C18" s="90" t="s">
        <v>3344</v>
      </c>
      <c r="D18" t="s">
        <v>5562</v>
      </c>
      <c r="E18" s="101" t="s">
        <v>5691</v>
      </c>
      <c r="F18" t="str" cm="1">
        <f t="array" aca="1" ref="F18" ca="1">INDIRECT("'" &amp; A18 &amp; "'!" &amp; B18)</f>
        <v>a53</v>
      </c>
      <c r="G18" cm="1">
        <f t="array" aca="1" ref="G18" ca="1">INDIRECT("'" &amp; A18 &amp; "'!" &amp; ADDRESS(1, COLUMN(INDIRECT("'" &amp; A18 &amp; "'!" &amp; B18))))</f>
        <v>1984</v>
      </c>
      <c r="H18" t="str">
        <f ca="1">VLOOKUP($G18, survey_codes_dict!A:C, 2, FALSE)</f>
        <v>1984</v>
      </c>
      <c r="I18" s="102" t="str">
        <f ca="1">VLOOKUP($G18, survey_codes_dict!A:D, 4, FALSE)</f>
        <v>1981_3</v>
      </c>
      <c r="J18" s="102" t="str">
        <f t="shared" ca="1" si="0"/>
        <v>1984__a53</v>
      </c>
      <c r="K18" s="102" t="str">
        <f t="shared" ca="1" si="1"/>
        <v>1981_3__a53</v>
      </c>
      <c r="L18" s="102"/>
      <c r="M18" s="102"/>
      <c r="N18" s="102"/>
      <c r="O18" s="102"/>
      <c r="P18" s="102"/>
      <c r="Q18" s="102"/>
      <c r="R18" s="102"/>
      <c r="S18" s="101"/>
    </row>
    <row r="19" spans="1:19" ht="43.2" x14ac:dyDescent="0.3">
      <c r="A19" t="s">
        <v>3311</v>
      </c>
      <c r="B19" t="s">
        <v>3345</v>
      </c>
      <c r="C19" s="90" t="s">
        <v>3346</v>
      </c>
      <c r="D19" t="s">
        <v>5562</v>
      </c>
      <c r="E19" s="101" t="s">
        <v>5692</v>
      </c>
      <c r="F19" t="str" cm="1">
        <f t="array" aca="1" ref="F19" ca="1">INDIRECT("'" &amp; A19 &amp; "'!" &amp; B19)</f>
        <v>v5</v>
      </c>
      <c r="G19" cm="1">
        <f t="array" aca="1" ref="G19" ca="1">INDIRECT("'" &amp; A19 &amp; "'!" &amp; ADDRESS(1, COLUMN(INDIRECT("'" &amp; A19 &amp; "'!" &amp; B19))))</f>
        <v>2020</v>
      </c>
      <c r="H19" t="e">
        <f ca="1">VLOOKUP($G19, survey_codes_dict!A:C, 2, FALSE)</f>
        <v>#N/A</v>
      </c>
      <c r="I19" s="102" t="e">
        <f ca="1">VLOOKUP($G19, survey_codes_dict!A:D, 4, FALSE)</f>
        <v>#N/A</v>
      </c>
      <c r="J19" s="102" t="e">
        <f t="shared" ca="1" si="0"/>
        <v>#N/A</v>
      </c>
      <c r="K19" s="102" t="e">
        <f t="shared" ca="1" si="1"/>
        <v>#N/A</v>
      </c>
      <c r="L19" s="102"/>
      <c r="M19" s="102"/>
      <c r="N19" s="102"/>
      <c r="O19" s="102"/>
      <c r="P19" s="102"/>
      <c r="Q19" s="102"/>
      <c r="R19" s="102"/>
      <c r="S19" s="101"/>
    </row>
    <row r="20" spans="1:19" ht="28.8" x14ac:dyDescent="0.3">
      <c r="A20" t="s">
        <v>3311</v>
      </c>
      <c r="B20" t="s">
        <v>3347</v>
      </c>
      <c r="C20" s="90" t="s">
        <v>3348</v>
      </c>
      <c r="D20" t="s">
        <v>5675</v>
      </c>
      <c r="E20" s="101" t="s">
        <v>5566</v>
      </c>
      <c r="F20" t="str" cm="1">
        <f t="array" aca="1" ref="F20" ca="1">INDIRECT("'" &amp; A20 &amp; "'!" &amp; B20)</f>
        <v>באיזו ארץ נולדת?</v>
      </c>
      <c r="G20" t="str" cm="1">
        <f t="array" aca="1" ref="G20" ca="1">INDIRECT("'" &amp; A20 &amp; "'!" &amp; ADDRESS(1, COLUMN(INDIRECT("'" &amp; A20 &amp; "'!" &amp; B20))))</f>
        <v>שאלה</v>
      </c>
      <c r="H20" t="e">
        <f ca="1">VLOOKUP($G20, survey_codes_dict!A:C, 2, FALSE)</f>
        <v>#N/A</v>
      </c>
      <c r="I20" s="102" t="e">
        <f ca="1">VLOOKUP($G20, survey_codes_dict!A:D, 4, FALSE)</f>
        <v>#N/A</v>
      </c>
      <c r="J20" s="102" t="e">
        <f t="shared" ca="1" si="0"/>
        <v>#N/A</v>
      </c>
      <c r="K20" s="102" t="e">
        <f t="shared" ca="1" si="1"/>
        <v>#N/A</v>
      </c>
      <c r="L20" s="102"/>
      <c r="M20" s="102"/>
      <c r="N20" s="102"/>
      <c r="O20" s="102"/>
      <c r="P20" s="102"/>
      <c r="Q20" s="102"/>
      <c r="R20" s="102"/>
      <c r="S20" s="102"/>
    </row>
    <row r="21" spans="1:19" ht="43.2" x14ac:dyDescent="0.3">
      <c r="A21" t="s">
        <v>3311</v>
      </c>
      <c r="B21" t="s">
        <v>3349</v>
      </c>
      <c r="C21" s="90" t="s">
        <v>3350</v>
      </c>
      <c r="D21" t="s">
        <v>5562</v>
      </c>
      <c r="E21" s="101" t="s">
        <v>5693</v>
      </c>
      <c r="F21" t="str" cm="1">
        <f t="array" aca="1" ref="F21" ca="1">INDIRECT("'" &amp; A21 &amp; "'!" &amp; B21)</f>
        <v>v176</v>
      </c>
      <c r="G21" cm="1">
        <f t="array" aca="1" ref="G21" ca="1">INDIRECT("'" &amp; A21 &amp; "'!" &amp; ADDRESS(1, COLUMN(INDIRECT("'" &amp; A21 &amp; "'!" &amp; B21))))</f>
        <v>2009</v>
      </c>
      <c r="H21" t="e">
        <f ca="1">VLOOKUP($G21, survey_codes_dict!A:C, 2, FALSE)</f>
        <v>#N/A</v>
      </c>
      <c r="I21" s="102" t="e">
        <f ca="1">VLOOKUP($G21, survey_codes_dict!A:D, 4, FALSE)</f>
        <v>#N/A</v>
      </c>
      <c r="J21" s="102" t="e">
        <f t="shared" ca="1" si="0"/>
        <v>#N/A</v>
      </c>
      <c r="K21" s="102" t="e">
        <f t="shared" ca="1" si="1"/>
        <v>#N/A</v>
      </c>
      <c r="L21" s="102"/>
      <c r="M21" s="102"/>
      <c r="N21" s="102"/>
      <c r="O21" s="102"/>
      <c r="P21" s="102"/>
      <c r="Q21" s="102"/>
      <c r="R21" s="102"/>
      <c r="S21" s="102"/>
    </row>
    <row r="22" spans="1:19" ht="144" x14ac:dyDescent="0.3">
      <c r="A22" t="s">
        <v>3311</v>
      </c>
      <c r="B22" t="s">
        <v>3351</v>
      </c>
      <c r="C22" s="90" t="s">
        <v>3352</v>
      </c>
      <c r="D22" t="s">
        <v>5562</v>
      </c>
      <c r="E22" s="101" t="s">
        <v>5694</v>
      </c>
      <c r="F22" t="str" cm="1">
        <f t="array" aca="1" ref="F22" ca="1">INDIRECT("'" &amp; A22 &amp; "'!" &amp; B22)</f>
        <v>c43</v>
      </c>
      <c r="G22" t="str" cm="1">
        <f t="array" aca="1" ref="G22" ca="1">INDIRECT("'" &amp; A22 &amp; "'!" &amp; ADDRESS(1, COLUMN(INDIRECT("'" &amp; A22 &amp; "'!" &amp; B22))))</f>
        <v>1969 - 3</v>
      </c>
      <c r="H22" t="e">
        <f ca="1">VLOOKUP($G22, survey_codes_dict!A:C, 2, FALSE)</f>
        <v>#N/A</v>
      </c>
      <c r="I22" s="102" t="e">
        <f ca="1">VLOOKUP($G22, survey_codes_dict!A:D, 4, FALSE)</f>
        <v>#N/A</v>
      </c>
      <c r="J22" s="102" t="e">
        <f t="shared" ca="1" si="0"/>
        <v>#N/A</v>
      </c>
      <c r="K22" s="102" t="e">
        <f t="shared" ca="1" si="1"/>
        <v>#N/A</v>
      </c>
      <c r="L22" s="102"/>
      <c r="M22" s="102"/>
      <c r="N22" s="102"/>
      <c r="O22" s="102"/>
      <c r="P22" s="102"/>
      <c r="Q22" s="102"/>
      <c r="R22" s="102"/>
      <c r="S22" s="101"/>
    </row>
    <row r="23" spans="1:19" ht="28.8" x14ac:dyDescent="0.3">
      <c r="A23" t="s">
        <v>3311</v>
      </c>
      <c r="B23" t="s">
        <v>3353</v>
      </c>
      <c r="C23" s="90" t="s">
        <v>3354</v>
      </c>
      <c r="D23" t="s">
        <v>399</v>
      </c>
      <c r="E23" s="101" t="s">
        <v>5567</v>
      </c>
      <c r="F23" t="str" cm="1">
        <f t="array" aca="1" ref="F23" ca="1">INDIRECT("'" &amp; A23 &amp; "'!" &amp; B23)</f>
        <v>ארץ לידה/מוצא אב</v>
      </c>
      <c r="G23" t="str" cm="1">
        <f t="array" aca="1" ref="G23" ca="1">INDIRECT("'" &amp; A23 &amp; "'!" &amp; ADDRESS(1, COLUMN(INDIRECT("'" &amp; A23 &amp; "'!" &amp; B23))))</f>
        <v>שאלה</v>
      </c>
      <c r="H23" t="e">
        <f ca="1">VLOOKUP($G23, survey_codes_dict!A:C, 2, FALSE)</f>
        <v>#N/A</v>
      </c>
      <c r="I23" s="102" t="e">
        <f ca="1">VLOOKUP($G23, survey_codes_dict!A:D, 4, FALSE)</f>
        <v>#N/A</v>
      </c>
      <c r="J23" s="102" t="e">
        <f t="shared" ca="1" si="0"/>
        <v>#N/A</v>
      </c>
      <c r="K23" s="102" t="e">
        <f t="shared" ca="1" si="1"/>
        <v>#N/A</v>
      </c>
      <c r="L23" s="102"/>
      <c r="M23" s="102"/>
      <c r="N23" s="102"/>
      <c r="O23" s="102"/>
      <c r="P23" s="102"/>
      <c r="Q23" s="102"/>
      <c r="R23" s="102"/>
      <c r="S23" s="102"/>
    </row>
    <row r="24" spans="1:19" ht="172.8" x14ac:dyDescent="0.3">
      <c r="A24" t="s">
        <v>3311</v>
      </c>
      <c r="B24" t="s">
        <v>3355</v>
      </c>
      <c r="C24" s="90" t="s">
        <v>3356</v>
      </c>
      <c r="D24" t="s">
        <v>5562</v>
      </c>
      <c r="E24" s="101" t="s">
        <v>5695</v>
      </c>
      <c r="F24" t="str" cm="1">
        <f t="array" aca="1" ref="F24" ca="1">INDIRECT("'" &amp; A24 &amp; "'!" &amp; B24)</f>
        <v>v513</v>
      </c>
      <c r="G24" cm="1">
        <f t="array" aca="1" ref="G24" ca="1">INDIRECT("'" &amp; A24 &amp; "'!" &amp; ADDRESS(1, COLUMN(INDIRECT("'" &amp; A24 &amp; "'!" &amp; B24))))</f>
        <v>2020</v>
      </c>
      <c r="H24" t="e">
        <f ca="1">VLOOKUP($G24, survey_codes_dict!A:C, 2, FALSE)</f>
        <v>#N/A</v>
      </c>
      <c r="I24" s="102" t="e">
        <f ca="1">VLOOKUP($G24, survey_codes_dict!A:D, 4, FALSE)</f>
        <v>#N/A</v>
      </c>
      <c r="J24" s="102" t="e">
        <f t="shared" ca="1" si="0"/>
        <v>#N/A</v>
      </c>
      <c r="K24" s="102" t="e">
        <f t="shared" ca="1" si="1"/>
        <v>#N/A</v>
      </c>
      <c r="L24" s="102"/>
      <c r="M24" s="102"/>
      <c r="N24" s="102"/>
      <c r="O24" s="102"/>
      <c r="P24" s="102"/>
      <c r="Q24" s="102"/>
      <c r="R24" s="102"/>
      <c r="S24" s="102"/>
    </row>
    <row r="25" spans="1:19" ht="72" x14ac:dyDescent="0.3">
      <c r="A25" t="s">
        <v>3311</v>
      </c>
      <c r="B25" t="s">
        <v>3357</v>
      </c>
      <c r="C25" s="90" t="s">
        <v>3358</v>
      </c>
      <c r="D25" t="s">
        <v>5562</v>
      </c>
      <c r="E25" s="101" t="s">
        <v>5696</v>
      </c>
      <c r="F25" t="str" cm="1">
        <f t="array" aca="1" ref="F25" ca="1">INDIRECT("'" &amp; A25 &amp; "'!" &amp; B25)</f>
        <v>v131</v>
      </c>
      <c r="G25" cm="1">
        <f t="array" aca="1" ref="G25" ca="1">INDIRECT("'" &amp; A25 &amp; "'!" &amp; ADDRESS(1, COLUMN(INDIRECT("'" &amp; A25 &amp; "'!" &amp; B25))))</f>
        <v>43556</v>
      </c>
      <c r="H25" t="e">
        <f ca="1">VLOOKUP($G25, survey_codes_dict!A:C, 2, FALSE)</f>
        <v>#N/A</v>
      </c>
      <c r="I25" s="102" t="e">
        <f ca="1">VLOOKUP($G25, survey_codes_dict!A:D, 4, FALSE)</f>
        <v>#N/A</v>
      </c>
      <c r="J25" s="102" t="e">
        <f t="shared" ca="1" si="0"/>
        <v>#N/A</v>
      </c>
      <c r="K25" s="102" t="e">
        <f t="shared" ca="1" si="1"/>
        <v>#N/A</v>
      </c>
      <c r="L25" s="102"/>
      <c r="M25" s="102"/>
      <c r="N25" s="102"/>
      <c r="O25" s="102"/>
      <c r="P25" s="102"/>
      <c r="Q25" s="102"/>
      <c r="R25" s="102"/>
      <c r="S25" s="101"/>
    </row>
    <row r="26" spans="1:19" ht="201.6" x14ac:dyDescent="0.3">
      <c r="A26" t="s">
        <v>3311</v>
      </c>
      <c r="B26" t="s">
        <v>3359</v>
      </c>
      <c r="C26" s="90" t="s">
        <v>3360</v>
      </c>
      <c r="D26" t="s">
        <v>5562</v>
      </c>
      <c r="E26" s="101" t="s">
        <v>5697</v>
      </c>
      <c r="F26" t="str" cm="1">
        <f t="array" aca="1" ref="F26" ca="1">INDIRECT("'" &amp; A26 &amp; "'!" &amp; B26)</f>
        <v>b33</v>
      </c>
      <c r="G26" cm="1">
        <f t="array" aca="1" ref="G26" ca="1">INDIRECT("'" &amp; A26 &amp; "'!" &amp; ADDRESS(1, COLUMN(INDIRECT("'" &amp; A26 &amp; "'!" &amp; B26))))</f>
        <v>2001</v>
      </c>
      <c r="H26" t="str">
        <f ca="1">VLOOKUP($G26, survey_codes_dict!A:C, 2, FALSE)</f>
        <v>2001</v>
      </c>
      <c r="I26" s="102" t="str">
        <f ca="1">VLOOKUP($G26, survey_codes_dict!A:D, 4, FALSE)</f>
        <v>1999_1</v>
      </c>
      <c r="J26" s="102" t="str">
        <f t="shared" ca="1" si="0"/>
        <v>2001__b33</v>
      </c>
      <c r="K26" s="102" t="str">
        <f t="shared" ca="1" si="1"/>
        <v>1999_1__b33</v>
      </c>
      <c r="L26" s="102"/>
      <c r="M26" s="102"/>
      <c r="N26" s="102"/>
      <c r="O26" s="102"/>
      <c r="P26" s="102"/>
      <c r="Q26" s="102"/>
      <c r="R26" s="102"/>
      <c r="S26" s="101"/>
    </row>
    <row r="27" spans="1:19" ht="115.2" x14ac:dyDescent="0.3">
      <c r="A27" t="s">
        <v>3311</v>
      </c>
      <c r="B27" t="s">
        <v>3361</v>
      </c>
      <c r="C27" s="90" t="s">
        <v>3362</v>
      </c>
      <c r="D27" t="s">
        <v>5562</v>
      </c>
      <c r="E27" s="101" t="s">
        <v>5698</v>
      </c>
      <c r="F27" t="str" cm="1">
        <f t="array" aca="1" ref="F27" ca="1">INDIRECT("'" &amp; A27 &amp; "'!" &amp; B27)</f>
        <v>b140</v>
      </c>
      <c r="G27" t="str" cm="1">
        <f t="array" aca="1" ref="G27" ca="1">INDIRECT("'" &amp; A27 &amp; "'!" &amp; ADDRESS(1, COLUMN(INDIRECT("'" &amp; A27 &amp; "'!" &amp; B27))))</f>
        <v>1981 - 3</v>
      </c>
      <c r="H27" t="str">
        <f ca="1">VLOOKUP($G27, survey_codes_dict!A:C, 2, FALSE)</f>
        <v>1981_3</v>
      </c>
      <c r="I27" s="102">
        <f ca="1">VLOOKUP($G27, survey_codes_dict!A:D, 4, FALSE)</f>
        <v>0</v>
      </c>
      <c r="J27" s="102" t="str">
        <f t="shared" ca="1" si="0"/>
        <v>1981_3__b140</v>
      </c>
      <c r="K27" s="102" t="str">
        <f t="shared" ca="1" si="1"/>
        <v>0__b140</v>
      </c>
      <c r="L27" s="102"/>
      <c r="M27" s="102"/>
      <c r="N27" s="102"/>
      <c r="O27" s="102"/>
      <c r="P27" s="102"/>
      <c r="Q27" s="102"/>
      <c r="R27" s="102"/>
      <c r="S27" s="101"/>
    </row>
    <row r="28" spans="1:19" ht="100.8" x14ac:dyDescent="0.3">
      <c r="A28" t="s">
        <v>3311</v>
      </c>
      <c r="B28" t="s">
        <v>3363</v>
      </c>
      <c r="C28" s="90" t="s">
        <v>3364</v>
      </c>
      <c r="D28" t="s">
        <v>5562</v>
      </c>
      <c r="E28" s="101" t="s">
        <v>5699</v>
      </c>
      <c r="F28" t="str" cm="1">
        <f t="array" aca="1" ref="F28" ca="1">INDIRECT("'" &amp; A28 &amp; "'!" &amp; B28)</f>
        <v>c45</v>
      </c>
      <c r="G28" t="str" cm="1">
        <f t="array" aca="1" ref="G28" ca="1">INDIRECT("'" &amp; A28 &amp; "'!" &amp; ADDRESS(1, COLUMN(INDIRECT("'" &amp; A28 &amp; "'!" &amp; B28))))</f>
        <v>1969 - 3</v>
      </c>
      <c r="H28" t="e">
        <f ca="1">VLOOKUP($G28, survey_codes_dict!A:C, 2, FALSE)</f>
        <v>#N/A</v>
      </c>
      <c r="I28" s="102" t="e">
        <f ca="1">VLOOKUP($G28, survey_codes_dict!A:D, 4, FALSE)</f>
        <v>#N/A</v>
      </c>
      <c r="J28" s="102" t="e">
        <f t="shared" ca="1" si="0"/>
        <v>#N/A</v>
      </c>
      <c r="K28" s="102" t="e">
        <f t="shared" ca="1" si="1"/>
        <v>#N/A</v>
      </c>
      <c r="L28" s="102"/>
      <c r="M28" s="102"/>
      <c r="N28" s="102"/>
      <c r="O28" s="102"/>
      <c r="P28" s="102"/>
      <c r="Q28" s="102"/>
      <c r="R28" s="102"/>
      <c r="S28" s="101"/>
    </row>
    <row r="29" spans="1:19" ht="28.8" x14ac:dyDescent="0.3">
      <c r="A29" t="s">
        <v>3311</v>
      </c>
      <c r="B29" t="s">
        <v>3365</v>
      </c>
      <c r="C29" s="90" t="s">
        <v>3354</v>
      </c>
      <c r="D29" t="s">
        <v>399</v>
      </c>
      <c r="E29" s="101" t="s">
        <v>5567</v>
      </c>
      <c r="F29" t="str" cm="1">
        <f t="array" aca="1" ref="F29" ca="1">INDIRECT("'" &amp; A29 &amp; "'!" &amp; B29)</f>
        <v>אם לא נולד בארץ, באיזו שנה עלית ארצה?</v>
      </c>
      <c r="G29" t="str" cm="1">
        <f t="array" aca="1" ref="G29" ca="1">INDIRECT("'" &amp; A29 &amp; "'!" &amp; ADDRESS(1, COLUMN(INDIRECT("'" &amp; A29 &amp; "'!" &amp; B29))))</f>
        <v>שאלה</v>
      </c>
      <c r="H29" t="e">
        <f ca="1">VLOOKUP($G29, survey_codes_dict!A:C, 2, FALSE)</f>
        <v>#N/A</v>
      </c>
      <c r="I29" s="102" t="e">
        <f ca="1">VLOOKUP($G29, survey_codes_dict!A:D, 4, FALSE)</f>
        <v>#N/A</v>
      </c>
      <c r="J29" s="102" t="e">
        <f t="shared" ca="1" si="0"/>
        <v>#N/A</v>
      </c>
      <c r="K29" s="102" t="e">
        <f t="shared" ca="1" si="1"/>
        <v>#N/A</v>
      </c>
      <c r="L29" s="102"/>
      <c r="M29" s="102"/>
      <c r="N29" s="102"/>
      <c r="O29" s="102"/>
      <c r="P29" s="102"/>
      <c r="Q29" s="102"/>
      <c r="R29" s="102"/>
      <c r="S29" s="102"/>
    </row>
    <row r="30" spans="1:19" ht="144" x14ac:dyDescent="0.3">
      <c r="A30" t="s">
        <v>3311</v>
      </c>
      <c r="B30" t="s">
        <v>3366</v>
      </c>
      <c r="C30" s="90" t="s">
        <v>3367</v>
      </c>
      <c r="D30" t="s">
        <v>5562</v>
      </c>
      <c r="E30" s="101" t="s">
        <v>5700</v>
      </c>
      <c r="F30" t="str" cm="1">
        <f t="array" aca="1" ref="F30" ca="1">INDIRECT("'" &amp; A30 &amp; "'!" &amp; B30)</f>
        <v>c49</v>
      </c>
      <c r="G30" t="str" cm="1">
        <f t="array" aca="1" ref="G30" ca="1">INDIRECT("'" &amp; A30 &amp; "'!" &amp; ADDRESS(1, COLUMN(INDIRECT("'" &amp; A30 &amp; "'!" &amp; B30))))</f>
        <v>1988*</v>
      </c>
      <c r="H30" t="str">
        <f ca="1">VLOOKUP($G30, survey_codes_dict!A:C, 2, FALSE)</f>
        <v>1988_N=873</v>
      </c>
      <c r="I30" s="102" t="str">
        <f ca="1">VLOOKUP($G30, survey_codes_dict!A:D, 4, FALSE)</f>
        <v>1988_Panel_N=416</v>
      </c>
      <c r="J30" s="102" t="str">
        <f t="shared" ca="1" si="0"/>
        <v>1988_N=873__c49</v>
      </c>
      <c r="K30" s="102" t="str">
        <f t="shared" ca="1" si="1"/>
        <v>1988_Panel_N=416__c49</v>
      </c>
      <c r="L30" s="102"/>
      <c r="M30" s="102"/>
      <c r="N30" s="102"/>
      <c r="O30" s="102"/>
      <c r="P30" s="102"/>
      <c r="Q30" s="102"/>
      <c r="R30" s="102"/>
      <c r="S30" s="101"/>
    </row>
    <row r="31" spans="1:19" ht="144" x14ac:dyDescent="0.3">
      <c r="A31" t="s">
        <v>3311</v>
      </c>
      <c r="B31" t="s">
        <v>3368</v>
      </c>
      <c r="C31" s="90" t="s">
        <v>3369</v>
      </c>
      <c r="D31" t="s">
        <v>5562</v>
      </c>
      <c r="E31" s="101" t="s">
        <v>5701</v>
      </c>
      <c r="F31" t="str" cm="1">
        <f t="array" aca="1" ref="F31" ca="1">INDIRECT("'" &amp; A31 &amp; "'!" &amp; B31)</f>
        <v>b141</v>
      </c>
      <c r="G31" t="str" cm="1">
        <f t="array" aca="1" ref="G31" ca="1">INDIRECT("'" &amp; A31 &amp; "'!" &amp; ADDRESS(1, COLUMN(INDIRECT("'" &amp; A31 &amp; "'!" &amp; B31))))</f>
        <v>1981 - 3</v>
      </c>
      <c r="H31" t="str">
        <f ca="1">VLOOKUP($G31, survey_codes_dict!A:C, 2, FALSE)</f>
        <v>1981_3</v>
      </c>
      <c r="I31" s="102">
        <f ca="1">VLOOKUP($G31, survey_codes_dict!A:D, 4, FALSE)</f>
        <v>0</v>
      </c>
      <c r="J31" s="102" t="str">
        <f t="shared" ca="1" si="0"/>
        <v>1981_3__b141</v>
      </c>
      <c r="K31" s="102" t="str">
        <f t="shared" ca="1" si="1"/>
        <v>0__b141</v>
      </c>
      <c r="L31" s="102"/>
      <c r="M31" s="102"/>
      <c r="N31" s="102"/>
      <c r="O31" s="102"/>
      <c r="P31" s="102"/>
      <c r="Q31" s="102"/>
      <c r="R31" s="102"/>
      <c r="S31" s="101"/>
    </row>
    <row r="32" spans="1:19" ht="28.8" x14ac:dyDescent="0.3">
      <c r="A32" t="s">
        <v>3311</v>
      </c>
      <c r="B32" t="s">
        <v>3370</v>
      </c>
      <c r="C32" s="90" t="s">
        <v>3354</v>
      </c>
      <c r="D32" t="s">
        <v>399</v>
      </c>
      <c r="E32" s="101" t="s">
        <v>5567</v>
      </c>
      <c r="F32" t="str" cm="1">
        <f t="array" aca="1" ref="F32" ca="1">INDIRECT("'" &amp; A32 &amp; "'!" &amp; B32)</f>
        <v>כיצד היית מגדיר את עצמך? (עדה)</v>
      </c>
      <c r="G32" t="str" cm="1">
        <f t="array" aca="1" ref="G32" ca="1">INDIRECT("'" &amp; A32 &amp; "'!" &amp; ADDRESS(1, COLUMN(INDIRECT("'" &amp; A32 &amp; "'!" &amp; B32))))</f>
        <v>שאלה</v>
      </c>
      <c r="H32" t="e">
        <f ca="1">VLOOKUP($G32, survey_codes_dict!A:C, 2, FALSE)</f>
        <v>#N/A</v>
      </c>
      <c r="I32" s="102" t="e">
        <f ca="1">VLOOKUP($G32, survey_codes_dict!A:D, 4, FALSE)</f>
        <v>#N/A</v>
      </c>
      <c r="J32" s="102" t="e">
        <f t="shared" ca="1" si="0"/>
        <v>#N/A</v>
      </c>
      <c r="K32" s="102" t="e">
        <f t="shared" ca="1" si="1"/>
        <v>#N/A</v>
      </c>
      <c r="L32" s="102"/>
      <c r="M32" s="102"/>
      <c r="N32" s="102"/>
      <c r="O32" s="102"/>
      <c r="P32" s="102"/>
      <c r="Q32" s="102"/>
      <c r="R32" s="102"/>
      <c r="S32" s="102"/>
    </row>
    <row r="33" spans="1:19" ht="72" x14ac:dyDescent="0.3">
      <c r="A33" t="s">
        <v>3311</v>
      </c>
      <c r="B33" t="s">
        <v>3371</v>
      </c>
      <c r="C33" s="90" t="s">
        <v>3372</v>
      </c>
      <c r="D33" t="s">
        <v>5562</v>
      </c>
      <c r="E33" s="101" t="s">
        <v>5702</v>
      </c>
      <c r="F33" t="str" cm="1">
        <f t="array" aca="1" ref="F33" ca="1">INDIRECT("'" &amp; A33 &amp; "'!" &amp; B33)</f>
        <v>v131</v>
      </c>
      <c r="G33" cm="1">
        <f t="array" aca="1" ref="G33" ca="1">INDIRECT("'" &amp; A33 &amp; "'!" &amp; ADDRESS(1, COLUMN(INDIRECT("'" &amp; A33 &amp; "'!" &amp; B33))))</f>
        <v>2022</v>
      </c>
      <c r="H33" t="e">
        <f ca="1">VLOOKUP($G33, survey_codes_dict!A:C, 2, FALSE)</f>
        <v>#N/A</v>
      </c>
      <c r="I33" s="102" t="e">
        <f ca="1">VLOOKUP($G33, survey_codes_dict!A:D, 4, FALSE)</f>
        <v>#N/A</v>
      </c>
      <c r="J33" s="102" t="e">
        <f t="shared" ca="1" si="0"/>
        <v>#N/A</v>
      </c>
      <c r="K33" s="102" t="e">
        <f t="shared" ca="1" si="1"/>
        <v>#N/A</v>
      </c>
      <c r="L33" s="102"/>
      <c r="M33" s="102"/>
      <c r="N33" s="102"/>
      <c r="O33" s="102"/>
      <c r="P33" s="102"/>
      <c r="Q33" s="102"/>
      <c r="R33" s="102"/>
      <c r="S33" s="101"/>
    </row>
    <row r="34" spans="1:19" ht="115.2" x14ac:dyDescent="0.3">
      <c r="A34" t="s">
        <v>3311</v>
      </c>
      <c r="B34" t="s">
        <v>3373</v>
      </c>
      <c r="C34" s="90" t="s">
        <v>3374</v>
      </c>
      <c r="D34" t="s">
        <v>5562</v>
      </c>
      <c r="E34" s="101" t="s">
        <v>5703</v>
      </c>
      <c r="F34" t="str" cm="1">
        <f t="array" aca="1" ref="F34" ca="1">INDIRECT("'" &amp; A34 &amp; "'!" &amp; B34)</f>
        <v>v135</v>
      </c>
      <c r="G34" cm="1">
        <f t="array" aca="1" ref="G34" ca="1">INDIRECT("'" &amp; A34 &amp; "'!" &amp; ADDRESS(1, COLUMN(INDIRECT("'" &amp; A34 &amp; "'!" &amp; B34))))</f>
        <v>2020</v>
      </c>
      <c r="H34" t="e">
        <f ca="1">VLOOKUP($G34, survey_codes_dict!A:C, 2, FALSE)</f>
        <v>#N/A</v>
      </c>
      <c r="I34" s="102" t="e">
        <f ca="1">VLOOKUP($G34, survey_codes_dict!A:D, 4, FALSE)</f>
        <v>#N/A</v>
      </c>
      <c r="J34" s="102" t="e">
        <f t="shared" ca="1" si="0"/>
        <v>#N/A</v>
      </c>
      <c r="K34" s="102" t="e">
        <f t="shared" ca="1" si="1"/>
        <v>#N/A</v>
      </c>
      <c r="L34" s="102"/>
      <c r="M34" s="102"/>
      <c r="N34" s="102"/>
      <c r="O34" s="102"/>
      <c r="P34" s="102"/>
      <c r="Q34" s="102"/>
      <c r="R34" s="102"/>
      <c r="S34" s="101"/>
    </row>
    <row r="35" spans="1:19" ht="57.6" x14ac:dyDescent="0.3">
      <c r="A35" t="s">
        <v>3311</v>
      </c>
      <c r="B35" t="s">
        <v>3375</v>
      </c>
      <c r="C35" s="90" t="s">
        <v>3376</v>
      </c>
      <c r="D35" t="s">
        <v>5562</v>
      </c>
      <c r="E35" s="101" t="s">
        <v>5704</v>
      </c>
      <c r="F35" t="str" cm="1">
        <f t="array" aca="1" ref="F35" ca="1">INDIRECT("'" &amp; A35 &amp; "'!" &amp; B35)</f>
        <v>ccc55</v>
      </c>
      <c r="G35" cm="1">
        <f t="array" aca="1" ref="G35" ca="1">INDIRECT("'" &amp; A35 &amp; "'!" &amp; ADDRESS(1, COLUMN(INDIRECT("'" &amp; A35 &amp; "'!" &amp; B35))))</f>
        <v>1996</v>
      </c>
      <c r="H35" t="str">
        <f ca="1">VLOOKUP($G35, survey_codes_dict!A:C, 2, FALSE)</f>
        <v>1996_Jews</v>
      </c>
      <c r="I35" s="102" t="str">
        <f ca="1">VLOOKUP($G35, survey_codes_dict!A:D, 4, FALSE)</f>
        <v>1992</v>
      </c>
      <c r="J35" s="102" t="str">
        <f t="shared" ca="1" si="0"/>
        <v>1996_Jews__ccc55</v>
      </c>
      <c r="K35" s="102" t="str">
        <f t="shared" ca="1" si="1"/>
        <v>1992__ccc55</v>
      </c>
      <c r="L35" s="102"/>
      <c r="M35" s="102"/>
      <c r="N35" s="102"/>
      <c r="O35" s="102"/>
      <c r="P35" s="102"/>
      <c r="Q35" s="102"/>
      <c r="R35" s="102"/>
      <c r="S35" s="101"/>
    </row>
    <row r="36" spans="1:19" ht="72" x14ac:dyDescent="0.3">
      <c r="A36" t="s">
        <v>3311</v>
      </c>
      <c r="B36" t="s">
        <v>3377</v>
      </c>
      <c r="C36" s="90" t="s">
        <v>3378</v>
      </c>
      <c r="D36" t="s">
        <v>5562</v>
      </c>
      <c r="E36" s="101" t="s">
        <v>5705</v>
      </c>
      <c r="F36" t="str" cm="1">
        <f t="array" aca="1" ref="F36" ca="1">INDIRECT("'" &amp; A36 &amp; "'!" &amp; B36)</f>
        <v>i51</v>
      </c>
      <c r="G36" cm="1">
        <f t="array" aca="1" ref="G36" ca="1">INDIRECT("'" &amp; A36 &amp; "'!" &amp; ADDRESS(1, COLUMN(INDIRECT("'" &amp; A36 &amp; "'!" &amp; B36))))</f>
        <v>1992</v>
      </c>
      <c r="H36" t="str">
        <f ca="1">VLOOKUP($G36, survey_codes_dict!A:C, 2, FALSE)</f>
        <v>1992</v>
      </c>
      <c r="I36" s="102" t="str">
        <f ca="1">VLOOKUP($G36, survey_codes_dict!A:D, 4, FALSE)</f>
        <v>1988_N=873</v>
      </c>
      <c r="J36" s="102" t="str">
        <f t="shared" ca="1" si="0"/>
        <v>1992__i51</v>
      </c>
      <c r="K36" s="102" t="str">
        <f t="shared" ca="1" si="1"/>
        <v>1988_N=873__i51</v>
      </c>
      <c r="L36" s="102"/>
      <c r="M36" s="102"/>
      <c r="N36" s="102"/>
      <c r="O36" s="102"/>
      <c r="P36" s="102"/>
      <c r="Q36" s="102"/>
      <c r="R36" s="102"/>
      <c r="S36" s="101"/>
    </row>
    <row r="37" spans="1:19" ht="57.6" x14ac:dyDescent="0.3">
      <c r="A37" t="s">
        <v>3311</v>
      </c>
      <c r="B37" t="s">
        <v>3379</v>
      </c>
      <c r="C37" s="90" t="s">
        <v>3376</v>
      </c>
      <c r="D37" t="s">
        <v>5562</v>
      </c>
      <c r="E37" s="101" t="s">
        <v>5704</v>
      </c>
      <c r="F37" t="str" cm="1">
        <f t="array" aca="1" ref="F37" ca="1">INDIRECT("'" &amp; A37 &amp; "'!" &amp; B37)</f>
        <v>a96</v>
      </c>
      <c r="G37" t="str" cm="1">
        <f t="array" aca="1" ref="G37" ca="1">INDIRECT("'" &amp; A37 &amp; "'!" &amp; ADDRESS(1, COLUMN(INDIRECT("'" &amp; A37 &amp; "'!" &amp; B37))))</f>
        <v>1987*</v>
      </c>
      <c r="H37" t="e">
        <f ca="1">VLOOKUP($G37, survey_codes_dict!A:C, 2, FALSE)</f>
        <v>#N/A</v>
      </c>
      <c r="I37" s="102" t="e">
        <f ca="1">VLOOKUP($G37, survey_codes_dict!A:D, 4, FALSE)</f>
        <v>#N/A</v>
      </c>
      <c r="J37" s="102" t="e">
        <f t="shared" ca="1" si="0"/>
        <v>#N/A</v>
      </c>
      <c r="K37" s="102" t="e">
        <f t="shared" ca="1" si="1"/>
        <v>#N/A</v>
      </c>
      <c r="L37" s="102"/>
      <c r="M37" s="102"/>
      <c r="N37" s="102"/>
      <c r="O37" s="102"/>
      <c r="P37" s="102"/>
      <c r="Q37" s="102"/>
      <c r="R37" s="102"/>
      <c r="S37" s="101"/>
    </row>
    <row r="38" spans="1:19" ht="72" x14ac:dyDescent="0.3">
      <c r="A38" t="s">
        <v>3311</v>
      </c>
      <c r="B38" t="s">
        <v>3380</v>
      </c>
      <c r="C38" s="90" t="s">
        <v>3378</v>
      </c>
      <c r="D38" t="s">
        <v>5562</v>
      </c>
      <c r="E38" s="101" t="s">
        <v>5705</v>
      </c>
      <c r="F38" t="str" cm="1">
        <f t="array" aca="1" ref="F38" ca="1">INDIRECT("'" &amp; A38 &amp; "'!" &amp; B38)</f>
        <v>c47</v>
      </c>
      <c r="G38" t="str" cm="1">
        <f t="array" aca="1" ref="G38" ca="1">INDIRECT("'" &amp; A38 &amp; "'!" &amp; ADDRESS(1, COLUMN(INDIRECT("'" &amp; A38 &amp; "'!" &amp; B38))))</f>
        <v>1988*</v>
      </c>
      <c r="H38" t="str">
        <f ca="1">VLOOKUP($G38, survey_codes_dict!A:C, 2, FALSE)</f>
        <v>1988_N=873</v>
      </c>
      <c r="I38" s="102" t="str">
        <f ca="1">VLOOKUP($G38, survey_codes_dict!A:D, 4, FALSE)</f>
        <v>1988_Panel_N=416</v>
      </c>
      <c r="J38" s="102" t="str">
        <f t="shared" ca="1" si="0"/>
        <v>1988_N=873__c47</v>
      </c>
      <c r="K38" s="102" t="str">
        <f t="shared" ca="1" si="1"/>
        <v>1988_Panel_N=416__c47</v>
      </c>
      <c r="L38" s="102"/>
      <c r="M38" s="102"/>
      <c r="N38" s="102"/>
      <c r="O38" s="102"/>
      <c r="P38" s="102"/>
      <c r="Q38" s="102"/>
      <c r="R38" s="102"/>
      <c r="S38" s="101"/>
    </row>
    <row r="39" spans="1:19" ht="57.6" x14ac:dyDescent="0.3">
      <c r="A39" t="s">
        <v>3311</v>
      </c>
      <c r="B39" t="s">
        <v>3381</v>
      </c>
      <c r="C39" s="90" t="s">
        <v>3376</v>
      </c>
      <c r="D39" t="s">
        <v>5562</v>
      </c>
      <c r="E39" s="101" t="s">
        <v>5704</v>
      </c>
      <c r="F39" t="str" cm="1">
        <f t="array" aca="1" ref="F39" ca="1">INDIRECT("'" &amp; A39 &amp; "'!" &amp; B39)</f>
        <v>a47</v>
      </c>
      <c r="G39" cm="1">
        <f t="array" aca="1" ref="G39" ca="1">INDIRECT("'" &amp; A39 &amp; "'!" &amp; ADDRESS(1, COLUMN(INDIRECT("'" &amp; A39 &amp; "'!" &amp; B39))))</f>
        <v>1984</v>
      </c>
      <c r="H39" t="str">
        <f ca="1">VLOOKUP($G39, survey_codes_dict!A:C, 2, FALSE)</f>
        <v>1984</v>
      </c>
      <c r="I39" s="102" t="str">
        <f ca="1">VLOOKUP($G39, survey_codes_dict!A:D, 4, FALSE)</f>
        <v>1981_3</v>
      </c>
      <c r="J39" s="102" t="str">
        <f t="shared" ca="1" si="0"/>
        <v>1984__a47</v>
      </c>
      <c r="K39" s="102" t="str">
        <f t="shared" ca="1" si="1"/>
        <v>1981_3__a47</v>
      </c>
      <c r="L39" s="102"/>
      <c r="M39" s="102"/>
      <c r="N39" s="102"/>
      <c r="O39" s="102"/>
      <c r="P39" s="102"/>
      <c r="Q39" s="102"/>
      <c r="R39" s="102"/>
      <c r="S39" s="101"/>
    </row>
    <row r="40" spans="1:19" ht="43.2" x14ac:dyDescent="0.3">
      <c r="A40" t="s">
        <v>3311</v>
      </c>
      <c r="B40" t="s">
        <v>3382</v>
      </c>
      <c r="C40" s="90" t="s">
        <v>3383</v>
      </c>
      <c r="D40" t="s">
        <v>5562</v>
      </c>
      <c r="E40" s="101" t="s">
        <v>5706</v>
      </c>
      <c r="F40" t="str" cm="1">
        <f t="array" aca="1" ref="F40" ca="1">INDIRECT("'" &amp; A40 &amp; "'!" &amp; B40)</f>
        <v>b37</v>
      </c>
      <c r="G40" cm="1">
        <f t="array" aca="1" ref="G40" ca="1">INDIRECT("'" &amp; A40 &amp; "'!" &amp; ADDRESS(1, COLUMN(INDIRECT("'" &amp; A40 &amp; "'!" &amp; B40))))</f>
        <v>2001</v>
      </c>
      <c r="H40" t="str">
        <f ca="1">VLOOKUP($G40, survey_codes_dict!A:C, 2, FALSE)</f>
        <v>2001</v>
      </c>
      <c r="I40" s="102" t="str">
        <f ca="1">VLOOKUP($G40, survey_codes_dict!A:D, 4, FALSE)</f>
        <v>1999_1</v>
      </c>
      <c r="J40" s="102" t="str">
        <f t="shared" ca="1" si="0"/>
        <v>2001__b37</v>
      </c>
      <c r="K40" s="102" t="str">
        <f t="shared" ca="1" si="1"/>
        <v>1999_1__b37</v>
      </c>
      <c r="L40" s="102"/>
      <c r="M40" s="102"/>
      <c r="N40" s="102"/>
      <c r="O40" s="102"/>
      <c r="P40" s="102"/>
      <c r="Q40" s="102"/>
      <c r="R40" s="102"/>
      <c r="S40" s="101"/>
    </row>
    <row r="41" spans="1:19" ht="72" x14ac:dyDescent="0.3">
      <c r="A41" t="s">
        <v>3311</v>
      </c>
      <c r="B41" t="s">
        <v>3384</v>
      </c>
      <c r="C41" s="90" t="s">
        <v>3385</v>
      </c>
      <c r="D41" t="s">
        <v>5562</v>
      </c>
      <c r="E41" s="101" t="s">
        <v>5707</v>
      </c>
      <c r="F41" t="str" cm="1">
        <f t="array" aca="1" ref="F41" ca="1">INDIRECT("'" &amp; A41 &amp; "'!" &amp; B41)</f>
        <v>v707a</v>
      </c>
      <c r="G41" cm="1">
        <f t="array" aca="1" ref="G41" ca="1">INDIRECT("'" &amp; A41 &amp; "'!" &amp; ADDRESS(1, COLUMN(INDIRECT("'" &amp; A41 &amp; "'!" &amp; B41))))</f>
        <v>2022</v>
      </c>
      <c r="H41" t="e">
        <f ca="1">VLOOKUP($G41, survey_codes_dict!A:C, 2, FALSE)</f>
        <v>#N/A</v>
      </c>
      <c r="I41" s="102" t="e">
        <f ca="1">VLOOKUP($G41, survey_codes_dict!A:D, 4, FALSE)</f>
        <v>#N/A</v>
      </c>
      <c r="J41" s="102" t="e">
        <f t="shared" ca="1" si="0"/>
        <v>#N/A</v>
      </c>
      <c r="K41" s="102" t="e">
        <f t="shared" ca="1" si="1"/>
        <v>#N/A</v>
      </c>
      <c r="L41" s="102"/>
      <c r="M41" s="102"/>
      <c r="N41" s="102"/>
      <c r="O41" s="102"/>
      <c r="P41" s="102"/>
      <c r="Q41" s="102"/>
      <c r="R41" s="102"/>
      <c r="S41" s="102"/>
    </row>
    <row r="42" spans="1:19" ht="86.4" x14ac:dyDescent="0.3">
      <c r="A42" t="s">
        <v>3311</v>
      </c>
      <c r="B42" t="s">
        <v>3386</v>
      </c>
      <c r="C42" s="90" t="s">
        <v>3387</v>
      </c>
      <c r="D42" t="s">
        <v>5562</v>
      </c>
      <c r="E42" s="101" t="s">
        <v>5708</v>
      </c>
      <c r="F42" t="str" cm="1">
        <f t="array" aca="1" ref="F42" ca="1">INDIRECT("'" &amp; A42 &amp; "'!" &amp; B42)</f>
        <v>v164</v>
      </c>
      <c r="G42" cm="1">
        <f t="array" aca="1" ref="G42" ca="1">INDIRECT("'" &amp; A42 &amp; "'!" &amp; ADDRESS(1, COLUMN(INDIRECT("'" &amp; A42 &amp; "'!" &amp; B42))))</f>
        <v>2009</v>
      </c>
      <c r="H42" t="e">
        <f ca="1">VLOOKUP($G42, survey_codes_dict!A:C, 2, FALSE)</f>
        <v>#N/A</v>
      </c>
      <c r="I42" s="102" t="e">
        <f ca="1">VLOOKUP($G42, survey_codes_dict!A:D, 4, FALSE)</f>
        <v>#N/A</v>
      </c>
      <c r="J42" s="102" t="e">
        <f t="shared" ca="1" si="0"/>
        <v>#N/A</v>
      </c>
      <c r="K42" s="102" t="e">
        <f t="shared" ca="1" si="1"/>
        <v>#N/A</v>
      </c>
      <c r="L42" s="102"/>
      <c r="M42" s="102"/>
      <c r="N42" s="102"/>
      <c r="O42" s="102"/>
      <c r="P42" s="102"/>
      <c r="Q42" s="102"/>
      <c r="R42" s="102"/>
      <c r="S42" s="102"/>
    </row>
    <row r="43" spans="1:19" ht="129.6" x14ac:dyDescent="0.3">
      <c r="A43" t="s">
        <v>3311</v>
      </c>
      <c r="B43" t="s">
        <v>3388</v>
      </c>
      <c r="C43" s="90" t="s">
        <v>3389</v>
      </c>
      <c r="D43" t="s">
        <v>5562</v>
      </c>
      <c r="E43" s="101" t="s">
        <v>5709</v>
      </c>
      <c r="F43" t="str" cm="1">
        <f t="array" aca="1" ref="F43" ca="1">INDIRECT("'" &amp; A43 &amp; "'!" &amp; B43)</f>
        <v>b29</v>
      </c>
      <c r="G43" cm="1">
        <f t="array" aca="1" ref="G43" ca="1">INDIRECT("'" &amp; A43 &amp; "'!" &amp; ADDRESS(1, COLUMN(INDIRECT("'" &amp; A43 &amp; "'!" &amp; B43))))</f>
        <v>2001</v>
      </c>
      <c r="H43" t="str">
        <f ca="1">VLOOKUP($G43, survey_codes_dict!A:C, 2, FALSE)</f>
        <v>2001</v>
      </c>
      <c r="I43" s="102" t="str">
        <f ca="1">VLOOKUP($G43, survey_codes_dict!A:D, 4, FALSE)</f>
        <v>1999_1</v>
      </c>
      <c r="J43" s="102" t="str">
        <f t="shared" ca="1" si="0"/>
        <v>2001__b29</v>
      </c>
      <c r="K43" s="102" t="str">
        <f t="shared" ca="1" si="1"/>
        <v>1999_1__b29</v>
      </c>
      <c r="L43" s="102"/>
      <c r="M43" s="102"/>
      <c r="N43" s="102"/>
      <c r="O43" s="102"/>
      <c r="P43" s="102"/>
      <c r="Q43" s="102"/>
      <c r="R43" s="102"/>
      <c r="S43" s="101"/>
    </row>
    <row r="44" spans="1:19" ht="72" x14ac:dyDescent="0.3">
      <c r="A44" t="s">
        <v>3311</v>
      </c>
      <c r="B44" t="s">
        <v>3390</v>
      </c>
      <c r="C44" s="90" t="s">
        <v>3391</v>
      </c>
      <c r="D44" t="s">
        <v>5562</v>
      </c>
      <c r="E44" s="101" t="s">
        <v>5710</v>
      </c>
      <c r="F44" t="str" cm="1">
        <f t="array" aca="1" ref="F44" ca="1">INDIRECT("'" &amp; A44 &amp; "'!" &amp; B44)</f>
        <v>c22</v>
      </c>
      <c r="G44" cm="1">
        <f t="array" aca="1" ref="G44" ca="1">INDIRECT("'" &amp; A44 &amp; "'!" &amp; ADDRESS(1, COLUMN(INDIRECT("'" &amp; A44 &amp; "'!" &amp; B44))))</f>
        <v>1999</v>
      </c>
      <c r="H44" t="str">
        <f ca="1">VLOOKUP($G44, survey_codes_dict!A:C, 2, FALSE)</f>
        <v>1999_1</v>
      </c>
      <c r="I44" s="102" t="str">
        <f ca="1">VLOOKUP($G44, survey_codes_dict!A:D, 4, FALSE)</f>
        <v>1996_Jews</v>
      </c>
      <c r="J44" s="102" t="str">
        <f t="shared" ca="1" si="0"/>
        <v>1999_1__c22</v>
      </c>
      <c r="K44" s="102" t="str">
        <f t="shared" ca="1" si="1"/>
        <v>1996_Jews__c22</v>
      </c>
      <c r="L44" s="102"/>
      <c r="M44" s="102"/>
      <c r="N44" s="102"/>
      <c r="O44" s="102"/>
      <c r="P44" s="102"/>
      <c r="Q44" s="102"/>
      <c r="R44" s="102"/>
      <c r="S44" s="101"/>
    </row>
    <row r="45" spans="1:19" ht="28.8" x14ac:dyDescent="0.3">
      <c r="A45" t="s">
        <v>3311</v>
      </c>
      <c r="B45" t="s">
        <v>3392</v>
      </c>
      <c r="C45" s="90" t="s">
        <v>3354</v>
      </c>
      <c r="D45" t="s">
        <v>399</v>
      </c>
      <c r="E45" s="101" t="s">
        <v>5567</v>
      </c>
      <c r="F45" t="str" cm="1">
        <f t="array" aca="1" ref="F45" ca="1">INDIRECT("'" &amp; A45 &amp; "'!" &amp; B45)</f>
        <v>האם למדת את לימודייך התיכוניים או העל-תיכוניים במסגרת דתית כלשהי?</v>
      </c>
      <c r="G45" t="str" cm="1">
        <f t="array" aca="1" ref="G45" ca="1">INDIRECT("'" &amp; A45 &amp; "'!" &amp; ADDRESS(1, COLUMN(INDIRECT("'" &amp; A45 &amp; "'!" &amp; B45))))</f>
        <v>שאלה</v>
      </c>
      <c r="H45" t="e">
        <f ca="1">VLOOKUP($G45, survey_codes_dict!A:C, 2, FALSE)</f>
        <v>#N/A</v>
      </c>
      <c r="I45" s="102" t="e">
        <f ca="1">VLOOKUP($G45, survey_codes_dict!A:D, 4, FALSE)</f>
        <v>#N/A</v>
      </c>
      <c r="J45" s="102" t="e">
        <f t="shared" ca="1" si="0"/>
        <v>#N/A</v>
      </c>
      <c r="K45" s="102" t="e">
        <f t="shared" ca="1" si="1"/>
        <v>#N/A</v>
      </c>
      <c r="L45" s="102"/>
      <c r="M45" s="102"/>
      <c r="N45" s="102"/>
      <c r="O45" s="102"/>
      <c r="P45" s="102"/>
      <c r="Q45" s="102"/>
      <c r="R45" s="102"/>
      <c r="S45" s="102"/>
    </row>
    <row r="46" spans="1:19" ht="43.2" x14ac:dyDescent="0.3">
      <c r="A46" t="s">
        <v>3311</v>
      </c>
      <c r="B46" t="s">
        <v>3393</v>
      </c>
      <c r="C46" s="90" t="s">
        <v>3394</v>
      </c>
      <c r="D46" t="s">
        <v>5562</v>
      </c>
      <c r="E46" s="101" t="s">
        <v>5711</v>
      </c>
      <c r="F46" t="str" cm="1">
        <f t="array" aca="1" ref="F46" ca="1">INDIRECT("'" &amp; A46 &amp; "'!" &amp; B46)</f>
        <v>v137</v>
      </c>
      <c r="G46" cm="1">
        <f t="array" aca="1" ref="G46" ca="1">INDIRECT("'" &amp; A46 &amp; "'!" &amp; ADDRESS(1, COLUMN(INDIRECT("'" &amp; A46 &amp; "'!" &amp; B46))))</f>
        <v>2020</v>
      </c>
      <c r="H46" t="e">
        <f ca="1">VLOOKUP($G46, survey_codes_dict!A:C, 2, FALSE)</f>
        <v>#N/A</v>
      </c>
      <c r="I46" s="102" t="e">
        <f ca="1">VLOOKUP($G46, survey_codes_dict!A:D, 4, FALSE)</f>
        <v>#N/A</v>
      </c>
      <c r="J46" s="102" t="e">
        <f t="shared" ca="1" si="0"/>
        <v>#N/A</v>
      </c>
      <c r="K46" s="102" t="e">
        <f t="shared" ca="1" si="1"/>
        <v>#N/A</v>
      </c>
      <c r="L46" s="102"/>
      <c r="M46" s="102"/>
      <c r="N46" s="102"/>
      <c r="O46" s="102"/>
      <c r="P46" s="102"/>
      <c r="Q46" s="102"/>
      <c r="R46" s="102"/>
      <c r="S46" s="101"/>
    </row>
    <row r="47" spans="1:19" ht="86.4" x14ac:dyDescent="0.3">
      <c r="A47" t="s">
        <v>3311</v>
      </c>
      <c r="B47" t="s">
        <v>3395</v>
      </c>
      <c r="C47" s="90" t="s">
        <v>3396</v>
      </c>
      <c r="D47" t="s">
        <v>5562</v>
      </c>
      <c r="E47" s="101" t="s">
        <v>5712</v>
      </c>
      <c r="F47" t="str" cm="1">
        <f t="array" aca="1" ref="F47" ca="1">INDIRECT("'" &amp; A47 &amp; "'!" &amp; B47)</f>
        <v xml:space="preserve">ההוצאה החודשית הממוצעת של משפחה בישראל היא כ-16,500 ₪. בהתחשב בכל ההוצאות של משפחתכם, האם אתם מוציאים: </v>
      </c>
      <c r="G47" t="str" cm="1">
        <f t="array" aca="1" ref="G47" ca="1">INDIRECT("'" &amp; A47 &amp; "'!" &amp; ADDRESS(1, COLUMN(INDIRECT("'" &amp; A47 &amp; "'!" &amp; B47))))</f>
        <v>שאלה</v>
      </c>
      <c r="H47" t="e">
        <f ca="1">VLOOKUP($G47, survey_codes_dict!A:C, 2, FALSE)</f>
        <v>#N/A</v>
      </c>
      <c r="I47" s="102" t="e">
        <f ca="1">VLOOKUP($G47, survey_codes_dict!A:D, 4, FALSE)</f>
        <v>#N/A</v>
      </c>
      <c r="J47" s="102" t="e">
        <f t="shared" ca="1" si="0"/>
        <v>#N/A</v>
      </c>
      <c r="K47" s="102" t="e">
        <f t="shared" ca="1" si="1"/>
        <v>#N/A</v>
      </c>
      <c r="L47" s="102"/>
      <c r="M47" s="102"/>
      <c r="N47" s="102"/>
      <c r="O47" s="102"/>
      <c r="P47" s="102"/>
      <c r="Q47" s="102"/>
      <c r="R47" s="102"/>
      <c r="S47" s="102"/>
    </row>
    <row r="48" spans="1:19" ht="86.4" x14ac:dyDescent="0.3">
      <c r="A48" t="s">
        <v>3311</v>
      </c>
      <c r="B48" t="s">
        <v>3397</v>
      </c>
      <c r="C48" s="90" t="s">
        <v>3398</v>
      </c>
      <c r="D48" t="s">
        <v>5562</v>
      </c>
      <c r="E48" s="101" t="s">
        <v>5713</v>
      </c>
      <c r="F48" t="str" cm="1">
        <f t="array" aca="1" ref="F48" ca="1">INDIRECT("'" &amp; A48 &amp; "'!" &amp; B48)</f>
        <v>v139</v>
      </c>
      <c r="G48" cm="1">
        <f t="array" aca="1" ref="G48" ca="1">INDIRECT("'" &amp; A48 &amp; "'!" &amp; ADDRESS(1, COLUMN(INDIRECT("'" &amp; A48 &amp; "'!" &amp; B48))))</f>
        <v>2020</v>
      </c>
      <c r="H48" t="e">
        <f ca="1">VLOOKUP($G48, survey_codes_dict!A:C, 2, FALSE)</f>
        <v>#N/A</v>
      </c>
      <c r="I48" s="102" t="e">
        <f ca="1">VLOOKUP($G48, survey_codes_dict!A:D, 4, FALSE)</f>
        <v>#N/A</v>
      </c>
      <c r="J48" s="102" t="e">
        <f t="shared" ca="1" si="0"/>
        <v>#N/A</v>
      </c>
      <c r="K48" s="102" t="e">
        <f t="shared" ca="1" si="1"/>
        <v>#N/A</v>
      </c>
      <c r="L48" s="102"/>
      <c r="M48" s="102"/>
      <c r="N48" s="102"/>
      <c r="O48" s="102"/>
      <c r="P48" s="102"/>
      <c r="Q48" s="102"/>
      <c r="R48" s="102"/>
      <c r="S48" s="101"/>
    </row>
    <row r="49" spans="1:19" ht="86.4" x14ac:dyDescent="0.3">
      <c r="A49" t="s">
        <v>3311</v>
      </c>
      <c r="B49" t="s">
        <v>3399</v>
      </c>
      <c r="C49" s="90" t="s">
        <v>3400</v>
      </c>
      <c r="D49" t="s">
        <v>5562</v>
      </c>
      <c r="E49" s="101" t="s">
        <v>5714</v>
      </c>
      <c r="F49" t="str" cm="1">
        <f t="array" aca="1" ref="F49" ca="1">INDIRECT("'" &amp; A49 &amp; "'!" &amp; B49)</f>
        <v>v184</v>
      </c>
      <c r="G49" cm="1">
        <f t="array" aca="1" ref="G49" ca="1">INDIRECT("'" &amp; A49 &amp; "'!" &amp; ADDRESS(1, COLUMN(INDIRECT("'" &amp; A49 &amp; "'!" &amp; B49))))</f>
        <v>2009</v>
      </c>
      <c r="H49" t="e">
        <f ca="1">VLOOKUP($G49, survey_codes_dict!A:C, 2, FALSE)</f>
        <v>#N/A</v>
      </c>
      <c r="I49" s="102" t="e">
        <f ca="1">VLOOKUP($G49, survey_codes_dict!A:D, 4, FALSE)</f>
        <v>#N/A</v>
      </c>
      <c r="J49" s="102" t="e">
        <f t="shared" ca="1" si="0"/>
        <v>#N/A</v>
      </c>
      <c r="K49" s="102" t="e">
        <f t="shared" ca="1" si="1"/>
        <v>#N/A</v>
      </c>
      <c r="L49" s="102"/>
      <c r="M49" s="102"/>
      <c r="N49" s="102"/>
      <c r="O49" s="102"/>
      <c r="P49" s="102"/>
      <c r="Q49" s="102"/>
      <c r="R49" s="102"/>
      <c r="S49" s="102"/>
    </row>
    <row r="50" spans="1:19" ht="86.4" x14ac:dyDescent="0.3">
      <c r="A50" t="s">
        <v>3311</v>
      </c>
      <c r="B50" t="s">
        <v>3401</v>
      </c>
      <c r="C50" s="90" t="s">
        <v>3398</v>
      </c>
      <c r="D50" t="s">
        <v>5562</v>
      </c>
      <c r="E50" s="101" t="s">
        <v>5713</v>
      </c>
      <c r="F50" t="str" cm="1">
        <f t="array" aca="1" ref="F50" ca="1">INDIRECT("'" &amp; A50 &amp; "'!" &amp; B50)</f>
        <v>a55</v>
      </c>
      <c r="G50" cm="1">
        <f t="array" aca="1" ref="G50" ca="1">INDIRECT("'" &amp; A50 &amp; "'!" &amp; ADDRESS(1, COLUMN(INDIRECT("'" &amp; A50 &amp; "'!" &amp; B50))))</f>
        <v>1984</v>
      </c>
      <c r="H50" t="str">
        <f ca="1">VLOOKUP($G50, survey_codes_dict!A:C, 2, FALSE)</f>
        <v>1984</v>
      </c>
      <c r="I50" s="102" t="str">
        <f ca="1">VLOOKUP($G50, survey_codes_dict!A:D, 4, FALSE)</f>
        <v>1981_3</v>
      </c>
      <c r="J50" s="102" t="str">
        <f t="shared" ca="1" si="0"/>
        <v>1984__a55</v>
      </c>
      <c r="K50" s="102" t="str">
        <f t="shared" ca="1" si="1"/>
        <v>1981_3__a55</v>
      </c>
      <c r="L50" s="102"/>
      <c r="M50" s="102"/>
      <c r="N50" s="102"/>
      <c r="O50" s="102"/>
      <c r="P50" s="102"/>
      <c r="Q50" s="102"/>
      <c r="R50" s="102"/>
      <c r="S50" s="101"/>
    </row>
    <row r="51" spans="1:19" ht="158.4" x14ac:dyDescent="0.3">
      <c r="A51" t="s">
        <v>3311</v>
      </c>
      <c r="B51" t="s">
        <v>3402</v>
      </c>
      <c r="C51" s="90" t="s">
        <v>3403</v>
      </c>
      <c r="D51" t="s">
        <v>5562</v>
      </c>
      <c r="E51" s="101" t="s">
        <v>5715</v>
      </c>
      <c r="F51" t="str" cm="1">
        <f t="array" aca="1" ref="F51" ca="1">INDIRECT("'" &amp; A51 &amp; "'!" &amp; B51)</f>
        <v>b158</v>
      </c>
      <c r="G51" t="str" cm="1">
        <f t="array" aca="1" ref="G51" ca="1">INDIRECT("'" &amp; A51 &amp; "'!" &amp; ADDRESS(1, COLUMN(INDIRECT("'" &amp; A51 &amp; "'!" &amp; B51))))</f>
        <v>1981 - 3</v>
      </c>
      <c r="H51" t="str">
        <f ca="1">VLOOKUP($G51, survey_codes_dict!A:C, 2, FALSE)</f>
        <v>1981_3</v>
      </c>
      <c r="I51" s="102">
        <f ca="1">VLOOKUP($G51, survey_codes_dict!A:D, 4, FALSE)</f>
        <v>0</v>
      </c>
      <c r="J51" s="102" t="str">
        <f t="shared" ca="1" si="0"/>
        <v>1981_3__b158</v>
      </c>
      <c r="K51" s="102" t="str">
        <f t="shared" ca="1" si="1"/>
        <v>0__b158</v>
      </c>
      <c r="L51" s="102"/>
      <c r="M51" s="102"/>
      <c r="N51" s="102"/>
      <c r="O51" s="102"/>
      <c r="P51" s="102"/>
      <c r="Q51" s="102"/>
      <c r="R51" s="102"/>
      <c r="S51" s="101"/>
    </row>
    <row r="52" spans="1:19" ht="144" x14ac:dyDescent="0.3">
      <c r="A52" t="s">
        <v>3311</v>
      </c>
      <c r="B52" t="s">
        <v>3404</v>
      </c>
      <c r="C52" s="90" t="s">
        <v>3405</v>
      </c>
      <c r="D52" t="s">
        <v>5562</v>
      </c>
      <c r="E52" s="101" t="s">
        <v>5716</v>
      </c>
      <c r="F52" t="str" cm="1">
        <f t="array" aca="1" ref="F52" ca="1">INDIRECT("'" &amp; A52 &amp; "'!" &amp; B52)</f>
        <v>b149</v>
      </c>
      <c r="G52" t="str" cm="1">
        <f t="array" aca="1" ref="G52" ca="1">INDIRECT("'" &amp; A52 &amp; "'!" &amp; ADDRESS(1, COLUMN(INDIRECT("'" &amp; A52 &amp; "'!" &amp; B52))))</f>
        <v>1981 - 3</v>
      </c>
      <c r="H52" t="str">
        <f ca="1">VLOOKUP($G52, survey_codes_dict!A:C, 2, FALSE)</f>
        <v>1981_3</v>
      </c>
      <c r="I52" s="102">
        <f ca="1">VLOOKUP($G52, survey_codes_dict!A:D, 4, FALSE)</f>
        <v>0</v>
      </c>
      <c r="J52" s="102" t="str">
        <f t="shared" ca="1" si="0"/>
        <v>1981_3__b149</v>
      </c>
      <c r="K52" s="102" t="str">
        <f t="shared" ca="1" si="1"/>
        <v>0__b149</v>
      </c>
      <c r="L52" s="102"/>
      <c r="M52" s="102"/>
      <c r="N52" s="102"/>
      <c r="O52" s="102"/>
      <c r="P52" s="102"/>
      <c r="Q52" s="102"/>
      <c r="R52" s="102"/>
      <c r="S52" s="101"/>
    </row>
    <row r="53" spans="1:19" ht="144" x14ac:dyDescent="0.3">
      <c r="A53" t="s">
        <v>3311</v>
      </c>
      <c r="B53" t="s">
        <v>3406</v>
      </c>
      <c r="C53" s="90" t="s">
        <v>3407</v>
      </c>
      <c r="D53" t="s">
        <v>5562</v>
      </c>
      <c r="E53" s="101" t="s">
        <v>5717</v>
      </c>
      <c r="F53" t="str" cm="1">
        <f t="array" aca="1" ref="F53" ca="1">INDIRECT("'" &amp; A53 &amp; "'!" &amp; B53)</f>
        <v>b151</v>
      </c>
      <c r="G53" t="str" cm="1">
        <f t="array" aca="1" ref="G53" ca="1">INDIRECT("'" &amp; A53 &amp; "'!" &amp; ADDRESS(1, COLUMN(INDIRECT("'" &amp; A53 &amp; "'!" &amp; B53))))</f>
        <v>1981 - 3</v>
      </c>
      <c r="H53" t="str">
        <f ca="1">VLOOKUP($G53, survey_codes_dict!A:C, 2, FALSE)</f>
        <v>1981_3</v>
      </c>
      <c r="I53" s="102">
        <f ca="1">VLOOKUP($G53, survey_codes_dict!A:D, 4, FALSE)</f>
        <v>0</v>
      </c>
      <c r="J53" s="102" t="str">
        <f t="shared" ca="1" si="0"/>
        <v>1981_3__b151</v>
      </c>
      <c r="K53" s="102" t="str">
        <f t="shared" ca="1" si="1"/>
        <v>0__b151</v>
      </c>
      <c r="L53" s="102"/>
      <c r="M53" s="102"/>
      <c r="N53" s="102"/>
      <c r="O53" s="102"/>
      <c r="P53" s="102"/>
      <c r="Q53" s="102"/>
      <c r="R53" s="102"/>
      <c r="S53" s="101"/>
    </row>
    <row r="54" spans="1:19" ht="28.8" x14ac:dyDescent="0.3">
      <c r="A54" t="s">
        <v>3311</v>
      </c>
      <c r="B54" t="s">
        <v>3408</v>
      </c>
      <c r="C54" s="90" t="s">
        <v>3409</v>
      </c>
      <c r="D54" t="s">
        <v>5660</v>
      </c>
      <c r="E54" s="101" t="s">
        <v>5568</v>
      </c>
      <c r="F54" t="str" cm="1">
        <f t="array" aca="1" ref="F54" ca="1">INDIRECT("'" &amp; A54 &amp; "'!" &amp; B54)</f>
        <v>c52</v>
      </c>
      <c r="G54" t="str" cm="1">
        <f t="array" aca="1" ref="G54" ca="1">INDIRECT("'" &amp; A54 &amp; "'!" &amp; ADDRESS(1, COLUMN(INDIRECT("'" &amp; A54 &amp; "'!" &amp; B54))))</f>
        <v>1969 - 3</v>
      </c>
      <c r="H54" t="e">
        <f ca="1">VLOOKUP($G54, survey_codes_dict!A:C, 2, FALSE)</f>
        <v>#N/A</v>
      </c>
      <c r="I54" s="102" t="e">
        <f ca="1">VLOOKUP($G54, survey_codes_dict!A:D, 4, FALSE)</f>
        <v>#N/A</v>
      </c>
      <c r="J54" s="102" t="e">
        <f t="shared" ca="1" si="0"/>
        <v>#N/A</v>
      </c>
      <c r="K54" s="102" t="e">
        <f t="shared" ca="1" si="1"/>
        <v>#N/A</v>
      </c>
      <c r="L54" s="102"/>
      <c r="M54" s="102"/>
      <c r="N54" s="102"/>
      <c r="O54" s="102"/>
      <c r="P54" s="102"/>
      <c r="Q54" s="102"/>
      <c r="R54" s="102"/>
      <c r="S54" s="101"/>
    </row>
    <row r="55" spans="1:19" ht="43.2" x14ac:dyDescent="0.3">
      <c r="A55" t="s">
        <v>3311</v>
      </c>
      <c r="B55" t="s">
        <v>3410</v>
      </c>
      <c r="C55" s="90" t="s">
        <v>3411</v>
      </c>
      <c r="D55" t="s">
        <v>5562</v>
      </c>
      <c r="E55" s="101" t="s">
        <v>5718</v>
      </c>
      <c r="F55" t="str" cm="1">
        <f t="array" aca="1" ref="F55" ca="1">INDIRECT("'" &amp; A55 &amp; "'!" &amp; B55)</f>
        <v>a57</v>
      </c>
      <c r="G55" cm="1">
        <f t="array" aca="1" ref="G55" ca="1">INDIRECT("'" &amp; A55 &amp; "'!" &amp; ADDRESS(1, COLUMN(INDIRECT("'" &amp; A55 &amp; "'!" &amp; B55))))</f>
        <v>1984</v>
      </c>
      <c r="H55" t="str">
        <f ca="1">VLOOKUP($G55, survey_codes_dict!A:C, 2, FALSE)</f>
        <v>1984</v>
      </c>
      <c r="I55" s="102" t="str">
        <f ca="1">VLOOKUP($G55, survey_codes_dict!A:D, 4, FALSE)</f>
        <v>1981_3</v>
      </c>
      <c r="J55" s="102" t="str">
        <f t="shared" ca="1" si="0"/>
        <v>1984__a57</v>
      </c>
      <c r="K55" s="102" t="str">
        <f t="shared" ca="1" si="1"/>
        <v>1981_3__a57</v>
      </c>
      <c r="L55" s="102"/>
      <c r="M55" s="102"/>
      <c r="N55" s="102"/>
      <c r="O55" s="102"/>
      <c r="P55" s="102"/>
      <c r="Q55" s="102"/>
      <c r="R55" s="102"/>
      <c r="S55" s="101"/>
    </row>
    <row r="56" spans="1:19" ht="86.4" x14ac:dyDescent="0.3">
      <c r="A56" t="s">
        <v>3311</v>
      </c>
      <c r="B56" t="s">
        <v>3412</v>
      </c>
      <c r="C56" s="90" t="s">
        <v>3413</v>
      </c>
      <c r="D56" t="s">
        <v>5562</v>
      </c>
      <c r="E56" s="101" t="s">
        <v>5719</v>
      </c>
      <c r="F56" t="str" cm="1">
        <f t="array" aca="1" ref="F56" ca="1">INDIRECT("'" &amp; A56 &amp; "'!" &amp; B56)</f>
        <v>c50</v>
      </c>
      <c r="G56" t="str" cm="1">
        <f t="array" aca="1" ref="G56" ca="1">INDIRECT("'" &amp; A56 &amp; "'!" &amp; ADDRESS(1, COLUMN(INDIRECT("'" &amp; A56 &amp; "'!" &amp; B56))))</f>
        <v>1969 - 3</v>
      </c>
      <c r="H56" t="e">
        <f ca="1">VLOOKUP($G56, survey_codes_dict!A:C, 2, FALSE)</f>
        <v>#N/A</v>
      </c>
      <c r="I56" s="102" t="e">
        <f ca="1">VLOOKUP($G56, survey_codes_dict!A:D, 4, FALSE)</f>
        <v>#N/A</v>
      </c>
      <c r="J56" s="102" t="e">
        <f t="shared" ca="1" si="0"/>
        <v>#N/A</v>
      </c>
      <c r="K56" s="102" t="e">
        <f t="shared" ca="1" si="1"/>
        <v>#N/A</v>
      </c>
      <c r="L56" s="102"/>
      <c r="M56" s="102"/>
      <c r="N56" s="102"/>
      <c r="O56" s="102"/>
      <c r="P56" s="102"/>
      <c r="Q56" s="102"/>
      <c r="R56" s="102"/>
      <c r="S56" s="101"/>
    </row>
    <row r="57" spans="1:19" ht="86.4" x14ac:dyDescent="0.3">
      <c r="A57" t="s">
        <v>3311</v>
      </c>
      <c r="B57" t="s">
        <v>3414</v>
      </c>
      <c r="C57" s="90" t="s">
        <v>3415</v>
      </c>
      <c r="D57" t="s">
        <v>5562</v>
      </c>
      <c r="E57" s="101" t="s">
        <v>5720</v>
      </c>
      <c r="F57" t="str" cm="1">
        <f t="array" aca="1" ref="F57" ca="1">INDIRECT("'" &amp; A57 &amp; "'!" &amp; B57)</f>
        <v>v143_code</v>
      </c>
      <c r="G57" cm="1">
        <f t="array" aca="1" ref="G57" ca="1">INDIRECT("'" &amp; A57 &amp; "'!" &amp; ADDRESS(1, COLUMN(INDIRECT("'" &amp; A57 &amp; "'!" &amp; B57))))</f>
        <v>2020</v>
      </c>
      <c r="H57" t="e">
        <f ca="1">VLOOKUP($G57, survey_codes_dict!A:C, 2, FALSE)</f>
        <v>#N/A</v>
      </c>
      <c r="I57" s="102" t="e">
        <f ca="1">VLOOKUP($G57, survey_codes_dict!A:D, 4, FALSE)</f>
        <v>#N/A</v>
      </c>
      <c r="J57" s="102" t="e">
        <f t="shared" ca="1" si="0"/>
        <v>#N/A</v>
      </c>
      <c r="K57" s="102" t="e">
        <f t="shared" ca="1" si="1"/>
        <v>#N/A</v>
      </c>
      <c r="L57" s="102"/>
      <c r="M57" s="102"/>
      <c r="N57" s="102"/>
      <c r="O57" s="102"/>
      <c r="P57" s="102"/>
      <c r="Q57" s="102"/>
      <c r="R57" s="102"/>
      <c r="S57" s="102"/>
    </row>
    <row r="58" spans="1:19" ht="72" x14ac:dyDescent="0.3">
      <c r="A58" t="s">
        <v>3311</v>
      </c>
      <c r="B58" t="s">
        <v>3416</v>
      </c>
      <c r="C58" s="90" t="s">
        <v>3417</v>
      </c>
      <c r="D58" t="s">
        <v>5562</v>
      </c>
      <c r="E58" s="101" t="s">
        <v>5721</v>
      </c>
      <c r="F58" t="str" cm="1">
        <f t="array" aca="1" ref="F58" ca="1">INDIRECT("'" &amp; A58 &amp; "'!" &amp; B58)</f>
        <v>b90</v>
      </c>
      <c r="G58" cm="1">
        <f t="array" aca="1" ref="G58" ca="1">INDIRECT("'" &amp; A58 &amp; "'!" &amp; ADDRESS(1, COLUMN(INDIRECT("'" &amp; A58 &amp; "'!" &amp; B58))))</f>
        <v>2003</v>
      </c>
      <c r="H58" t="str">
        <f ca="1">VLOOKUP($G58, survey_codes_dict!A:C, 2, FALSE)</f>
        <v>2003</v>
      </c>
      <c r="I58" s="102" t="str">
        <f ca="1">VLOOKUP($G58, survey_codes_dict!A:D, 4, FALSE)</f>
        <v>2001</v>
      </c>
      <c r="J58" s="102" t="str">
        <f t="shared" ca="1" si="0"/>
        <v>2003__b90</v>
      </c>
      <c r="K58" s="102" t="str">
        <f t="shared" ca="1" si="1"/>
        <v>2001__b90</v>
      </c>
      <c r="L58" s="102"/>
      <c r="M58" s="102"/>
      <c r="N58" s="102"/>
      <c r="O58" s="102"/>
      <c r="P58" s="102"/>
      <c r="Q58" s="102"/>
      <c r="R58" s="102"/>
      <c r="S58" s="101"/>
    </row>
    <row r="59" spans="1:19" ht="57.6" x14ac:dyDescent="0.3">
      <c r="A59" t="s">
        <v>3311</v>
      </c>
      <c r="B59" t="s">
        <v>3418</v>
      </c>
      <c r="C59" s="90" t="s">
        <v>3419</v>
      </c>
      <c r="D59" t="s">
        <v>5562</v>
      </c>
      <c r="E59" s="101" t="s">
        <v>5722</v>
      </c>
      <c r="F59" t="str" cm="1">
        <f t="array" aca="1" ref="F59" ca="1">INDIRECT("'" &amp; A59 &amp; "'!" &amp; B59)</f>
        <v>b28</v>
      </c>
      <c r="G59" cm="1">
        <f t="array" aca="1" ref="G59" ca="1">INDIRECT("'" &amp; A59 &amp; "'!" &amp; ADDRESS(1, COLUMN(INDIRECT("'" &amp; A59 &amp; "'!" &amp; B59))))</f>
        <v>2001</v>
      </c>
      <c r="H59" t="str">
        <f ca="1">VLOOKUP($G59, survey_codes_dict!A:C, 2, FALSE)</f>
        <v>2001</v>
      </c>
      <c r="I59" s="102" t="str">
        <f ca="1">VLOOKUP($G59, survey_codes_dict!A:D, 4, FALSE)</f>
        <v>1999_1</v>
      </c>
      <c r="J59" s="102" t="str">
        <f t="shared" ca="1" si="0"/>
        <v>2001__b28</v>
      </c>
      <c r="K59" s="102" t="str">
        <f t="shared" ca="1" si="1"/>
        <v>1999_1__b28</v>
      </c>
      <c r="L59" s="102"/>
      <c r="M59" s="102"/>
      <c r="N59" s="102"/>
      <c r="O59" s="102"/>
      <c r="P59" s="102"/>
      <c r="Q59" s="102"/>
      <c r="R59" s="102"/>
      <c r="S59" s="101"/>
    </row>
    <row r="60" spans="1:19" ht="86.4" x14ac:dyDescent="0.3">
      <c r="A60" t="s">
        <v>3311</v>
      </c>
      <c r="B60" t="s">
        <v>3420</v>
      </c>
      <c r="C60" s="90" t="s">
        <v>3421</v>
      </c>
      <c r="D60" t="s">
        <v>5562</v>
      </c>
      <c r="E60" s="101" t="s">
        <v>5723</v>
      </c>
      <c r="F60" t="str" cm="1">
        <f t="array" aca="1" ref="F60" ca="1">INDIRECT("'" &amp; A60 &amp; "'!" &amp; B60)</f>
        <v>v144</v>
      </c>
      <c r="G60" cm="1">
        <f t="array" aca="1" ref="G60" ca="1">INDIRECT("'" &amp; A60 &amp; "'!" &amp; ADDRESS(1, COLUMN(INDIRECT("'" &amp; A60 &amp; "'!" &amp; B60))))</f>
        <v>2020</v>
      </c>
      <c r="H60" t="e">
        <f ca="1">VLOOKUP($G60, survey_codes_dict!A:C, 2, FALSE)</f>
        <v>#N/A</v>
      </c>
      <c r="I60" s="102" t="e">
        <f ca="1">VLOOKUP($G60, survey_codes_dict!A:D, 4, FALSE)</f>
        <v>#N/A</v>
      </c>
      <c r="J60" s="102" t="e">
        <f t="shared" ca="1" si="0"/>
        <v>#N/A</v>
      </c>
      <c r="K60" s="102" t="e">
        <f t="shared" ca="1" si="1"/>
        <v>#N/A</v>
      </c>
      <c r="L60" s="102"/>
      <c r="M60" s="102"/>
      <c r="N60" s="102"/>
      <c r="O60" s="102"/>
      <c r="P60" s="102"/>
      <c r="Q60" s="102"/>
      <c r="R60" s="102"/>
      <c r="S60" s="101"/>
    </row>
    <row r="61" spans="1:19" ht="72" x14ac:dyDescent="0.3">
      <c r="A61" t="s">
        <v>3311</v>
      </c>
      <c r="B61" t="s">
        <v>3422</v>
      </c>
      <c r="C61" s="90" t="s">
        <v>3423</v>
      </c>
      <c r="D61" t="s">
        <v>5562</v>
      </c>
      <c r="E61" s="101" t="s">
        <v>5724</v>
      </c>
      <c r="F61" t="str" cm="1">
        <f t="array" aca="1" ref="F61" ca="1">INDIRECT("'" &amp; A61 &amp; "'!" &amp; B61)</f>
        <v>v150</v>
      </c>
      <c r="G61" cm="1">
        <f t="array" aca="1" ref="G61" ca="1">INDIRECT("'" &amp; A61 &amp; "'!" &amp; ADDRESS(1, COLUMN(INDIRECT("'" &amp; A61 &amp; "'!" &amp; B61))))</f>
        <v>2013</v>
      </c>
      <c r="H61" t="e">
        <f ca="1">VLOOKUP($G61, survey_codes_dict!A:C, 2, FALSE)</f>
        <v>#N/A</v>
      </c>
      <c r="I61" s="102" t="e">
        <f ca="1">VLOOKUP($G61, survey_codes_dict!A:D, 4, FALSE)</f>
        <v>#N/A</v>
      </c>
      <c r="J61" s="102" t="e">
        <f t="shared" ca="1" si="0"/>
        <v>#N/A</v>
      </c>
      <c r="K61" s="102" t="e">
        <f t="shared" ca="1" si="1"/>
        <v>#N/A</v>
      </c>
      <c r="L61" s="102"/>
      <c r="M61" s="102"/>
      <c r="N61" s="102"/>
      <c r="O61" s="102"/>
      <c r="P61" s="102"/>
      <c r="Q61" s="102"/>
      <c r="R61" s="102"/>
      <c r="S61" s="101"/>
    </row>
    <row r="62" spans="1:19" ht="100.8" x14ac:dyDescent="0.3">
      <c r="A62" t="s">
        <v>3311</v>
      </c>
      <c r="B62" t="s">
        <v>3424</v>
      </c>
      <c r="C62" s="90" t="s">
        <v>3425</v>
      </c>
      <c r="D62" t="s">
        <v>5562</v>
      </c>
      <c r="E62" s="101" t="s">
        <v>5725</v>
      </c>
      <c r="F62" t="str" cm="1">
        <f t="array" aca="1" ref="F62" ca="1">INDIRECT("'" &amp; A62 &amp; "'!" &amp; B62)</f>
        <v>v129</v>
      </c>
      <c r="G62" cm="1">
        <f t="array" aca="1" ref="G62" ca="1">INDIRECT("'" &amp; A62 &amp; "'!" &amp; ADDRESS(1, COLUMN(INDIRECT("'" &amp; A62 &amp; "'!" &amp; B62))))</f>
        <v>43556</v>
      </c>
      <c r="H62" t="e">
        <f ca="1">VLOOKUP($G62, survey_codes_dict!A:C, 2, FALSE)</f>
        <v>#N/A</v>
      </c>
      <c r="I62" s="102" t="e">
        <f ca="1">VLOOKUP($G62, survey_codes_dict!A:D, 4, FALSE)</f>
        <v>#N/A</v>
      </c>
      <c r="J62" s="102" t="e">
        <f t="shared" ca="1" si="0"/>
        <v>#N/A</v>
      </c>
      <c r="K62" s="102" t="e">
        <f t="shared" ca="1" si="1"/>
        <v>#N/A</v>
      </c>
      <c r="L62" s="102"/>
      <c r="M62" s="102"/>
      <c r="N62" s="102"/>
      <c r="O62" s="102"/>
      <c r="P62" s="102"/>
      <c r="Q62" s="102"/>
      <c r="R62" s="102"/>
      <c r="S62" s="101"/>
    </row>
    <row r="63" spans="1:19" ht="72" x14ac:dyDescent="0.3">
      <c r="A63" t="s">
        <v>3311</v>
      </c>
      <c r="B63" t="s">
        <v>3426</v>
      </c>
      <c r="C63" s="90" t="s">
        <v>3427</v>
      </c>
      <c r="D63" t="s">
        <v>5562</v>
      </c>
      <c r="E63" s="101" t="s">
        <v>5726</v>
      </c>
      <c r="F63" t="str" cm="1">
        <f t="array" aca="1" ref="F63" ca="1">INDIRECT("'" &amp; A63 &amp; "'!" &amp; B63)</f>
        <v>i54</v>
      </c>
      <c r="G63" cm="1">
        <f t="array" aca="1" ref="G63" ca="1">INDIRECT("'" &amp; A63 &amp; "'!" &amp; ADDRESS(1, COLUMN(INDIRECT("'" &amp; A63 &amp; "'!" &amp; B63))))</f>
        <v>1992</v>
      </c>
      <c r="H63" t="str">
        <f ca="1">VLOOKUP($G63, survey_codes_dict!A:C, 2, FALSE)</f>
        <v>1992</v>
      </c>
      <c r="I63" s="102" t="str">
        <f ca="1">VLOOKUP($G63, survey_codes_dict!A:D, 4, FALSE)</f>
        <v>1988_N=873</v>
      </c>
      <c r="J63" s="102" t="str">
        <f t="shared" ca="1" si="0"/>
        <v>1992__i54</v>
      </c>
      <c r="K63" s="102" t="str">
        <f t="shared" ca="1" si="1"/>
        <v>1988_N=873__i54</v>
      </c>
      <c r="L63" s="102"/>
      <c r="M63" s="102"/>
      <c r="N63" s="102"/>
      <c r="O63" s="102"/>
      <c r="P63" s="102"/>
      <c r="Q63" s="102"/>
      <c r="R63" s="102"/>
      <c r="S63" s="101"/>
    </row>
    <row r="64" spans="1:19" ht="144" x14ac:dyDescent="0.3">
      <c r="A64" t="s">
        <v>3311</v>
      </c>
      <c r="B64" t="s">
        <v>3428</v>
      </c>
      <c r="C64" s="90" t="s">
        <v>3429</v>
      </c>
      <c r="D64" t="s">
        <v>5562</v>
      </c>
      <c r="E64" s="101" t="s">
        <v>5727</v>
      </c>
      <c r="F64" t="str" cm="1">
        <f t="array" aca="1" ref="F64" ca="1">INDIRECT("'" &amp; A64 &amp; "'!" &amp; B64)</f>
        <v>b144</v>
      </c>
      <c r="G64" t="str" cm="1">
        <f t="array" aca="1" ref="G64" ca="1">INDIRECT("'" &amp; A64 &amp; "'!" &amp; ADDRESS(1, COLUMN(INDIRECT("'" &amp; A64 &amp; "'!" &amp; B64))))</f>
        <v>1981 - 3</v>
      </c>
      <c r="H64" t="str">
        <f ca="1">VLOOKUP($G64, survey_codes_dict!A:C, 2, FALSE)</f>
        <v>1981_3</v>
      </c>
      <c r="I64" s="102">
        <f ca="1">VLOOKUP($G64, survey_codes_dict!A:D, 4, FALSE)</f>
        <v>0</v>
      </c>
      <c r="J64" s="102" t="str">
        <f t="shared" ca="1" si="0"/>
        <v>1981_3__b144</v>
      </c>
      <c r="K64" s="102" t="str">
        <f t="shared" ca="1" si="1"/>
        <v>0__b144</v>
      </c>
      <c r="L64" s="102"/>
      <c r="M64" s="102"/>
      <c r="N64" s="102"/>
      <c r="O64" s="102"/>
      <c r="P64" s="102"/>
      <c r="Q64" s="102"/>
      <c r="R64" s="102"/>
      <c r="S64" s="101"/>
    </row>
    <row r="65" spans="1:19" ht="144" x14ac:dyDescent="0.3">
      <c r="A65" t="s">
        <v>3311</v>
      </c>
      <c r="B65" t="s">
        <v>3430</v>
      </c>
      <c r="C65" s="90" t="s">
        <v>3431</v>
      </c>
      <c r="D65" t="s">
        <v>5562</v>
      </c>
      <c r="E65" s="101" t="s">
        <v>5728</v>
      </c>
      <c r="F65" t="str" cm="1">
        <f t="array" aca="1" ref="F65" ca="1">INDIRECT("'" &amp; A65 &amp; "'!" &amp; B65)</f>
        <v>e18</v>
      </c>
      <c r="G65" t="str" cm="1">
        <f t="array" aca="1" ref="G65" ca="1">INDIRECT("'" &amp; A65 &amp; "'!" &amp; ADDRESS(1, COLUMN(INDIRECT("'" &amp; A65 &amp; "'!" &amp; B65))))</f>
        <v>1973 - 2</v>
      </c>
      <c r="H65" t="str">
        <f ca="1">VLOOKUP($G65, survey_codes_dict!A:C, 2, FALSE)</f>
        <v>1973_2</v>
      </c>
      <c r="I65" s="102" t="str">
        <f ca="1">VLOOKUP($G65, survey_codes_dict!A:D, 4, FALSE)</f>
        <v>1973_1</v>
      </c>
      <c r="J65" s="102" t="str">
        <f t="shared" ca="1" si="0"/>
        <v>1973_2__e18</v>
      </c>
      <c r="K65" s="102" t="str">
        <f t="shared" ca="1" si="1"/>
        <v>1973_1__e18</v>
      </c>
      <c r="L65" s="102"/>
      <c r="M65" s="102"/>
      <c r="N65" s="102"/>
      <c r="O65" s="102"/>
      <c r="P65" s="102"/>
      <c r="Q65" s="102"/>
      <c r="R65" s="102"/>
      <c r="S65" s="101"/>
    </row>
    <row r="66" spans="1:19" ht="43.2" x14ac:dyDescent="0.3">
      <c r="A66" t="s">
        <v>3311</v>
      </c>
      <c r="B66" t="s">
        <v>3432</v>
      </c>
      <c r="C66" s="90" t="s">
        <v>3433</v>
      </c>
      <c r="D66" t="s">
        <v>5562</v>
      </c>
      <c r="E66" s="101" t="s">
        <v>5729</v>
      </c>
      <c r="F66" t="str" cm="1">
        <f t="array" aca="1" ref="F66" ca="1">INDIRECT("'" &amp; A66 &amp; "'!" &amp; B66)</f>
        <v>c36</v>
      </c>
      <c r="G66" t="str" cm="1">
        <f t="array" aca="1" ref="G66" ca="1">INDIRECT("'" &amp; A66 &amp; "'!" &amp; ADDRESS(1, COLUMN(INDIRECT("'" &amp; A66 &amp; "'!" &amp; B66))))</f>
        <v>1969 - 3</v>
      </c>
      <c r="H66" t="e">
        <f ca="1">VLOOKUP($G66, survey_codes_dict!A:C, 2, FALSE)</f>
        <v>#N/A</v>
      </c>
      <c r="I66" s="102" t="e">
        <f ca="1">VLOOKUP($G66, survey_codes_dict!A:D, 4, FALSE)</f>
        <v>#N/A</v>
      </c>
      <c r="J66" s="102" t="e">
        <f t="shared" ref="J66:J129" ca="1" si="2">_xlfn.CONCAT($H66, "__", F66)</f>
        <v>#N/A</v>
      </c>
      <c r="K66" s="102" t="e">
        <f t="shared" ref="K66:K129" ca="1" si="3">_xlfn.CONCAT($I66, "__", F66)</f>
        <v>#N/A</v>
      </c>
      <c r="L66" s="102"/>
      <c r="M66" s="102"/>
      <c r="N66" s="102"/>
      <c r="O66" s="102"/>
      <c r="P66" s="102"/>
      <c r="Q66" s="102"/>
      <c r="R66" s="102"/>
      <c r="S66" s="101"/>
    </row>
    <row r="67" spans="1:19" ht="86.4" x14ac:dyDescent="0.3">
      <c r="A67" t="s">
        <v>3311</v>
      </c>
      <c r="B67" t="s">
        <v>3434</v>
      </c>
      <c r="C67" s="90" t="s">
        <v>3435</v>
      </c>
      <c r="D67" t="s">
        <v>5562</v>
      </c>
      <c r="E67" s="101" t="s">
        <v>5730</v>
      </c>
      <c r="F67" t="str" cm="1">
        <f t="array" aca="1" ref="F67" ca="1">INDIRECT("'" &amp; A67 &amp; "'!" &amp; B67)</f>
        <v>c81</v>
      </c>
      <c r="G67" t="str" cm="1">
        <f t="array" aca="1" ref="G67" ca="1">INDIRECT("'" &amp; A67 &amp; "'!" &amp; ADDRESS(1, COLUMN(INDIRECT("'" &amp; A67 &amp; "'!" &amp; B67))))</f>
        <v>1969 - 1</v>
      </c>
      <c r="H67" t="str">
        <f ca="1">VLOOKUP($G67, survey_codes_dict!A:C, 2, FALSE)</f>
        <v>1969_1</v>
      </c>
      <c r="I67" s="102">
        <f ca="1">VLOOKUP($G67, survey_codes_dict!A:D, 4, FALSE)</f>
        <v>0</v>
      </c>
      <c r="J67" s="102" t="str">
        <f t="shared" ca="1" si="2"/>
        <v>1969_1__c81</v>
      </c>
      <c r="K67" s="102" t="str">
        <f t="shared" ca="1" si="3"/>
        <v>0__c81</v>
      </c>
      <c r="L67" s="102"/>
      <c r="M67" s="102"/>
      <c r="N67" s="102"/>
      <c r="O67" s="102"/>
      <c r="P67" s="102"/>
      <c r="Q67" s="102"/>
      <c r="R67" s="102"/>
      <c r="S67" s="101"/>
    </row>
    <row r="68" spans="1:19" ht="115.2" x14ac:dyDescent="0.3">
      <c r="A68" t="s">
        <v>3311</v>
      </c>
      <c r="B68" t="s">
        <v>3436</v>
      </c>
      <c r="C68" s="90" t="s">
        <v>3437</v>
      </c>
      <c r="D68" t="s">
        <v>5562</v>
      </c>
      <c r="E68" s="101" t="s">
        <v>5731</v>
      </c>
      <c r="F68" t="str" cm="1">
        <f t="array" aca="1" ref="F68" ca="1">INDIRECT("'" &amp; A68 &amp; "'!" &amp; B68)</f>
        <v>v130</v>
      </c>
      <c r="G68" cm="1">
        <f t="array" aca="1" ref="G68" ca="1">INDIRECT("'" &amp; A68 &amp; "'!" &amp; ADDRESS(1, COLUMN(INDIRECT("'" &amp; A68 &amp; "'!" &amp; B68))))</f>
        <v>43556</v>
      </c>
      <c r="H68" t="e">
        <f ca="1">VLOOKUP($G68, survey_codes_dict!A:C, 2, FALSE)</f>
        <v>#N/A</v>
      </c>
      <c r="I68" s="102" t="e">
        <f ca="1">VLOOKUP($G68, survey_codes_dict!A:D, 4, FALSE)</f>
        <v>#N/A</v>
      </c>
      <c r="J68" s="102" t="e">
        <f t="shared" ca="1" si="2"/>
        <v>#N/A</v>
      </c>
      <c r="K68" s="102" t="e">
        <f t="shared" ca="1" si="3"/>
        <v>#N/A</v>
      </c>
      <c r="L68" s="102"/>
      <c r="M68" s="102"/>
      <c r="N68" s="102"/>
      <c r="O68" s="102"/>
      <c r="P68" s="102"/>
      <c r="Q68" s="102"/>
      <c r="R68" s="102"/>
      <c r="S68" s="101"/>
    </row>
    <row r="69" spans="1:19" ht="72" x14ac:dyDescent="0.3">
      <c r="A69" t="s">
        <v>3311</v>
      </c>
      <c r="B69" t="s">
        <v>3438</v>
      </c>
      <c r="C69" s="90" t="s">
        <v>3439</v>
      </c>
      <c r="D69" t="s">
        <v>5562</v>
      </c>
      <c r="E69" s="101" t="s">
        <v>5732</v>
      </c>
      <c r="F69" t="str" cm="1">
        <f t="array" aca="1" ref="F69" ca="1">INDIRECT("'" &amp; A69 &amp; "'!" &amp; B69)</f>
        <v>c21</v>
      </c>
      <c r="G69" cm="1">
        <f t="array" aca="1" ref="G69" ca="1">INDIRECT("'" &amp; A69 &amp; "'!" &amp; ADDRESS(1, COLUMN(INDIRECT("'" &amp; A69 &amp; "'!" &amp; B69))))</f>
        <v>1999</v>
      </c>
      <c r="H69" t="str">
        <f ca="1">VLOOKUP($G69, survey_codes_dict!A:C, 2, FALSE)</f>
        <v>1999_1</v>
      </c>
      <c r="I69" s="102" t="str">
        <f ca="1">VLOOKUP($G69, survey_codes_dict!A:D, 4, FALSE)</f>
        <v>1996_Jews</v>
      </c>
      <c r="J69" s="102" t="str">
        <f t="shared" ca="1" si="2"/>
        <v>1999_1__c21</v>
      </c>
      <c r="K69" s="102" t="str">
        <f t="shared" ca="1" si="3"/>
        <v>1996_Jews__c21</v>
      </c>
      <c r="L69" s="102"/>
      <c r="M69" s="102"/>
      <c r="N69" s="102"/>
      <c r="O69" s="102"/>
      <c r="P69" s="102"/>
      <c r="Q69" s="102"/>
      <c r="R69" s="102"/>
      <c r="S69" s="101"/>
    </row>
    <row r="70" spans="1:19" ht="43.2" x14ac:dyDescent="0.3">
      <c r="A70" t="s">
        <v>3311</v>
      </c>
      <c r="B70" t="s">
        <v>3440</v>
      </c>
      <c r="C70" s="90" t="s">
        <v>3383</v>
      </c>
      <c r="D70" t="s">
        <v>5562</v>
      </c>
      <c r="E70" s="101" t="s">
        <v>5706</v>
      </c>
      <c r="F70" t="str" cm="1">
        <f t="array" aca="1" ref="F70" ca="1">INDIRECT("'" &amp; A70 &amp; "'!" &amp; B70)</f>
        <v>b146</v>
      </c>
      <c r="G70" t="str" cm="1">
        <f t="array" aca="1" ref="G70" ca="1">INDIRECT("'" &amp; A70 &amp; "'!" &amp; ADDRESS(1, COLUMN(INDIRECT("'" &amp; A70 &amp; "'!" &amp; B70))))</f>
        <v>1981 - 3</v>
      </c>
      <c r="H70" t="str">
        <f ca="1">VLOOKUP($G70, survey_codes_dict!A:C, 2, FALSE)</f>
        <v>1981_3</v>
      </c>
      <c r="I70" s="102">
        <f ca="1">VLOOKUP($G70, survey_codes_dict!A:D, 4, FALSE)</f>
        <v>0</v>
      </c>
      <c r="J70" s="102" t="str">
        <f t="shared" ca="1" si="2"/>
        <v>1981_3__b146</v>
      </c>
      <c r="K70" s="102" t="str">
        <f t="shared" ca="1" si="3"/>
        <v>0__b146</v>
      </c>
      <c r="L70" s="102"/>
      <c r="M70" s="102"/>
      <c r="N70" s="102"/>
      <c r="O70" s="102"/>
      <c r="P70" s="102"/>
      <c r="Q70" s="102"/>
      <c r="R70" s="102"/>
      <c r="S70" s="101"/>
    </row>
    <row r="71" spans="1:19" ht="43.2" x14ac:dyDescent="0.3">
      <c r="A71" t="s">
        <v>3311</v>
      </c>
      <c r="B71" t="s">
        <v>3441</v>
      </c>
      <c r="C71" s="90" t="s">
        <v>3442</v>
      </c>
      <c r="D71" t="s">
        <v>5562</v>
      </c>
      <c r="E71" s="101" t="s">
        <v>5733</v>
      </c>
      <c r="F71" t="str" cm="1">
        <f t="array" aca="1" ref="F71" ca="1">INDIRECT("'" &amp; A71 &amp; "'!" &amp; B71)</f>
        <v>b147</v>
      </c>
      <c r="G71" t="str" cm="1">
        <f t="array" aca="1" ref="G71" ca="1">INDIRECT("'" &amp; A71 &amp; "'!" &amp; ADDRESS(1, COLUMN(INDIRECT("'" &amp; A71 &amp; "'!" &amp; B71))))</f>
        <v>1981 - 3</v>
      </c>
      <c r="H71" t="str">
        <f ca="1">VLOOKUP($G71, survey_codes_dict!A:C, 2, FALSE)</f>
        <v>1981_3</v>
      </c>
      <c r="I71" s="102">
        <f ca="1">VLOOKUP($G71, survey_codes_dict!A:D, 4, FALSE)</f>
        <v>0</v>
      </c>
      <c r="J71" s="102" t="str">
        <f t="shared" ca="1" si="2"/>
        <v>1981_3__b147</v>
      </c>
      <c r="K71" s="102" t="str">
        <f t="shared" ca="1" si="3"/>
        <v>0__b147</v>
      </c>
      <c r="L71" s="102"/>
      <c r="M71" s="102"/>
      <c r="N71" s="102"/>
      <c r="O71" s="102"/>
      <c r="P71" s="102"/>
      <c r="Q71" s="102"/>
      <c r="R71" s="102"/>
      <c r="S71" s="101"/>
    </row>
    <row r="72" spans="1:19" ht="86.4" x14ac:dyDescent="0.3">
      <c r="A72" t="s">
        <v>3311</v>
      </c>
      <c r="B72" t="s">
        <v>3443</v>
      </c>
      <c r="C72" s="90" t="s">
        <v>3444</v>
      </c>
      <c r="D72" t="s">
        <v>5562</v>
      </c>
      <c r="E72" s="101" t="s">
        <v>5734</v>
      </c>
      <c r="F72" t="str" cm="1">
        <f t="array" aca="1" ref="F72" ca="1">INDIRECT("'" &amp; A72 &amp; "'!" &amp; B72)</f>
        <v>b148</v>
      </c>
      <c r="G72" t="str" cm="1">
        <f t="array" aca="1" ref="G72" ca="1">INDIRECT("'" &amp; A72 &amp; "'!" &amp; ADDRESS(1, COLUMN(INDIRECT("'" &amp; A72 &amp; "'!" &amp; B72))))</f>
        <v>1981 - 3</v>
      </c>
      <c r="H72" t="str">
        <f ca="1">VLOOKUP($G72, survey_codes_dict!A:C, 2, FALSE)</f>
        <v>1981_3</v>
      </c>
      <c r="I72" s="102">
        <f ca="1">VLOOKUP($G72, survey_codes_dict!A:D, 4, FALSE)</f>
        <v>0</v>
      </c>
      <c r="J72" s="102" t="str">
        <f t="shared" ca="1" si="2"/>
        <v>1981_3__b148</v>
      </c>
      <c r="K72" s="102" t="str">
        <f t="shared" ca="1" si="3"/>
        <v>0__b148</v>
      </c>
      <c r="L72" s="102"/>
      <c r="M72" s="102"/>
      <c r="N72" s="102"/>
      <c r="O72" s="102"/>
      <c r="P72" s="102"/>
      <c r="Q72" s="102"/>
      <c r="R72" s="102"/>
      <c r="S72" s="101"/>
    </row>
    <row r="73" spans="1:19" ht="72" x14ac:dyDescent="0.3">
      <c r="A73" t="s">
        <v>3311</v>
      </c>
      <c r="B73" t="s">
        <v>3445</v>
      </c>
      <c r="C73" s="90" t="s">
        <v>3446</v>
      </c>
      <c r="D73" t="s">
        <v>5562</v>
      </c>
      <c r="E73" s="101" t="s">
        <v>5735</v>
      </c>
      <c r="F73" t="str" cm="1">
        <f t="array" aca="1" ref="F73" ca="1">INDIRECT("'" &amp; A73 &amp; "'!" &amp; B73)</f>
        <v>v132</v>
      </c>
      <c r="G73" cm="1">
        <f t="array" aca="1" ref="G73" ca="1">INDIRECT("'" &amp; A73 &amp; "'!" &amp; ADDRESS(1, COLUMN(INDIRECT("'" &amp; A73 &amp; "'!" &amp; B73))))</f>
        <v>43556</v>
      </c>
      <c r="H73" t="e">
        <f ca="1">VLOOKUP($G73, survey_codes_dict!A:C, 2, FALSE)</f>
        <v>#N/A</v>
      </c>
      <c r="I73" s="102" t="e">
        <f ca="1">VLOOKUP($G73, survey_codes_dict!A:D, 4, FALSE)</f>
        <v>#N/A</v>
      </c>
      <c r="J73" s="102" t="e">
        <f t="shared" ca="1" si="2"/>
        <v>#N/A</v>
      </c>
      <c r="K73" s="102" t="e">
        <f t="shared" ca="1" si="3"/>
        <v>#N/A</v>
      </c>
      <c r="L73" s="102"/>
      <c r="M73" s="102"/>
      <c r="N73" s="102"/>
      <c r="O73" s="102"/>
      <c r="P73" s="102"/>
      <c r="Q73" s="102"/>
      <c r="R73" s="102"/>
      <c r="S73" s="101"/>
    </row>
    <row r="74" spans="1:19" ht="57.6" x14ac:dyDescent="0.3">
      <c r="A74" t="s">
        <v>3311</v>
      </c>
      <c r="B74" t="s">
        <v>3447</v>
      </c>
      <c r="C74" s="90" t="s">
        <v>3448</v>
      </c>
      <c r="D74" t="s">
        <v>5562</v>
      </c>
      <c r="E74" s="101" t="s">
        <v>5736</v>
      </c>
      <c r="F74" t="str" cm="1">
        <f t="array" aca="1" ref="F74" ca="1">INDIRECT("'" &amp; A74 &amp; "'!" &amp; B74)</f>
        <v>v179</v>
      </c>
      <c r="G74" cm="1">
        <f t="array" aca="1" ref="G74" ca="1">INDIRECT("'" &amp; A74 &amp; "'!" &amp; ADDRESS(1, COLUMN(INDIRECT("'" &amp; A74 &amp; "'!" &amp; B74))))</f>
        <v>2009</v>
      </c>
      <c r="H74" t="e">
        <f ca="1">VLOOKUP($G74, survey_codes_dict!A:C, 2, FALSE)</f>
        <v>#N/A</v>
      </c>
      <c r="I74" s="102" t="e">
        <f ca="1">VLOOKUP($G74, survey_codes_dict!A:D, 4, FALSE)</f>
        <v>#N/A</v>
      </c>
      <c r="J74" s="102" t="e">
        <f t="shared" ca="1" si="2"/>
        <v>#N/A</v>
      </c>
      <c r="K74" s="102" t="e">
        <f t="shared" ca="1" si="3"/>
        <v>#N/A</v>
      </c>
      <c r="L74" s="102"/>
      <c r="M74" s="102"/>
      <c r="N74" s="102"/>
      <c r="O74" s="102"/>
      <c r="P74" s="102"/>
      <c r="Q74" s="102"/>
      <c r="R74" s="102"/>
      <c r="S74" s="102"/>
    </row>
    <row r="75" spans="1:19" ht="43.2" x14ac:dyDescent="0.3">
      <c r="A75" t="s">
        <v>3311</v>
      </c>
      <c r="B75" t="s">
        <v>3449</v>
      </c>
      <c r="C75" s="90" t="s">
        <v>3450</v>
      </c>
      <c r="D75" t="s">
        <v>5562</v>
      </c>
      <c r="E75" s="101" t="s">
        <v>5737</v>
      </c>
      <c r="F75" t="str" cm="1">
        <f t="array" aca="1" ref="F75" ca="1">INDIRECT("'" &amp; A75 &amp; "'!" &amp; B75)</f>
        <v>c69</v>
      </c>
      <c r="G75" cm="1">
        <f t="array" aca="1" ref="G75" ca="1">INDIRECT("'" &amp; A75 &amp; "'!" &amp; ADDRESS(1, COLUMN(INDIRECT("'" &amp; A75 &amp; "'!" &amp; B75))))</f>
        <v>2006</v>
      </c>
      <c r="H75" t="str">
        <f ca="1">VLOOKUP($G75, survey_codes_dict!A:C, 2, FALSE)</f>
        <v>2006</v>
      </c>
      <c r="I75" s="102" t="str">
        <f ca="1">VLOOKUP($G75, survey_codes_dict!A:D, 4, FALSE)</f>
        <v>2003</v>
      </c>
      <c r="J75" s="102" t="str">
        <f t="shared" ca="1" si="2"/>
        <v>2006__c69</v>
      </c>
      <c r="K75" s="102" t="str">
        <f t="shared" ca="1" si="3"/>
        <v>2003__c69</v>
      </c>
      <c r="L75" s="102"/>
      <c r="M75" s="102"/>
      <c r="N75" s="102"/>
      <c r="O75" s="102"/>
      <c r="P75" s="102"/>
      <c r="Q75" s="102"/>
      <c r="R75" s="102"/>
      <c r="S75" s="101"/>
    </row>
    <row r="76" spans="1:19" ht="144" x14ac:dyDescent="0.3">
      <c r="A76" t="s">
        <v>3311</v>
      </c>
      <c r="B76" t="s">
        <v>3451</v>
      </c>
      <c r="C76" s="90" t="s">
        <v>3352</v>
      </c>
      <c r="D76" t="s">
        <v>5562</v>
      </c>
      <c r="E76" s="101" t="s">
        <v>5694</v>
      </c>
      <c r="F76" t="str" cm="1">
        <f t="array" aca="1" ref="F76" ca="1">INDIRECT("'" &amp; A76 &amp; "'!" &amp; B76)</f>
        <v>c44</v>
      </c>
      <c r="G76" t="str" cm="1">
        <f t="array" aca="1" ref="G76" ca="1">INDIRECT("'" &amp; A76 &amp; "'!" &amp; ADDRESS(1, COLUMN(INDIRECT("'" &amp; A76 &amp; "'!" &amp; B76))))</f>
        <v>1969 - 3</v>
      </c>
      <c r="H76" t="e">
        <f ca="1">VLOOKUP($G76, survey_codes_dict!A:C, 2, FALSE)</f>
        <v>#N/A</v>
      </c>
      <c r="I76" s="102" t="e">
        <f ca="1">VLOOKUP($G76, survey_codes_dict!A:D, 4, FALSE)</f>
        <v>#N/A</v>
      </c>
      <c r="J76" s="102" t="e">
        <f t="shared" ca="1" si="2"/>
        <v>#N/A</v>
      </c>
      <c r="K76" s="102" t="e">
        <f t="shared" ca="1" si="3"/>
        <v>#N/A</v>
      </c>
      <c r="L76" s="102"/>
      <c r="M76" s="102"/>
      <c r="N76" s="102"/>
      <c r="O76" s="102"/>
      <c r="P76" s="102"/>
      <c r="Q76" s="102"/>
      <c r="R76" s="102"/>
      <c r="S76" s="101"/>
    </row>
    <row r="77" spans="1:19" ht="72" x14ac:dyDescent="0.3">
      <c r="A77" t="s">
        <v>3311</v>
      </c>
      <c r="B77" t="s">
        <v>3452</v>
      </c>
      <c r="C77" s="90" t="s">
        <v>3453</v>
      </c>
      <c r="D77" t="s">
        <v>5562</v>
      </c>
      <c r="E77" s="101" t="s">
        <v>5738</v>
      </c>
      <c r="F77" t="str" cm="1">
        <f t="array" aca="1" ref="F77" ca="1">INDIRECT("'" &amp; A77 &amp; "'!" &amp; B77)</f>
        <v>v180</v>
      </c>
      <c r="G77" cm="1">
        <f t="array" aca="1" ref="G77" ca="1">INDIRECT("'" &amp; A77 &amp; "'!" &amp; ADDRESS(1, COLUMN(INDIRECT("'" &amp; A77 &amp; "'!" &amp; B77))))</f>
        <v>2009</v>
      </c>
      <c r="H77" t="e">
        <f ca="1">VLOOKUP($G77, survey_codes_dict!A:C, 2, FALSE)</f>
        <v>#N/A</v>
      </c>
      <c r="I77" s="102" t="e">
        <f ca="1">VLOOKUP($G77, survey_codes_dict!A:D, 4, FALSE)</f>
        <v>#N/A</v>
      </c>
      <c r="J77" s="102" t="e">
        <f t="shared" ca="1" si="2"/>
        <v>#N/A</v>
      </c>
      <c r="K77" s="102" t="e">
        <f t="shared" ca="1" si="3"/>
        <v>#N/A</v>
      </c>
      <c r="L77" s="102"/>
      <c r="M77" s="102"/>
      <c r="N77" s="102"/>
      <c r="O77" s="102"/>
      <c r="P77" s="102"/>
      <c r="Q77" s="102"/>
      <c r="R77" s="102"/>
      <c r="S77" s="102"/>
    </row>
    <row r="78" spans="1:19" ht="43.2" x14ac:dyDescent="0.3">
      <c r="A78" t="s">
        <v>3311</v>
      </c>
      <c r="B78" t="s">
        <v>3454</v>
      </c>
      <c r="C78" s="90" t="s">
        <v>3450</v>
      </c>
      <c r="D78" t="s">
        <v>5562</v>
      </c>
      <c r="E78" s="101" t="s">
        <v>5737</v>
      </c>
      <c r="F78" t="str" cm="1">
        <f t="array" aca="1" ref="F78" ca="1">INDIRECT("'" &amp; A78 &amp; "'!" &amp; B78)</f>
        <v>c72</v>
      </c>
      <c r="G78" cm="1">
        <f t="array" aca="1" ref="G78" ca="1">INDIRECT("'" &amp; A78 &amp; "'!" &amp; ADDRESS(1, COLUMN(INDIRECT("'" &amp; A78 &amp; "'!" &amp; B78))))</f>
        <v>2006</v>
      </c>
      <c r="H78" t="str">
        <f ca="1">VLOOKUP($G78, survey_codes_dict!A:C, 2, FALSE)</f>
        <v>2006</v>
      </c>
      <c r="I78" s="102" t="str">
        <f ca="1">VLOOKUP($G78, survey_codes_dict!A:D, 4, FALSE)</f>
        <v>2003</v>
      </c>
      <c r="J78" s="102" t="str">
        <f t="shared" ca="1" si="2"/>
        <v>2006__c72</v>
      </c>
      <c r="K78" s="102" t="str">
        <f t="shared" ca="1" si="3"/>
        <v>2003__c72</v>
      </c>
      <c r="L78" s="102"/>
      <c r="M78" s="102"/>
      <c r="N78" s="102"/>
      <c r="O78" s="102"/>
      <c r="P78" s="102"/>
      <c r="Q78" s="102"/>
      <c r="R78" s="102"/>
      <c r="S78" s="101"/>
    </row>
    <row r="79" spans="1:19" ht="144" x14ac:dyDescent="0.3">
      <c r="A79" t="s">
        <v>3311</v>
      </c>
      <c r="B79" t="s">
        <v>3455</v>
      </c>
      <c r="C79" s="90" t="s">
        <v>3352</v>
      </c>
      <c r="D79" t="s">
        <v>5562</v>
      </c>
      <c r="E79" s="101" t="s">
        <v>5694</v>
      </c>
      <c r="F79" t="str" cm="1">
        <f t="array" aca="1" ref="F79" ca="1">INDIRECT("'" &amp; A79 &amp; "'!" &amp; B79)</f>
        <v>c47</v>
      </c>
      <c r="G79" t="str" cm="1">
        <f t="array" aca="1" ref="G79" ca="1">INDIRECT("'" &amp; A79 &amp; "'!" &amp; ADDRESS(1, COLUMN(INDIRECT("'" &amp; A79 &amp; "'!" &amp; B79))))</f>
        <v>1969 - 3</v>
      </c>
      <c r="H79" t="e">
        <f ca="1">VLOOKUP($G79, survey_codes_dict!A:C, 2, FALSE)</f>
        <v>#N/A</v>
      </c>
      <c r="I79" s="102" t="e">
        <f ca="1">VLOOKUP($G79, survey_codes_dict!A:D, 4, FALSE)</f>
        <v>#N/A</v>
      </c>
      <c r="J79" s="102" t="e">
        <f t="shared" ca="1" si="2"/>
        <v>#N/A</v>
      </c>
      <c r="K79" s="102" t="e">
        <f t="shared" ca="1" si="3"/>
        <v>#N/A</v>
      </c>
      <c r="L79" s="102"/>
      <c r="M79" s="102"/>
      <c r="N79" s="102"/>
      <c r="O79" s="102"/>
      <c r="P79" s="102"/>
      <c r="Q79" s="102"/>
      <c r="R79" s="102"/>
      <c r="S79" s="101"/>
    </row>
    <row r="80" spans="1:19" ht="43.2" x14ac:dyDescent="0.3">
      <c r="A80" t="s">
        <v>3311</v>
      </c>
      <c r="B80" t="s">
        <v>3456</v>
      </c>
      <c r="C80" s="90" t="s">
        <v>3383</v>
      </c>
      <c r="D80" t="s">
        <v>5562</v>
      </c>
      <c r="E80" s="101" t="s">
        <v>5706</v>
      </c>
      <c r="F80" t="str" cm="1">
        <f t="array" aca="1" ref="F80" ca="1">INDIRECT("'" &amp; A80 &amp; "'!" &amp; B80)</f>
        <v>c31</v>
      </c>
      <c r="G80" cm="1">
        <f t="array" aca="1" ref="G80" ca="1">INDIRECT("'" &amp; A80 &amp; "'!" &amp; ADDRESS(1, COLUMN(INDIRECT("'" &amp; A80 &amp; "'!" &amp; B80))))</f>
        <v>1999</v>
      </c>
      <c r="H80" t="str">
        <f ca="1">VLOOKUP($G80, survey_codes_dict!A:C, 2, FALSE)</f>
        <v>1999_1</v>
      </c>
      <c r="I80" s="102" t="str">
        <f ca="1">VLOOKUP($G80, survey_codes_dict!A:D, 4, FALSE)</f>
        <v>1996_Jews</v>
      </c>
      <c r="J80" s="102" t="str">
        <f t="shared" ca="1" si="2"/>
        <v>1999_1__c31</v>
      </c>
      <c r="K80" s="102" t="str">
        <f t="shared" ca="1" si="3"/>
        <v>1996_Jews__c31</v>
      </c>
      <c r="L80" s="102"/>
      <c r="M80" s="102"/>
      <c r="N80" s="102"/>
      <c r="O80" s="102"/>
      <c r="P80" s="102"/>
      <c r="Q80" s="102"/>
      <c r="R80" s="102"/>
      <c r="S80" s="101"/>
    </row>
    <row r="81" spans="1:19" ht="115.2" x14ac:dyDescent="0.3">
      <c r="A81" t="s">
        <v>3311</v>
      </c>
      <c r="B81" t="s">
        <v>3457</v>
      </c>
      <c r="C81" s="90" t="s">
        <v>3458</v>
      </c>
      <c r="D81" t="s">
        <v>5562</v>
      </c>
      <c r="E81" s="101" t="s">
        <v>5739</v>
      </c>
      <c r="F81" t="str" cm="1">
        <f t="array" aca="1" ref="F81" ca="1">INDIRECT("'" &amp; A81 &amp; "'!" &amp; B81)</f>
        <v>v130</v>
      </c>
      <c r="G81" cm="1">
        <f t="array" aca="1" ref="G81" ca="1">INDIRECT("'" &amp; A81 &amp; "'!" &amp; ADDRESS(1, COLUMN(INDIRECT("'" &amp; A81 &amp; "'!" &amp; B81))))</f>
        <v>2015</v>
      </c>
      <c r="H81" t="e">
        <f ca="1">VLOOKUP($G81, survey_codes_dict!A:C, 2, FALSE)</f>
        <v>#N/A</v>
      </c>
      <c r="I81" s="102" t="e">
        <f ca="1">VLOOKUP($G81, survey_codes_dict!A:D, 4, FALSE)</f>
        <v>#N/A</v>
      </c>
      <c r="J81" s="102" t="e">
        <f t="shared" ca="1" si="2"/>
        <v>#N/A</v>
      </c>
      <c r="K81" s="102" t="e">
        <f t="shared" ca="1" si="3"/>
        <v>#N/A</v>
      </c>
      <c r="L81" s="102"/>
      <c r="M81" s="102"/>
      <c r="N81" s="102"/>
      <c r="O81" s="102"/>
      <c r="P81" s="102"/>
      <c r="Q81" s="102"/>
      <c r="R81" s="102"/>
      <c r="S81" s="101"/>
    </row>
    <row r="82" spans="1:19" ht="86.4" x14ac:dyDescent="0.3">
      <c r="A82" t="s">
        <v>3311</v>
      </c>
      <c r="B82" t="s">
        <v>3459</v>
      </c>
      <c r="C82" s="90" t="s">
        <v>3460</v>
      </c>
      <c r="D82" t="s">
        <v>5562</v>
      </c>
      <c r="E82" s="101" t="s">
        <v>5740</v>
      </c>
      <c r="F82" t="str" cm="1">
        <f t="array" aca="1" ref="F82" ca="1">INDIRECT("'" &amp; A82 &amp; "'!" &amp; B82)</f>
        <v>c32</v>
      </c>
      <c r="G82" cm="1">
        <f t="array" aca="1" ref="G82" ca="1">INDIRECT("'" &amp; A82 &amp; "'!" &amp; ADDRESS(1, COLUMN(INDIRECT("'" &amp; A82 &amp; "'!" &amp; B82))))</f>
        <v>1999</v>
      </c>
      <c r="H82" t="str">
        <f ca="1">VLOOKUP($G82, survey_codes_dict!A:C, 2, FALSE)</f>
        <v>1999_1</v>
      </c>
      <c r="I82" s="102" t="str">
        <f ca="1">VLOOKUP($G82, survey_codes_dict!A:D, 4, FALSE)</f>
        <v>1996_Jews</v>
      </c>
      <c r="J82" s="102" t="str">
        <f t="shared" ca="1" si="2"/>
        <v>1999_1__c32</v>
      </c>
      <c r="K82" s="102" t="str">
        <f t="shared" ca="1" si="3"/>
        <v>1996_Jews__c32</v>
      </c>
      <c r="L82" s="102"/>
      <c r="M82" s="102"/>
      <c r="N82" s="102"/>
      <c r="O82" s="102"/>
      <c r="P82" s="102"/>
      <c r="Q82" s="102"/>
      <c r="R82" s="102"/>
      <c r="S82" s="101"/>
    </row>
    <row r="83" spans="1:19" ht="100.8" x14ac:dyDescent="0.3">
      <c r="A83" t="s">
        <v>3311</v>
      </c>
      <c r="B83" t="s">
        <v>3461</v>
      </c>
      <c r="C83" s="90" t="s">
        <v>3462</v>
      </c>
      <c r="D83" t="s">
        <v>5562</v>
      </c>
      <c r="E83" s="101" t="s">
        <v>5741</v>
      </c>
      <c r="F83" t="str" cm="1">
        <f t="array" aca="1" ref="F83" ca="1">INDIRECT("'" &amp; A83 &amp; "'!" &amp; B83)</f>
        <v>i66</v>
      </c>
      <c r="G83" cm="1">
        <f t="array" aca="1" ref="G83" ca="1">INDIRECT("'" &amp; A83 &amp; "'!" &amp; ADDRESS(1, COLUMN(INDIRECT("'" &amp; A83 &amp; "'!" &amp; B83))))</f>
        <v>1992</v>
      </c>
      <c r="H83" t="str">
        <f ca="1">VLOOKUP($G83, survey_codes_dict!A:C, 2, FALSE)</f>
        <v>1992</v>
      </c>
      <c r="I83" s="102" t="str">
        <f ca="1">VLOOKUP($G83, survey_codes_dict!A:D, 4, FALSE)</f>
        <v>1988_N=873</v>
      </c>
      <c r="J83" s="102" t="str">
        <f t="shared" ca="1" si="2"/>
        <v>1992__i66</v>
      </c>
      <c r="K83" s="102" t="str">
        <f t="shared" ca="1" si="3"/>
        <v>1988_N=873__i66</v>
      </c>
      <c r="L83" s="102"/>
      <c r="M83" s="102"/>
      <c r="N83" s="102"/>
      <c r="O83" s="102"/>
      <c r="P83" s="102"/>
      <c r="Q83" s="102"/>
      <c r="R83" s="102"/>
      <c r="S83" s="101"/>
    </row>
    <row r="84" spans="1:19" ht="115.2" x14ac:dyDescent="0.3">
      <c r="A84" t="s">
        <v>3311</v>
      </c>
      <c r="B84" t="s">
        <v>3463</v>
      </c>
      <c r="C84" s="90" t="s">
        <v>3464</v>
      </c>
      <c r="D84" t="s">
        <v>5562</v>
      </c>
      <c r="E84" s="101" t="s">
        <v>5742</v>
      </c>
      <c r="F84" t="str" cm="1">
        <f t="array" aca="1" ref="F84" ca="1">INDIRECT("'" &amp; A84 &amp; "'!" &amp; B84)</f>
        <v>b142</v>
      </c>
      <c r="G84" t="str" cm="1">
        <f t="array" aca="1" ref="G84" ca="1">INDIRECT("'" &amp; A84 &amp; "'!" &amp; ADDRESS(1, COLUMN(INDIRECT("'" &amp; A84 &amp; "'!" &amp; B84))))</f>
        <v>1981 - 3</v>
      </c>
      <c r="H84" t="str">
        <f ca="1">VLOOKUP($G84, survey_codes_dict!A:C, 2, FALSE)</f>
        <v>1981_3</v>
      </c>
      <c r="I84" s="102">
        <f ca="1">VLOOKUP($G84, survey_codes_dict!A:D, 4, FALSE)</f>
        <v>0</v>
      </c>
      <c r="J84" s="102" t="str">
        <f t="shared" ca="1" si="2"/>
        <v>1981_3__b142</v>
      </c>
      <c r="K84" s="102" t="str">
        <f t="shared" ca="1" si="3"/>
        <v>0__b142</v>
      </c>
      <c r="L84" s="102"/>
      <c r="M84" s="102"/>
      <c r="N84" s="102"/>
      <c r="O84" s="102"/>
      <c r="P84" s="102"/>
      <c r="Q84" s="102"/>
      <c r="R84" s="102"/>
      <c r="S84" s="101"/>
    </row>
    <row r="85" spans="1:19" ht="57.6" x14ac:dyDescent="0.3">
      <c r="A85" t="s">
        <v>3311</v>
      </c>
      <c r="B85" t="s">
        <v>3465</v>
      </c>
      <c r="C85" s="90" t="s">
        <v>3466</v>
      </c>
      <c r="D85" t="s">
        <v>5562</v>
      </c>
      <c r="E85" s="101" t="s">
        <v>5743</v>
      </c>
      <c r="F85" t="str" cm="1">
        <f t="array" aca="1" ref="F85" ca="1">INDIRECT("'" &amp; A85 &amp; "'!" &amp; B85)</f>
        <v>c27</v>
      </c>
      <c r="G85" t="str" cm="1">
        <f t="array" aca="1" ref="G85" ca="1">INDIRECT("'" &amp; A85 &amp; "'!" &amp; ADDRESS(1, COLUMN(INDIRECT("'" &amp; A85 &amp; "'!" &amp; B85))))</f>
        <v>1977 - 4</v>
      </c>
      <c r="H85" t="str">
        <f ca="1">VLOOKUP($G85, survey_codes_dict!A:C, 2, FALSE)</f>
        <v>1977_4</v>
      </c>
      <c r="I85" s="102" t="str">
        <f ca="1">VLOOKUP($G85, survey_codes_dict!A:D, 4, FALSE)</f>
        <v>1977_3</v>
      </c>
      <c r="J85" s="102" t="str">
        <f t="shared" ca="1" si="2"/>
        <v>1977_4__c27</v>
      </c>
      <c r="K85" s="102" t="str">
        <f t="shared" ca="1" si="3"/>
        <v>1977_3__c27</v>
      </c>
      <c r="L85" s="102"/>
      <c r="M85" s="102"/>
      <c r="N85" s="102"/>
      <c r="O85" s="102"/>
      <c r="P85" s="102"/>
      <c r="Q85" s="102"/>
      <c r="R85" s="102"/>
      <c r="S85" s="101"/>
    </row>
    <row r="86" spans="1:19" ht="129.6" x14ac:dyDescent="0.3">
      <c r="A86" t="s">
        <v>3311</v>
      </c>
      <c r="B86" t="s">
        <v>3467</v>
      </c>
      <c r="C86" s="90" t="s">
        <v>3468</v>
      </c>
      <c r="D86" t="s">
        <v>5562</v>
      </c>
      <c r="E86" s="101" t="s">
        <v>5744</v>
      </c>
      <c r="F86" t="str" cm="1">
        <f t="array" aca="1" ref="F86" ca="1">INDIRECT("'" &amp; A86 &amp; "'!" &amp; B86)</f>
        <v>b29</v>
      </c>
      <c r="G86" t="str" cm="1">
        <f t="array" aca="1" ref="G86" ca="1">INDIRECT("'" &amp; A86 &amp; "'!" &amp; ADDRESS(1, COLUMN(INDIRECT("'" &amp; A86 &amp; "'!" &amp; B86))))</f>
        <v>1973 - 1</v>
      </c>
      <c r="H86" t="str">
        <f ca="1">VLOOKUP($G86, survey_codes_dict!A:C, 2, FALSE)</f>
        <v>1973_1</v>
      </c>
      <c r="I86" s="102" t="str">
        <f ca="1">VLOOKUP($G86, survey_codes_dict!A:D, 4, FALSE)</f>
        <v>1969_2</v>
      </c>
      <c r="J86" s="102" t="str">
        <f t="shared" ca="1" si="2"/>
        <v>1973_1__b29</v>
      </c>
      <c r="K86" s="102" t="str">
        <f t="shared" ca="1" si="3"/>
        <v>1969_2__b29</v>
      </c>
      <c r="L86" s="102"/>
      <c r="M86" s="102"/>
      <c r="N86" s="102"/>
      <c r="O86" s="102"/>
      <c r="P86" s="102"/>
      <c r="Q86" s="102"/>
      <c r="R86" s="102"/>
      <c r="S86" s="101"/>
    </row>
    <row r="87" spans="1:19" ht="115.2" x14ac:dyDescent="0.3">
      <c r="A87" t="s">
        <v>3311</v>
      </c>
      <c r="B87" t="s">
        <v>3469</v>
      </c>
      <c r="C87" s="90" t="s">
        <v>3464</v>
      </c>
      <c r="D87" t="s">
        <v>5562</v>
      </c>
      <c r="E87" s="101" t="s">
        <v>5742</v>
      </c>
      <c r="F87" t="str" cm="1">
        <f t="array" aca="1" ref="F87" ca="1">INDIRECT("'" &amp; A87 &amp; "'!" &amp; B87)</f>
        <v>v140</v>
      </c>
      <c r="G87" t="str" cm="1">
        <f t="array" aca="1" ref="G87" ca="1">INDIRECT("'" &amp; A87 &amp; "'!" &amp; ADDRESS(1, COLUMN(INDIRECT("'" &amp; A87 &amp; "'!" &amp; B87))))</f>
        <v>1981 - 1</v>
      </c>
      <c r="H87" t="str">
        <f ca="1">VLOOKUP($G87, survey_codes_dict!A:C, 2, FALSE)</f>
        <v>1981_1</v>
      </c>
      <c r="I87" s="102" t="str">
        <f ca="1">VLOOKUP($G87, survey_codes_dict!A:D, 4, FALSE)</f>
        <v>1977_4</v>
      </c>
      <c r="J87" s="102" t="str">
        <f t="shared" ca="1" si="2"/>
        <v>1981_1__v140</v>
      </c>
      <c r="K87" s="102" t="str">
        <f t="shared" ca="1" si="3"/>
        <v>1977_4__v140</v>
      </c>
      <c r="L87" s="102"/>
      <c r="M87" s="102"/>
      <c r="N87" s="102"/>
      <c r="O87" s="102"/>
      <c r="P87" s="102"/>
      <c r="Q87" s="102"/>
      <c r="R87" s="102"/>
      <c r="S87" s="101"/>
    </row>
    <row r="88" spans="1:19" ht="72" x14ac:dyDescent="0.3">
      <c r="A88" t="s">
        <v>3311</v>
      </c>
      <c r="B88" t="s">
        <v>3470</v>
      </c>
      <c r="C88" s="90" t="s">
        <v>3471</v>
      </c>
      <c r="D88" t="s">
        <v>5562</v>
      </c>
      <c r="E88" s="101" t="s">
        <v>5745</v>
      </c>
      <c r="F88" t="str" cm="1">
        <f t="array" aca="1" ref="F88" ca="1">INDIRECT("'" &amp; A88 &amp; "'!" &amp; B88)</f>
        <v>c28</v>
      </c>
      <c r="G88" t="str" cm="1">
        <f t="array" aca="1" ref="G88" ca="1">INDIRECT("'" &amp; A88 &amp; "'!" &amp; ADDRESS(1, COLUMN(INDIRECT("'" &amp; A88 &amp; "'!" &amp; B88))))</f>
        <v>1977 - 4</v>
      </c>
      <c r="H88" t="str">
        <f ca="1">VLOOKUP($G88, survey_codes_dict!A:C, 2, FALSE)</f>
        <v>1977_4</v>
      </c>
      <c r="I88" s="102" t="str">
        <f ca="1">VLOOKUP($G88, survey_codes_dict!A:D, 4, FALSE)</f>
        <v>1977_3</v>
      </c>
      <c r="J88" s="102" t="str">
        <f t="shared" ca="1" si="2"/>
        <v>1977_4__c28</v>
      </c>
      <c r="K88" s="102" t="str">
        <f t="shared" ca="1" si="3"/>
        <v>1977_3__c28</v>
      </c>
      <c r="L88" s="102"/>
      <c r="M88" s="102"/>
      <c r="N88" s="102"/>
      <c r="O88" s="102"/>
      <c r="P88" s="102"/>
      <c r="Q88" s="102"/>
      <c r="R88" s="102"/>
      <c r="S88" s="101"/>
    </row>
    <row r="89" spans="1:19" ht="144" x14ac:dyDescent="0.3">
      <c r="A89" t="s">
        <v>3311</v>
      </c>
      <c r="B89" t="s">
        <v>3472</v>
      </c>
      <c r="C89" s="90" t="s">
        <v>3352</v>
      </c>
      <c r="D89" t="s">
        <v>5562</v>
      </c>
      <c r="E89" s="101" t="s">
        <v>5694</v>
      </c>
      <c r="F89" t="str" cm="1">
        <f t="array" aca="1" ref="F89" ca="1">INDIRECT("'" &amp; A89 &amp; "'!" &amp; B89)</f>
        <v>c54</v>
      </c>
      <c r="G89" t="str" cm="1">
        <f t="array" aca="1" ref="G89" ca="1">INDIRECT("'" &amp; A89 &amp; "'!" &amp; ADDRESS(1, COLUMN(INDIRECT("'" &amp; A89 &amp; "'!" &amp; B89))))</f>
        <v>1969 - 3</v>
      </c>
      <c r="H89" t="e">
        <f ca="1">VLOOKUP($G89, survey_codes_dict!A:C, 2, FALSE)</f>
        <v>#N/A</v>
      </c>
      <c r="I89" s="102" t="e">
        <f ca="1">VLOOKUP($G89, survey_codes_dict!A:D, 4, FALSE)</f>
        <v>#N/A</v>
      </c>
      <c r="J89" s="102" t="e">
        <f t="shared" ca="1" si="2"/>
        <v>#N/A</v>
      </c>
      <c r="K89" s="102" t="e">
        <f t="shared" ca="1" si="3"/>
        <v>#N/A</v>
      </c>
      <c r="L89" s="102"/>
      <c r="M89" s="102"/>
      <c r="N89" s="102"/>
      <c r="O89" s="102"/>
      <c r="P89" s="102"/>
      <c r="Q89" s="102"/>
      <c r="R89" s="102"/>
      <c r="S89" s="101"/>
    </row>
    <row r="90" spans="1:19" ht="129.6" x14ac:dyDescent="0.3">
      <c r="A90" t="s">
        <v>3311</v>
      </c>
      <c r="B90" t="s">
        <v>3473</v>
      </c>
      <c r="C90" s="90" t="s">
        <v>3474</v>
      </c>
      <c r="D90" t="s">
        <v>5562</v>
      </c>
      <c r="E90" s="101" t="s">
        <v>5746</v>
      </c>
      <c r="F90" t="str" cm="1">
        <f t="array" aca="1" ref="F90" ca="1">INDIRECT("'" &amp; A90 &amp; "'!" &amp; B90)</f>
        <v>c55</v>
      </c>
      <c r="G90" t="str" cm="1">
        <f t="array" aca="1" ref="G90" ca="1">INDIRECT("'" &amp; A90 &amp; "'!" &amp; ADDRESS(1, COLUMN(INDIRECT("'" &amp; A90 &amp; "'!" &amp; B90))))</f>
        <v>1969 - 3</v>
      </c>
      <c r="H90" t="e">
        <f ca="1">VLOOKUP($G90, survey_codes_dict!A:C, 2, FALSE)</f>
        <v>#N/A</v>
      </c>
      <c r="I90" s="102" t="e">
        <f ca="1">VLOOKUP($G90, survey_codes_dict!A:D, 4, FALSE)</f>
        <v>#N/A</v>
      </c>
      <c r="J90" s="102" t="e">
        <f t="shared" ca="1" si="2"/>
        <v>#N/A</v>
      </c>
      <c r="K90" s="102" t="e">
        <f t="shared" ca="1" si="3"/>
        <v>#N/A</v>
      </c>
      <c r="L90" s="102"/>
      <c r="M90" s="102"/>
      <c r="N90" s="102"/>
      <c r="O90" s="102"/>
      <c r="P90" s="102"/>
      <c r="Q90" s="102"/>
      <c r="R90" s="102"/>
      <c r="S90" s="101"/>
    </row>
    <row r="91" spans="1:19" ht="28.8" x14ac:dyDescent="0.3">
      <c r="A91" t="s">
        <v>3311</v>
      </c>
      <c r="B91" t="s">
        <v>3475</v>
      </c>
      <c r="C91" s="90" t="s">
        <v>3476</v>
      </c>
      <c r="D91" t="s">
        <v>399</v>
      </c>
      <c r="E91" s="101" t="s">
        <v>5569</v>
      </c>
      <c r="F91" t="str" cm="1">
        <f t="array" aca="1" ref="F91" ca="1">INDIRECT("'" &amp; A91 &amp; "'!" &amp; B91)</f>
        <v>האם אתה עובד במשרה מלאה או חלקית?</v>
      </c>
      <c r="G91" t="str" cm="1">
        <f t="array" aca="1" ref="G91" ca="1">INDIRECT("'" &amp; A91 &amp; "'!" &amp; ADDRESS(1, COLUMN(INDIRECT("'" &amp; A91 &amp; "'!" &amp; B91))))</f>
        <v>שאלה</v>
      </c>
      <c r="H91" t="e">
        <f ca="1">VLOOKUP($G91, survey_codes_dict!A:C, 2, FALSE)</f>
        <v>#N/A</v>
      </c>
      <c r="I91" s="102" t="e">
        <f ca="1">VLOOKUP($G91, survey_codes_dict!A:D, 4, FALSE)</f>
        <v>#N/A</v>
      </c>
      <c r="J91" s="102" t="e">
        <f t="shared" ca="1" si="2"/>
        <v>#N/A</v>
      </c>
      <c r="K91" s="102" t="e">
        <f t="shared" ca="1" si="3"/>
        <v>#N/A</v>
      </c>
      <c r="L91" s="102"/>
      <c r="M91" s="102"/>
      <c r="N91" s="102"/>
      <c r="O91" s="102"/>
      <c r="P91" s="102"/>
      <c r="Q91" s="102"/>
      <c r="R91" s="102"/>
      <c r="S91" s="102"/>
    </row>
    <row r="92" spans="1:19" ht="43.2" x14ac:dyDescent="0.3">
      <c r="A92" t="s">
        <v>3311</v>
      </c>
      <c r="B92" t="s">
        <v>3477</v>
      </c>
      <c r="C92" s="90" t="s">
        <v>3478</v>
      </c>
      <c r="D92" t="s">
        <v>5562</v>
      </c>
      <c r="E92" s="101" t="s">
        <v>5747</v>
      </c>
      <c r="F92" t="str" cm="1">
        <f t="array" aca="1" ref="F92" ca="1">INDIRECT("'" &amp; A92 &amp; "'!" &amp; B92)</f>
        <v>v131</v>
      </c>
      <c r="G92" cm="1">
        <f t="array" aca="1" ref="G92" ca="1">INDIRECT("'" &amp; A92 &amp; "'!" &amp; ADDRESS(1, COLUMN(INDIRECT("'" &amp; A92 &amp; "'!" &amp; B92))))</f>
        <v>2015</v>
      </c>
      <c r="H92" t="e">
        <f ca="1">VLOOKUP($G92, survey_codes_dict!A:C, 2, FALSE)</f>
        <v>#N/A</v>
      </c>
      <c r="I92" s="102" t="e">
        <f ca="1">VLOOKUP($G92, survey_codes_dict!A:D, 4, FALSE)</f>
        <v>#N/A</v>
      </c>
      <c r="J92" s="102" t="e">
        <f t="shared" ca="1" si="2"/>
        <v>#N/A</v>
      </c>
      <c r="K92" s="102" t="e">
        <f t="shared" ca="1" si="3"/>
        <v>#N/A</v>
      </c>
      <c r="L92" s="102"/>
      <c r="M92" s="102"/>
      <c r="N92" s="102"/>
      <c r="O92" s="102"/>
      <c r="P92" s="102"/>
      <c r="Q92" s="102"/>
      <c r="R92" s="102"/>
      <c r="S92" s="101"/>
    </row>
    <row r="93" spans="1:19" ht="216" x14ac:dyDescent="0.3">
      <c r="A93" t="s">
        <v>3311</v>
      </c>
      <c r="B93" t="s">
        <v>3479</v>
      </c>
      <c r="C93" s="90" t="s">
        <v>3480</v>
      </c>
      <c r="D93" t="s">
        <v>5562</v>
      </c>
      <c r="E93" s="101" t="s">
        <v>5748</v>
      </c>
      <c r="F93" t="str" cm="1">
        <f t="array" aca="1" ref="F93" ca="1">INDIRECT("'" &amp; A93 &amp; "'!" &amp; B93)</f>
        <v>h63</v>
      </c>
      <c r="G93" t="str" cm="1">
        <f t="array" aca="1" ref="G93" ca="1">INDIRECT("'" &amp; A93 &amp; "'!" &amp; ADDRESS(1, COLUMN(INDIRECT("'" &amp; A93 &amp; "'!" &amp; B93))))</f>
        <v>1973 - 5</v>
      </c>
      <c r="H93" t="str">
        <f ca="1">VLOOKUP($G93, survey_codes_dict!A:C, 2, FALSE)</f>
        <v>1973_5</v>
      </c>
      <c r="I93" s="102" t="str">
        <f ca="1">VLOOKUP($G93, survey_codes_dict!A:D, 4, FALSE)</f>
        <v>1973_4</v>
      </c>
      <c r="J93" s="102" t="str">
        <f t="shared" ca="1" si="2"/>
        <v>1973_5__h63</v>
      </c>
      <c r="K93" s="102" t="str">
        <f t="shared" ca="1" si="3"/>
        <v>1973_4__h63</v>
      </c>
      <c r="L93" s="102"/>
      <c r="M93" s="102"/>
      <c r="N93" s="102"/>
      <c r="O93" s="102"/>
      <c r="P93" s="102"/>
      <c r="Q93" s="102"/>
      <c r="R93" s="102"/>
      <c r="S93" s="101"/>
    </row>
    <row r="94" spans="1:19" ht="144" x14ac:dyDescent="0.3">
      <c r="A94" t="s">
        <v>3311</v>
      </c>
      <c r="B94" t="s">
        <v>3481</v>
      </c>
      <c r="C94" s="90" t="s">
        <v>3482</v>
      </c>
      <c r="D94" t="s">
        <v>5562</v>
      </c>
      <c r="E94" s="101" t="s">
        <v>5749</v>
      </c>
      <c r="F94" t="str" cm="1">
        <f t="array" aca="1" ref="F94" ca="1">INDIRECT("'" &amp; A94 &amp; "'!" &amp; B94)</f>
        <v>d24</v>
      </c>
      <c r="G94" t="str" cm="1">
        <f t="array" aca="1" ref="G94" ca="1">INDIRECT("'" &amp; A94 &amp; "'!" &amp; ADDRESS(1, COLUMN(INDIRECT("'" &amp; A94 &amp; "'!" &amp; B94))))</f>
        <v>1969 - 2</v>
      </c>
      <c r="H94" t="str">
        <f ca="1">VLOOKUP($G94, survey_codes_dict!A:C, 2, FALSE)</f>
        <v>1969_2</v>
      </c>
      <c r="I94" s="102" t="str">
        <f ca="1">VLOOKUP($G94, survey_codes_dict!A:D, 4, FALSE)</f>
        <v>1969_1</v>
      </c>
      <c r="J94" s="102" t="str">
        <f t="shared" ca="1" si="2"/>
        <v>1969_2__d24</v>
      </c>
      <c r="K94" s="102" t="str">
        <f t="shared" ca="1" si="3"/>
        <v>1969_1__d24</v>
      </c>
      <c r="L94" s="102"/>
      <c r="M94" s="102"/>
      <c r="N94" s="102"/>
      <c r="O94" s="102"/>
      <c r="P94" s="102"/>
      <c r="Q94" s="102"/>
      <c r="R94" s="102"/>
      <c r="S94" s="101"/>
    </row>
    <row r="95" spans="1:19" ht="43.2" x14ac:dyDescent="0.3">
      <c r="A95" t="s">
        <v>3311</v>
      </c>
      <c r="B95" t="s">
        <v>3483</v>
      </c>
      <c r="C95" s="90" t="s">
        <v>3484</v>
      </c>
      <c r="D95" t="s">
        <v>5562</v>
      </c>
      <c r="E95" s="101" t="s">
        <v>5750</v>
      </c>
      <c r="F95" t="str" cm="1">
        <f t="array" aca="1" ref="F95" ca="1">INDIRECT("'" &amp; A95 &amp; "'!" &amp; B95)</f>
        <v>v133</v>
      </c>
      <c r="G95" cm="1">
        <f t="array" aca="1" ref="G95" ca="1">INDIRECT("'" &amp; A95 &amp; "'!" &amp; ADDRESS(1, COLUMN(INDIRECT("'" &amp; A95 &amp; "'!" &amp; B95))))</f>
        <v>2015</v>
      </c>
      <c r="H95" t="e">
        <f ca="1">VLOOKUP($G95, survey_codes_dict!A:C, 2, FALSE)</f>
        <v>#N/A</v>
      </c>
      <c r="I95" s="102" t="e">
        <f ca="1">VLOOKUP($G95, survey_codes_dict!A:D, 4, FALSE)</f>
        <v>#N/A</v>
      </c>
      <c r="J95" s="102" t="e">
        <f t="shared" ca="1" si="2"/>
        <v>#N/A</v>
      </c>
      <c r="K95" s="102" t="e">
        <f t="shared" ca="1" si="3"/>
        <v>#N/A</v>
      </c>
      <c r="L95" s="102"/>
      <c r="M95" s="102"/>
      <c r="N95" s="102"/>
      <c r="O95" s="102"/>
      <c r="P95" s="102"/>
      <c r="Q95" s="102"/>
      <c r="R95" s="102"/>
      <c r="S95" s="101"/>
    </row>
    <row r="96" spans="1:19" ht="115.2" x14ac:dyDescent="0.3">
      <c r="A96" t="s">
        <v>3311</v>
      </c>
      <c r="B96" t="s">
        <v>3485</v>
      </c>
      <c r="C96" s="90" t="s">
        <v>3486</v>
      </c>
      <c r="D96" t="s">
        <v>5562</v>
      </c>
      <c r="E96" s="101" t="s">
        <v>5751</v>
      </c>
      <c r="F96" t="str" cm="1">
        <f t="array" aca="1" ref="F96" ca="1">INDIRECT("'" &amp; A96 &amp; "'!" &amp; B96)</f>
        <v>v185</v>
      </c>
      <c r="G96" cm="1">
        <f t="array" aca="1" ref="G96" ca="1">INDIRECT("'" &amp; A96 &amp; "'!" &amp; ADDRESS(1, COLUMN(INDIRECT("'" &amp; A96 &amp; "'!" &amp; B96))))</f>
        <v>2009</v>
      </c>
      <c r="H96" t="e">
        <f ca="1">VLOOKUP($G96, survey_codes_dict!A:C, 2, FALSE)</f>
        <v>#N/A</v>
      </c>
      <c r="I96" s="102" t="e">
        <f ca="1">VLOOKUP($G96, survey_codes_dict!A:D, 4, FALSE)</f>
        <v>#N/A</v>
      </c>
      <c r="J96" s="102" t="e">
        <f t="shared" ca="1" si="2"/>
        <v>#N/A</v>
      </c>
      <c r="K96" s="102" t="e">
        <f t="shared" ca="1" si="3"/>
        <v>#N/A</v>
      </c>
      <c r="L96" s="102"/>
      <c r="M96" s="102"/>
      <c r="N96" s="102"/>
      <c r="O96" s="102"/>
      <c r="P96" s="102"/>
      <c r="Q96" s="102"/>
      <c r="R96" s="102"/>
      <c r="S96" s="102"/>
    </row>
    <row r="97" spans="1:19" ht="72" x14ac:dyDescent="0.3">
      <c r="A97" t="s">
        <v>3311</v>
      </c>
      <c r="B97" t="s">
        <v>3487</v>
      </c>
      <c r="C97" s="90" t="s">
        <v>3488</v>
      </c>
      <c r="D97" t="s">
        <v>5562</v>
      </c>
      <c r="E97" s="101" t="s">
        <v>5752</v>
      </c>
      <c r="F97" t="str" cm="1">
        <f t="array" aca="1" ref="F97" ca="1">INDIRECT("'" &amp; A97 &amp; "'!" &amp; B97)</f>
        <v>v142</v>
      </c>
      <c r="G97" cm="1">
        <f t="array" aca="1" ref="G97" ca="1">INDIRECT("'" &amp; A97 &amp; "'!" &amp; ADDRESS(1, COLUMN(INDIRECT("'" &amp; A97 &amp; "'!" &amp; B97))))</f>
        <v>43556</v>
      </c>
      <c r="H97" t="e">
        <f ca="1">VLOOKUP($G97, survey_codes_dict!A:C, 2, FALSE)</f>
        <v>#N/A</v>
      </c>
      <c r="I97" s="102" t="e">
        <f ca="1">VLOOKUP($G97, survey_codes_dict!A:D, 4, FALSE)</f>
        <v>#N/A</v>
      </c>
      <c r="J97" s="102" t="e">
        <f t="shared" ca="1" si="2"/>
        <v>#N/A</v>
      </c>
      <c r="K97" s="102" t="e">
        <f t="shared" ca="1" si="3"/>
        <v>#N/A</v>
      </c>
      <c r="L97" s="102"/>
      <c r="M97" s="102"/>
      <c r="N97" s="102"/>
      <c r="O97" s="102"/>
      <c r="P97" s="102"/>
      <c r="Q97" s="102"/>
      <c r="R97" s="102"/>
      <c r="S97" s="101"/>
    </row>
    <row r="98" spans="1:19" ht="100.8" x14ac:dyDescent="0.3">
      <c r="A98" t="s">
        <v>3311</v>
      </c>
      <c r="B98" t="s">
        <v>3489</v>
      </c>
      <c r="C98" s="90" t="s">
        <v>3490</v>
      </c>
      <c r="D98" t="s">
        <v>5562</v>
      </c>
      <c r="E98" s="101" t="s">
        <v>5753</v>
      </c>
      <c r="F98" t="str" cm="1">
        <f t="array" aca="1" ref="F98" ca="1">INDIRECT("'" &amp; A98 &amp; "'!" &amp; B98)</f>
        <v>c59</v>
      </c>
      <c r="G98" t="str" cm="1">
        <f t="array" aca="1" ref="G98" ca="1">INDIRECT("'" &amp; A98 &amp; "'!" &amp; ADDRESS(1, COLUMN(INDIRECT("'" &amp; A98 &amp; "'!" &amp; B98))))</f>
        <v>1988*</v>
      </c>
      <c r="H98" t="str">
        <f ca="1">VLOOKUP($G98, survey_codes_dict!A:C, 2, FALSE)</f>
        <v>1988_N=873</v>
      </c>
      <c r="I98" s="102" t="str">
        <f ca="1">VLOOKUP($G98, survey_codes_dict!A:D, 4, FALSE)</f>
        <v>1988_Panel_N=416</v>
      </c>
      <c r="J98" s="102" t="str">
        <f t="shared" ca="1" si="2"/>
        <v>1988_N=873__c59</v>
      </c>
      <c r="K98" s="102" t="str">
        <f t="shared" ca="1" si="3"/>
        <v>1988_Panel_N=416__c59</v>
      </c>
      <c r="L98" s="102"/>
      <c r="M98" s="102"/>
      <c r="N98" s="102"/>
      <c r="O98" s="102"/>
      <c r="P98" s="102"/>
      <c r="Q98" s="102"/>
      <c r="R98" s="102"/>
      <c r="S98" s="101"/>
    </row>
    <row r="99" spans="1:19" ht="86.4" x14ac:dyDescent="0.3">
      <c r="A99" t="s">
        <v>3311</v>
      </c>
      <c r="B99" t="s">
        <v>3491</v>
      </c>
      <c r="C99" s="90" t="s">
        <v>3492</v>
      </c>
      <c r="D99" t="s">
        <v>5562</v>
      </c>
      <c r="E99" s="101" t="s">
        <v>5754</v>
      </c>
      <c r="F99" t="str" cm="1">
        <f t="array" aca="1" ref="F99" ca="1">INDIRECT("'" &amp; A99 &amp; "'!" &amp; B99)</f>
        <v>a56</v>
      </c>
      <c r="G99" cm="1">
        <f t="array" aca="1" ref="G99" ca="1">INDIRECT("'" &amp; A99 &amp; "'!" &amp; ADDRESS(1, COLUMN(INDIRECT("'" &amp; A99 &amp; "'!" &amp; B99))))</f>
        <v>1984</v>
      </c>
      <c r="H99" t="str">
        <f ca="1">VLOOKUP($G99, survey_codes_dict!A:C, 2, FALSE)</f>
        <v>1984</v>
      </c>
      <c r="I99" s="102" t="str">
        <f ca="1">VLOOKUP($G99, survey_codes_dict!A:D, 4, FALSE)</f>
        <v>1981_3</v>
      </c>
      <c r="J99" s="102" t="str">
        <f t="shared" ca="1" si="2"/>
        <v>1984__a56</v>
      </c>
      <c r="K99" s="102" t="str">
        <f t="shared" ca="1" si="3"/>
        <v>1981_3__a56</v>
      </c>
      <c r="L99" s="102"/>
      <c r="M99" s="102"/>
      <c r="N99" s="102"/>
      <c r="O99" s="102"/>
      <c r="P99" s="102"/>
      <c r="Q99" s="102"/>
      <c r="R99" s="102"/>
      <c r="S99" s="101"/>
    </row>
    <row r="100" spans="1:19" ht="115.2" x14ac:dyDescent="0.3">
      <c r="A100" t="s">
        <v>3311</v>
      </c>
      <c r="B100" t="s">
        <v>3493</v>
      </c>
      <c r="C100" s="90" t="s">
        <v>3494</v>
      </c>
      <c r="D100" t="s">
        <v>5562</v>
      </c>
      <c r="E100" s="101" t="s">
        <v>5755</v>
      </c>
      <c r="F100" t="str" cm="1">
        <f t="array" aca="1" ref="F100" ca="1">INDIRECT("'" &amp; A100 &amp; "'!" &amp; B100)</f>
        <v>c22</v>
      </c>
      <c r="G100" t="str" cm="1">
        <f t="array" aca="1" ref="G100" ca="1">INDIRECT("'" &amp; A100 &amp; "'!" &amp; ADDRESS(1, COLUMN(INDIRECT("'" &amp; A100 &amp; "'!" &amp; B100))))</f>
        <v>1969 - 3</v>
      </c>
      <c r="H100" t="e">
        <f ca="1">VLOOKUP($G100, survey_codes_dict!A:C, 2, FALSE)</f>
        <v>#N/A</v>
      </c>
      <c r="I100" s="102" t="e">
        <f ca="1">VLOOKUP($G100, survey_codes_dict!A:D, 4, FALSE)</f>
        <v>#N/A</v>
      </c>
      <c r="J100" s="102" t="e">
        <f t="shared" ca="1" si="2"/>
        <v>#N/A</v>
      </c>
      <c r="K100" s="102" t="e">
        <f t="shared" ca="1" si="3"/>
        <v>#N/A</v>
      </c>
      <c r="L100" s="102"/>
      <c r="M100" s="102"/>
      <c r="N100" s="102"/>
      <c r="O100" s="102"/>
      <c r="P100" s="102"/>
      <c r="Q100" s="102"/>
      <c r="R100" s="102"/>
      <c r="S100" s="101"/>
    </row>
    <row r="101" spans="1:19" ht="43.2" x14ac:dyDescent="0.3">
      <c r="A101" t="s">
        <v>3311</v>
      </c>
      <c r="B101" t="s">
        <v>3495</v>
      </c>
      <c r="C101" s="90" t="s">
        <v>3496</v>
      </c>
      <c r="D101" t="s">
        <v>5562</v>
      </c>
      <c r="E101" s="101" t="s">
        <v>5756</v>
      </c>
      <c r="F101" t="str" cm="1">
        <f t="array" aca="1" ref="F101" ca="1">INDIRECT("'" &amp; A101 &amp; "'!" &amp; B101)</f>
        <v>v112</v>
      </c>
      <c r="G101" cm="1">
        <f t="array" aca="1" ref="G101" ca="1">INDIRECT("'" &amp; A101 &amp; "'!" &amp; ADDRESS(1, COLUMN(INDIRECT("'" &amp; A101 &amp; "'!" &amp; B101))))</f>
        <v>2015</v>
      </c>
      <c r="H101" t="e">
        <f ca="1">VLOOKUP($G101, survey_codes_dict!A:C, 2, FALSE)</f>
        <v>#N/A</v>
      </c>
      <c r="I101" s="102" t="e">
        <f ca="1">VLOOKUP($G101, survey_codes_dict!A:D, 4, FALSE)</f>
        <v>#N/A</v>
      </c>
      <c r="J101" s="102" t="e">
        <f t="shared" ca="1" si="2"/>
        <v>#N/A</v>
      </c>
      <c r="K101" s="102" t="e">
        <f t="shared" ca="1" si="3"/>
        <v>#N/A</v>
      </c>
      <c r="L101" s="102"/>
      <c r="M101" s="102"/>
      <c r="N101" s="102"/>
      <c r="O101" s="102"/>
      <c r="P101" s="102"/>
      <c r="Q101" s="102"/>
      <c r="R101" s="102"/>
      <c r="S101" s="101"/>
    </row>
    <row r="102" spans="1:19" ht="43.2" x14ac:dyDescent="0.3">
      <c r="A102" t="s">
        <v>3311</v>
      </c>
      <c r="B102" t="s">
        <v>3497</v>
      </c>
      <c r="C102" s="90" t="s">
        <v>3498</v>
      </c>
      <c r="D102" t="s">
        <v>5562</v>
      </c>
      <c r="E102" s="101" t="s">
        <v>5757</v>
      </c>
      <c r="F102" t="str" cm="1">
        <f t="array" aca="1" ref="F102" ca="1">INDIRECT("'" &amp; A102 &amp; "'!" &amp; B102)</f>
        <v>v127</v>
      </c>
      <c r="G102" cm="1">
        <f t="array" aca="1" ref="G102" ca="1">INDIRECT("'" &amp; A102 &amp; "'!" &amp; ADDRESS(1, COLUMN(INDIRECT("'" &amp; A102 &amp; "'!" &amp; B102))))</f>
        <v>2013</v>
      </c>
      <c r="H102" t="e">
        <f ca="1">VLOOKUP($G102, survey_codes_dict!A:C, 2, FALSE)</f>
        <v>#N/A</v>
      </c>
      <c r="I102" s="102" t="e">
        <f ca="1">VLOOKUP($G102, survey_codes_dict!A:D, 4, FALSE)</f>
        <v>#N/A</v>
      </c>
      <c r="J102" s="102" t="e">
        <f t="shared" ca="1" si="2"/>
        <v>#N/A</v>
      </c>
      <c r="K102" s="102" t="e">
        <f t="shared" ca="1" si="3"/>
        <v>#N/A</v>
      </c>
      <c r="L102" s="102"/>
      <c r="M102" s="102"/>
      <c r="N102" s="102"/>
      <c r="O102" s="102"/>
      <c r="P102" s="102"/>
      <c r="Q102" s="102"/>
      <c r="R102" s="102"/>
      <c r="S102" s="101"/>
    </row>
    <row r="103" spans="1:19" ht="72" x14ac:dyDescent="0.3">
      <c r="A103" t="s">
        <v>3311</v>
      </c>
      <c r="B103" t="s">
        <v>3499</v>
      </c>
      <c r="C103" s="90" t="s">
        <v>3500</v>
      </c>
      <c r="D103" t="s">
        <v>5562</v>
      </c>
      <c r="E103" s="101" t="s">
        <v>5758</v>
      </c>
      <c r="F103" t="str" cm="1">
        <f t="array" aca="1" ref="F103" ca="1">INDIRECT("'" &amp; A103 &amp; "'!" &amp; B103)</f>
        <v>a102</v>
      </c>
      <c r="G103" t="str" cm="1">
        <f t="array" aca="1" ref="G103" ca="1">INDIRECT("'" &amp; A103 &amp; "'!" &amp; ADDRESS(1, COLUMN(INDIRECT("'" &amp; A103 &amp; "'!" &amp; B103))))</f>
        <v>1987*</v>
      </c>
      <c r="H103" t="e">
        <f ca="1">VLOOKUP($G103, survey_codes_dict!A:C, 2, FALSE)</f>
        <v>#N/A</v>
      </c>
      <c r="I103" s="102" t="e">
        <f ca="1">VLOOKUP($G103, survey_codes_dict!A:D, 4, FALSE)</f>
        <v>#N/A</v>
      </c>
      <c r="J103" s="102" t="e">
        <f t="shared" ca="1" si="2"/>
        <v>#N/A</v>
      </c>
      <c r="K103" s="102" t="e">
        <f t="shared" ca="1" si="3"/>
        <v>#N/A</v>
      </c>
      <c r="L103" s="102"/>
      <c r="M103" s="102"/>
      <c r="N103" s="102"/>
      <c r="O103" s="102"/>
      <c r="P103" s="102"/>
      <c r="Q103" s="102"/>
      <c r="R103" s="102"/>
      <c r="S103" s="101"/>
    </row>
    <row r="104" spans="1:19" ht="28.8" x14ac:dyDescent="0.3">
      <c r="A104" t="s">
        <v>3311</v>
      </c>
      <c r="B104" t="s">
        <v>3501</v>
      </c>
      <c r="C104" s="90" t="s">
        <v>3502</v>
      </c>
      <c r="D104" t="s">
        <v>399</v>
      </c>
      <c r="E104" s="101" t="s">
        <v>5570</v>
      </c>
      <c r="F104" t="str" cm="1">
        <f t="array" aca="1" ref="F104" ca="1">INDIRECT("'" &amp; A104 &amp; "'!" &amp; B104)</f>
        <v>האם יש לך ילדים שחיים איתך בבית?</v>
      </c>
      <c r="G104" t="str" cm="1">
        <f t="array" aca="1" ref="G104" ca="1">INDIRECT("'" &amp; A104 &amp; "'!" &amp; ADDRESS(1, COLUMN(INDIRECT("'" &amp; A104 &amp; "'!" &amp; B104))))</f>
        <v>שאלה</v>
      </c>
      <c r="H104" t="e">
        <f ca="1">VLOOKUP($G104, survey_codes_dict!A:C, 2, FALSE)</f>
        <v>#N/A</v>
      </c>
      <c r="I104" s="102" t="e">
        <f ca="1">VLOOKUP($G104, survey_codes_dict!A:D, 4, FALSE)</f>
        <v>#N/A</v>
      </c>
      <c r="J104" s="102" t="e">
        <f t="shared" ca="1" si="2"/>
        <v>#N/A</v>
      </c>
      <c r="K104" s="102" t="e">
        <f t="shared" ca="1" si="3"/>
        <v>#N/A</v>
      </c>
      <c r="L104" s="102"/>
      <c r="M104" s="102"/>
      <c r="N104" s="102"/>
      <c r="O104" s="102"/>
      <c r="P104" s="102"/>
      <c r="Q104" s="102"/>
      <c r="R104" s="102"/>
      <c r="S104" s="102"/>
    </row>
    <row r="105" spans="1:19" ht="43.2" x14ac:dyDescent="0.3">
      <c r="A105" t="s">
        <v>3311</v>
      </c>
      <c r="B105" t="s">
        <v>3503</v>
      </c>
      <c r="C105" s="90" t="s">
        <v>3498</v>
      </c>
      <c r="D105" t="s">
        <v>5562</v>
      </c>
      <c r="E105" s="101" t="s">
        <v>5757</v>
      </c>
      <c r="F105" t="str" cm="1">
        <f t="array" aca="1" ref="F105" ca="1">INDIRECT("'" &amp; A105 &amp; "'!" &amp; B105)</f>
        <v>v113</v>
      </c>
      <c r="G105" cm="1">
        <f t="array" aca="1" ref="G105" ca="1">INDIRECT("'" &amp; A105 &amp; "'!" &amp; ADDRESS(1, COLUMN(INDIRECT("'" &amp; A105 &amp; "'!" &amp; B105))))</f>
        <v>2015</v>
      </c>
      <c r="H105" t="e">
        <f ca="1">VLOOKUP($G105, survey_codes_dict!A:C, 2, FALSE)</f>
        <v>#N/A</v>
      </c>
      <c r="I105" s="102" t="e">
        <f ca="1">VLOOKUP($G105, survey_codes_dict!A:D, 4, FALSE)</f>
        <v>#N/A</v>
      </c>
      <c r="J105" s="102" t="e">
        <f t="shared" ca="1" si="2"/>
        <v>#N/A</v>
      </c>
      <c r="K105" s="102" t="e">
        <f t="shared" ca="1" si="3"/>
        <v>#N/A</v>
      </c>
      <c r="L105" s="102"/>
      <c r="M105" s="102"/>
      <c r="N105" s="102"/>
      <c r="O105" s="102"/>
      <c r="P105" s="102"/>
      <c r="Q105" s="102"/>
      <c r="R105" s="102"/>
      <c r="S105" s="101"/>
    </row>
    <row r="106" spans="1:19" ht="115.2" x14ac:dyDescent="0.3">
      <c r="A106" t="s">
        <v>3311</v>
      </c>
      <c r="B106" t="s">
        <v>3504</v>
      </c>
      <c r="C106" s="90" t="s">
        <v>3505</v>
      </c>
      <c r="D106" t="s">
        <v>5562</v>
      </c>
      <c r="E106" s="101" t="s">
        <v>5759</v>
      </c>
      <c r="F106" t="str" cm="1">
        <f t="array" aca="1" ref="F106" ca="1">INDIRECT("'" &amp; A106 &amp; "'!" &amp; B106)</f>
        <v>v143</v>
      </c>
      <c r="G106" cm="1">
        <f t="array" aca="1" ref="G106" ca="1">INDIRECT("'" &amp; A106 &amp; "'!" &amp; ADDRESS(1, COLUMN(INDIRECT("'" &amp; A106 &amp; "'!" &amp; B106))))</f>
        <v>2013</v>
      </c>
      <c r="H106" t="e">
        <f ca="1">VLOOKUP($G106, survey_codes_dict!A:C, 2, FALSE)</f>
        <v>#N/A</v>
      </c>
      <c r="I106" s="102" t="e">
        <f ca="1">VLOOKUP($G106, survey_codes_dict!A:D, 4, FALSE)</f>
        <v>#N/A</v>
      </c>
      <c r="J106" s="102" t="e">
        <f t="shared" ca="1" si="2"/>
        <v>#N/A</v>
      </c>
      <c r="K106" s="102" t="e">
        <f t="shared" ca="1" si="3"/>
        <v>#N/A</v>
      </c>
      <c r="L106" s="102"/>
      <c r="M106" s="102"/>
      <c r="N106" s="102"/>
      <c r="O106" s="102"/>
      <c r="P106" s="102"/>
      <c r="Q106" s="102"/>
      <c r="R106" s="102"/>
      <c r="S106" s="101"/>
    </row>
    <row r="107" spans="1:19" ht="158.4" x14ac:dyDescent="0.3">
      <c r="A107" t="s">
        <v>3311</v>
      </c>
      <c r="B107" t="s">
        <v>3506</v>
      </c>
      <c r="C107" s="90" t="s">
        <v>3507</v>
      </c>
      <c r="D107" t="s">
        <v>5562</v>
      </c>
      <c r="E107" s="101" t="s">
        <v>5760</v>
      </c>
      <c r="F107" t="str" cm="1">
        <f t="array" aca="1" ref="F107" ca="1">INDIRECT("'" &amp; A107 &amp; "'!" &amp; B107)</f>
        <v>v144</v>
      </c>
      <c r="G107" cm="1">
        <f t="array" aca="1" ref="G107" ca="1">INDIRECT("'" &amp; A107 &amp; "'!" &amp; ADDRESS(1, COLUMN(INDIRECT("'" &amp; A107 &amp; "'!" &amp; B107))))</f>
        <v>2013</v>
      </c>
      <c r="H107" t="e">
        <f ca="1">VLOOKUP($G107, survey_codes_dict!A:C, 2, FALSE)</f>
        <v>#N/A</v>
      </c>
      <c r="I107" s="102" t="e">
        <f ca="1">VLOOKUP($G107, survey_codes_dict!A:D, 4, FALSE)</f>
        <v>#N/A</v>
      </c>
      <c r="J107" s="102" t="e">
        <f t="shared" ca="1" si="2"/>
        <v>#N/A</v>
      </c>
      <c r="K107" s="102" t="e">
        <f t="shared" ca="1" si="3"/>
        <v>#N/A</v>
      </c>
      <c r="L107" s="102"/>
      <c r="M107" s="102"/>
      <c r="N107" s="102"/>
      <c r="O107" s="102"/>
      <c r="P107" s="102"/>
      <c r="Q107" s="102"/>
      <c r="R107" s="102"/>
      <c r="S107" s="101"/>
    </row>
    <row r="108" spans="1:19" ht="129.6" x14ac:dyDescent="0.3">
      <c r="A108" t="s">
        <v>3311</v>
      </c>
      <c r="B108" t="s">
        <v>3508</v>
      </c>
      <c r="C108" s="90" t="s">
        <v>3509</v>
      </c>
      <c r="D108" t="s">
        <v>5562</v>
      </c>
      <c r="E108" s="101" t="s">
        <v>5761</v>
      </c>
      <c r="F108" t="str" cm="1">
        <f t="array" aca="1" ref="F108" ca="1">INDIRECT("'" &amp; A108 &amp; "'!" &amp; B108)</f>
        <v>a152</v>
      </c>
      <c r="G108" t="str" cm="1">
        <f t="array" aca="1" ref="G108" ca="1">INDIRECT("'" &amp; A108 &amp; "'!" &amp; ADDRESS(1, COLUMN(INDIRECT("'" &amp; A108 &amp; "'!" &amp; B108))))</f>
        <v>1981 - 2</v>
      </c>
      <c r="H108">
        <f ca="1">VLOOKUP($G108, survey_codes_dict!A:C, 2, FALSE)</f>
        <v>0</v>
      </c>
      <c r="I108" s="102" t="str">
        <f ca="1">VLOOKUP($G108, survey_codes_dict!A:D, 4, FALSE)</f>
        <v>1981_1</v>
      </c>
      <c r="J108" s="102" t="str">
        <f t="shared" ca="1" si="2"/>
        <v>0__a152</v>
      </c>
      <c r="K108" s="102" t="str">
        <f t="shared" ca="1" si="3"/>
        <v>1981_1__a152</v>
      </c>
      <c r="L108" s="102"/>
      <c r="M108" s="102"/>
      <c r="N108" s="102"/>
      <c r="O108" s="102"/>
      <c r="P108" s="102"/>
      <c r="Q108" s="102"/>
      <c r="R108" s="102"/>
      <c r="S108" s="102"/>
    </row>
    <row r="109" spans="1:19" ht="115.2" x14ac:dyDescent="0.3">
      <c r="A109" t="s">
        <v>3311</v>
      </c>
      <c r="B109" t="s">
        <v>3510</v>
      </c>
      <c r="C109" s="90" t="s">
        <v>3511</v>
      </c>
      <c r="D109" t="s">
        <v>5562</v>
      </c>
      <c r="E109" s="101" t="s">
        <v>5762</v>
      </c>
      <c r="F109" t="str" cm="1">
        <f t="array" aca="1" ref="F109" ca="1">INDIRECT("'" &amp; A109 &amp; "'!" &amp; B109)</f>
        <v>v145</v>
      </c>
      <c r="G109" cm="1">
        <f t="array" aca="1" ref="G109" ca="1">INDIRECT("'" &amp; A109 &amp; "'!" &amp; ADDRESS(1, COLUMN(INDIRECT("'" &amp; A109 &amp; "'!" &amp; B109))))</f>
        <v>2013</v>
      </c>
      <c r="H109" t="e">
        <f ca="1">VLOOKUP($G109, survey_codes_dict!A:C, 2, FALSE)</f>
        <v>#N/A</v>
      </c>
      <c r="I109" s="102" t="e">
        <f ca="1">VLOOKUP($G109, survey_codes_dict!A:D, 4, FALSE)</f>
        <v>#N/A</v>
      </c>
      <c r="J109" s="102" t="e">
        <f t="shared" ca="1" si="2"/>
        <v>#N/A</v>
      </c>
      <c r="K109" s="102" t="e">
        <f t="shared" ca="1" si="3"/>
        <v>#N/A</v>
      </c>
      <c r="L109" s="102"/>
      <c r="M109" s="102"/>
      <c r="N109" s="102"/>
      <c r="O109" s="102"/>
      <c r="P109" s="102"/>
      <c r="Q109" s="102"/>
      <c r="R109" s="102"/>
      <c r="S109" s="101"/>
    </row>
    <row r="110" spans="1:19" ht="43.2" x14ac:dyDescent="0.3">
      <c r="A110" t="s">
        <v>3311</v>
      </c>
      <c r="B110" t="s">
        <v>3512</v>
      </c>
      <c r="C110" s="90" t="s">
        <v>3383</v>
      </c>
      <c r="D110" t="s">
        <v>5562</v>
      </c>
      <c r="E110" s="101" t="s">
        <v>5706</v>
      </c>
      <c r="F110" t="str" cm="1">
        <f t="array" aca="1" ref="F110" ca="1">INDIRECT("'" &amp; A110 &amp; "'!" &amp; B110)</f>
        <v>v182</v>
      </c>
      <c r="G110" cm="1">
        <f t="array" aca="1" ref="G110" ca="1">INDIRECT("'" &amp; A110 &amp; "'!" &amp; ADDRESS(1, COLUMN(INDIRECT("'" &amp; A110 &amp; "'!" &amp; B110))))</f>
        <v>2009</v>
      </c>
      <c r="H110" t="e">
        <f ca="1">VLOOKUP($G110, survey_codes_dict!A:C, 2, FALSE)</f>
        <v>#N/A</v>
      </c>
      <c r="I110" s="102" t="e">
        <f ca="1">VLOOKUP($G110, survey_codes_dict!A:D, 4, FALSE)</f>
        <v>#N/A</v>
      </c>
      <c r="J110" s="102" t="e">
        <f t="shared" ca="1" si="2"/>
        <v>#N/A</v>
      </c>
      <c r="K110" s="102" t="e">
        <f t="shared" ca="1" si="3"/>
        <v>#N/A</v>
      </c>
      <c r="L110" s="102"/>
      <c r="M110" s="102"/>
      <c r="N110" s="102"/>
      <c r="O110" s="102"/>
      <c r="P110" s="102"/>
      <c r="Q110" s="102"/>
      <c r="R110" s="102"/>
      <c r="S110" s="102"/>
    </row>
    <row r="111" spans="1:19" ht="129.6" x14ac:dyDescent="0.3">
      <c r="A111" t="s">
        <v>3311</v>
      </c>
      <c r="B111" t="s">
        <v>3513</v>
      </c>
      <c r="C111" s="90" t="s">
        <v>3514</v>
      </c>
      <c r="D111" t="s">
        <v>5562</v>
      </c>
      <c r="E111" s="101" t="s">
        <v>5763</v>
      </c>
      <c r="F111" t="str" cm="1">
        <f t="array" aca="1" ref="F111" ca="1">INDIRECT("'" &amp; A111 &amp; "'!" &amp; B111)</f>
        <v>v191</v>
      </c>
      <c r="G111" cm="1">
        <f t="array" aca="1" ref="G111" ca="1">INDIRECT("'" &amp; A111 &amp; "'!" &amp; ADDRESS(1, COLUMN(INDIRECT("'" &amp; A111 &amp; "'!" &amp; B111))))</f>
        <v>2009</v>
      </c>
      <c r="H111" t="e">
        <f ca="1">VLOOKUP($G111, survey_codes_dict!A:C, 2, FALSE)</f>
        <v>#N/A</v>
      </c>
      <c r="I111" s="102" t="e">
        <f ca="1">VLOOKUP($G111, survey_codes_dict!A:D, 4, FALSE)</f>
        <v>#N/A</v>
      </c>
      <c r="J111" s="102" t="e">
        <f t="shared" ca="1" si="2"/>
        <v>#N/A</v>
      </c>
      <c r="K111" s="102" t="e">
        <f t="shared" ca="1" si="3"/>
        <v>#N/A</v>
      </c>
      <c r="L111" s="102"/>
      <c r="M111" s="102"/>
      <c r="N111" s="102"/>
      <c r="O111" s="102"/>
      <c r="P111" s="102"/>
      <c r="Q111" s="102"/>
      <c r="R111" s="102"/>
      <c r="S111" s="102"/>
    </row>
    <row r="112" spans="1:19" ht="28.8" x14ac:dyDescent="0.3">
      <c r="A112" t="s">
        <v>3311</v>
      </c>
      <c r="B112" t="s">
        <v>3515</v>
      </c>
      <c r="C112" s="90" t="s">
        <v>3516</v>
      </c>
      <c r="D112" t="s">
        <v>399</v>
      </c>
      <c r="E112" s="101" t="s">
        <v>5571</v>
      </c>
      <c r="F112" t="str" cm="1">
        <f t="array" aca="1" ref="F112" ca="1">INDIRECT("'" &amp; A112 &amp; "'!" &amp; B112)</f>
        <v>באיזו עיר בברה"מ לשעבר גרת לפני שעלית ארצה?</v>
      </c>
      <c r="G112" t="str" cm="1">
        <f t="array" aca="1" ref="G112" ca="1">INDIRECT("'" &amp; A112 &amp; "'!" &amp; ADDRESS(1, COLUMN(INDIRECT("'" &amp; A112 &amp; "'!" &amp; B112))))</f>
        <v>שאלה</v>
      </c>
      <c r="H112" t="e">
        <f ca="1">VLOOKUP($G112, survey_codes_dict!A:C, 2, FALSE)</f>
        <v>#N/A</v>
      </c>
      <c r="I112" s="102" t="e">
        <f ca="1">VLOOKUP($G112, survey_codes_dict!A:D, 4, FALSE)</f>
        <v>#N/A</v>
      </c>
      <c r="J112" s="102" t="e">
        <f t="shared" ca="1" si="2"/>
        <v>#N/A</v>
      </c>
      <c r="K112" s="102" t="e">
        <f t="shared" ca="1" si="3"/>
        <v>#N/A</v>
      </c>
      <c r="L112" s="102"/>
      <c r="M112" s="102"/>
      <c r="N112" s="102"/>
      <c r="O112" s="102"/>
      <c r="P112" s="102"/>
      <c r="Q112" s="102"/>
      <c r="R112" s="102"/>
      <c r="S112" s="102"/>
    </row>
    <row r="113" spans="1:19" ht="28.8" x14ac:dyDescent="0.3">
      <c r="A113" t="s">
        <v>3311</v>
      </c>
      <c r="B113" t="s">
        <v>3517</v>
      </c>
      <c r="C113" s="90" t="s">
        <v>3516</v>
      </c>
      <c r="D113" t="s">
        <v>399</v>
      </c>
      <c r="E113" s="101" t="s">
        <v>5571</v>
      </c>
      <c r="F113" t="str" cm="1">
        <f t="array" aca="1" ref="F113" ca="1">INDIRECT("'" &amp; A113 &amp; "'!" &amp; B113)</f>
        <v>מה היה הלאום שהיה רשום בפספורט הסובייטי הפנימי שלך?</v>
      </c>
      <c r="G113" t="str" cm="1">
        <f t="array" aca="1" ref="G113" ca="1">INDIRECT("'" &amp; A113 &amp; "'!" &amp; ADDRESS(1, COLUMN(INDIRECT("'" &amp; A113 &amp; "'!" &amp; B113))))</f>
        <v>שאלה</v>
      </c>
      <c r="H113" t="e">
        <f ca="1">VLOOKUP($G113, survey_codes_dict!A:C, 2, FALSE)</f>
        <v>#N/A</v>
      </c>
      <c r="I113" s="102" t="e">
        <f ca="1">VLOOKUP($G113, survey_codes_dict!A:D, 4, FALSE)</f>
        <v>#N/A</v>
      </c>
      <c r="J113" s="102" t="e">
        <f t="shared" ca="1" si="2"/>
        <v>#N/A</v>
      </c>
      <c r="K113" s="102" t="e">
        <f t="shared" ca="1" si="3"/>
        <v>#N/A</v>
      </c>
      <c r="L113" s="102"/>
      <c r="M113" s="102"/>
      <c r="N113" s="102"/>
      <c r="O113" s="102"/>
      <c r="P113" s="102"/>
      <c r="Q113" s="102"/>
      <c r="R113" s="102"/>
      <c r="S113" s="102"/>
    </row>
    <row r="114" spans="1:19" ht="28.8" x14ac:dyDescent="0.3">
      <c r="A114" t="s">
        <v>3311</v>
      </c>
      <c r="B114" t="s">
        <v>3518</v>
      </c>
      <c r="C114" s="90" t="s">
        <v>3516</v>
      </c>
      <c r="D114" t="s">
        <v>399</v>
      </c>
      <c r="E114" s="101" t="s">
        <v>5571</v>
      </c>
      <c r="F114" t="str" cm="1">
        <f t="array" aca="1" ref="F114" ca="1">INDIRECT("'" &amp; A114 &amp; "'!" &amp; B114)</f>
        <v>לגבי החברים שלך בארץ, היית אומר שהרוב:</v>
      </c>
      <c r="G114" t="str" cm="1">
        <f t="array" aca="1" ref="G114" ca="1">INDIRECT("'" &amp; A114 &amp; "'!" &amp; ADDRESS(1, COLUMN(INDIRECT("'" &amp; A114 &amp; "'!" &amp; B114))))</f>
        <v>שאלה</v>
      </c>
      <c r="H114" t="e">
        <f ca="1">VLOOKUP($G114, survey_codes_dict!A:C, 2, FALSE)</f>
        <v>#N/A</v>
      </c>
      <c r="I114" s="102" t="e">
        <f ca="1">VLOOKUP($G114, survey_codes_dict!A:D, 4, FALSE)</f>
        <v>#N/A</v>
      </c>
      <c r="J114" s="102" t="e">
        <f t="shared" ca="1" si="2"/>
        <v>#N/A</v>
      </c>
      <c r="K114" s="102" t="e">
        <f t="shared" ca="1" si="3"/>
        <v>#N/A</v>
      </c>
      <c r="L114" s="102"/>
      <c r="M114" s="102"/>
      <c r="N114" s="102"/>
      <c r="O114" s="102"/>
      <c r="P114" s="102"/>
      <c r="Q114" s="102"/>
      <c r="R114" s="102"/>
      <c r="S114" s="102"/>
    </row>
    <row r="115" spans="1:19" ht="57.6" x14ac:dyDescent="0.3">
      <c r="A115" t="s">
        <v>3311</v>
      </c>
      <c r="B115" t="s">
        <v>3519</v>
      </c>
      <c r="C115" s="90" t="s">
        <v>3520</v>
      </c>
      <c r="D115" t="s">
        <v>5562</v>
      </c>
      <c r="E115" s="101" t="s">
        <v>5764</v>
      </c>
      <c r="F115" t="str" cm="1">
        <f t="array" aca="1" ref="F115" ca="1">INDIRECT("'" &amp; A115 &amp; "'!" &amp; B115)</f>
        <v>c67</v>
      </c>
      <c r="G115" cm="1">
        <f t="array" aca="1" ref="G115" ca="1">INDIRECT("'" &amp; A115 &amp; "'!" &amp; ADDRESS(1, COLUMN(INDIRECT("'" &amp; A115 &amp; "'!" &amp; B115))))</f>
        <v>2006</v>
      </c>
      <c r="H115" t="str">
        <f ca="1">VLOOKUP($G115, survey_codes_dict!A:C, 2, FALSE)</f>
        <v>2006</v>
      </c>
      <c r="I115" s="102" t="str">
        <f ca="1">VLOOKUP($G115, survey_codes_dict!A:D, 4, FALSE)</f>
        <v>2003</v>
      </c>
      <c r="J115" s="102" t="str">
        <f t="shared" ca="1" si="2"/>
        <v>2006__c67</v>
      </c>
      <c r="K115" s="102" t="str">
        <f t="shared" ca="1" si="3"/>
        <v>2003__c67</v>
      </c>
      <c r="L115" s="102"/>
      <c r="M115" s="102"/>
      <c r="N115" s="102"/>
      <c r="O115" s="102"/>
      <c r="P115" s="102"/>
      <c r="Q115" s="102"/>
      <c r="R115" s="102"/>
      <c r="S115" s="101"/>
    </row>
    <row r="116" spans="1:19" ht="86.4" x14ac:dyDescent="0.3">
      <c r="A116" t="s">
        <v>3311</v>
      </c>
      <c r="B116" t="s">
        <v>3521</v>
      </c>
      <c r="C116" s="90" t="s">
        <v>3522</v>
      </c>
      <c r="D116" t="s">
        <v>5562</v>
      </c>
      <c r="E116" s="101" t="s">
        <v>5765</v>
      </c>
      <c r="F116" t="str" cm="1">
        <f t="array" aca="1" ref="F116" ca="1">INDIRECT("'" &amp; A116 &amp; "'!" &amp; B116)</f>
        <v>i59</v>
      </c>
      <c r="G116" cm="1">
        <f t="array" aca="1" ref="G116" ca="1">INDIRECT("'" &amp; A116 &amp; "'!" &amp; ADDRESS(1, COLUMN(INDIRECT("'" &amp; A116 &amp; "'!" &amp; B116))))</f>
        <v>1992</v>
      </c>
      <c r="H116" t="str">
        <f ca="1">VLOOKUP($G116, survey_codes_dict!A:C, 2, FALSE)</f>
        <v>1992</v>
      </c>
      <c r="I116" s="102" t="str">
        <f ca="1">VLOOKUP($G116, survey_codes_dict!A:D, 4, FALSE)</f>
        <v>1988_N=873</v>
      </c>
      <c r="J116" s="102" t="str">
        <f t="shared" ca="1" si="2"/>
        <v>1992__i59</v>
      </c>
      <c r="K116" s="102" t="str">
        <f t="shared" ca="1" si="3"/>
        <v>1988_N=873__i59</v>
      </c>
      <c r="L116" s="102"/>
      <c r="M116" s="102"/>
      <c r="N116" s="102"/>
      <c r="O116" s="102"/>
      <c r="P116" s="102"/>
      <c r="Q116" s="102"/>
      <c r="R116" s="102"/>
      <c r="S116" s="101"/>
    </row>
    <row r="117" spans="1:19" ht="158.4" x14ac:dyDescent="0.3">
      <c r="A117" t="s">
        <v>3311</v>
      </c>
      <c r="B117" t="s">
        <v>3523</v>
      </c>
      <c r="C117" s="90" t="s">
        <v>3524</v>
      </c>
      <c r="D117" t="s">
        <v>5562</v>
      </c>
      <c r="E117" s="101" t="s">
        <v>5766</v>
      </c>
      <c r="F117" t="str" cm="1">
        <f t="array" aca="1" ref="F117" ca="1">INDIRECT("'" &amp; A117 &amp; "'!" &amp; B117)</f>
        <v>c65</v>
      </c>
      <c r="G117" t="str" cm="1">
        <f t="array" aca="1" ref="G117" ca="1">INDIRECT("'" &amp; A117 &amp; "'!" &amp; ADDRESS(1, COLUMN(INDIRECT("'" &amp; A117 &amp; "'!" &amp; B117))))</f>
        <v>1969 - 1</v>
      </c>
      <c r="H117" t="str">
        <f ca="1">VLOOKUP($G117, survey_codes_dict!A:C, 2, FALSE)</f>
        <v>1969_1</v>
      </c>
      <c r="I117" s="102">
        <f ca="1">VLOOKUP($G117, survey_codes_dict!A:D, 4, FALSE)</f>
        <v>0</v>
      </c>
      <c r="J117" s="102" t="str">
        <f t="shared" ca="1" si="2"/>
        <v>1969_1__c65</v>
      </c>
      <c r="K117" s="102" t="str">
        <f t="shared" ca="1" si="3"/>
        <v>0__c65</v>
      </c>
      <c r="L117" s="102"/>
      <c r="M117" s="102"/>
      <c r="N117" s="102"/>
      <c r="O117" s="102"/>
      <c r="P117" s="102"/>
      <c r="Q117" s="102"/>
      <c r="R117" s="102"/>
      <c r="S117" s="101"/>
    </row>
    <row r="118" spans="1:19" ht="43.2" x14ac:dyDescent="0.3">
      <c r="A118" t="s">
        <v>3311</v>
      </c>
      <c r="B118" t="s">
        <v>3525</v>
      </c>
      <c r="C118" s="90" t="s">
        <v>3383</v>
      </c>
      <c r="D118" t="s">
        <v>5562</v>
      </c>
      <c r="E118" s="101" t="s">
        <v>5706</v>
      </c>
      <c r="F118" t="str" cm="1">
        <f t="array" aca="1" ref="F118" ca="1">INDIRECT("'" &amp; A118 &amp; "'!" &amp; B118)</f>
        <v>a84</v>
      </c>
      <c r="G118" t="str" cm="1">
        <f t="array" aca="1" ref="G118" ca="1">INDIRECT("'" &amp; A118 &amp; "'!" &amp; ADDRESS(1, COLUMN(INDIRECT("'" &amp; A118 &amp; "'!" &amp; B118))))</f>
        <v>1987*</v>
      </c>
      <c r="H118" t="e">
        <f ca="1">VLOOKUP($G118, survey_codes_dict!A:C, 2, FALSE)</f>
        <v>#N/A</v>
      </c>
      <c r="I118" s="102" t="e">
        <f ca="1">VLOOKUP($G118, survey_codes_dict!A:D, 4, FALSE)</f>
        <v>#N/A</v>
      </c>
      <c r="J118" s="102" t="e">
        <f t="shared" ca="1" si="2"/>
        <v>#N/A</v>
      </c>
      <c r="K118" s="102" t="e">
        <f t="shared" ca="1" si="3"/>
        <v>#N/A</v>
      </c>
      <c r="L118" s="102"/>
      <c r="M118" s="102"/>
      <c r="N118" s="102"/>
      <c r="O118" s="102"/>
      <c r="P118" s="102"/>
      <c r="Q118" s="102"/>
      <c r="R118" s="102"/>
      <c r="S118" s="101"/>
    </row>
    <row r="119" spans="1:19" ht="43.2" x14ac:dyDescent="0.3">
      <c r="A119" t="s">
        <v>3311</v>
      </c>
      <c r="B119" t="s">
        <v>3526</v>
      </c>
      <c r="C119" s="90" t="s">
        <v>3527</v>
      </c>
      <c r="D119" t="s">
        <v>5562</v>
      </c>
      <c r="E119" s="101" t="s">
        <v>5767</v>
      </c>
      <c r="F119" t="str" cm="1">
        <f t="array" aca="1" ref="F119" ca="1">INDIRECT("'" &amp; A119 &amp; "'!" &amp; B119)</f>
        <v>a86</v>
      </c>
      <c r="G119" t="str" cm="1">
        <f t="array" aca="1" ref="G119" ca="1">INDIRECT("'" &amp; A119 &amp; "'!" &amp; ADDRESS(1, COLUMN(INDIRECT("'" &amp; A119 &amp; "'!" &amp; B119))))</f>
        <v>1987*</v>
      </c>
      <c r="H119" t="e">
        <f ca="1">VLOOKUP($G119, survey_codes_dict!A:C, 2, FALSE)</f>
        <v>#N/A</v>
      </c>
      <c r="I119" s="102" t="e">
        <f ca="1">VLOOKUP($G119, survey_codes_dict!A:D, 4, FALSE)</f>
        <v>#N/A</v>
      </c>
      <c r="J119" s="102" t="e">
        <f t="shared" ca="1" si="2"/>
        <v>#N/A</v>
      </c>
      <c r="K119" s="102" t="e">
        <f t="shared" ca="1" si="3"/>
        <v>#N/A</v>
      </c>
      <c r="L119" s="102"/>
      <c r="M119" s="102"/>
      <c r="N119" s="102"/>
      <c r="O119" s="102"/>
      <c r="P119" s="102"/>
      <c r="Q119" s="102"/>
      <c r="R119" s="102"/>
      <c r="S119" s="101"/>
    </row>
    <row r="120" spans="1:19" ht="129.6" x14ac:dyDescent="0.3">
      <c r="A120" t="s">
        <v>3311</v>
      </c>
      <c r="B120" t="s">
        <v>3528</v>
      </c>
      <c r="C120" s="90" t="s">
        <v>3529</v>
      </c>
      <c r="D120" t="s">
        <v>5562</v>
      </c>
      <c r="E120" s="101" t="s">
        <v>5768</v>
      </c>
      <c r="F120" t="str" cm="1">
        <f t="array" aca="1" ref="F120" ca="1">INDIRECT("'" &amp; A120 &amp; "'!" &amp; B120)</f>
        <v>a87</v>
      </c>
      <c r="G120" t="str" cm="1">
        <f t="array" aca="1" ref="G120" ca="1">INDIRECT("'" &amp; A120 &amp; "'!" &amp; ADDRESS(1, COLUMN(INDIRECT("'" &amp; A120 &amp; "'!" &amp; B120))))</f>
        <v>1987*</v>
      </c>
      <c r="H120" t="e">
        <f ca="1">VLOOKUP($G120, survey_codes_dict!A:C, 2, FALSE)</f>
        <v>#N/A</v>
      </c>
      <c r="I120" s="102" t="e">
        <f ca="1">VLOOKUP($G120, survey_codes_dict!A:D, 4, FALSE)</f>
        <v>#N/A</v>
      </c>
      <c r="J120" s="102" t="e">
        <f t="shared" ca="1" si="2"/>
        <v>#N/A</v>
      </c>
      <c r="K120" s="102" t="e">
        <f t="shared" ca="1" si="3"/>
        <v>#N/A</v>
      </c>
      <c r="L120" s="102"/>
      <c r="M120" s="102"/>
      <c r="N120" s="102"/>
      <c r="O120" s="102"/>
      <c r="P120" s="102"/>
      <c r="Q120" s="102"/>
      <c r="R120" s="102"/>
      <c r="S120" s="101"/>
    </row>
    <row r="121" spans="1:19" ht="43.2" x14ac:dyDescent="0.3">
      <c r="A121" t="s">
        <v>3311</v>
      </c>
      <c r="B121" t="s">
        <v>3530</v>
      </c>
      <c r="C121" s="90" t="s">
        <v>3527</v>
      </c>
      <c r="D121" t="s">
        <v>5562</v>
      </c>
      <c r="E121" s="101" t="s">
        <v>5767</v>
      </c>
      <c r="F121" t="str" cm="1">
        <f t="array" aca="1" ref="F121" ca="1">INDIRECT("'" &amp; A121 &amp; "'!" &amp; B121)</f>
        <v>a88</v>
      </c>
      <c r="G121" t="str" cm="1">
        <f t="array" aca="1" ref="G121" ca="1">INDIRECT("'" &amp; A121 &amp; "'!" &amp; ADDRESS(1, COLUMN(INDIRECT("'" &amp; A121 &amp; "'!" &amp; B121))))</f>
        <v>1987*</v>
      </c>
      <c r="H121" t="e">
        <f ca="1">VLOOKUP($G121, survey_codes_dict!A:C, 2, FALSE)</f>
        <v>#N/A</v>
      </c>
      <c r="I121" s="102" t="e">
        <f ca="1">VLOOKUP($G121, survey_codes_dict!A:D, 4, FALSE)</f>
        <v>#N/A</v>
      </c>
      <c r="J121" s="102" t="e">
        <f t="shared" ca="1" si="2"/>
        <v>#N/A</v>
      </c>
      <c r="K121" s="102" t="e">
        <f t="shared" ca="1" si="3"/>
        <v>#N/A</v>
      </c>
      <c r="L121" s="102"/>
      <c r="M121" s="102"/>
      <c r="N121" s="102"/>
      <c r="O121" s="102"/>
      <c r="P121" s="102"/>
      <c r="Q121" s="102"/>
      <c r="R121" s="102"/>
      <c r="S121" s="101"/>
    </row>
    <row r="122" spans="1:19" ht="259.2" x14ac:dyDescent="0.3">
      <c r="A122" t="s">
        <v>3311</v>
      </c>
      <c r="B122" t="s">
        <v>3531</v>
      </c>
      <c r="C122" s="90" t="s">
        <v>3532</v>
      </c>
      <c r="D122" t="s">
        <v>5562</v>
      </c>
      <c r="E122" s="101" t="s">
        <v>5769</v>
      </c>
      <c r="F122" t="str" cm="1">
        <f t="array" aca="1" ref="F122" ca="1">INDIRECT("'" &amp; A122 &amp; "'!" &amp; B122)</f>
        <v>a90</v>
      </c>
      <c r="G122" t="str" cm="1">
        <f t="array" aca="1" ref="G122" ca="1">INDIRECT("'" &amp; A122 &amp; "'!" &amp; ADDRESS(1, COLUMN(INDIRECT("'" &amp; A122 &amp; "'!" &amp; B122))))</f>
        <v>1987*</v>
      </c>
      <c r="H122" t="e">
        <f ca="1">VLOOKUP($G122, survey_codes_dict!A:C, 2, FALSE)</f>
        <v>#N/A</v>
      </c>
      <c r="I122" s="102" t="e">
        <f ca="1">VLOOKUP($G122, survey_codes_dict!A:D, 4, FALSE)</f>
        <v>#N/A</v>
      </c>
      <c r="J122" s="102" t="e">
        <f t="shared" ca="1" si="2"/>
        <v>#N/A</v>
      </c>
      <c r="K122" s="102" t="e">
        <f t="shared" ca="1" si="3"/>
        <v>#N/A</v>
      </c>
      <c r="L122" s="102"/>
      <c r="M122" s="102"/>
      <c r="N122" s="102"/>
      <c r="O122" s="102"/>
      <c r="P122" s="102"/>
      <c r="Q122" s="102"/>
      <c r="R122" s="102"/>
      <c r="S122" s="101"/>
    </row>
    <row r="123" spans="1:19" ht="86.4" x14ac:dyDescent="0.3">
      <c r="A123" t="s">
        <v>3311</v>
      </c>
      <c r="B123" t="s">
        <v>3533</v>
      </c>
      <c r="C123" s="90" t="s">
        <v>3534</v>
      </c>
      <c r="D123" t="s">
        <v>5562</v>
      </c>
      <c r="E123" s="101" t="s">
        <v>5770</v>
      </c>
      <c r="F123" t="str" cm="1">
        <f t="array" aca="1" ref="F123" ca="1">INDIRECT("'" &amp; A123 &amp; "'!" &amp; B123)</f>
        <v>b24</v>
      </c>
      <c r="G123" t="str" cm="1">
        <f t="array" aca="1" ref="G123" ca="1">INDIRECT("'" &amp; A123 &amp; "'!" &amp; ADDRESS(1, COLUMN(INDIRECT("'" &amp; A123 &amp; "'!" &amp; B123))))</f>
        <v>1973 - 1</v>
      </c>
      <c r="H123" t="str">
        <f ca="1">VLOOKUP($G123, survey_codes_dict!A:C, 2, FALSE)</f>
        <v>1973_1</v>
      </c>
      <c r="I123" s="102" t="str">
        <f ca="1">VLOOKUP($G123, survey_codes_dict!A:D, 4, FALSE)</f>
        <v>1969_2</v>
      </c>
      <c r="J123" s="102" t="str">
        <f t="shared" ca="1" si="2"/>
        <v>1973_1__b24</v>
      </c>
      <c r="K123" s="102" t="str">
        <f t="shared" ca="1" si="3"/>
        <v>1969_2__b24</v>
      </c>
      <c r="L123" s="102"/>
      <c r="M123" s="102"/>
      <c r="N123" s="102"/>
      <c r="O123" s="102"/>
      <c r="P123" s="102"/>
      <c r="Q123" s="102"/>
      <c r="R123" s="102"/>
      <c r="S123" s="101"/>
    </row>
    <row r="124" spans="1:19" ht="144" x14ac:dyDescent="0.3">
      <c r="A124" t="s">
        <v>3311</v>
      </c>
      <c r="B124" t="s">
        <v>3535</v>
      </c>
      <c r="C124" s="90" t="s">
        <v>3536</v>
      </c>
      <c r="D124" t="s">
        <v>5562</v>
      </c>
      <c r="E124" s="101" t="s">
        <v>5771</v>
      </c>
      <c r="F124" t="str" cm="1">
        <f t="array" aca="1" ref="F124" ca="1">INDIRECT("'" &amp; A124 &amp; "'!" &amp; B124)</f>
        <v>b27</v>
      </c>
      <c r="G124" t="str" cm="1">
        <f t="array" aca="1" ref="G124" ca="1">INDIRECT("'" &amp; A124 &amp; "'!" &amp; ADDRESS(1, COLUMN(INDIRECT("'" &amp; A124 &amp; "'!" &amp; B124))))</f>
        <v>1973 - 1</v>
      </c>
      <c r="H124" t="str">
        <f ca="1">VLOOKUP($G124, survey_codes_dict!A:C, 2, FALSE)</f>
        <v>1973_1</v>
      </c>
      <c r="I124" s="102" t="str">
        <f ca="1">VLOOKUP($G124, survey_codes_dict!A:D, 4, FALSE)</f>
        <v>1969_2</v>
      </c>
      <c r="J124" s="102" t="str">
        <f t="shared" ca="1" si="2"/>
        <v>1973_1__b27</v>
      </c>
      <c r="K124" s="102" t="str">
        <f t="shared" ca="1" si="3"/>
        <v>1969_2__b27</v>
      </c>
      <c r="L124" s="102"/>
      <c r="M124" s="102"/>
      <c r="N124" s="102"/>
      <c r="O124" s="102"/>
      <c r="P124" s="102"/>
      <c r="Q124" s="102"/>
      <c r="R124" s="102"/>
      <c r="S124" s="101"/>
    </row>
    <row r="125" spans="1:19" ht="144" x14ac:dyDescent="0.3">
      <c r="A125" t="s">
        <v>3311</v>
      </c>
      <c r="B125" t="s">
        <v>3537</v>
      </c>
      <c r="C125" s="90" t="s">
        <v>3536</v>
      </c>
      <c r="D125" t="s">
        <v>5562</v>
      </c>
      <c r="E125" s="101" t="s">
        <v>5771</v>
      </c>
      <c r="F125" t="str" cm="1">
        <f t="array" aca="1" ref="F125" ca="1">INDIRECT("'" &amp; A125 &amp; "'!" &amp; B125)</f>
        <v>c34</v>
      </c>
      <c r="G125" t="str" cm="1">
        <f t="array" aca="1" ref="G125" ca="1">INDIRECT("'" &amp; A125 &amp; "'!" &amp; ADDRESS(1, COLUMN(INDIRECT("'" &amp; A125 &amp; "'!" &amp; B125))))</f>
        <v>1969 - 3</v>
      </c>
      <c r="H125" t="e">
        <f ca="1">VLOOKUP($G125, survey_codes_dict!A:C, 2, FALSE)</f>
        <v>#N/A</v>
      </c>
      <c r="I125" s="102" t="e">
        <f ca="1">VLOOKUP($G125, survey_codes_dict!A:D, 4, FALSE)</f>
        <v>#N/A</v>
      </c>
      <c r="J125" s="102" t="e">
        <f t="shared" ca="1" si="2"/>
        <v>#N/A</v>
      </c>
      <c r="K125" s="102" t="e">
        <f t="shared" ca="1" si="3"/>
        <v>#N/A</v>
      </c>
      <c r="L125" s="102"/>
      <c r="M125" s="102"/>
      <c r="N125" s="102"/>
      <c r="O125" s="102"/>
      <c r="P125" s="102"/>
      <c r="Q125" s="102"/>
      <c r="R125" s="102"/>
      <c r="S125" s="101"/>
    </row>
    <row r="126" spans="1:19" ht="201.6" x14ac:dyDescent="0.3">
      <c r="A126" t="s">
        <v>3311</v>
      </c>
      <c r="B126" t="s">
        <v>3538</v>
      </c>
      <c r="C126" s="90" t="s">
        <v>3539</v>
      </c>
      <c r="D126" t="s">
        <v>5562</v>
      </c>
      <c r="E126" s="101" t="s">
        <v>5772</v>
      </c>
      <c r="F126" t="str" cm="1">
        <f t="array" aca="1" ref="F126" ca="1">INDIRECT("'" &amp; A126 &amp; "'!" &amp; B126)</f>
        <v>b30</v>
      </c>
      <c r="G126" t="str" cm="1">
        <f t="array" aca="1" ref="G126" ca="1">INDIRECT("'" &amp; A126 &amp; "'!" &amp; ADDRESS(1, COLUMN(INDIRECT("'" &amp; A126 &amp; "'!" &amp; B126))))</f>
        <v>1973 - 1</v>
      </c>
      <c r="H126" t="str">
        <f ca="1">VLOOKUP($G126, survey_codes_dict!A:C, 2, FALSE)</f>
        <v>1973_1</v>
      </c>
      <c r="I126" s="102" t="str">
        <f ca="1">VLOOKUP($G126, survey_codes_dict!A:D, 4, FALSE)</f>
        <v>1969_2</v>
      </c>
      <c r="J126" s="102" t="str">
        <f t="shared" ca="1" si="2"/>
        <v>1973_1__b30</v>
      </c>
      <c r="K126" s="102" t="str">
        <f t="shared" ca="1" si="3"/>
        <v>1969_2__b30</v>
      </c>
      <c r="L126" s="102"/>
      <c r="M126" s="102"/>
      <c r="N126" s="102"/>
      <c r="O126" s="102"/>
      <c r="P126" s="102"/>
      <c r="Q126" s="102"/>
      <c r="R126" s="102"/>
      <c r="S126" s="101"/>
    </row>
    <row r="127" spans="1:19" ht="144" x14ac:dyDescent="0.3">
      <c r="A127" t="s">
        <v>3311</v>
      </c>
      <c r="B127" t="s">
        <v>3540</v>
      </c>
      <c r="C127" s="90" t="s">
        <v>3482</v>
      </c>
      <c r="D127" t="s">
        <v>5562</v>
      </c>
      <c r="E127" s="101" t="s">
        <v>5749</v>
      </c>
      <c r="F127" t="str" cm="1">
        <f t="array" aca="1" ref="F127" ca="1">INDIRECT("'" &amp; A127 &amp; "'!" &amp; B127)</f>
        <v>c37</v>
      </c>
      <c r="G127" t="str" cm="1">
        <f t="array" aca="1" ref="G127" ca="1">INDIRECT("'" &amp; A127 &amp; "'!" &amp; ADDRESS(1, COLUMN(INDIRECT("'" &amp; A127 &amp; "'!" &amp; B127))))</f>
        <v>1969 - 3</v>
      </c>
      <c r="H127" t="e">
        <f ca="1">VLOOKUP($G127, survey_codes_dict!A:C, 2, FALSE)</f>
        <v>#N/A</v>
      </c>
      <c r="I127" s="102" t="e">
        <f ca="1">VLOOKUP($G127, survey_codes_dict!A:D, 4, FALSE)</f>
        <v>#N/A</v>
      </c>
      <c r="J127" s="102" t="e">
        <f t="shared" ca="1" si="2"/>
        <v>#N/A</v>
      </c>
      <c r="K127" s="102" t="e">
        <f t="shared" ca="1" si="3"/>
        <v>#N/A</v>
      </c>
      <c r="L127" s="102"/>
      <c r="M127" s="102"/>
      <c r="N127" s="102"/>
      <c r="O127" s="102"/>
      <c r="P127" s="102"/>
      <c r="Q127" s="102"/>
      <c r="R127" s="102"/>
      <c r="S127" s="101"/>
    </row>
    <row r="128" spans="1:19" ht="144" x14ac:dyDescent="0.3">
      <c r="A128" t="s">
        <v>3311</v>
      </c>
      <c r="B128" t="s">
        <v>3541</v>
      </c>
      <c r="C128" s="90" t="s">
        <v>3542</v>
      </c>
      <c r="D128" t="s">
        <v>5562</v>
      </c>
      <c r="E128" s="101" t="s">
        <v>5773</v>
      </c>
      <c r="F128" t="str" cm="1">
        <f t="array" aca="1" ref="F128" ca="1">INDIRECT("'" &amp; A128 &amp; "'!" &amp; B128)</f>
        <v>b31</v>
      </c>
      <c r="G128" t="str" cm="1">
        <f t="array" aca="1" ref="G128" ca="1">INDIRECT("'" &amp; A128 &amp; "'!" &amp; ADDRESS(1, COLUMN(INDIRECT("'" &amp; A128 &amp; "'!" &amp; B128))))</f>
        <v>1973 - 1</v>
      </c>
      <c r="H128" t="str">
        <f ca="1">VLOOKUP($G128, survey_codes_dict!A:C, 2, FALSE)</f>
        <v>1973_1</v>
      </c>
      <c r="I128" s="102" t="str">
        <f ca="1">VLOOKUP($G128, survey_codes_dict!A:D, 4, FALSE)</f>
        <v>1969_2</v>
      </c>
      <c r="J128" s="102" t="str">
        <f t="shared" ca="1" si="2"/>
        <v>1973_1__b31</v>
      </c>
      <c r="K128" s="102" t="str">
        <f t="shared" ca="1" si="3"/>
        <v>1969_2__b31</v>
      </c>
      <c r="L128" s="102"/>
      <c r="M128" s="102"/>
      <c r="N128" s="102"/>
      <c r="O128" s="102"/>
      <c r="P128" s="102"/>
      <c r="Q128" s="102"/>
      <c r="R128" s="102"/>
      <c r="S128" s="101"/>
    </row>
    <row r="129" spans="1:19" ht="100.8" x14ac:dyDescent="0.3">
      <c r="A129" t="s">
        <v>3311</v>
      </c>
      <c r="B129" t="s">
        <v>3543</v>
      </c>
      <c r="C129" s="90" t="s">
        <v>3544</v>
      </c>
      <c r="D129" t="s">
        <v>5562</v>
      </c>
      <c r="E129" s="101" t="s">
        <v>5774</v>
      </c>
      <c r="F129" t="str" cm="1">
        <f t="array" aca="1" ref="F129" ca="1">INDIRECT("'" &amp; A129 &amp; "'!" &amp; B129)</f>
        <v>b32</v>
      </c>
      <c r="G129" t="str" cm="1">
        <f t="array" aca="1" ref="G129" ca="1">INDIRECT("'" &amp; A129 &amp; "'!" &amp; ADDRESS(1, COLUMN(INDIRECT("'" &amp; A129 &amp; "'!" &amp; B129))))</f>
        <v>1973 - 1</v>
      </c>
      <c r="H129" t="str">
        <f ca="1">VLOOKUP($G129, survey_codes_dict!A:C, 2, FALSE)</f>
        <v>1973_1</v>
      </c>
      <c r="I129" s="102" t="str">
        <f ca="1">VLOOKUP($G129, survey_codes_dict!A:D, 4, FALSE)</f>
        <v>1969_2</v>
      </c>
      <c r="J129" s="102" t="str">
        <f t="shared" ca="1" si="2"/>
        <v>1973_1__b32</v>
      </c>
      <c r="K129" s="102" t="str">
        <f t="shared" ca="1" si="3"/>
        <v>1969_2__b32</v>
      </c>
      <c r="L129" s="102"/>
      <c r="M129" s="102"/>
      <c r="N129" s="102"/>
      <c r="O129" s="102"/>
      <c r="P129" s="102"/>
      <c r="Q129" s="102"/>
      <c r="R129" s="102"/>
      <c r="S129" s="101"/>
    </row>
    <row r="130" spans="1:19" ht="57.6" x14ac:dyDescent="0.3">
      <c r="A130" t="s">
        <v>3311</v>
      </c>
      <c r="B130" t="s">
        <v>3545</v>
      </c>
      <c r="C130" s="90" t="s">
        <v>3546</v>
      </c>
      <c r="D130" t="s">
        <v>5562</v>
      </c>
      <c r="E130" s="101" t="s">
        <v>5775</v>
      </c>
      <c r="F130" t="str" cm="1">
        <f t="array" aca="1" ref="F130" ca="1">INDIRECT("'" &amp; A130 &amp; "'!" &amp; B130)</f>
        <v>b33</v>
      </c>
      <c r="G130" t="str" cm="1">
        <f t="array" aca="1" ref="G130" ca="1">INDIRECT("'" &amp; A130 &amp; "'!" &amp; ADDRESS(1, COLUMN(INDIRECT("'" &amp; A130 &amp; "'!" &amp; B130))))</f>
        <v>1973 - 1</v>
      </c>
      <c r="H130" t="str">
        <f ca="1">VLOOKUP($G130, survey_codes_dict!A:C, 2, FALSE)</f>
        <v>1973_1</v>
      </c>
      <c r="I130" s="102" t="str">
        <f ca="1">VLOOKUP($G130, survey_codes_dict!A:D, 4, FALSE)</f>
        <v>1969_2</v>
      </c>
      <c r="J130" s="102" t="str">
        <f t="shared" ref="J130:J193" ca="1" si="4">_xlfn.CONCAT($H130, "__", F130)</f>
        <v>1973_1__b33</v>
      </c>
      <c r="K130" s="102" t="str">
        <f t="shared" ref="K130:K193" ca="1" si="5">_xlfn.CONCAT($I130, "__", F130)</f>
        <v>1969_2__b33</v>
      </c>
      <c r="L130" s="102"/>
      <c r="M130" s="102"/>
      <c r="N130" s="102"/>
      <c r="O130" s="102"/>
      <c r="P130" s="102"/>
      <c r="Q130" s="102"/>
      <c r="R130" s="102"/>
      <c r="S130" s="101"/>
    </row>
    <row r="131" spans="1:19" ht="43.2" x14ac:dyDescent="0.3">
      <c r="A131" t="s">
        <v>3311</v>
      </c>
      <c r="B131" t="s">
        <v>3547</v>
      </c>
      <c r="C131" s="90" t="s">
        <v>3383</v>
      </c>
      <c r="D131" t="s">
        <v>5562</v>
      </c>
      <c r="E131" s="101" t="s">
        <v>5706</v>
      </c>
      <c r="F131" t="str" cm="1">
        <f t="array" aca="1" ref="F131" ca="1">INDIRECT("'" &amp; A131 &amp; "'!" &amp; B131)</f>
        <v>i57</v>
      </c>
      <c r="G131" cm="1">
        <f t="array" aca="1" ref="G131" ca="1">INDIRECT("'" &amp; A131 &amp; "'!" &amp; ADDRESS(1, COLUMN(INDIRECT("'" &amp; A131 &amp; "'!" &amp; B131))))</f>
        <v>1992</v>
      </c>
      <c r="H131" t="str">
        <f ca="1">VLOOKUP($G131, survey_codes_dict!A:C, 2, FALSE)</f>
        <v>1992</v>
      </c>
      <c r="I131" s="102" t="str">
        <f ca="1">VLOOKUP($G131, survey_codes_dict!A:D, 4, FALSE)</f>
        <v>1988_N=873</v>
      </c>
      <c r="J131" s="102" t="str">
        <f t="shared" ca="1" si="4"/>
        <v>1992__i57</v>
      </c>
      <c r="K131" s="102" t="str">
        <f t="shared" ca="1" si="5"/>
        <v>1988_N=873__i57</v>
      </c>
      <c r="L131" s="102"/>
      <c r="M131" s="102"/>
      <c r="N131" s="102"/>
      <c r="O131" s="102"/>
      <c r="P131" s="102"/>
      <c r="Q131" s="102"/>
      <c r="R131" s="102"/>
      <c r="S131" s="101"/>
    </row>
    <row r="132" spans="1:19" ht="43.2" x14ac:dyDescent="0.3">
      <c r="A132" t="s">
        <v>3311</v>
      </c>
      <c r="B132" t="s">
        <v>3548</v>
      </c>
      <c r="C132" s="90" t="s">
        <v>3383</v>
      </c>
      <c r="D132" t="s">
        <v>5562</v>
      </c>
      <c r="E132" s="101" t="s">
        <v>5706</v>
      </c>
      <c r="F132" t="str" cm="1">
        <f t="array" aca="1" ref="F132" ca="1">INDIRECT("'" &amp; A132 &amp; "'!" &amp; B132)</f>
        <v>v109</v>
      </c>
      <c r="G132" t="str" cm="1">
        <f t="array" aca="1" ref="G132" ca="1">INDIRECT("'" &amp; A132 &amp; "'!" &amp; ADDRESS(1, COLUMN(INDIRECT("'" &amp; A132 &amp; "'!" &amp; B132))))</f>
        <v>1977 - 1</v>
      </c>
      <c r="H132" t="str">
        <f ca="1">VLOOKUP($G132, survey_codes_dict!A:C, 2, FALSE)</f>
        <v>1977_1</v>
      </c>
      <c r="I132" s="102" t="str">
        <f ca="1">VLOOKUP($G132, survey_codes_dict!A:D, 4, FALSE)</f>
        <v>1973_5</v>
      </c>
      <c r="J132" s="102" t="str">
        <f t="shared" ca="1" si="4"/>
        <v>1977_1__v109</v>
      </c>
      <c r="K132" s="102" t="str">
        <f t="shared" ca="1" si="5"/>
        <v>1973_5__v109</v>
      </c>
      <c r="L132" s="102"/>
      <c r="M132" s="102"/>
      <c r="N132" s="102"/>
      <c r="O132" s="102"/>
      <c r="P132" s="102"/>
      <c r="Q132" s="102"/>
      <c r="R132" s="102"/>
      <c r="S132" s="101"/>
    </row>
    <row r="133" spans="1:19" ht="129.6" x14ac:dyDescent="0.3">
      <c r="A133" t="s">
        <v>3311</v>
      </c>
      <c r="B133" t="s">
        <v>3549</v>
      </c>
      <c r="C133" s="90" t="s">
        <v>3550</v>
      </c>
      <c r="D133" t="s">
        <v>5562</v>
      </c>
      <c r="E133" s="101" t="s">
        <v>5776</v>
      </c>
      <c r="F133" t="str" cm="1">
        <f t="array" aca="1" ref="F133" ca="1">INDIRECT("'" &amp; A133 &amp; "'!" &amp; B133)</f>
        <v>b36</v>
      </c>
      <c r="G133" t="str" cm="1">
        <f t="array" aca="1" ref="G133" ca="1">INDIRECT("'" &amp; A133 &amp; "'!" &amp; ADDRESS(1, COLUMN(INDIRECT("'" &amp; A133 &amp; "'!" &amp; B133))))</f>
        <v>1973 - 1</v>
      </c>
      <c r="H133" t="str">
        <f ca="1">VLOOKUP($G133, survey_codes_dict!A:C, 2, FALSE)</f>
        <v>1973_1</v>
      </c>
      <c r="I133" s="102" t="str">
        <f ca="1">VLOOKUP($G133, survey_codes_dict!A:D, 4, FALSE)</f>
        <v>1969_2</v>
      </c>
      <c r="J133" s="102" t="str">
        <f t="shared" ca="1" si="4"/>
        <v>1973_1__b36</v>
      </c>
      <c r="K133" s="102" t="str">
        <f t="shared" ca="1" si="5"/>
        <v>1969_2__b36</v>
      </c>
      <c r="L133" s="102"/>
      <c r="M133" s="102"/>
      <c r="N133" s="102"/>
      <c r="O133" s="102"/>
      <c r="P133" s="102"/>
      <c r="Q133" s="102"/>
      <c r="R133" s="102"/>
      <c r="S133" s="101"/>
    </row>
    <row r="134" spans="1:19" ht="115.2" x14ac:dyDescent="0.3">
      <c r="A134" t="s">
        <v>3311</v>
      </c>
      <c r="B134" t="s">
        <v>3551</v>
      </c>
      <c r="C134" s="90" t="s">
        <v>3552</v>
      </c>
      <c r="D134" t="s">
        <v>5562</v>
      </c>
      <c r="E134" s="101" t="s">
        <v>5777</v>
      </c>
      <c r="F134" t="str" cm="1">
        <f t="array" aca="1" ref="F134" ca="1">INDIRECT("'" &amp; A134 &amp; "'!" &amp; B134)</f>
        <v>c41</v>
      </c>
      <c r="G134" t="str" cm="1">
        <f t="array" aca="1" ref="G134" ca="1">INDIRECT("'" &amp; A134 &amp; "'!" &amp; ADDRESS(1, COLUMN(INDIRECT("'" &amp; A134 &amp; "'!" &amp; B134))))</f>
        <v>1969 - 3</v>
      </c>
      <c r="H134" t="e">
        <f ca="1">VLOOKUP($G134, survey_codes_dict!A:C, 2, FALSE)</f>
        <v>#N/A</v>
      </c>
      <c r="I134" s="102" t="e">
        <f ca="1">VLOOKUP($G134, survey_codes_dict!A:D, 4, FALSE)</f>
        <v>#N/A</v>
      </c>
      <c r="J134" s="102" t="e">
        <f t="shared" ca="1" si="4"/>
        <v>#N/A</v>
      </c>
      <c r="K134" s="102" t="e">
        <f t="shared" ca="1" si="5"/>
        <v>#N/A</v>
      </c>
      <c r="L134" s="102"/>
      <c r="M134" s="102"/>
      <c r="N134" s="102"/>
      <c r="O134" s="102"/>
      <c r="P134" s="102"/>
      <c r="Q134" s="102"/>
      <c r="R134" s="102"/>
      <c r="S134" s="101"/>
    </row>
    <row r="135" spans="1:19" ht="43.2" x14ac:dyDescent="0.3">
      <c r="A135" t="s">
        <v>3311</v>
      </c>
      <c r="B135" t="s">
        <v>3553</v>
      </c>
      <c r="C135" s="90" t="s">
        <v>3383</v>
      </c>
      <c r="D135" t="s">
        <v>5562</v>
      </c>
      <c r="E135" s="101" t="s">
        <v>5706</v>
      </c>
      <c r="F135" t="str" cm="1">
        <f t="array" aca="1" ref="F135" ca="1">INDIRECT("'" &amp; A135 &amp; "'!" &amp; B135)</f>
        <v>c51</v>
      </c>
      <c r="G135" t="str" cm="1">
        <f t="array" aca="1" ref="G135" ca="1">INDIRECT("'" &amp; A135 &amp; "'!" &amp; ADDRESS(1, COLUMN(INDIRECT("'" &amp; A135 &amp; "'!" &amp; B135))))</f>
        <v>1969 - 1</v>
      </c>
      <c r="H135" t="str">
        <f ca="1">VLOOKUP($G135, survey_codes_dict!A:C, 2, FALSE)</f>
        <v>1969_1</v>
      </c>
      <c r="I135" s="102">
        <f ca="1">VLOOKUP($G135, survey_codes_dict!A:D, 4, FALSE)</f>
        <v>0</v>
      </c>
      <c r="J135" s="102" t="str">
        <f t="shared" ca="1" si="4"/>
        <v>1969_1__c51</v>
      </c>
      <c r="K135" s="102" t="str">
        <f t="shared" ca="1" si="5"/>
        <v>0__c51</v>
      </c>
      <c r="L135" s="102"/>
      <c r="M135" s="102"/>
      <c r="N135" s="102"/>
      <c r="O135" s="102"/>
      <c r="P135" s="102"/>
      <c r="Q135" s="102"/>
      <c r="R135" s="102"/>
      <c r="S135" s="101"/>
    </row>
    <row r="136" spans="1:19" ht="43.2" x14ac:dyDescent="0.3">
      <c r="A136" t="s">
        <v>3311</v>
      </c>
      <c r="B136" t="s">
        <v>3554</v>
      </c>
      <c r="C136" s="90" t="s">
        <v>3383</v>
      </c>
      <c r="D136" t="s">
        <v>5562</v>
      </c>
      <c r="E136" s="101" t="s">
        <v>5706</v>
      </c>
      <c r="F136" t="str" cm="1">
        <f t="array" aca="1" ref="F136" ca="1">INDIRECT("'" &amp; A136 &amp; "'!" &amp; B136)</f>
        <v>c54</v>
      </c>
      <c r="G136" t="str" cm="1">
        <f t="array" aca="1" ref="G136" ca="1">INDIRECT("'" &amp; A136 &amp; "'!" &amp; ADDRESS(1, COLUMN(INDIRECT("'" &amp; A136 &amp; "'!" &amp; B136))))</f>
        <v>1969 - 1</v>
      </c>
      <c r="H136" t="str">
        <f ca="1">VLOOKUP($G136, survey_codes_dict!A:C, 2, FALSE)</f>
        <v>1969_1</v>
      </c>
      <c r="I136" s="102">
        <f ca="1">VLOOKUP($G136, survey_codes_dict!A:D, 4, FALSE)</f>
        <v>0</v>
      </c>
      <c r="J136" s="102" t="str">
        <f t="shared" ca="1" si="4"/>
        <v>1969_1__c54</v>
      </c>
      <c r="K136" s="102" t="str">
        <f t="shared" ca="1" si="5"/>
        <v>0__c54</v>
      </c>
      <c r="L136" s="102"/>
      <c r="M136" s="102"/>
      <c r="N136" s="102"/>
      <c r="O136" s="102"/>
      <c r="P136" s="102"/>
      <c r="Q136" s="102"/>
      <c r="R136" s="102"/>
      <c r="S136" s="101"/>
    </row>
    <row r="137" spans="1:19" ht="43.2" x14ac:dyDescent="0.3">
      <c r="A137" t="s">
        <v>3311</v>
      </c>
      <c r="B137" t="s">
        <v>3555</v>
      </c>
      <c r="C137" s="90" t="s">
        <v>3556</v>
      </c>
      <c r="D137" t="s">
        <v>5562</v>
      </c>
      <c r="E137" s="101" t="s">
        <v>5778</v>
      </c>
      <c r="F137" t="str" cm="1">
        <f t="array" aca="1" ref="F137" ca="1">INDIRECT("'" &amp; A137 &amp; "'!" &amp; B137)</f>
        <v>c61</v>
      </c>
      <c r="G137" t="str" cm="1">
        <f t="array" aca="1" ref="G137" ca="1">INDIRECT("'" &amp; A137 &amp; "'!" &amp; ADDRESS(1, COLUMN(INDIRECT("'" &amp; A137 &amp; "'!" &amp; B137))))</f>
        <v>1969 - 1</v>
      </c>
      <c r="H137" t="str">
        <f ca="1">VLOOKUP($G137, survey_codes_dict!A:C, 2, FALSE)</f>
        <v>1969_1</v>
      </c>
      <c r="I137" s="102">
        <f ca="1">VLOOKUP($G137, survey_codes_dict!A:D, 4, FALSE)</f>
        <v>0</v>
      </c>
      <c r="J137" s="102" t="str">
        <f t="shared" ca="1" si="4"/>
        <v>1969_1__c61</v>
      </c>
      <c r="K137" s="102" t="str">
        <f t="shared" ca="1" si="5"/>
        <v>0__c61</v>
      </c>
      <c r="L137" s="102"/>
      <c r="M137" s="102"/>
      <c r="N137" s="102"/>
      <c r="O137" s="102"/>
      <c r="P137" s="102"/>
      <c r="Q137" s="102"/>
      <c r="R137" s="102"/>
      <c r="S137" s="101"/>
    </row>
    <row r="138" spans="1:19" ht="259.2" x14ac:dyDescent="0.3">
      <c r="A138" t="s">
        <v>3311</v>
      </c>
      <c r="B138" t="s">
        <v>3557</v>
      </c>
      <c r="C138" s="90" t="s">
        <v>3558</v>
      </c>
      <c r="D138" t="s">
        <v>5562</v>
      </c>
      <c r="E138" s="101" t="s">
        <v>5779</v>
      </c>
      <c r="F138" t="str" cm="1">
        <f t="array" aca="1" ref="F138" ca="1">INDIRECT("'" &amp; A138 &amp; "'!" &amp; B138)</f>
        <v>v17</v>
      </c>
      <c r="G138" t="str" cm="1">
        <f t="array" aca="1" ref="G138" ca="1">INDIRECT("'" &amp; A138 &amp; "'!" &amp; ADDRESS(1, COLUMN(INDIRECT("'" &amp; A138 &amp; "'!" &amp; B138))))</f>
        <v>1973 - 1</v>
      </c>
      <c r="H138" t="str">
        <f ca="1">VLOOKUP($G138, survey_codes_dict!A:C, 2, FALSE)</f>
        <v>1973_1</v>
      </c>
      <c r="I138" s="102" t="str">
        <f ca="1">VLOOKUP($G138, survey_codes_dict!A:D, 4, FALSE)</f>
        <v>1969_2</v>
      </c>
      <c r="J138" s="102" t="str">
        <f t="shared" ca="1" si="4"/>
        <v>1973_1__v17</v>
      </c>
      <c r="K138" s="102" t="str">
        <f t="shared" ca="1" si="5"/>
        <v>1969_2__v17</v>
      </c>
      <c r="L138" s="102"/>
      <c r="M138" s="102"/>
      <c r="N138" s="102"/>
      <c r="O138" s="102"/>
      <c r="P138" s="102"/>
      <c r="Q138" s="102"/>
      <c r="R138" s="102"/>
      <c r="S138" s="101"/>
    </row>
    <row r="139" spans="1:19" ht="129.6" x14ac:dyDescent="0.3">
      <c r="A139" t="s">
        <v>3311</v>
      </c>
      <c r="B139" t="s">
        <v>3559</v>
      </c>
      <c r="C139" s="90" t="s">
        <v>3560</v>
      </c>
      <c r="D139" t="s">
        <v>5562</v>
      </c>
      <c r="E139" s="101" t="s">
        <v>5780</v>
      </c>
      <c r="F139" t="str" cm="1">
        <f t="array" aca="1" ref="F139" ca="1">INDIRECT("'" &amp; A139 &amp; "'!" &amp; B139)</f>
        <v>c64</v>
      </c>
      <c r="G139" t="str" cm="1">
        <f t="array" aca="1" ref="G139" ca="1">INDIRECT("'" &amp; A139 &amp; "'!" &amp; ADDRESS(1, COLUMN(INDIRECT("'" &amp; A139 &amp; "'!" &amp; B139))))</f>
        <v>1969 - 1</v>
      </c>
      <c r="H139" t="str">
        <f ca="1">VLOOKUP($G139, survey_codes_dict!A:C, 2, FALSE)</f>
        <v>1969_1</v>
      </c>
      <c r="I139" s="102">
        <f ca="1">VLOOKUP($G139, survey_codes_dict!A:D, 4, FALSE)</f>
        <v>0</v>
      </c>
      <c r="J139" s="102" t="str">
        <f t="shared" ca="1" si="4"/>
        <v>1969_1__c64</v>
      </c>
      <c r="K139" s="102" t="str">
        <f t="shared" ca="1" si="5"/>
        <v>0__c64</v>
      </c>
      <c r="L139" s="102"/>
      <c r="M139" s="102"/>
      <c r="N139" s="102"/>
      <c r="O139" s="102"/>
      <c r="P139" s="102"/>
      <c r="Q139" s="102"/>
      <c r="R139" s="102"/>
      <c r="S139" s="101"/>
    </row>
    <row r="140" spans="1:19" ht="86.4" x14ac:dyDescent="0.3">
      <c r="A140" t="s">
        <v>3561</v>
      </c>
      <c r="B140" t="s">
        <v>3562</v>
      </c>
      <c r="C140" s="90" t="s">
        <v>3563</v>
      </c>
      <c r="D140" t="s">
        <v>5562</v>
      </c>
      <c r="E140" s="101" t="s">
        <v>5781</v>
      </c>
      <c r="F140" t="str" cm="1">
        <f t="array" aca="1" ref="F140" ca="1">INDIRECT("'" &amp; A140 &amp; "'!" &amp; B140)</f>
        <v>v6</v>
      </c>
      <c r="G140" cm="1">
        <f t="array" aca="1" ref="G140" ca="1">INDIRECT("'" &amp; A140 &amp; "'!" &amp; ADDRESS(1, COLUMN(INDIRECT("'" &amp; A140 &amp; "'!" &amp; B140))))</f>
        <v>2020</v>
      </c>
      <c r="H140" t="e">
        <f ca="1">VLOOKUP($G140, survey_codes_dict!A:C, 2, FALSE)</f>
        <v>#N/A</v>
      </c>
      <c r="I140" s="102" t="e">
        <f ca="1">VLOOKUP($G140, survey_codes_dict!A:D, 4, FALSE)</f>
        <v>#N/A</v>
      </c>
      <c r="J140" s="102" t="e">
        <f t="shared" ca="1" si="4"/>
        <v>#N/A</v>
      </c>
      <c r="K140" s="102" t="e">
        <f t="shared" ca="1" si="5"/>
        <v>#N/A</v>
      </c>
      <c r="L140" s="102"/>
      <c r="M140" s="102"/>
      <c r="N140" s="102"/>
      <c r="O140" s="102"/>
      <c r="P140" s="102"/>
      <c r="Q140" s="102"/>
      <c r="R140" s="102"/>
      <c r="S140" s="101"/>
    </row>
    <row r="141" spans="1:19" ht="86.4" x14ac:dyDescent="0.3">
      <c r="A141" t="s">
        <v>3561</v>
      </c>
      <c r="B141" t="s">
        <v>3564</v>
      </c>
      <c r="C141" s="90" t="s">
        <v>3565</v>
      </c>
      <c r="D141" t="s">
        <v>5562</v>
      </c>
      <c r="E141" s="101" t="s">
        <v>5782</v>
      </c>
      <c r="F141" t="str" cm="1">
        <f t="array" aca="1" ref="F141" ca="1">INDIRECT("'" &amp; A141 &amp; "'!" &amp; B141)</f>
        <v>a6</v>
      </c>
      <c r="G141" cm="1">
        <f t="array" aca="1" ref="G141" ca="1">INDIRECT("'" &amp; A141 &amp; "'!" &amp; ADDRESS(1, COLUMN(INDIRECT("'" &amp; A141 &amp; "'!" &amp; B141))))</f>
        <v>2001</v>
      </c>
      <c r="H141" t="str">
        <f ca="1">VLOOKUP($G141, survey_codes_dict!A:C, 2, FALSE)</f>
        <v>2001</v>
      </c>
      <c r="I141" s="102" t="str">
        <f ca="1">VLOOKUP($G141, survey_codes_dict!A:D, 4, FALSE)</f>
        <v>1999_1</v>
      </c>
      <c r="J141" s="102" t="str">
        <f t="shared" ca="1" si="4"/>
        <v>2001__a6</v>
      </c>
      <c r="K141" s="102" t="str">
        <f t="shared" ca="1" si="5"/>
        <v>1999_1__a6</v>
      </c>
      <c r="L141" s="102"/>
      <c r="M141" s="102"/>
      <c r="N141" s="102"/>
      <c r="O141" s="102"/>
      <c r="P141" s="102"/>
      <c r="Q141" s="102"/>
      <c r="R141" s="102"/>
      <c r="S141" s="101"/>
    </row>
    <row r="142" spans="1:19" ht="86.4" x14ac:dyDescent="0.3">
      <c r="A142" t="s">
        <v>3561</v>
      </c>
      <c r="B142" t="s">
        <v>3566</v>
      </c>
      <c r="C142" s="90" t="s">
        <v>3567</v>
      </c>
      <c r="D142" t="s">
        <v>5562</v>
      </c>
      <c r="E142" s="101" t="s">
        <v>5783</v>
      </c>
      <c r="F142" t="str" cm="1">
        <f t="array" aca="1" ref="F142" ca="1">INDIRECT("'" &amp; A142 &amp; "'!" &amp; B142)</f>
        <v>v3</v>
      </c>
      <c r="G142" cm="1">
        <f t="array" aca="1" ref="G142" ca="1">INDIRECT("'" &amp; A142 &amp; "'!" &amp; ADDRESS(1, COLUMN(INDIRECT("'" &amp; A142 &amp; "'!" &amp; B142))))</f>
        <v>1999</v>
      </c>
      <c r="H142" t="str">
        <f ca="1">VLOOKUP($G142, survey_codes_dict!A:C, 2, FALSE)</f>
        <v>1999_1</v>
      </c>
      <c r="I142" s="102" t="str">
        <f ca="1">VLOOKUP($G142, survey_codes_dict!A:D, 4, FALSE)</f>
        <v>1996_Jews</v>
      </c>
      <c r="J142" s="102" t="str">
        <f t="shared" ca="1" si="4"/>
        <v>1999_1__v3</v>
      </c>
      <c r="K142" s="102" t="str">
        <f t="shared" ca="1" si="5"/>
        <v>1996_Jews__v3</v>
      </c>
      <c r="L142" s="102"/>
      <c r="M142" s="102"/>
      <c r="N142" s="102"/>
      <c r="O142" s="102"/>
      <c r="P142" s="102"/>
      <c r="Q142" s="102"/>
      <c r="R142" s="102"/>
      <c r="S142" s="101"/>
    </row>
    <row r="143" spans="1:19" ht="86.4" x14ac:dyDescent="0.3">
      <c r="A143" t="s">
        <v>3561</v>
      </c>
      <c r="B143" t="s">
        <v>3568</v>
      </c>
      <c r="C143" s="90" t="s">
        <v>3569</v>
      </c>
      <c r="D143" t="s">
        <v>5562</v>
      </c>
      <c r="E143" s="101" t="s">
        <v>5784</v>
      </c>
      <c r="F143" t="str" cm="1">
        <f t="array" aca="1" ref="F143" ca="1">INDIRECT("'" &amp; A143 &amp; "'!" &amp; B143)</f>
        <v>v7</v>
      </c>
      <c r="G143" cm="1">
        <f t="array" aca="1" ref="G143" ca="1">INDIRECT("'" &amp; A143 &amp; "'!" &amp; ADDRESS(1, COLUMN(INDIRECT("'" &amp; A143 &amp; "'!" &amp; B143))))</f>
        <v>43556</v>
      </c>
      <c r="H143" t="e">
        <f ca="1">VLOOKUP($G143, survey_codes_dict!A:C, 2, FALSE)</f>
        <v>#N/A</v>
      </c>
      <c r="I143" s="102" t="e">
        <f ca="1">VLOOKUP($G143, survey_codes_dict!A:D, 4, FALSE)</f>
        <v>#N/A</v>
      </c>
      <c r="J143" s="102" t="e">
        <f t="shared" ca="1" si="4"/>
        <v>#N/A</v>
      </c>
      <c r="K143" s="102" t="e">
        <f t="shared" ca="1" si="5"/>
        <v>#N/A</v>
      </c>
      <c r="L143" s="102"/>
      <c r="M143" s="102"/>
      <c r="N143" s="102"/>
      <c r="O143" s="102"/>
      <c r="P143" s="102"/>
      <c r="Q143" s="102"/>
      <c r="R143" s="102"/>
      <c r="S143" s="101"/>
    </row>
    <row r="144" spans="1:19" ht="72" x14ac:dyDescent="0.3">
      <c r="A144" t="s">
        <v>3561</v>
      </c>
      <c r="B144" t="s">
        <v>3312</v>
      </c>
      <c r="C144" s="90" t="s">
        <v>3570</v>
      </c>
      <c r="D144" t="s">
        <v>5562</v>
      </c>
      <c r="E144" s="101" t="s">
        <v>5785</v>
      </c>
      <c r="F144" t="str" cm="1">
        <f t="array" aca="1" ref="F144" ca="1">INDIRECT("'" &amp; A144 &amp; "'!" &amp; B144)</f>
        <v>a7</v>
      </c>
      <c r="G144" cm="1">
        <f t="array" aca="1" ref="G144" ca="1">INDIRECT("'" &amp; A144 &amp; "'!" &amp; ADDRESS(1, COLUMN(INDIRECT("'" &amp; A144 &amp; "'!" &amp; B144))))</f>
        <v>2001</v>
      </c>
      <c r="H144" t="str">
        <f ca="1">VLOOKUP($G144, survey_codes_dict!A:C, 2, FALSE)</f>
        <v>2001</v>
      </c>
      <c r="I144" s="102" t="str">
        <f ca="1">VLOOKUP($G144, survey_codes_dict!A:D, 4, FALSE)</f>
        <v>1999_1</v>
      </c>
      <c r="J144" s="102" t="str">
        <f t="shared" ca="1" si="4"/>
        <v>2001__a7</v>
      </c>
      <c r="K144" s="102" t="str">
        <f t="shared" ca="1" si="5"/>
        <v>1999_1__a7</v>
      </c>
      <c r="L144" s="102"/>
      <c r="M144" s="102"/>
      <c r="N144" s="102"/>
      <c r="O144" s="102"/>
      <c r="P144" s="102"/>
      <c r="Q144" s="102"/>
      <c r="R144" s="102"/>
      <c r="S144" s="101"/>
    </row>
    <row r="145" spans="1:19" ht="72" x14ac:dyDescent="0.3">
      <c r="A145" t="s">
        <v>3561</v>
      </c>
      <c r="B145" t="s">
        <v>3571</v>
      </c>
      <c r="C145" s="90" t="s">
        <v>3572</v>
      </c>
      <c r="D145" t="s">
        <v>5562</v>
      </c>
      <c r="E145" s="101" t="s">
        <v>5786</v>
      </c>
      <c r="F145" t="str" cm="1">
        <f t="array" aca="1" ref="F145" ca="1">INDIRECT("'" &amp; A145 &amp; "'!" &amp; B145)</f>
        <v>v4</v>
      </c>
      <c r="G145" cm="1">
        <f t="array" aca="1" ref="G145" ca="1">INDIRECT("'" &amp; A145 &amp; "'!" &amp; ADDRESS(1, COLUMN(INDIRECT("'" &amp; A145 &amp; "'!" &amp; B145))))</f>
        <v>1999</v>
      </c>
      <c r="H145" t="str">
        <f ca="1">VLOOKUP($G145, survey_codes_dict!A:C, 2, FALSE)</f>
        <v>1999_1</v>
      </c>
      <c r="I145" s="102" t="str">
        <f ca="1">VLOOKUP($G145, survey_codes_dict!A:D, 4, FALSE)</f>
        <v>1996_Jews</v>
      </c>
      <c r="J145" s="102" t="str">
        <f t="shared" ca="1" si="4"/>
        <v>1999_1__v4</v>
      </c>
      <c r="K145" s="102" t="str">
        <f t="shared" ca="1" si="5"/>
        <v>1996_Jews__v4</v>
      </c>
      <c r="L145" s="102"/>
      <c r="M145" s="102"/>
      <c r="N145" s="102"/>
      <c r="O145" s="102"/>
      <c r="P145" s="102"/>
      <c r="Q145" s="102"/>
      <c r="R145" s="102"/>
      <c r="S145" s="101"/>
    </row>
    <row r="146" spans="1:19" ht="28.8" x14ac:dyDescent="0.3">
      <c r="A146" t="s">
        <v>3561</v>
      </c>
      <c r="B146" t="s">
        <v>3573</v>
      </c>
      <c r="C146" s="90" t="s">
        <v>3574</v>
      </c>
      <c r="D146" t="s">
        <v>5661</v>
      </c>
      <c r="E146" s="101" t="s">
        <v>5572</v>
      </c>
      <c r="F146" t="str" cm="1">
        <f t="array" aca="1" ref="F146" ca="1">INDIRECT("'" &amp; A146 &amp; "'!" &amp; B146)</f>
        <v>v8_code1</v>
      </c>
      <c r="G146" cm="1">
        <f t="array" aca="1" ref="G146" ca="1">INDIRECT("'" &amp; A146 &amp; "'!" &amp; ADDRESS(1, COLUMN(INDIRECT("'" &amp; A146 &amp; "'!" &amp; B146))))</f>
        <v>2022</v>
      </c>
      <c r="H146" t="e">
        <f ca="1">VLOOKUP($G146, survey_codes_dict!A:C, 2, FALSE)</f>
        <v>#N/A</v>
      </c>
      <c r="I146" s="102" t="e">
        <f ca="1">VLOOKUP($G146, survey_codes_dict!A:D, 4, FALSE)</f>
        <v>#N/A</v>
      </c>
      <c r="J146" s="102" t="e">
        <f t="shared" ca="1" si="4"/>
        <v>#N/A</v>
      </c>
      <c r="K146" s="102" t="e">
        <f t="shared" ca="1" si="5"/>
        <v>#N/A</v>
      </c>
      <c r="L146" s="102"/>
      <c r="M146" s="102"/>
      <c r="N146" s="102"/>
      <c r="O146" s="102"/>
      <c r="P146" s="102"/>
      <c r="Q146" s="102"/>
      <c r="R146" s="102"/>
      <c r="S146" s="102"/>
    </row>
    <row r="147" spans="1:19" ht="43.2" x14ac:dyDescent="0.3">
      <c r="A147" t="s">
        <v>3561</v>
      </c>
      <c r="B147" t="s">
        <v>3575</v>
      </c>
      <c r="C147" s="90" t="s">
        <v>3576</v>
      </c>
      <c r="D147" t="s">
        <v>5562</v>
      </c>
      <c r="E147" s="101" t="s">
        <v>5787</v>
      </c>
      <c r="F147" t="str" cm="1">
        <f t="array" aca="1" ref="F147" ca="1">INDIRECT("'" &amp; A147 &amp; "'!" &amp; B147)</f>
        <v>v8_code</v>
      </c>
      <c r="G147" cm="1">
        <f t="array" aca="1" ref="G147" ca="1">INDIRECT("'" &amp; A147 &amp; "'!" &amp; ADDRESS(1, COLUMN(INDIRECT("'" &amp; A147 &amp; "'!" &amp; B147))))</f>
        <v>2020</v>
      </c>
      <c r="H147" t="e">
        <f ca="1">VLOOKUP($G147, survey_codes_dict!A:C, 2, FALSE)</f>
        <v>#N/A</v>
      </c>
      <c r="I147" s="102" t="e">
        <f ca="1">VLOOKUP($G147, survey_codes_dict!A:D, 4, FALSE)</f>
        <v>#N/A</v>
      </c>
      <c r="J147" s="102" t="e">
        <f t="shared" ca="1" si="4"/>
        <v>#N/A</v>
      </c>
      <c r="K147" s="102" t="e">
        <f t="shared" ca="1" si="5"/>
        <v>#N/A</v>
      </c>
      <c r="L147" s="102"/>
      <c r="M147" s="102"/>
      <c r="N147" s="102"/>
      <c r="O147" s="102"/>
      <c r="P147" s="102"/>
      <c r="Q147" s="102"/>
      <c r="R147" s="102"/>
      <c r="S147" s="102"/>
    </row>
    <row r="148" spans="1:19" ht="57.6" x14ac:dyDescent="0.3">
      <c r="A148" t="s">
        <v>3561</v>
      </c>
      <c r="B148" t="s">
        <v>3577</v>
      </c>
      <c r="C148" s="90" t="s">
        <v>3578</v>
      </c>
      <c r="D148" t="s">
        <v>5562</v>
      </c>
      <c r="E148" s="101" t="s">
        <v>5788</v>
      </c>
      <c r="F148" t="str" cm="1">
        <f t="array" aca="1" ref="F148" ca="1">INDIRECT("'" &amp; A148 &amp; "'!" &amp; B148)</f>
        <v>c8_code</v>
      </c>
      <c r="G148" cm="1">
        <f t="array" aca="1" ref="G148" ca="1">INDIRECT("'" &amp; A148 &amp; "'!" &amp; ADDRESS(1, COLUMN(INDIRECT("'" &amp; A148 &amp; "'!" &amp; B148))))</f>
        <v>43709</v>
      </c>
      <c r="H148" t="e">
        <f ca="1">VLOOKUP($G148, survey_codes_dict!A:C, 2, FALSE)</f>
        <v>#N/A</v>
      </c>
      <c r="I148" s="102" t="e">
        <f ca="1">VLOOKUP($G148, survey_codes_dict!A:D, 4, FALSE)</f>
        <v>#N/A</v>
      </c>
      <c r="J148" s="102" t="e">
        <f t="shared" ca="1" si="4"/>
        <v>#N/A</v>
      </c>
      <c r="K148" s="102" t="e">
        <f t="shared" ca="1" si="5"/>
        <v>#N/A</v>
      </c>
      <c r="L148" s="102"/>
      <c r="M148" s="102"/>
      <c r="N148" s="102"/>
      <c r="O148" s="102"/>
      <c r="P148" s="102"/>
      <c r="Q148" s="102"/>
      <c r="R148" s="102"/>
      <c r="S148" s="102"/>
    </row>
    <row r="149" spans="1:19" ht="57.6" x14ac:dyDescent="0.3">
      <c r="A149" t="s">
        <v>3561</v>
      </c>
      <c r="B149" t="s">
        <v>3579</v>
      </c>
      <c r="C149" s="90" t="s">
        <v>3580</v>
      </c>
      <c r="D149" t="s">
        <v>5562</v>
      </c>
      <c r="E149" s="101" t="s">
        <v>5789</v>
      </c>
      <c r="F149" t="str" cm="1">
        <f t="array" aca="1" ref="F149" ca="1">INDIRECT("'" &amp; A149 &amp; "'!" &amp; B149)</f>
        <v>v8_code</v>
      </c>
      <c r="G149" cm="1">
        <f t="array" aca="1" ref="G149" ca="1">INDIRECT("'" &amp; A149 &amp; "'!" &amp; ADDRESS(1, COLUMN(INDIRECT("'" &amp; A149 &amp; "'!" &amp; B149))))</f>
        <v>43556</v>
      </c>
      <c r="H149" t="e">
        <f ca="1">VLOOKUP($G149, survey_codes_dict!A:C, 2, FALSE)</f>
        <v>#N/A</v>
      </c>
      <c r="I149" s="102" t="e">
        <f ca="1">VLOOKUP($G149, survey_codes_dict!A:D, 4, FALSE)</f>
        <v>#N/A</v>
      </c>
      <c r="J149" s="102" t="e">
        <f t="shared" ca="1" si="4"/>
        <v>#N/A</v>
      </c>
      <c r="K149" s="102" t="e">
        <f t="shared" ca="1" si="5"/>
        <v>#N/A</v>
      </c>
      <c r="L149" s="102"/>
      <c r="M149" s="102"/>
      <c r="N149" s="102"/>
      <c r="O149" s="102"/>
      <c r="P149" s="102"/>
      <c r="Q149" s="102"/>
      <c r="R149" s="102"/>
      <c r="S149" s="102"/>
    </row>
    <row r="150" spans="1:19" ht="158.4" x14ac:dyDescent="0.3">
      <c r="A150" t="s">
        <v>3561</v>
      </c>
      <c r="B150" t="s">
        <v>3581</v>
      </c>
      <c r="C150" s="90" t="s">
        <v>3582</v>
      </c>
      <c r="D150" t="s">
        <v>5562</v>
      </c>
      <c r="E150" s="101" t="s">
        <v>5790</v>
      </c>
      <c r="F150" t="str" cm="1">
        <f t="array" aca="1" ref="F150" ca="1">INDIRECT("'" &amp; A150 &amp; "'!" &amp; B150)</f>
        <v>v4</v>
      </c>
      <c r="G150" cm="1">
        <f t="array" aca="1" ref="G150" ca="1">INDIRECT("'" &amp; A150 &amp; "'!" &amp; ADDRESS(1, COLUMN(INDIRECT("'" &amp; A150 &amp; "'!" &amp; B150))))</f>
        <v>1984</v>
      </c>
      <c r="H150" t="str">
        <f ca="1">VLOOKUP($G150, survey_codes_dict!A:C, 2, FALSE)</f>
        <v>1984</v>
      </c>
      <c r="I150" s="102" t="str">
        <f ca="1">VLOOKUP($G150, survey_codes_dict!A:D, 4, FALSE)</f>
        <v>1981_3</v>
      </c>
      <c r="J150" s="102" t="str">
        <f t="shared" ca="1" si="4"/>
        <v>1984__v4</v>
      </c>
      <c r="K150" s="102" t="str">
        <f t="shared" ca="1" si="5"/>
        <v>1981_3__v4</v>
      </c>
      <c r="L150" s="102"/>
      <c r="M150" s="102"/>
      <c r="N150" s="102"/>
      <c r="O150" s="102"/>
      <c r="P150" s="102"/>
      <c r="Q150" s="102"/>
      <c r="R150" s="102"/>
      <c r="S150" s="101"/>
    </row>
    <row r="151" spans="1:19" ht="144" x14ac:dyDescent="0.3">
      <c r="A151" t="s">
        <v>3561</v>
      </c>
      <c r="B151" t="s">
        <v>3583</v>
      </c>
      <c r="C151" s="90" t="s">
        <v>3584</v>
      </c>
      <c r="D151" t="s">
        <v>5562</v>
      </c>
      <c r="E151" s="101" t="s">
        <v>5791</v>
      </c>
      <c r="F151" t="str" cm="1">
        <f t="array" aca="1" ref="F151" ca="1">INDIRECT("'" &amp; A151 &amp; "'!" &amp; B151)</f>
        <v>v6</v>
      </c>
      <c r="G151" t="str" cm="1">
        <f t="array" aca="1" ref="G151" ca="1">INDIRECT("'" &amp; A151 &amp; "'!" &amp; ADDRESS(1, COLUMN(INDIRECT("'" &amp; A151 &amp; "'!" &amp; B151))))</f>
        <v>1977 - 1</v>
      </c>
      <c r="H151" t="str">
        <f ca="1">VLOOKUP($G151, survey_codes_dict!A:C, 2, FALSE)</f>
        <v>1977_1</v>
      </c>
      <c r="I151" s="102" t="str">
        <f ca="1">VLOOKUP($G151, survey_codes_dict!A:D, 4, FALSE)</f>
        <v>1973_5</v>
      </c>
      <c r="J151" s="102" t="str">
        <f t="shared" ca="1" si="4"/>
        <v>1977_1__v6</v>
      </c>
      <c r="K151" s="102" t="str">
        <f t="shared" ca="1" si="5"/>
        <v>1973_5__v6</v>
      </c>
      <c r="L151" s="102"/>
      <c r="M151" s="102"/>
      <c r="N151" s="102"/>
      <c r="O151" s="102"/>
      <c r="P151" s="102"/>
      <c r="Q151" s="102"/>
      <c r="R151" s="102"/>
      <c r="S151" s="101"/>
    </row>
    <row r="152" spans="1:19" ht="129.6" x14ac:dyDescent="0.3">
      <c r="A152" t="s">
        <v>3561</v>
      </c>
      <c r="B152" t="s">
        <v>3585</v>
      </c>
      <c r="C152" s="90" t="s">
        <v>3586</v>
      </c>
      <c r="D152" t="s">
        <v>5562</v>
      </c>
      <c r="E152" s="101" t="s">
        <v>5792</v>
      </c>
      <c r="F152" t="str" cm="1">
        <f t="array" aca="1" ref="F152" ca="1">INDIRECT("'" &amp; A152 &amp; "'!" &amp; B152)</f>
        <v>g2</v>
      </c>
      <c r="G152" t="str" cm="1">
        <f t="array" aca="1" ref="G152" ca="1">INDIRECT("'" &amp; A152 &amp; "'!" &amp; ADDRESS(1, COLUMN(INDIRECT("'" &amp; A152 &amp; "'!" &amp; B152))))</f>
        <v>1973 - 4</v>
      </c>
      <c r="H152" t="str">
        <f ca="1">VLOOKUP($G152, survey_codes_dict!A:C, 2, FALSE)</f>
        <v>1973_4</v>
      </c>
      <c r="I152" s="102" t="str">
        <f ca="1">VLOOKUP($G152, survey_codes_dict!A:D, 4, FALSE)</f>
        <v>1973_3</v>
      </c>
      <c r="J152" s="102" t="str">
        <f t="shared" ca="1" si="4"/>
        <v>1973_4__g2</v>
      </c>
      <c r="K152" s="102" t="str">
        <f t="shared" ca="1" si="5"/>
        <v>1973_3__g2</v>
      </c>
      <c r="L152" s="102"/>
      <c r="M152" s="102"/>
      <c r="N152" s="102"/>
      <c r="O152" s="102"/>
      <c r="P152" s="102"/>
      <c r="Q152" s="102"/>
      <c r="R152" s="102"/>
      <c r="S152" s="101"/>
    </row>
    <row r="153" spans="1:19" ht="187.2" x14ac:dyDescent="0.3">
      <c r="A153" t="s">
        <v>3561</v>
      </c>
      <c r="B153" t="s">
        <v>3587</v>
      </c>
      <c r="C153" s="90" t="s">
        <v>3588</v>
      </c>
      <c r="D153" t="s">
        <v>5562</v>
      </c>
      <c r="E153" s="101" t="s">
        <v>5793</v>
      </c>
      <c r="F153" t="str" cm="1">
        <f t="array" aca="1" ref="F153" ca="1">INDIRECT("'" &amp; A153 &amp; "'!" &amp; B153)</f>
        <v>b23</v>
      </c>
      <c r="G153" t="str" cm="1">
        <f t="array" aca="1" ref="G153" ca="1">INDIRECT("'" &amp; A153 &amp; "'!" &amp; ADDRESS(1, COLUMN(INDIRECT("'" &amp; A153 &amp; "'!" &amp; B153))))</f>
        <v>1969 - 2</v>
      </c>
      <c r="H153" t="str">
        <f ca="1">VLOOKUP($G153, survey_codes_dict!A:C, 2, FALSE)</f>
        <v>1969_2</v>
      </c>
      <c r="I153" s="102" t="str">
        <f ca="1">VLOOKUP($G153, survey_codes_dict!A:D, 4, FALSE)</f>
        <v>1969_1</v>
      </c>
      <c r="J153" s="102" t="str">
        <f t="shared" ca="1" si="4"/>
        <v>1969_2__b23</v>
      </c>
      <c r="K153" s="102" t="str">
        <f t="shared" ca="1" si="5"/>
        <v>1969_1__b23</v>
      </c>
      <c r="L153" s="102"/>
      <c r="M153" s="102"/>
      <c r="N153" s="102"/>
      <c r="O153" s="102"/>
      <c r="P153" s="102"/>
      <c r="Q153" s="102"/>
      <c r="R153" s="102"/>
      <c r="S153" s="101"/>
    </row>
    <row r="154" spans="1:19" ht="100.8" x14ac:dyDescent="0.3">
      <c r="A154" t="s">
        <v>3561</v>
      </c>
      <c r="B154" t="s">
        <v>3589</v>
      </c>
      <c r="C154" s="90" t="s">
        <v>3590</v>
      </c>
      <c r="D154" t="s">
        <v>5562</v>
      </c>
      <c r="E154" s="101" t="s">
        <v>5794</v>
      </c>
      <c r="F154" t="str" cm="1">
        <f t="array" aca="1" ref="F154" ca="1">INDIRECT("'" &amp; A154 &amp; "'!" &amp; B154)</f>
        <v>c53</v>
      </c>
      <c r="G154" t="str" cm="1">
        <f t="array" aca="1" ref="G154" ca="1">INDIRECT("'" &amp; A154 &amp; "'!" &amp; ADDRESS(1, COLUMN(INDIRECT("'" &amp; A154 &amp; "'!" &amp; B154))))</f>
        <v>1973 - 2</v>
      </c>
      <c r="H154" t="str">
        <f ca="1">VLOOKUP($G154, survey_codes_dict!A:C, 2, FALSE)</f>
        <v>1973_2</v>
      </c>
      <c r="I154" s="102" t="str">
        <f ca="1">VLOOKUP($G154, survey_codes_dict!A:D, 4, FALSE)</f>
        <v>1973_1</v>
      </c>
      <c r="J154" s="102" t="str">
        <f t="shared" ca="1" si="4"/>
        <v>1973_2__c53</v>
      </c>
      <c r="K154" s="102" t="str">
        <f t="shared" ca="1" si="5"/>
        <v>1973_1__c53</v>
      </c>
      <c r="L154" s="102"/>
      <c r="M154" s="102"/>
      <c r="N154" s="102"/>
      <c r="O154" s="102"/>
      <c r="P154" s="102"/>
      <c r="Q154" s="102"/>
      <c r="R154" s="102"/>
      <c r="S154" s="101"/>
    </row>
    <row r="155" spans="1:19" ht="129.6" x14ac:dyDescent="0.3">
      <c r="A155" t="s">
        <v>3561</v>
      </c>
      <c r="B155" t="s">
        <v>3591</v>
      </c>
      <c r="C155" s="90" t="s">
        <v>3592</v>
      </c>
      <c r="D155" t="s">
        <v>5562</v>
      </c>
      <c r="E155" s="101" t="s">
        <v>5795</v>
      </c>
      <c r="F155" t="str" cm="1">
        <f t="array" aca="1" ref="F155" ca="1">INDIRECT("'" &amp; A155 &amp; "'!" &amp; B155)</f>
        <v>v6</v>
      </c>
      <c r="G155" cm="1">
        <f t="array" aca="1" ref="G155" ca="1">INDIRECT("'" &amp; A155 &amp; "'!" &amp; ADDRESS(1, COLUMN(INDIRECT("'" &amp; A155 &amp; "'!" &amp; B155))))</f>
        <v>1999</v>
      </c>
      <c r="H155" t="str">
        <f ca="1">VLOOKUP($G155, survey_codes_dict!A:C, 2, FALSE)</f>
        <v>1999_1</v>
      </c>
      <c r="I155" s="102" t="str">
        <f ca="1">VLOOKUP($G155, survey_codes_dict!A:D, 4, FALSE)</f>
        <v>1996_Jews</v>
      </c>
      <c r="J155" s="102" t="str">
        <f t="shared" ca="1" si="4"/>
        <v>1999_1__v6</v>
      </c>
      <c r="K155" s="102" t="str">
        <f t="shared" ca="1" si="5"/>
        <v>1996_Jews__v6</v>
      </c>
      <c r="L155" s="102"/>
      <c r="M155" s="102"/>
      <c r="N155" s="102"/>
      <c r="O155" s="102"/>
      <c r="P155" s="102"/>
      <c r="Q155" s="102"/>
      <c r="R155" s="102"/>
      <c r="S155" s="101"/>
    </row>
    <row r="156" spans="1:19" ht="72" x14ac:dyDescent="0.3">
      <c r="A156" t="s">
        <v>3561</v>
      </c>
      <c r="B156" t="s">
        <v>3593</v>
      </c>
      <c r="C156" s="90" t="s">
        <v>3594</v>
      </c>
      <c r="D156" t="s">
        <v>5562</v>
      </c>
      <c r="E156" s="101" t="s">
        <v>5796</v>
      </c>
      <c r="F156" t="str" cm="1">
        <f t="array" aca="1" ref="F156" ca="1">INDIRECT("'" &amp; A156 &amp; "'!" &amp; B156)</f>
        <v>c10</v>
      </c>
      <c r="G156" cm="1">
        <f t="array" aca="1" ref="G156" ca="1">INDIRECT("'" &amp; A156 &amp; "'!" &amp; ADDRESS(1, COLUMN(INDIRECT("'" &amp; A156 &amp; "'!" &amp; B156))))</f>
        <v>1996</v>
      </c>
      <c r="H156" t="str">
        <f ca="1">VLOOKUP($G156, survey_codes_dict!A:C, 2, FALSE)</f>
        <v>1996_Jews</v>
      </c>
      <c r="I156" s="102" t="str">
        <f ca="1">VLOOKUP($G156, survey_codes_dict!A:D, 4, FALSE)</f>
        <v>1992</v>
      </c>
      <c r="J156" s="102" t="str">
        <f t="shared" ca="1" si="4"/>
        <v>1996_Jews__c10</v>
      </c>
      <c r="K156" s="102" t="str">
        <f t="shared" ca="1" si="5"/>
        <v>1992__c10</v>
      </c>
      <c r="L156" s="102"/>
      <c r="M156" s="102"/>
      <c r="N156" s="102"/>
      <c r="O156" s="102"/>
      <c r="P156" s="102"/>
      <c r="Q156" s="102"/>
      <c r="R156" s="102"/>
      <c r="S156" s="101"/>
    </row>
    <row r="157" spans="1:19" ht="43.2" x14ac:dyDescent="0.3">
      <c r="A157" t="s">
        <v>3561</v>
      </c>
      <c r="B157" t="s">
        <v>3595</v>
      </c>
      <c r="C157" s="90" t="s">
        <v>3596</v>
      </c>
      <c r="D157" t="s">
        <v>5562</v>
      </c>
      <c r="E157" s="101" t="s">
        <v>5797</v>
      </c>
      <c r="F157" t="str" cm="1">
        <f t="array" aca="1" ref="F157" ca="1">INDIRECT("'" &amp; A157 &amp; "'!" &amp; B157)</f>
        <v>b5</v>
      </c>
      <c r="G157" t="str" cm="1">
        <f t="array" aca="1" ref="G157" ca="1">INDIRECT("'" &amp; A157 &amp; "'!" &amp; ADDRESS(1, COLUMN(INDIRECT("'" &amp; A157 &amp; "'!" &amp; B157))))</f>
        <v>1981 - 3</v>
      </c>
      <c r="H157" t="str">
        <f ca="1">VLOOKUP($G157, survey_codes_dict!A:C, 2, FALSE)</f>
        <v>1981_3</v>
      </c>
      <c r="I157" s="102">
        <f ca="1">VLOOKUP($G157, survey_codes_dict!A:D, 4, FALSE)</f>
        <v>0</v>
      </c>
      <c r="J157" s="102" t="str">
        <f t="shared" ca="1" si="4"/>
        <v>1981_3__b5</v>
      </c>
      <c r="K157" s="102" t="str">
        <f t="shared" ca="1" si="5"/>
        <v>0__b5</v>
      </c>
      <c r="L157" s="102"/>
      <c r="M157" s="102"/>
      <c r="N157" s="102"/>
      <c r="O157" s="102"/>
      <c r="P157" s="102"/>
      <c r="Q157" s="102"/>
      <c r="R157" s="102"/>
      <c r="S157" s="101"/>
    </row>
    <row r="158" spans="1:19" ht="72" x14ac:dyDescent="0.3">
      <c r="A158" t="s">
        <v>3561</v>
      </c>
      <c r="B158" t="s">
        <v>3597</v>
      </c>
      <c r="C158" s="90" t="s">
        <v>3598</v>
      </c>
      <c r="D158" t="s">
        <v>5562</v>
      </c>
      <c r="E158" s="101" t="s">
        <v>5798</v>
      </c>
      <c r="F158" t="str" cm="1">
        <f t="array" aca="1" ref="F158" ca="1">INDIRECT("'" &amp; A158 &amp; "'!" &amp; B158)</f>
        <v>v25</v>
      </c>
      <c r="G158" cm="1">
        <f t="array" aca="1" ref="G158" ca="1">INDIRECT("'" &amp; A158 &amp; "'!" &amp; ADDRESS(1, COLUMN(INDIRECT("'" &amp; A158 &amp; "'!" &amp; B158))))</f>
        <v>1984</v>
      </c>
      <c r="H158" t="str">
        <f ca="1">VLOOKUP($G158, survey_codes_dict!A:C, 2, FALSE)</f>
        <v>1984</v>
      </c>
      <c r="I158" s="102" t="str">
        <f ca="1">VLOOKUP($G158, survey_codes_dict!A:D, 4, FALSE)</f>
        <v>1981_3</v>
      </c>
      <c r="J158" s="102" t="str">
        <f t="shared" ca="1" si="4"/>
        <v>1984__v25</v>
      </c>
      <c r="K158" s="102" t="str">
        <f t="shared" ca="1" si="5"/>
        <v>1981_3__v25</v>
      </c>
      <c r="L158" s="102"/>
      <c r="M158" s="102"/>
      <c r="N158" s="102"/>
      <c r="O158" s="102"/>
      <c r="P158" s="102"/>
      <c r="Q158" s="102"/>
      <c r="R158" s="102"/>
      <c r="S158" s="101"/>
    </row>
    <row r="159" spans="1:19" ht="43.2" x14ac:dyDescent="0.3">
      <c r="A159" t="s">
        <v>3561</v>
      </c>
      <c r="B159" t="s">
        <v>3599</v>
      </c>
      <c r="C159" s="90" t="s">
        <v>3600</v>
      </c>
      <c r="D159" t="s">
        <v>5562</v>
      </c>
      <c r="E159" s="101" t="s">
        <v>5799</v>
      </c>
      <c r="F159" t="str" cm="1">
        <f t="array" aca="1" ref="F159" ca="1">INDIRECT("'" &amp; A159 &amp; "'!" &amp; B159)</f>
        <v>מבין הדברים הבאים, מה לדעתך הכי מאיים על המערכת הפוליטית כיום?</v>
      </c>
      <c r="G159" t="str" cm="1">
        <f t="array" aca="1" ref="G159" ca="1">INDIRECT("'" &amp; A159 &amp; "'!" &amp; ADDRESS(1, COLUMN(INDIRECT("'" &amp; A159 &amp; "'!" &amp; B159))))</f>
        <v>שאלה</v>
      </c>
      <c r="H159" t="e">
        <f ca="1">VLOOKUP($G159, survey_codes_dict!A:C, 2, FALSE)</f>
        <v>#N/A</v>
      </c>
      <c r="I159" s="102" t="e">
        <f ca="1">VLOOKUP($G159, survey_codes_dict!A:D, 4, FALSE)</f>
        <v>#N/A</v>
      </c>
      <c r="J159" s="102" t="e">
        <f t="shared" ca="1" si="4"/>
        <v>#N/A</v>
      </c>
      <c r="K159" s="102" t="e">
        <f t="shared" ca="1" si="5"/>
        <v>#N/A</v>
      </c>
      <c r="L159" s="102"/>
      <c r="M159" s="102"/>
      <c r="N159" s="102"/>
      <c r="O159" s="102"/>
      <c r="P159" s="102"/>
      <c r="Q159" s="102"/>
      <c r="R159" s="102"/>
      <c r="S159" s="102"/>
    </row>
    <row r="160" spans="1:19" ht="115.2" x14ac:dyDescent="0.3">
      <c r="A160" t="s">
        <v>3561</v>
      </c>
      <c r="B160" t="s">
        <v>3330</v>
      </c>
      <c r="C160" s="90" t="s">
        <v>3601</v>
      </c>
      <c r="D160" t="s">
        <v>5562</v>
      </c>
      <c r="E160" s="101" t="s">
        <v>5800</v>
      </c>
      <c r="F160" cm="1">
        <f t="array" aca="1" ref="F160" ca="1">INDIRECT("'" &amp; A160 &amp; "'!" &amp; B160)</f>
        <v>0</v>
      </c>
      <c r="G160" cm="1">
        <f t="array" aca="1" ref="G160" ca="1">INDIRECT("'" &amp; A160 &amp; "'!" &amp; ADDRESS(1, COLUMN(INDIRECT("'" &amp; A160 &amp; "'!" &amp; B160))))</f>
        <v>2020</v>
      </c>
      <c r="H160" t="e">
        <f ca="1">VLOOKUP($G160, survey_codes_dict!A:C, 2, FALSE)</f>
        <v>#N/A</v>
      </c>
      <c r="I160" s="102" t="e">
        <f ca="1">VLOOKUP($G160, survey_codes_dict!A:D, 4, FALSE)</f>
        <v>#N/A</v>
      </c>
      <c r="J160" s="102" t="e">
        <f t="shared" ca="1" si="4"/>
        <v>#N/A</v>
      </c>
      <c r="K160" s="102" t="e">
        <f t="shared" ca="1" si="5"/>
        <v>#N/A</v>
      </c>
      <c r="L160" s="102"/>
      <c r="M160" s="102"/>
      <c r="N160" s="102"/>
      <c r="O160" s="102"/>
      <c r="P160" s="102"/>
      <c r="Q160" s="102"/>
      <c r="R160" s="102"/>
      <c r="S160" s="102"/>
    </row>
    <row r="161" spans="1:19" ht="57.6" x14ac:dyDescent="0.3">
      <c r="A161" t="s">
        <v>3561</v>
      </c>
      <c r="B161" t="s">
        <v>3332</v>
      </c>
      <c r="C161" s="90" t="s">
        <v>3602</v>
      </c>
      <c r="D161" t="s">
        <v>5562</v>
      </c>
      <c r="E161" s="101" t="s">
        <v>5801</v>
      </c>
      <c r="F161" t="str" cm="1">
        <f t="array" aca="1" ref="F161" ca="1">INDIRECT("'" &amp; A161 &amp; "'!" &amp; B161)</f>
        <v>v116</v>
      </c>
      <c r="G161" cm="1">
        <f t="array" aca="1" ref="G161" ca="1">INDIRECT("'" &amp; A161 &amp; "'!" &amp; ADDRESS(1, COLUMN(INDIRECT("'" &amp; A161 &amp; "'!" &amp; B161))))</f>
        <v>2020</v>
      </c>
      <c r="H161" t="e">
        <f ca="1">VLOOKUP($G161, survey_codes_dict!A:C, 2, FALSE)</f>
        <v>#N/A</v>
      </c>
      <c r="I161" s="102" t="e">
        <f ca="1">VLOOKUP($G161, survey_codes_dict!A:D, 4, FALSE)</f>
        <v>#N/A</v>
      </c>
      <c r="J161" s="102" t="e">
        <f t="shared" ca="1" si="4"/>
        <v>#N/A</v>
      </c>
      <c r="K161" s="102" t="e">
        <f t="shared" ca="1" si="5"/>
        <v>#N/A</v>
      </c>
      <c r="L161" s="102"/>
      <c r="M161" s="102"/>
      <c r="N161" s="102"/>
      <c r="O161" s="102"/>
      <c r="P161" s="102"/>
      <c r="Q161" s="102"/>
      <c r="R161" s="102"/>
      <c r="S161" s="101"/>
    </row>
    <row r="162" spans="1:19" ht="43.2" x14ac:dyDescent="0.3">
      <c r="A162" t="s">
        <v>3561</v>
      </c>
      <c r="B162" t="s">
        <v>3603</v>
      </c>
      <c r="C162" s="90" t="s">
        <v>3604</v>
      </c>
      <c r="D162" t="s">
        <v>5662</v>
      </c>
      <c r="E162" s="101" t="s">
        <v>5573</v>
      </c>
      <c r="F162" t="str" cm="1">
        <f t="array" aca="1" ref="F162" ca="1">INDIRECT("'" &amp; A162 &amp; "'!" &amp; B162)</f>
        <v>כאשר אתה חושב על תולדות מדינת ישראל ועם ישראל, איזה אירוע מהעבר נראה לך החשוב ביותר?</v>
      </c>
      <c r="G162" t="str" cm="1">
        <f t="array" aca="1" ref="G162" ca="1">INDIRECT("'" &amp; A162 &amp; "'!" &amp; ADDRESS(1, COLUMN(INDIRECT("'" &amp; A162 &amp; "'!" &amp; B162))))</f>
        <v>שאלה</v>
      </c>
      <c r="H162" t="e">
        <f ca="1">VLOOKUP($G162, survey_codes_dict!A:C, 2, FALSE)</f>
        <v>#N/A</v>
      </c>
      <c r="I162" s="102" t="e">
        <f ca="1">VLOOKUP($G162, survey_codes_dict!A:D, 4, FALSE)</f>
        <v>#N/A</v>
      </c>
      <c r="J162" s="102" t="e">
        <f t="shared" ca="1" si="4"/>
        <v>#N/A</v>
      </c>
      <c r="K162" s="102" t="e">
        <f t="shared" ca="1" si="5"/>
        <v>#N/A</v>
      </c>
      <c r="L162" s="102"/>
      <c r="M162" s="102"/>
      <c r="N162" s="102"/>
      <c r="O162" s="102"/>
      <c r="P162" s="102"/>
      <c r="Q162" s="102"/>
      <c r="R162" s="102"/>
      <c r="S162" s="102"/>
    </row>
    <row r="163" spans="1:19" ht="28.8" x14ac:dyDescent="0.3">
      <c r="A163" t="s">
        <v>3561</v>
      </c>
      <c r="B163" t="s">
        <v>3605</v>
      </c>
      <c r="C163" s="90" t="s">
        <v>3606</v>
      </c>
      <c r="D163" t="s">
        <v>5662</v>
      </c>
      <c r="E163" s="101" t="s">
        <v>5574</v>
      </c>
      <c r="F163" cm="1">
        <f t="array" aca="1" ref="F163" ca="1">INDIRECT("'" &amp; A163 &amp; "'!" &amp; B163)</f>
        <v>0</v>
      </c>
      <c r="G163" cm="1">
        <f t="array" aca="1" ref="G163" ca="1">INDIRECT("'" &amp; A163 &amp; "'!" &amp; ADDRESS(1, COLUMN(INDIRECT("'" &amp; A163 &amp; "'!" &amp; B163))))</f>
        <v>2022</v>
      </c>
      <c r="H163" t="e">
        <f ca="1">VLOOKUP($G163, survey_codes_dict!A:C, 2, FALSE)</f>
        <v>#N/A</v>
      </c>
      <c r="I163" s="102" t="e">
        <f ca="1">VLOOKUP($G163, survey_codes_dict!A:D, 4, FALSE)</f>
        <v>#N/A</v>
      </c>
      <c r="J163" s="102" t="e">
        <f t="shared" ca="1" si="4"/>
        <v>#N/A</v>
      </c>
      <c r="K163" s="102" t="e">
        <f t="shared" ca="1" si="5"/>
        <v>#N/A</v>
      </c>
      <c r="L163" s="102"/>
      <c r="M163" s="102"/>
      <c r="N163" s="102"/>
      <c r="O163" s="102"/>
      <c r="P163" s="102"/>
      <c r="Q163" s="102"/>
      <c r="R163" s="102"/>
      <c r="S163" s="102"/>
    </row>
    <row r="164" spans="1:19" ht="28.8" x14ac:dyDescent="0.3">
      <c r="A164" t="s">
        <v>3561</v>
      </c>
      <c r="B164" t="s">
        <v>3607</v>
      </c>
      <c r="C164" s="90" t="s">
        <v>3606</v>
      </c>
      <c r="D164" t="s">
        <v>5662</v>
      </c>
      <c r="E164" s="101" t="s">
        <v>5574</v>
      </c>
      <c r="F164" cm="1">
        <f t="array" aca="1" ref="F164" ca="1">INDIRECT("'" &amp; A164 &amp; "'!" &amp; B164)</f>
        <v>0</v>
      </c>
      <c r="G164" cm="1">
        <f t="array" aca="1" ref="G164" ca="1">INDIRECT("'" &amp; A164 &amp; "'!" &amp; ADDRESS(1, COLUMN(INDIRECT("'" &amp; A164 &amp; "'!" &amp; B164))))</f>
        <v>2022</v>
      </c>
      <c r="H164" t="e">
        <f ca="1">VLOOKUP($G164, survey_codes_dict!A:C, 2, FALSE)</f>
        <v>#N/A</v>
      </c>
      <c r="I164" s="102" t="e">
        <f ca="1">VLOOKUP($G164, survey_codes_dict!A:D, 4, FALSE)</f>
        <v>#N/A</v>
      </c>
      <c r="J164" s="102" t="e">
        <f t="shared" ca="1" si="4"/>
        <v>#N/A</v>
      </c>
      <c r="K164" s="102" t="e">
        <f t="shared" ca="1" si="5"/>
        <v>#N/A</v>
      </c>
      <c r="L164" s="102"/>
      <c r="M164" s="102"/>
      <c r="N164" s="102"/>
      <c r="O164" s="102"/>
      <c r="P164" s="102"/>
      <c r="Q164" s="102"/>
      <c r="R164" s="102"/>
      <c r="S164" s="102"/>
    </row>
    <row r="165" spans="1:19" ht="28.8" x14ac:dyDescent="0.3">
      <c r="A165" t="s">
        <v>3561</v>
      </c>
      <c r="B165" t="s">
        <v>3608</v>
      </c>
      <c r="C165" s="90" t="s">
        <v>3606</v>
      </c>
      <c r="D165" t="s">
        <v>5662</v>
      </c>
      <c r="E165" s="101" t="s">
        <v>5574</v>
      </c>
      <c r="F165" cm="1">
        <f t="array" aca="1" ref="F165" ca="1">INDIRECT("'" &amp; A165 &amp; "'!" &amp; B165)</f>
        <v>0</v>
      </c>
      <c r="G165" cm="1">
        <f t="array" aca="1" ref="G165" ca="1">INDIRECT("'" &amp; A165 &amp; "'!" &amp; ADDRESS(1, COLUMN(INDIRECT("'" &amp; A165 &amp; "'!" &amp; B165))))</f>
        <v>2022</v>
      </c>
      <c r="H165" t="e">
        <f ca="1">VLOOKUP($G165, survey_codes_dict!A:C, 2, FALSE)</f>
        <v>#N/A</v>
      </c>
      <c r="I165" s="102" t="e">
        <f ca="1">VLOOKUP($G165, survey_codes_dict!A:D, 4, FALSE)</f>
        <v>#N/A</v>
      </c>
      <c r="J165" s="102" t="e">
        <f t="shared" ca="1" si="4"/>
        <v>#N/A</v>
      </c>
      <c r="K165" s="102" t="e">
        <f t="shared" ca="1" si="5"/>
        <v>#N/A</v>
      </c>
      <c r="L165" s="102"/>
      <c r="M165" s="102"/>
      <c r="N165" s="102"/>
      <c r="O165" s="102"/>
      <c r="P165" s="102"/>
      <c r="Q165" s="102"/>
      <c r="R165" s="102"/>
      <c r="S165" s="102"/>
    </row>
    <row r="166" spans="1:19" ht="72" x14ac:dyDescent="0.3">
      <c r="A166" t="s">
        <v>3561</v>
      </c>
      <c r="B166" t="s">
        <v>3609</v>
      </c>
      <c r="C166" s="90" t="s">
        <v>3610</v>
      </c>
      <c r="D166" t="s">
        <v>5562</v>
      </c>
      <c r="E166" s="101" t="s">
        <v>5802</v>
      </c>
      <c r="F166" t="str" cm="1">
        <f t="array" aca="1" ref="F166" ca="1">INDIRECT("'" &amp; A166 &amp; "'!" &amp; B166)</f>
        <v>v33</v>
      </c>
      <c r="G166" cm="1">
        <f t="array" aca="1" ref="G166" ca="1">INDIRECT("'" &amp; A166 &amp; "'!" &amp; ADDRESS(1, COLUMN(INDIRECT("'" &amp; A166 &amp; "'!" &amp; B166))))</f>
        <v>2015</v>
      </c>
      <c r="H166" t="e">
        <f ca="1">VLOOKUP($G166, survey_codes_dict!A:C, 2, FALSE)</f>
        <v>#N/A</v>
      </c>
      <c r="I166" s="102" t="e">
        <f ca="1">VLOOKUP($G166, survey_codes_dict!A:D, 4, FALSE)</f>
        <v>#N/A</v>
      </c>
      <c r="J166" s="102" t="e">
        <f t="shared" ca="1" si="4"/>
        <v>#N/A</v>
      </c>
      <c r="K166" s="102" t="e">
        <f t="shared" ca="1" si="5"/>
        <v>#N/A</v>
      </c>
      <c r="L166" s="102"/>
      <c r="M166" s="102"/>
      <c r="N166" s="102"/>
      <c r="O166" s="102"/>
      <c r="P166" s="102"/>
      <c r="Q166" s="102"/>
      <c r="R166" s="102"/>
      <c r="S166" s="101"/>
    </row>
    <row r="167" spans="1:19" ht="72" x14ac:dyDescent="0.3">
      <c r="A167" t="s">
        <v>3561</v>
      </c>
      <c r="B167" t="s">
        <v>3611</v>
      </c>
      <c r="C167" s="90" t="s">
        <v>3610</v>
      </c>
      <c r="D167" t="s">
        <v>5562</v>
      </c>
      <c r="E167" s="101" t="s">
        <v>5802</v>
      </c>
      <c r="F167" t="str" cm="1">
        <f t="array" aca="1" ref="F167" ca="1">INDIRECT("'" &amp; A167 &amp; "'!" &amp; B167)</f>
        <v>v40</v>
      </c>
      <c r="G167" cm="1">
        <f t="array" aca="1" ref="G167" ca="1">INDIRECT("'" &amp; A167 &amp; "'!" &amp; ADDRESS(1, COLUMN(INDIRECT("'" &amp; A167 &amp; "'!" &amp; B167))))</f>
        <v>2013</v>
      </c>
      <c r="H167" t="e">
        <f ca="1">VLOOKUP($G167, survey_codes_dict!A:C, 2, FALSE)</f>
        <v>#N/A</v>
      </c>
      <c r="I167" s="102" t="e">
        <f ca="1">VLOOKUP($G167, survey_codes_dict!A:D, 4, FALSE)</f>
        <v>#N/A</v>
      </c>
      <c r="J167" s="102" t="e">
        <f t="shared" ca="1" si="4"/>
        <v>#N/A</v>
      </c>
      <c r="K167" s="102" t="e">
        <f t="shared" ca="1" si="5"/>
        <v>#N/A</v>
      </c>
      <c r="L167" s="102"/>
      <c r="M167" s="102"/>
      <c r="N167" s="102"/>
      <c r="O167" s="102"/>
      <c r="P167" s="102"/>
      <c r="Q167" s="102"/>
      <c r="R167" s="102"/>
      <c r="S167" s="101"/>
    </row>
    <row r="168" spans="1:19" ht="100.8" x14ac:dyDescent="0.3">
      <c r="A168" t="s">
        <v>3561</v>
      </c>
      <c r="B168" t="s">
        <v>3612</v>
      </c>
      <c r="C168" s="90" t="s">
        <v>3613</v>
      </c>
      <c r="D168" t="s">
        <v>5562</v>
      </c>
      <c r="E168" s="101" t="s">
        <v>5803</v>
      </c>
      <c r="F168" t="str" cm="1">
        <f t="array" aca="1" ref="F168" ca="1">INDIRECT("'" &amp; A168 &amp; "'!" &amp; B168)</f>
        <v>v107</v>
      </c>
      <c r="G168" cm="1">
        <f t="array" aca="1" ref="G168" ca="1">INDIRECT("'" &amp; A168 &amp; "'!" &amp; ADDRESS(1, COLUMN(INDIRECT("'" &amp; A168 &amp; "'!" &amp; B168))))</f>
        <v>2015</v>
      </c>
      <c r="H168" t="e">
        <f ca="1">VLOOKUP($G168, survey_codes_dict!A:C, 2, FALSE)</f>
        <v>#N/A</v>
      </c>
      <c r="I168" s="102" t="e">
        <f ca="1">VLOOKUP($G168, survey_codes_dict!A:D, 4, FALSE)</f>
        <v>#N/A</v>
      </c>
      <c r="J168" s="102" t="e">
        <f t="shared" ca="1" si="4"/>
        <v>#N/A</v>
      </c>
      <c r="K168" s="102" t="e">
        <f t="shared" ca="1" si="5"/>
        <v>#N/A</v>
      </c>
      <c r="L168" s="102"/>
      <c r="M168" s="102"/>
      <c r="N168" s="102"/>
      <c r="O168" s="102"/>
      <c r="P168" s="102"/>
      <c r="Q168" s="102"/>
      <c r="R168" s="102"/>
      <c r="S168" s="101"/>
    </row>
    <row r="169" spans="1:19" ht="57.6" x14ac:dyDescent="0.3">
      <c r="A169" t="s">
        <v>3561</v>
      </c>
      <c r="B169" t="s">
        <v>3614</v>
      </c>
      <c r="C169" s="90" t="s">
        <v>3615</v>
      </c>
      <c r="D169" t="s">
        <v>5562</v>
      </c>
      <c r="E169" s="101" t="s">
        <v>5804</v>
      </c>
      <c r="F169" t="str" cm="1">
        <f t="array" aca="1" ref="F169" ca="1">INDIRECT("'" &amp; A169 &amp; "'!" &amp; B169)</f>
        <v>v57</v>
      </c>
      <c r="G169" cm="1">
        <f t="array" aca="1" ref="G169" ca="1">INDIRECT("'" &amp; A169 &amp; "'!" &amp; ADDRESS(1, COLUMN(INDIRECT("'" &amp; A169 &amp; "'!" &amp; B169))))</f>
        <v>2009</v>
      </c>
      <c r="H169" t="e">
        <f ca="1">VLOOKUP($G169, survey_codes_dict!A:C, 2, FALSE)</f>
        <v>#N/A</v>
      </c>
      <c r="I169" s="102" t="e">
        <f ca="1">VLOOKUP($G169, survey_codes_dict!A:D, 4, FALSE)</f>
        <v>#N/A</v>
      </c>
      <c r="J169" s="102" t="e">
        <f t="shared" ca="1" si="4"/>
        <v>#N/A</v>
      </c>
      <c r="K169" s="102" t="e">
        <f t="shared" ca="1" si="5"/>
        <v>#N/A</v>
      </c>
      <c r="L169" s="102"/>
      <c r="M169" s="102"/>
      <c r="N169" s="102"/>
      <c r="O169" s="102"/>
      <c r="P169" s="102"/>
      <c r="Q169" s="102"/>
      <c r="R169" s="102"/>
      <c r="S169" s="101"/>
    </row>
    <row r="170" spans="1:19" ht="72" x14ac:dyDescent="0.3">
      <c r="A170" t="s">
        <v>3561</v>
      </c>
      <c r="B170" t="s">
        <v>3616</v>
      </c>
      <c r="C170" s="90" t="s">
        <v>3617</v>
      </c>
      <c r="D170" t="s">
        <v>5562</v>
      </c>
      <c r="E170" s="101" t="s">
        <v>5805</v>
      </c>
      <c r="F170" t="str" cm="1">
        <f t="array" aca="1" ref="F170" ca="1">INDIRECT("'" &amp; A170 &amp; "'!" &amp; B170)</f>
        <v>b61</v>
      </c>
      <c r="G170" t="str" cm="1">
        <f t="array" aca="1" ref="G170" ca="1">INDIRECT("'" &amp; A170 &amp; "'!" &amp; ADDRESS(1, COLUMN(INDIRECT("'" &amp; A170 &amp; "'!" &amp; B170))))</f>
        <v>1981 - 3</v>
      </c>
      <c r="H170" t="str">
        <f ca="1">VLOOKUP($G170, survey_codes_dict!A:C, 2, FALSE)</f>
        <v>1981_3</v>
      </c>
      <c r="I170" s="102">
        <f ca="1">VLOOKUP($G170, survey_codes_dict!A:D, 4, FALSE)</f>
        <v>0</v>
      </c>
      <c r="J170" s="102" t="str">
        <f t="shared" ca="1" si="4"/>
        <v>1981_3__b61</v>
      </c>
      <c r="K170" s="102" t="str">
        <f t="shared" ca="1" si="5"/>
        <v>0__b61</v>
      </c>
      <c r="L170" s="102"/>
      <c r="M170" s="102"/>
      <c r="N170" s="102"/>
      <c r="O170" s="102"/>
      <c r="P170" s="102"/>
      <c r="Q170" s="102"/>
      <c r="R170" s="102"/>
      <c r="S170" s="101"/>
    </row>
    <row r="171" spans="1:19" ht="72" x14ac:dyDescent="0.3">
      <c r="A171" t="s">
        <v>3561</v>
      </c>
      <c r="B171" t="s">
        <v>3618</v>
      </c>
      <c r="C171" s="90" t="s">
        <v>3617</v>
      </c>
      <c r="D171" t="s">
        <v>5562</v>
      </c>
      <c r="E171" s="101" t="s">
        <v>5805</v>
      </c>
      <c r="F171" t="str" cm="1">
        <f t="array" aca="1" ref="F171" ca="1">INDIRECT("'" &amp; A171 &amp; "'!" &amp; B171)</f>
        <v>v25</v>
      </c>
      <c r="G171" t="str" cm="1">
        <f t="array" aca="1" ref="G171" ca="1">INDIRECT("'" &amp; A171 &amp; "'!" &amp; ADDRESS(1, COLUMN(INDIRECT("'" &amp; A171 &amp; "'!" &amp; B171))))</f>
        <v>1981 - 1</v>
      </c>
      <c r="H171" t="str">
        <f ca="1">VLOOKUP($G171, survey_codes_dict!A:C, 2, FALSE)</f>
        <v>1981_1</v>
      </c>
      <c r="I171" s="102" t="str">
        <f ca="1">VLOOKUP($G171, survey_codes_dict!A:D, 4, FALSE)</f>
        <v>1977_4</v>
      </c>
      <c r="J171" s="102" t="str">
        <f t="shared" ca="1" si="4"/>
        <v>1981_1__v25</v>
      </c>
      <c r="K171" s="102" t="str">
        <f t="shared" ca="1" si="5"/>
        <v>1977_4__v25</v>
      </c>
      <c r="L171" s="102"/>
      <c r="M171" s="102"/>
      <c r="N171" s="102"/>
      <c r="O171" s="102"/>
      <c r="P171" s="102"/>
      <c r="Q171" s="102"/>
      <c r="R171" s="102"/>
      <c r="S171" s="101"/>
    </row>
    <row r="172" spans="1:19" ht="57.6" x14ac:dyDescent="0.3">
      <c r="A172" t="s">
        <v>3561</v>
      </c>
      <c r="B172" t="s">
        <v>3619</v>
      </c>
      <c r="C172" s="90" t="s">
        <v>3620</v>
      </c>
      <c r="D172" t="s">
        <v>5562</v>
      </c>
      <c r="E172" s="101" t="s">
        <v>5806</v>
      </c>
      <c r="F172" t="str" cm="1">
        <f t="array" aca="1" ref="F172" ca="1">INDIRECT("'" &amp; A172 &amp; "'!" &amp; B172)</f>
        <v>a11</v>
      </c>
      <c r="G172" t="str" cm="1">
        <f t="array" aca="1" ref="G172" ca="1">INDIRECT("'" &amp; A172 &amp; "'!" &amp; ADDRESS(1, COLUMN(INDIRECT("'" &amp; A172 &amp; "'!" &amp; B172))))</f>
        <v>1969 - 2</v>
      </c>
      <c r="H172" t="str">
        <f ca="1">VLOOKUP($G172, survey_codes_dict!A:C, 2, FALSE)</f>
        <v>1969_2</v>
      </c>
      <c r="I172" s="102" t="str">
        <f ca="1">VLOOKUP($G172, survey_codes_dict!A:D, 4, FALSE)</f>
        <v>1969_1</v>
      </c>
      <c r="J172" s="102" t="str">
        <f t="shared" ca="1" si="4"/>
        <v>1969_2__a11</v>
      </c>
      <c r="K172" s="102" t="str">
        <f t="shared" ca="1" si="5"/>
        <v>1969_1__a11</v>
      </c>
      <c r="L172" s="102"/>
      <c r="M172" s="102"/>
      <c r="N172" s="102"/>
      <c r="O172" s="102"/>
      <c r="P172" s="102"/>
      <c r="Q172" s="102"/>
      <c r="R172" s="102"/>
      <c r="S172" s="101"/>
    </row>
    <row r="173" spans="1:19" ht="86.4" x14ac:dyDescent="0.3">
      <c r="A173" t="s">
        <v>3561</v>
      </c>
      <c r="B173" t="s">
        <v>3621</v>
      </c>
      <c r="C173" s="90" t="s">
        <v>3622</v>
      </c>
      <c r="D173" t="s">
        <v>5562</v>
      </c>
      <c r="E173" s="101" t="s">
        <v>5807</v>
      </c>
      <c r="F173" t="str" cm="1">
        <f t="array" aca="1" ref="F173" ca="1">INDIRECT("'" &amp; A173 &amp; "'!" &amp; B173)</f>
        <v>d44</v>
      </c>
      <c r="G173" t="str" cm="1">
        <f t="array" aca="1" ref="G173" ca="1">INDIRECT("'" &amp; A173 &amp; "'!" &amp; ADDRESS(1, COLUMN(INDIRECT("'" &amp; A173 &amp; "'!" &amp; B173))))</f>
        <v>1973 - 2</v>
      </c>
      <c r="H173" t="str">
        <f ca="1">VLOOKUP($G173, survey_codes_dict!A:C, 2, FALSE)</f>
        <v>1973_2</v>
      </c>
      <c r="I173" s="102" t="str">
        <f ca="1">VLOOKUP($G173, survey_codes_dict!A:D, 4, FALSE)</f>
        <v>1973_1</v>
      </c>
      <c r="J173" s="102" t="str">
        <f t="shared" ca="1" si="4"/>
        <v>1973_2__d44</v>
      </c>
      <c r="K173" s="102" t="str">
        <f t="shared" ca="1" si="5"/>
        <v>1973_1__d44</v>
      </c>
      <c r="L173" s="102"/>
      <c r="M173" s="102"/>
      <c r="N173" s="102"/>
      <c r="O173" s="102"/>
      <c r="P173" s="102"/>
      <c r="Q173" s="102"/>
      <c r="R173" s="102"/>
      <c r="S173" s="101"/>
    </row>
    <row r="174" spans="1:19" ht="187.2" x14ac:dyDescent="0.3">
      <c r="A174" t="s">
        <v>3561</v>
      </c>
      <c r="B174" t="s">
        <v>3623</v>
      </c>
      <c r="C174" s="90" t="s">
        <v>3624</v>
      </c>
      <c r="D174" t="s">
        <v>5562</v>
      </c>
      <c r="E174" s="101" t="s">
        <v>5808</v>
      </c>
      <c r="F174" t="str" cm="1">
        <f t="array" aca="1" ref="F174" ca="1">INDIRECT("'" &amp; A174 &amp; "'!" &amp; B174)</f>
        <v>v704</v>
      </c>
      <c r="G174" cm="1">
        <f t="array" aca="1" ref="G174" ca="1">INDIRECT("'" &amp; A174 &amp; "'!" &amp; ADDRESS(1, COLUMN(INDIRECT("'" &amp; A174 &amp; "'!" &amp; B174))))</f>
        <v>2022</v>
      </c>
      <c r="H174" t="e">
        <f ca="1">VLOOKUP($G174, survey_codes_dict!A:C, 2, FALSE)</f>
        <v>#N/A</v>
      </c>
      <c r="I174" s="102" t="e">
        <f ca="1">VLOOKUP($G174, survey_codes_dict!A:D, 4, FALSE)</f>
        <v>#N/A</v>
      </c>
      <c r="J174" s="102" t="e">
        <f t="shared" ca="1" si="4"/>
        <v>#N/A</v>
      </c>
      <c r="K174" s="102" t="e">
        <f t="shared" ca="1" si="5"/>
        <v>#N/A</v>
      </c>
      <c r="L174" s="102"/>
      <c r="M174" s="102"/>
      <c r="N174" s="102"/>
      <c r="O174" s="102"/>
      <c r="P174" s="102"/>
      <c r="Q174" s="102"/>
      <c r="R174" s="102"/>
      <c r="S174" s="102"/>
    </row>
    <row r="175" spans="1:19" ht="72" x14ac:dyDescent="0.3">
      <c r="A175" t="s">
        <v>3561</v>
      </c>
      <c r="B175" t="s">
        <v>3625</v>
      </c>
      <c r="C175" s="90" t="s">
        <v>3626</v>
      </c>
      <c r="D175" t="s">
        <v>5562</v>
      </c>
      <c r="E175" s="101" t="s">
        <v>5809</v>
      </c>
      <c r="F175" t="str" cm="1">
        <f t="array" aca="1" ref="F175" ca="1">INDIRECT("'" &amp; A175 &amp; "'!" &amp; B175)</f>
        <v>b13</v>
      </c>
      <c r="G175" cm="1">
        <f t="array" aca="1" ref="G175" ca="1">INDIRECT("'" &amp; A175 &amp; "'!" &amp; ADDRESS(1, COLUMN(INDIRECT("'" &amp; A175 &amp; "'!" &amp; B175))))</f>
        <v>2001</v>
      </c>
      <c r="H175" t="str">
        <f ca="1">VLOOKUP($G175, survey_codes_dict!A:C, 2, FALSE)</f>
        <v>2001</v>
      </c>
      <c r="I175" s="102" t="str">
        <f ca="1">VLOOKUP($G175, survey_codes_dict!A:D, 4, FALSE)</f>
        <v>1999_1</v>
      </c>
      <c r="J175" s="102" t="str">
        <f t="shared" ca="1" si="4"/>
        <v>2001__b13</v>
      </c>
      <c r="K175" s="102" t="str">
        <f t="shared" ca="1" si="5"/>
        <v>1999_1__b13</v>
      </c>
      <c r="L175" s="102"/>
      <c r="M175" s="102"/>
      <c r="N175" s="102"/>
      <c r="O175" s="102"/>
      <c r="P175" s="102"/>
      <c r="Q175" s="102"/>
      <c r="R175" s="102"/>
      <c r="S175" s="101"/>
    </row>
    <row r="176" spans="1:19" ht="72" x14ac:dyDescent="0.3">
      <c r="A176" t="s">
        <v>3561</v>
      </c>
      <c r="B176" t="s">
        <v>3627</v>
      </c>
      <c r="C176" s="90" t="s">
        <v>3628</v>
      </c>
      <c r="D176" t="s">
        <v>5562</v>
      </c>
      <c r="E176" s="101" t="s">
        <v>5810</v>
      </c>
      <c r="F176" t="str" cm="1">
        <f t="array" aca="1" ref="F176" ca="1">INDIRECT("'" &amp; A176 &amp; "'!" &amp; B176)</f>
        <v>c11</v>
      </c>
      <c r="G176" cm="1">
        <f t="array" aca="1" ref="G176" ca="1">INDIRECT("'" &amp; A176 &amp; "'!" &amp; ADDRESS(1, COLUMN(INDIRECT("'" &amp; A176 &amp; "'!" &amp; B176))))</f>
        <v>1999</v>
      </c>
      <c r="H176" t="str">
        <f ca="1">VLOOKUP($G176, survey_codes_dict!A:C, 2, FALSE)</f>
        <v>1999_1</v>
      </c>
      <c r="I176" s="102" t="str">
        <f ca="1">VLOOKUP($G176, survey_codes_dict!A:D, 4, FALSE)</f>
        <v>1996_Jews</v>
      </c>
      <c r="J176" s="102" t="str">
        <f t="shared" ca="1" si="4"/>
        <v>1999_1__c11</v>
      </c>
      <c r="K176" s="102" t="str">
        <f t="shared" ca="1" si="5"/>
        <v>1996_Jews__c11</v>
      </c>
      <c r="L176" s="102"/>
      <c r="M176" s="102"/>
      <c r="N176" s="102"/>
      <c r="O176" s="102"/>
      <c r="P176" s="102"/>
      <c r="Q176" s="102"/>
      <c r="R176" s="102"/>
      <c r="S176" s="101"/>
    </row>
    <row r="177" spans="1:19" ht="86.4" x14ac:dyDescent="0.3">
      <c r="A177" t="s">
        <v>3561</v>
      </c>
      <c r="B177" t="s">
        <v>3629</v>
      </c>
      <c r="C177" s="90" t="s">
        <v>3630</v>
      </c>
      <c r="D177" t="s">
        <v>5562</v>
      </c>
      <c r="E177" s="101" t="s">
        <v>5811</v>
      </c>
      <c r="F177" t="str" cm="1">
        <f t="array" aca="1" ref="F177" ca="1">INDIRECT("'" &amp; A177 &amp; "'!" &amp; B177)</f>
        <v>i55</v>
      </c>
      <c r="G177" cm="1">
        <f t="array" aca="1" ref="G177" ca="1">INDIRECT("'" &amp; A177 &amp; "'!" &amp; ADDRESS(1, COLUMN(INDIRECT("'" &amp; A177 &amp; "'!" &amp; B177))))</f>
        <v>1999</v>
      </c>
      <c r="H177" t="str">
        <f ca="1">VLOOKUP($G177, survey_codes_dict!A:C, 2, FALSE)</f>
        <v>1999_1</v>
      </c>
      <c r="I177" s="102" t="str">
        <f ca="1">VLOOKUP($G177, survey_codes_dict!A:D, 4, FALSE)</f>
        <v>1996_Jews</v>
      </c>
      <c r="J177" s="102" t="str">
        <f t="shared" ca="1" si="4"/>
        <v>1999_1__i55</v>
      </c>
      <c r="K177" s="102" t="str">
        <f t="shared" ca="1" si="5"/>
        <v>1996_Jews__i55</v>
      </c>
      <c r="L177" s="102"/>
      <c r="M177" s="102"/>
      <c r="N177" s="102"/>
      <c r="O177" s="102"/>
      <c r="P177" s="102"/>
      <c r="Q177" s="102"/>
      <c r="R177" s="102"/>
      <c r="S177" s="101"/>
    </row>
    <row r="178" spans="1:19" ht="100.8" x14ac:dyDescent="0.3">
      <c r="A178" t="s">
        <v>3561</v>
      </c>
      <c r="B178" t="s">
        <v>3631</v>
      </c>
      <c r="C178" s="90" t="s">
        <v>3632</v>
      </c>
      <c r="D178" t="s">
        <v>5562</v>
      </c>
      <c r="E178" s="101" t="s">
        <v>5812</v>
      </c>
      <c r="F178" t="str" cm="1">
        <f t="array" aca="1" ref="F178" ca="1">INDIRECT("'" &amp; A178 &amp; "'!" &amp; B178)</f>
        <v>b59</v>
      </c>
      <c r="G178" t="str" cm="1">
        <f t="array" aca="1" ref="G178" ca="1">INDIRECT("'" &amp; A178 &amp; "'!" &amp; ADDRESS(1, COLUMN(INDIRECT("'" &amp; A178 &amp; "'!" &amp; B178))))</f>
        <v>1981 - 3</v>
      </c>
      <c r="H178" t="str">
        <f ca="1">VLOOKUP($G178, survey_codes_dict!A:C, 2, FALSE)</f>
        <v>1981_3</v>
      </c>
      <c r="I178" s="102">
        <f ca="1">VLOOKUP($G178, survey_codes_dict!A:D, 4, FALSE)</f>
        <v>0</v>
      </c>
      <c r="J178" s="102" t="str">
        <f t="shared" ca="1" si="4"/>
        <v>1981_3__b59</v>
      </c>
      <c r="K178" s="102" t="str">
        <f t="shared" ca="1" si="5"/>
        <v>0__b59</v>
      </c>
      <c r="L178" s="102"/>
      <c r="M178" s="102"/>
      <c r="N178" s="102"/>
      <c r="O178" s="102"/>
      <c r="P178" s="102"/>
      <c r="Q178" s="102"/>
      <c r="R178" s="102"/>
      <c r="S178" s="101"/>
    </row>
    <row r="179" spans="1:19" ht="129.6" x14ac:dyDescent="0.3">
      <c r="A179" t="s">
        <v>3561</v>
      </c>
      <c r="B179" t="s">
        <v>3633</v>
      </c>
      <c r="C179" s="90" t="s">
        <v>3634</v>
      </c>
      <c r="D179" t="s">
        <v>5562</v>
      </c>
      <c r="E179" s="101" t="s">
        <v>5813</v>
      </c>
      <c r="F179" t="str" cm="1">
        <f t="array" aca="1" ref="F179" ca="1">INDIRECT("'" &amp; A179 &amp; "'!" &amp; B179)</f>
        <v>b17</v>
      </c>
      <c r="G179" t="str" cm="1">
        <f t="array" aca="1" ref="G179" ca="1">INDIRECT("'" &amp; A179 &amp; "'!" &amp; ADDRESS(1, COLUMN(INDIRECT("'" &amp; A179 &amp; "'!" &amp; B179))))</f>
        <v>1969 - 2</v>
      </c>
      <c r="H179" t="str">
        <f ca="1">VLOOKUP($G179, survey_codes_dict!A:C, 2, FALSE)</f>
        <v>1969_2</v>
      </c>
      <c r="I179" s="102" t="str">
        <f ca="1">VLOOKUP($G179, survey_codes_dict!A:D, 4, FALSE)</f>
        <v>1969_1</v>
      </c>
      <c r="J179" s="102" t="str">
        <f t="shared" ca="1" si="4"/>
        <v>1969_2__b17</v>
      </c>
      <c r="K179" s="102" t="str">
        <f t="shared" ca="1" si="5"/>
        <v>1969_1__b17</v>
      </c>
      <c r="L179" s="102"/>
      <c r="M179" s="102"/>
      <c r="N179" s="102"/>
      <c r="O179" s="102"/>
      <c r="P179" s="102"/>
      <c r="Q179" s="102"/>
      <c r="R179" s="102"/>
      <c r="S179" s="101"/>
    </row>
    <row r="180" spans="1:19" ht="72" x14ac:dyDescent="0.3">
      <c r="A180" t="s">
        <v>3561</v>
      </c>
      <c r="B180" t="s">
        <v>3635</v>
      </c>
      <c r="C180" s="90" t="s">
        <v>3636</v>
      </c>
      <c r="D180" t="s">
        <v>5562</v>
      </c>
      <c r="E180" s="101" t="s">
        <v>5814</v>
      </c>
      <c r="F180" t="str" cm="1">
        <f t="array" aca="1" ref="F180" ca="1">INDIRECT("'" &amp; A180 &amp; "'!" &amp; B180)</f>
        <v>c53</v>
      </c>
      <c r="G180" cm="1">
        <f t="array" aca="1" ref="G180" ca="1">INDIRECT("'" &amp; A180 &amp; "'!" &amp; ADDRESS(1, COLUMN(INDIRECT("'" &amp; A180 &amp; "'!" &amp; B180))))</f>
        <v>1996</v>
      </c>
      <c r="H180" t="str">
        <f ca="1">VLOOKUP($G180, survey_codes_dict!A:C, 2, FALSE)</f>
        <v>1996_Jews</v>
      </c>
      <c r="I180" s="102" t="str">
        <f ca="1">VLOOKUP($G180, survey_codes_dict!A:D, 4, FALSE)</f>
        <v>1992</v>
      </c>
      <c r="J180" s="102" t="str">
        <f t="shared" ca="1" si="4"/>
        <v>1996_Jews__c53</v>
      </c>
      <c r="K180" s="102" t="str">
        <f t="shared" ca="1" si="5"/>
        <v>1992__c53</v>
      </c>
      <c r="L180" s="102"/>
      <c r="M180" s="102"/>
      <c r="N180" s="102"/>
      <c r="O180" s="102"/>
      <c r="P180" s="102"/>
      <c r="Q180" s="102"/>
      <c r="R180" s="102"/>
      <c r="S180" s="101"/>
    </row>
    <row r="181" spans="1:19" ht="57.6" x14ac:dyDescent="0.3">
      <c r="A181" t="s">
        <v>3561</v>
      </c>
      <c r="B181" t="s">
        <v>3637</v>
      </c>
      <c r="C181" s="90" t="s">
        <v>3638</v>
      </c>
      <c r="D181" t="s">
        <v>5562</v>
      </c>
      <c r="E181" s="101" t="s">
        <v>5815</v>
      </c>
      <c r="F181" t="str" cm="1">
        <f t="array" aca="1" ref="F181" ca="1">INDIRECT("'" &amp; A181 &amp; "'!" &amp; B181)</f>
        <v>cc73</v>
      </c>
      <c r="G181" cm="1">
        <f t="array" aca="1" ref="G181" ca="1">INDIRECT("'" &amp; A181 &amp; "'!" &amp; ADDRESS(1, COLUMN(INDIRECT("'" &amp; A181 &amp; "'!" &amp; B181))))</f>
        <v>1996</v>
      </c>
      <c r="H181" t="str">
        <f ca="1">VLOOKUP($G181, survey_codes_dict!A:C, 2, FALSE)</f>
        <v>1996_Jews</v>
      </c>
      <c r="I181" s="102" t="str">
        <f ca="1">VLOOKUP($G181, survey_codes_dict!A:D, 4, FALSE)</f>
        <v>1992</v>
      </c>
      <c r="J181" s="102" t="str">
        <f t="shared" ca="1" si="4"/>
        <v>1996_Jews__cc73</v>
      </c>
      <c r="K181" s="102" t="str">
        <f t="shared" ca="1" si="5"/>
        <v>1992__cc73</v>
      </c>
      <c r="L181" s="102"/>
      <c r="M181" s="102"/>
      <c r="N181" s="102"/>
      <c r="O181" s="102"/>
      <c r="P181" s="102"/>
      <c r="Q181" s="102"/>
      <c r="R181" s="102"/>
      <c r="S181" s="101"/>
    </row>
    <row r="182" spans="1:19" ht="72" x14ac:dyDescent="0.3">
      <c r="A182" t="s">
        <v>3561</v>
      </c>
      <c r="B182" t="s">
        <v>3639</v>
      </c>
      <c r="C182" s="90" t="s">
        <v>3640</v>
      </c>
      <c r="D182" t="s">
        <v>5562</v>
      </c>
      <c r="E182" s="101" t="s">
        <v>5816</v>
      </c>
      <c r="F182" t="str" cm="1">
        <f t="array" aca="1" ref="F182" ca="1">INDIRECT("'" &amp; A182 &amp; "'!" &amp; B182)</f>
        <v>ccc42</v>
      </c>
      <c r="G182" cm="1">
        <f t="array" aca="1" ref="G182" ca="1">INDIRECT("'" &amp; A182 &amp; "'!" &amp; ADDRESS(1, COLUMN(INDIRECT("'" &amp; A182 &amp; "'!" &amp; B182))))</f>
        <v>1996</v>
      </c>
      <c r="H182" t="str">
        <f ca="1">VLOOKUP($G182, survey_codes_dict!A:C, 2, FALSE)</f>
        <v>1996_Jews</v>
      </c>
      <c r="I182" s="102" t="str">
        <f ca="1">VLOOKUP($G182, survey_codes_dict!A:D, 4, FALSE)</f>
        <v>1992</v>
      </c>
      <c r="J182" s="102" t="str">
        <f t="shared" ca="1" si="4"/>
        <v>1996_Jews__ccc42</v>
      </c>
      <c r="K182" s="102" t="str">
        <f t="shared" ca="1" si="5"/>
        <v>1992__ccc42</v>
      </c>
      <c r="L182" s="102"/>
      <c r="M182" s="102"/>
      <c r="N182" s="102"/>
      <c r="O182" s="102"/>
      <c r="P182" s="102"/>
      <c r="Q182" s="102"/>
      <c r="R182" s="102"/>
      <c r="S182" s="101"/>
    </row>
    <row r="183" spans="1:19" ht="72" x14ac:dyDescent="0.3">
      <c r="A183" t="s">
        <v>3561</v>
      </c>
      <c r="B183" t="s">
        <v>3641</v>
      </c>
      <c r="C183" s="90" t="s">
        <v>3642</v>
      </c>
      <c r="D183" t="s">
        <v>5562</v>
      </c>
      <c r="E183" s="101" t="s">
        <v>5817</v>
      </c>
      <c r="F183" t="str" cm="1">
        <f t="array" aca="1" ref="F183" ca="1">INDIRECT("'" &amp; A183 &amp; "'!" &amp; B183)</f>
        <v>i17</v>
      </c>
      <c r="G183" cm="1">
        <f t="array" aca="1" ref="G183" ca="1">INDIRECT("'" &amp; A183 &amp; "'!" &amp; ADDRESS(1, COLUMN(INDIRECT("'" &amp; A183 &amp; "'!" &amp; B183))))</f>
        <v>1992</v>
      </c>
      <c r="H183" t="str">
        <f ca="1">VLOOKUP($G183, survey_codes_dict!A:C, 2, FALSE)</f>
        <v>1992</v>
      </c>
      <c r="I183" s="102" t="str">
        <f ca="1">VLOOKUP($G183, survey_codes_dict!A:D, 4, FALSE)</f>
        <v>1988_N=873</v>
      </c>
      <c r="J183" s="102" t="str">
        <f t="shared" ca="1" si="4"/>
        <v>1992__i17</v>
      </c>
      <c r="K183" s="102" t="str">
        <f t="shared" ca="1" si="5"/>
        <v>1988_N=873__i17</v>
      </c>
      <c r="L183" s="102"/>
      <c r="M183" s="102"/>
      <c r="N183" s="102"/>
      <c r="O183" s="102"/>
      <c r="P183" s="102"/>
      <c r="Q183" s="102"/>
      <c r="R183" s="102"/>
      <c r="S183" s="101"/>
    </row>
    <row r="184" spans="1:19" ht="43.2" x14ac:dyDescent="0.3">
      <c r="A184" t="s">
        <v>3561</v>
      </c>
      <c r="B184" t="s">
        <v>3643</v>
      </c>
      <c r="C184" s="90" t="s">
        <v>3644</v>
      </c>
      <c r="D184" t="s">
        <v>5562</v>
      </c>
      <c r="E184" s="101" t="s">
        <v>5818</v>
      </c>
      <c r="F184" t="str" cm="1">
        <f t="array" aca="1" ref="F184" ca="1">INDIRECT("'" &amp; A184 &amp; "'!" &amp; B184)</f>
        <v>i26</v>
      </c>
      <c r="G184" cm="1">
        <f t="array" aca="1" ref="G184" ca="1">INDIRECT("'" &amp; A184 &amp; "'!" &amp; ADDRESS(1, COLUMN(INDIRECT("'" &amp; A184 &amp; "'!" &amp; B184))))</f>
        <v>1992</v>
      </c>
      <c r="H184" t="str">
        <f ca="1">VLOOKUP($G184, survey_codes_dict!A:C, 2, FALSE)</f>
        <v>1992</v>
      </c>
      <c r="I184" s="102" t="str">
        <f ca="1">VLOOKUP($G184, survey_codes_dict!A:D, 4, FALSE)</f>
        <v>1988_N=873</v>
      </c>
      <c r="J184" s="102" t="str">
        <f t="shared" ca="1" si="4"/>
        <v>1992__i26</v>
      </c>
      <c r="K184" s="102" t="str">
        <f t="shared" ca="1" si="5"/>
        <v>1988_N=873__i26</v>
      </c>
      <c r="L184" s="102"/>
      <c r="M184" s="102"/>
      <c r="N184" s="102"/>
      <c r="O184" s="102"/>
      <c r="P184" s="102"/>
      <c r="Q184" s="102"/>
      <c r="R184" s="102"/>
      <c r="S184" s="101"/>
    </row>
    <row r="185" spans="1:19" ht="72" x14ac:dyDescent="0.3">
      <c r="A185" t="s">
        <v>3561</v>
      </c>
      <c r="B185" t="s">
        <v>3645</v>
      </c>
      <c r="C185" s="90" t="s">
        <v>3646</v>
      </c>
      <c r="D185" t="s">
        <v>5562</v>
      </c>
      <c r="E185" s="101" t="s">
        <v>5819</v>
      </c>
      <c r="F185" t="str" cm="1">
        <f t="array" aca="1" ref="F185" ca="1">INDIRECT("'" &amp; A185 &amp; "'!" &amp; B185)</f>
        <v>v74</v>
      </c>
      <c r="G185" t="str" cm="1">
        <f t="array" aca="1" ref="G185" ca="1">INDIRECT("'" &amp; A185 &amp; "'!" &amp; ADDRESS(1, COLUMN(INDIRECT("'" &amp; A185 &amp; "'!" &amp; B185))))</f>
        <v>1987*</v>
      </c>
      <c r="H185" t="e">
        <f ca="1">VLOOKUP($G185, survey_codes_dict!A:C, 2, FALSE)</f>
        <v>#N/A</v>
      </c>
      <c r="I185" s="102" t="e">
        <f ca="1">VLOOKUP($G185, survey_codes_dict!A:D, 4, FALSE)</f>
        <v>#N/A</v>
      </c>
      <c r="J185" s="102" t="e">
        <f t="shared" ca="1" si="4"/>
        <v>#N/A</v>
      </c>
      <c r="K185" s="102" t="e">
        <f t="shared" ca="1" si="5"/>
        <v>#N/A</v>
      </c>
      <c r="L185" s="102"/>
      <c r="M185" s="102"/>
      <c r="N185" s="102"/>
      <c r="O185" s="102"/>
      <c r="P185" s="102"/>
      <c r="Q185" s="102"/>
      <c r="R185" s="102"/>
      <c r="S185" s="101"/>
    </row>
    <row r="186" spans="1:19" ht="72" x14ac:dyDescent="0.3">
      <c r="A186" t="s">
        <v>3561</v>
      </c>
      <c r="B186" t="s">
        <v>3647</v>
      </c>
      <c r="C186" s="90" t="s">
        <v>3648</v>
      </c>
      <c r="D186" t="s">
        <v>5562</v>
      </c>
      <c r="E186" s="101" t="s">
        <v>5820</v>
      </c>
      <c r="F186" t="str" cm="1">
        <f t="array" aca="1" ref="F186" ca="1">INDIRECT("'" &amp; A186 &amp; "'!" &amp; B186)</f>
        <v>v79</v>
      </c>
      <c r="G186" t="str" cm="1">
        <f t="array" aca="1" ref="G186" ca="1">INDIRECT("'" &amp; A186 &amp; "'!" &amp; ADDRESS(1, COLUMN(INDIRECT("'" &amp; A186 &amp; "'!" &amp; B186))))</f>
        <v>1987*</v>
      </c>
      <c r="H186" t="e">
        <f ca="1">VLOOKUP($G186, survey_codes_dict!A:C, 2, FALSE)</f>
        <v>#N/A</v>
      </c>
      <c r="I186" s="102" t="e">
        <f ca="1">VLOOKUP($G186, survey_codes_dict!A:D, 4, FALSE)</f>
        <v>#N/A</v>
      </c>
      <c r="J186" s="102" t="e">
        <f t="shared" ca="1" si="4"/>
        <v>#N/A</v>
      </c>
      <c r="K186" s="102" t="e">
        <f t="shared" ca="1" si="5"/>
        <v>#N/A</v>
      </c>
      <c r="L186" s="102"/>
      <c r="M186" s="102"/>
      <c r="N186" s="102"/>
      <c r="O186" s="102"/>
      <c r="P186" s="102"/>
      <c r="Q186" s="102"/>
      <c r="R186" s="102"/>
      <c r="S186" s="101"/>
    </row>
    <row r="187" spans="1:19" ht="43.2" x14ac:dyDescent="0.3">
      <c r="A187" t="s">
        <v>3561</v>
      </c>
      <c r="B187" t="s">
        <v>3649</v>
      </c>
      <c r="C187" s="90" t="s">
        <v>3650</v>
      </c>
      <c r="D187" t="s">
        <v>5562</v>
      </c>
      <c r="E187" s="101" t="s">
        <v>5821</v>
      </c>
      <c r="F187" t="str" cm="1">
        <f t="array" aca="1" ref="F187" ca="1">INDIRECT("'" &amp; A187 &amp; "'!" &amp; B187)</f>
        <v>v104</v>
      </c>
      <c r="G187" t="str" cm="1">
        <f t="array" aca="1" ref="G187" ca="1">INDIRECT("'" &amp; A187 &amp; "'!" &amp; ADDRESS(1, COLUMN(INDIRECT("'" &amp; A187 &amp; "'!" &amp; B187))))</f>
        <v>1987*</v>
      </c>
      <c r="H187" t="e">
        <f ca="1">VLOOKUP($G187, survey_codes_dict!A:C, 2, FALSE)</f>
        <v>#N/A</v>
      </c>
      <c r="I187" s="102" t="e">
        <f ca="1">VLOOKUP($G187, survey_codes_dict!A:D, 4, FALSE)</f>
        <v>#N/A</v>
      </c>
      <c r="J187" s="102" t="e">
        <f t="shared" ca="1" si="4"/>
        <v>#N/A</v>
      </c>
      <c r="K187" s="102" t="e">
        <f t="shared" ca="1" si="5"/>
        <v>#N/A</v>
      </c>
      <c r="L187" s="102"/>
      <c r="M187" s="102"/>
      <c r="N187" s="102"/>
      <c r="O187" s="102"/>
      <c r="P187" s="102"/>
      <c r="Q187" s="102"/>
      <c r="R187" s="102"/>
      <c r="S187" s="101"/>
    </row>
    <row r="188" spans="1:19" ht="43.2" x14ac:dyDescent="0.3">
      <c r="A188" t="s">
        <v>3561</v>
      </c>
      <c r="B188" t="s">
        <v>3651</v>
      </c>
      <c r="C188" s="90" t="s">
        <v>3652</v>
      </c>
      <c r="D188" t="s">
        <v>5562</v>
      </c>
      <c r="E188" s="101" t="s">
        <v>5822</v>
      </c>
      <c r="F188" t="str" cm="1">
        <f t="array" aca="1" ref="F188" ca="1">INDIRECT("'" &amp; A188 &amp; "'!" &amp; B188)</f>
        <v>v105</v>
      </c>
      <c r="G188" t="str" cm="1">
        <f t="array" aca="1" ref="G188" ca="1">INDIRECT("'" &amp; A188 &amp; "'!" &amp; ADDRESS(1, COLUMN(INDIRECT("'" &amp; A188 &amp; "'!" &amp; B188))))</f>
        <v>1987*</v>
      </c>
      <c r="H188" t="e">
        <f ca="1">VLOOKUP($G188, survey_codes_dict!A:C, 2, FALSE)</f>
        <v>#N/A</v>
      </c>
      <c r="I188" s="102" t="e">
        <f ca="1">VLOOKUP($G188, survey_codes_dict!A:D, 4, FALSE)</f>
        <v>#N/A</v>
      </c>
      <c r="J188" s="102" t="e">
        <f t="shared" ca="1" si="4"/>
        <v>#N/A</v>
      </c>
      <c r="K188" s="102" t="e">
        <f t="shared" ca="1" si="5"/>
        <v>#N/A</v>
      </c>
      <c r="L188" s="102"/>
      <c r="M188" s="102"/>
      <c r="N188" s="102"/>
      <c r="O188" s="102"/>
      <c r="P188" s="102"/>
      <c r="Q188" s="102"/>
      <c r="R188" s="102"/>
      <c r="S188" s="101"/>
    </row>
    <row r="189" spans="1:19" ht="57.6" x14ac:dyDescent="0.3">
      <c r="A189" t="s">
        <v>3561</v>
      </c>
      <c r="B189" t="s">
        <v>3653</v>
      </c>
      <c r="C189" s="90" t="s">
        <v>3654</v>
      </c>
      <c r="D189" t="s">
        <v>5562</v>
      </c>
      <c r="E189" s="101" t="s">
        <v>5823</v>
      </c>
      <c r="F189" t="str" cm="1">
        <f t="array" aca="1" ref="F189" ca="1">INDIRECT("'" &amp; A189 &amp; "'!" &amp; B189)</f>
        <v>v106</v>
      </c>
      <c r="G189" t="str" cm="1">
        <f t="array" aca="1" ref="G189" ca="1">INDIRECT("'" &amp; A189 &amp; "'!" &amp; ADDRESS(1, COLUMN(INDIRECT("'" &amp; A189 &amp; "'!" &amp; B189))))</f>
        <v>1987*</v>
      </c>
      <c r="H189" t="e">
        <f ca="1">VLOOKUP($G189, survey_codes_dict!A:C, 2, FALSE)</f>
        <v>#N/A</v>
      </c>
      <c r="I189" s="102" t="e">
        <f ca="1">VLOOKUP($G189, survey_codes_dict!A:D, 4, FALSE)</f>
        <v>#N/A</v>
      </c>
      <c r="J189" s="102" t="e">
        <f t="shared" ca="1" si="4"/>
        <v>#N/A</v>
      </c>
      <c r="K189" s="102" t="e">
        <f t="shared" ca="1" si="5"/>
        <v>#N/A</v>
      </c>
      <c r="L189" s="102"/>
      <c r="M189" s="102"/>
      <c r="N189" s="102"/>
      <c r="O189" s="102"/>
      <c r="P189" s="102"/>
      <c r="Q189" s="102"/>
      <c r="R189" s="102"/>
      <c r="S189" s="101"/>
    </row>
    <row r="190" spans="1:19" ht="72" x14ac:dyDescent="0.3">
      <c r="A190" t="s">
        <v>3561</v>
      </c>
      <c r="B190" t="s">
        <v>3655</v>
      </c>
      <c r="C190" s="90" t="s">
        <v>3646</v>
      </c>
      <c r="D190" t="s">
        <v>5562</v>
      </c>
      <c r="E190" s="101" t="s">
        <v>5819</v>
      </c>
      <c r="F190" t="str" cm="1">
        <f t="array" aca="1" ref="F190" ca="1">INDIRECT("'" &amp; A190 &amp; "'!" &amp; B190)</f>
        <v>v121</v>
      </c>
      <c r="G190" t="str" cm="1">
        <f t="array" aca="1" ref="G190" ca="1">INDIRECT("'" &amp; A190 &amp; "'!" &amp; ADDRESS(1, COLUMN(INDIRECT("'" &amp; A190 &amp; "'!" &amp; B190))))</f>
        <v>1987*</v>
      </c>
      <c r="H190" t="e">
        <f ca="1">VLOOKUP($G190, survey_codes_dict!A:C, 2, FALSE)</f>
        <v>#N/A</v>
      </c>
      <c r="I190" s="102" t="e">
        <f ca="1">VLOOKUP($G190, survey_codes_dict!A:D, 4, FALSE)</f>
        <v>#N/A</v>
      </c>
      <c r="J190" s="102" t="e">
        <f t="shared" ca="1" si="4"/>
        <v>#N/A</v>
      </c>
      <c r="K190" s="102" t="e">
        <f t="shared" ca="1" si="5"/>
        <v>#N/A</v>
      </c>
      <c r="L190" s="102"/>
      <c r="M190" s="102"/>
      <c r="N190" s="102"/>
      <c r="O190" s="102"/>
      <c r="P190" s="102"/>
      <c r="Q190" s="102"/>
      <c r="R190" s="102"/>
      <c r="S190" s="101"/>
    </row>
    <row r="191" spans="1:19" ht="115.2" x14ac:dyDescent="0.3">
      <c r="A191" t="s">
        <v>3561</v>
      </c>
      <c r="B191" t="s">
        <v>3656</v>
      </c>
      <c r="C191" s="90" t="s">
        <v>3657</v>
      </c>
      <c r="D191" t="s">
        <v>5562</v>
      </c>
      <c r="E191" s="101" t="s">
        <v>5824</v>
      </c>
      <c r="F191" t="str" cm="1">
        <f t="array" aca="1" ref="F191" ca="1">INDIRECT("'" &amp; A191 &amp; "'!" &amp; B191)</f>
        <v>v130</v>
      </c>
      <c r="G191" t="str" cm="1">
        <f t="array" aca="1" ref="G191" ca="1">INDIRECT("'" &amp; A191 &amp; "'!" &amp; ADDRESS(1, COLUMN(INDIRECT("'" &amp; A191 &amp; "'!" &amp; B191))))</f>
        <v>1987*</v>
      </c>
      <c r="H191" t="e">
        <f ca="1">VLOOKUP($G191, survey_codes_dict!A:C, 2, FALSE)</f>
        <v>#N/A</v>
      </c>
      <c r="I191" s="102" t="e">
        <f ca="1">VLOOKUP($G191, survey_codes_dict!A:D, 4, FALSE)</f>
        <v>#N/A</v>
      </c>
      <c r="J191" s="102" t="e">
        <f t="shared" ca="1" si="4"/>
        <v>#N/A</v>
      </c>
      <c r="K191" s="102" t="e">
        <f t="shared" ca="1" si="5"/>
        <v>#N/A</v>
      </c>
      <c r="L191" s="102"/>
      <c r="M191" s="102"/>
      <c r="N191" s="102"/>
      <c r="O191" s="102"/>
      <c r="P191" s="102"/>
      <c r="Q191" s="102"/>
      <c r="R191" s="102"/>
      <c r="S191" s="101"/>
    </row>
    <row r="192" spans="1:19" ht="100.8" x14ac:dyDescent="0.3">
      <c r="A192" t="s">
        <v>3561</v>
      </c>
      <c r="B192" t="s">
        <v>3499</v>
      </c>
      <c r="C192" s="90" t="s">
        <v>3658</v>
      </c>
      <c r="D192" t="s">
        <v>5562</v>
      </c>
      <c r="E192" s="101" t="s">
        <v>5825</v>
      </c>
      <c r="F192" t="str" cm="1">
        <f t="array" aca="1" ref="F192" ca="1">INDIRECT("'" &amp; A192 &amp; "'!" &amp; B192)</f>
        <v>v131</v>
      </c>
      <c r="G192" t="str" cm="1">
        <f t="array" aca="1" ref="G192" ca="1">INDIRECT("'" &amp; A192 &amp; "'!" &amp; ADDRESS(1, COLUMN(INDIRECT("'" &amp; A192 &amp; "'!" &amp; B192))))</f>
        <v>1987*</v>
      </c>
      <c r="H192" t="e">
        <f ca="1">VLOOKUP($G192, survey_codes_dict!A:C, 2, FALSE)</f>
        <v>#N/A</v>
      </c>
      <c r="I192" s="102" t="e">
        <f ca="1">VLOOKUP($G192, survey_codes_dict!A:D, 4, FALSE)</f>
        <v>#N/A</v>
      </c>
      <c r="J192" s="102" t="e">
        <f t="shared" ca="1" si="4"/>
        <v>#N/A</v>
      </c>
      <c r="K192" s="102" t="e">
        <f t="shared" ca="1" si="5"/>
        <v>#N/A</v>
      </c>
      <c r="L192" s="102"/>
      <c r="M192" s="102"/>
      <c r="N192" s="102"/>
      <c r="O192" s="102"/>
      <c r="P192" s="102"/>
      <c r="Q192" s="102"/>
      <c r="R192" s="102"/>
      <c r="S192" s="101"/>
    </row>
    <row r="193" spans="1:19" ht="72" x14ac:dyDescent="0.3">
      <c r="A193" t="s">
        <v>3561</v>
      </c>
      <c r="B193" t="s">
        <v>3659</v>
      </c>
      <c r="C193" s="90" t="s">
        <v>3646</v>
      </c>
      <c r="D193" t="s">
        <v>5562</v>
      </c>
      <c r="E193" s="101" t="s">
        <v>5819</v>
      </c>
      <c r="F193" t="str" cm="1">
        <f t="array" aca="1" ref="F193" ca="1">INDIRECT("'" &amp; A193 &amp; "'!" &amp; B193)</f>
        <v>a19</v>
      </c>
      <c r="G193" t="str" cm="1">
        <f t="array" aca="1" ref="G193" ca="1">INDIRECT("'" &amp; A193 &amp; "'!" &amp; ADDRESS(1, COLUMN(INDIRECT("'" &amp; A193 &amp; "'!" &amp; B193))))</f>
        <v>1987*</v>
      </c>
      <c r="H193" t="e">
        <f ca="1">VLOOKUP($G193, survey_codes_dict!A:C, 2, FALSE)</f>
        <v>#N/A</v>
      </c>
      <c r="I193" s="102" t="e">
        <f ca="1">VLOOKUP($G193, survey_codes_dict!A:D, 4, FALSE)</f>
        <v>#N/A</v>
      </c>
      <c r="J193" s="102" t="e">
        <f t="shared" ca="1" si="4"/>
        <v>#N/A</v>
      </c>
      <c r="K193" s="102" t="e">
        <f t="shared" ca="1" si="5"/>
        <v>#N/A</v>
      </c>
      <c r="L193" s="102"/>
      <c r="M193" s="102"/>
      <c r="N193" s="102"/>
      <c r="O193" s="102"/>
      <c r="P193" s="102"/>
      <c r="Q193" s="102"/>
      <c r="R193" s="102"/>
      <c r="S193" s="101"/>
    </row>
    <row r="194" spans="1:19" ht="43.2" x14ac:dyDescent="0.3">
      <c r="A194" t="s">
        <v>3561</v>
      </c>
      <c r="B194" t="s">
        <v>3660</v>
      </c>
      <c r="C194" s="90" t="s">
        <v>3661</v>
      </c>
      <c r="D194" t="s">
        <v>5562</v>
      </c>
      <c r="E194" s="101" t="s">
        <v>5826</v>
      </c>
      <c r="F194" t="str" cm="1">
        <f t="array" aca="1" ref="F194" ca="1">INDIRECT("'" &amp; A194 &amp; "'!" &amp; B194)</f>
        <v>a31</v>
      </c>
      <c r="G194" t="str" cm="1">
        <f t="array" aca="1" ref="G194" ca="1">INDIRECT("'" &amp; A194 &amp; "'!" &amp; ADDRESS(1, COLUMN(INDIRECT("'" &amp; A194 &amp; "'!" &amp; B194))))</f>
        <v>1987*</v>
      </c>
      <c r="H194" t="e">
        <f ca="1">VLOOKUP($G194, survey_codes_dict!A:C, 2, FALSE)</f>
        <v>#N/A</v>
      </c>
      <c r="I194" s="102" t="e">
        <f ca="1">VLOOKUP($G194, survey_codes_dict!A:D, 4, FALSE)</f>
        <v>#N/A</v>
      </c>
      <c r="J194" s="102" t="e">
        <f t="shared" ref="J194:J257" ca="1" si="6">_xlfn.CONCAT($H194, "__", F194)</f>
        <v>#N/A</v>
      </c>
      <c r="K194" s="102" t="e">
        <f t="shared" ref="K194:K257" ca="1" si="7">_xlfn.CONCAT($I194, "__", F194)</f>
        <v>#N/A</v>
      </c>
      <c r="L194" s="102"/>
      <c r="M194" s="102"/>
      <c r="N194" s="102"/>
      <c r="O194" s="102"/>
      <c r="P194" s="102"/>
      <c r="Q194" s="102"/>
      <c r="R194" s="102"/>
      <c r="S194" s="101"/>
    </row>
    <row r="195" spans="1:19" ht="43.2" x14ac:dyDescent="0.3">
      <c r="A195" t="s">
        <v>3561</v>
      </c>
      <c r="B195" t="s">
        <v>3662</v>
      </c>
      <c r="C195" s="90" t="s">
        <v>3663</v>
      </c>
      <c r="D195" t="s">
        <v>5562</v>
      </c>
      <c r="E195" s="101" t="s">
        <v>5827</v>
      </c>
      <c r="F195" t="str" cm="1">
        <f t="array" aca="1" ref="F195" ca="1">INDIRECT("'" &amp; A195 &amp; "'!" &amp; B195)</f>
        <v>a32</v>
      </c>
      <c r="G195" t="str" cm="1">
        <f t="array" aca="1" ref="G195" ca="1">INDIRECT("'" &amp; A195 &amp; "'!" &amp; ADDRESS(1, COLUMN(INDIRECT("'" &amp; A195 &amp; "'!" &amp; B195))))</f>
        <v>1987*</v>
      </c>
      <c r="H195" t="e">
        <f ca="1">VLOOKUP($G195, survey_codes_dict!A:C, 2, FALSE)</f>
        <v>#N/A</v>
      </c>
      <c r="I195" s="102" t="e">
        <f ca="1">VLOOKUP($G195, survey_codes_dict!A:D, 4, FALSE)</f>
        <v>#N/A</v>
      </c>
      <c r="J195" s="102" t="e">
        <f t="shared" ca="1" si="6"/>
        <v>#N/A</v>
      </c>
      <c r="K195" s="102" t="e">
        <f t="shared" ca="1" si="7"/>
        <v>#N/A</v>
      </c>
      <c r="L195" s="102"/>
      <c r="M195" s="102"/>
      <c r="N195" s="102"/>
      <c r="O195" s="102"/>
      <c r="P195" s="102"/>
      <c r="Q195" s="102"/>
      <c r="R195" s="102"/>
      <c r="S195" s="101"/>
    </row>
    <row r="196" spans="1:19" ht="86.4" x14ac:dyDescent="0.3">
      <c r="A196" t="s">
        <v>3561</v>
      </c>
      <c r="B196" t="s">
        <v>3664</v>
      </c>
      <c r="C196" s="90" t="s">
        <v>3665</v>
      </c>
      <c r="D196" t="s">
        <v>5562</v>
      </c>
      <c r="E196" s="101" t="s">
        <v>5828</v>
      </c>
      <c r="F196" t="str" cm="1">
        <f t="array" aca="1" ref="F196" ca="1">INDIRECT("'" &amp; A196 &amp; "'!" &amp; B196)</f>
        <v>a33</v>
      </c>
      <c r="G196" t="str" cm="1">
        <f t="array" aca="1" ref="G196" ca="1">INDIRECT("'" &amp; A196 &amp; "'!" &amp; ADDRESS(1, COLUMN(INDIRECT("'" &amp; A196 &amp; "'!" &amp; B196))))</f>
        <v>1987*</v>
      </c>
      <c r="H196" t="e">
        <f ca="1">VLOOKUP($G196, survey_codes_dict!A:C, 2, FALSE)</f>
        <v>#N/A</v>
      </c>
      <c r="I196" s="102" t="e">
        <f ca="1">VLOOKUP($G196, survey_codes_dict!A:D, 4, FALSE)</f>
        <v>#N/A</v>
      </c>
      <c r="J196" s="102" t="e">
        <f t="shared" ca="1" si="6"/>
        <v>#N/A</v>
      </c>
      <c r="K196" s="102" t="e">
        <f t="shared" ca="1" si="7"/>
        <v>#N/A</v>
      </c>
      <c r="L196" s="102"/>
      <c r="M196" s="102"/>
      <c r="N196" s="102"/>
      <c r="O196" s="102"/>
      <c r="P196" s="102"/>
      <c r="Q196" s="102"/>
      <c r="R196" s="102"/>
      <c r="S196" s="101"/>
    </row>
    <row r="197" spans="1:19" ht="72" x14ac:dyDescent="0.3">
      <c r="A197" t="s">
        <v>3561</v>
      </c>
      <c r="B197" t="s">
        <v>3666</v>
      </c>
      <c r="C197" s="90" t="s">
        <v>3646</v>
      </c>
      <c r="D197" t="s">
        <v>5562</v>
      </c>
      <c r="E197" s="101" t="s">
        <v>5819</v>
      </c>
      <c r="F197" t="str" cm="1">
        <f t="array" aca="1" ref="F197" ca="1">INDIRECT("'" &amp; A197 &amp; "'!" &amp; B197)</f>
        <v>a36</v>
      </c>
      <c r="G197" t="str" cm="1">
        <f t="array" aca="1" ref="G197" ca="1">INDIRECT("'" &amp; A197 &amp; "'!" &amp; ADDRESS(1, COLUMN(INDIRECT("'" &amp; A197 &amp; "'!" &amp; B197))))</f>
        <v>1987*</v>
      </c>
      <c r="H197" t="e">
        <f ca="1">VLOOKUP($G197, survey_codes_dict!A:C, 2, FALSE)</f>
        <v>#N/A</v>
      </c>
      <c r="I197" s="102" t="e">
        <f ca="1">VLOOKUP($G197, survey_codes_dict!A:D, 4, FALSE)</f>
        <v>#N/A</v>
      </c>
      <c r="J197" s="102" t="e">
        <f t="shared" ca="1" si="6"/>
        <v>#N/A</v>
      </c>
      <c r="K197" s="102" t="e">
        <f t="shared" ca="1" si="7"/>
        <v>#N/A</v>
      </c>
      <c r="L197" s="102"/>
      <c r="M197" s="102"/>
      <c r="N197" s="102"/>
      <c r="O197" s="102"/>
      <c r="P197" s="102"/>
      <c r="Q197" s="102"/>
      <c r="R197" s="102"/>
      <c r="S197" s="101"/>
    </row>
    <row r="198" spans="1:19" ht="86.4" x14ac:dyDescent="0.3">
      <c r="A198" t="s">
        <v>3561</v>
      </c>
      <c r="B198" t="s">
        <v>3526</v>
      </c>
      <c r="C198" s="90" t="s">
        <v>3667</v>
      </c>
      <c r="D198" t="s">
        <v>5562</v>
      </c>
      <c r="E198" s="101" t="s">
        <v>5829</v>
      </c>
      <c r="F198" t="str" cm="1">
        <f t="array" aca="1" ref="F198" ca="1">INDIRECT("'" &amp; A198 &amp; "'!" &amp; B198)</f>
        <v>a45</v>
      </c>
      <c r="G198" t="str" cm="1">
        <f t="array" aca="1" ref="G198" ca="1">INDIRECT("'" &amp; A198 &amp; "'!" &amp; ADDRESS(1, COLUMN(INDIRECT("'" &amp; A198 &amp; "'!" &amp; B198))))</f>
        <v>1987*</v>
      </c>
      <c r="H198" t="e">
        <f ca="1">VLOOKUP($G198, survey_codes_dict!A:C, 2, FALSE)</f>
        <v>#N/A</v>
      </c>
      <c r="I198" s="102" t="e">
        <f ca="1">VLOOKUP($G198, survey_codes_dict!A:D, 4, FALSE)</f>
        <v>#N/A</v>
      </c>
      <c r="J198" s="102" t="e">
        <f t="shared" ca="1" si="6"/>
        <v>#N/A</v>
      </c>
      <c r="K198" s="102" t="e">
        <f t="shared" ca="1" si="7"/>
        <v>#N/A</v>
      </c>
      <c r="L198" s="102"/>
      <c r="M198" s="102"/>
      <c r="N198" s="102"/>
      <c r="O198" s="102"/>
      <c r="P198" s="102"/>
      <c r="Q198" s="102"/>
      <c r="R198" s="102"/>
      <c r="S198" s="101"/>
    </row>
    <row r="199" spans="1:19" ht="28.8" x14ac:dyDescent="0.3">
      <c r="A199" t="s">
        <v>3561</v>
      </c>
      <c r="B199" t="s">
        <v>3668</v>
      </c>
      <c r="C199" s="90" t="s">
        <v>3669</v>
      </c>
      <c r="D199" t="s">
        <v>399</v>
      </c>
      <c r="E199" s="101" t="s">
        <v>5575</v>
      </c>
      <c r="F199" t="str" cm="1">
        <f t="array" aca="1" ref="F199" ca="1">INDIRECT("'" &amp; A199 &amp; "'!" &amp; B199)</f>
        <v>לאן, בכל זאת נוטה דעתך לגבי ארה"ב, לכיוון דעה טובה או לכיוון דעה רעה?</v>
      </c>
      <c r="G199" t="str" cm="1">
        <f t="array" aca="1" ref="G199" ca="1">INDIRECT("'" &amp; A199 &amp; "'!" &amp; ADDRESS(1, COLUMN(INDIRECT("'" &amp; A199 &amp; "'!" &amp; B199))))</f>
        <v>שאלה</v>
      </c>
      <c r="H199" t="e">
        <f ca="1">VLOOKUP($G199, survey_codes_dict!A:C, 2, FALSE)</f>
        <v>#N/A</v>
      </c>
      <c r="I199" s="102" t="e">
        <f ca="1">VLOOKUP($G199, survey_codes_dict!A:D, 4, FALSE)</f>
        <v>#N/A</v>
      </c>
      <c r="J199" s="102" t="e">
        <f t="shared" ca="1" si="6"/>
        <v>#N/A</v>
      </c>
      <c r="K199" s="102" t="e">
        <f t="shared" ca="1" si="7"/>
        <v>#N/A</v>
      </c>
      <c r="L199" s="102"/>
      <c r="M199" s="102"/>
      <c r="N199" s="102"/>
      <c r="O199" s="102"/>
      <c r="P199" s="102"/>
      <c r="Q199" s="102"/>
      <c r="R199" s="102"/>
      <c r="S199" s="102"/>
    </row>
    <row r="200" spans="1:19" ht="43.2" x14ac:dyDescent="0.3">
      <c r="A200" t="s">
        <v>3561</v>
      </c>
      <c r="B200" t="s">
        <v>3528</v>
      </c>
      <c r="C200" s="90" t="s">
        <v>3670</v>
      </c>
      <c r="D200" t="s">
        <v>5562</v>
      </c>
      <c r="E200" s="101" t="s">
        <v>5830</v>
      </c>
      <c r="F200" t="str" cm="1">
        <f t="array" aca="1" ref="F200" ca="1">INDIRECT("'" &amp; A200 &amp; "'!" &amp; B200)</f>
        <v>a46</v>
      </c>
      <c r="G200" t="str" cm="1">
        <f t="array" aca="1" ref="G200" ca="1">INDIRECT("'" &amp; A200 &amp; "'!" &amp; ADDRESS(1, COLUMN(INDIRECT("'" &amp; A200 &amp; "'!" &amp; B200))))</f>
        <v>1987*</v>
      </c>
      <c r="H200" t="e">
        <f ca="1">VLOOKUP($G200, survey_codes_dict!A:C, 2, FALSE)</f>
        <v>#N/A</v>
      </c>
      <c r="I200" s="102" t="e">
        <f ca="1">VLOOKUP($G200, survey_codes_dict!A:D, 4, FALSE)</f>
        <v>#N/A</v>
      </c>
      <c r="J200" s="102" t="e">
        <f t="shared" ca="1" si="6"/>
        <v>#N/A</v>
      </c>
      <c r="K200" s="102" t="e">
        <f t="shared" ca="1" si="7"/>
        <v>#N/A</v>
      </c>
      <c r="L200" s="102"/>
      <c r="M200" s="102"/>
      <c r="N200" s="102"/>
      <c r="O200" s="102"/>
      <c r="P200" s="102"/>
      <c r="Q200" s="102"/>
      <c r="R200" s="102"/>
      <c r="S200" s="101"/>
    </row>
    <row r="201" spans="1:19" ht="72" x14ac:dyDescent="0.3">
      <c r="A201" t="s">
        <v>3561</v>
      </c>
      <c r="B201" t="s">
        <v>3530</v>
      </c>
      <c r="C201" s="90" t="s">
        <v>3671</v>
      </c>
      <c r="D201" t="s">
        <v>5562</v>
      </c>
      <c r="E201" s="101" t="s">
        <v>5831</v>
      </c>
      <c r="F201" t="str" cm="1">
        <f t="array" aca="1" ref="F201" ca="1">INDIRECT("'" &amp; A201 &amp; "'!" &amp; B201)</f>
        <v>a54</v>
      </c>
      <c r="G201" t="str" cm="1">
        <f t="array" aca="1" ref="G201" ca="1">INDIRECT("'" &amp; A201 &amp; "'!" &amp; ADDRESS(1, COLUMN(INDIRECT("'" &amp; A201 &amp; "'!" &amp; B201))))</f>
        <v>1987*</v>
      </c>
      <c r="H201" t="e">
        <f ca="1">VLOOKUP($G201, survey_codes_dict!A:C, 2, FALSE)</f>
        <v>#N/A</v>
      </c>
      <c r="I201" s="102" t="e">
        <f ca="1">VLOOKUP($G201, survey_codes_dict!A:D, 4, FALSE)</f>
        <v>#N/A</v>
      </c>
      <c r="J201" s="102" t="e">
        <f t="shared" ca="1" si="6"/>
        <v>#N/A</v>
      </c>
      <c r="K201" s="102" t="e">
        <f t="shared" ca="1" si="7"/>
        <v>#N/A</v>
      </c>
      <c r="L201" s="102"/>
      <c r="M201" s="102"/>
      <c r="N201" s="102"/>
      <c r="O201" s="102"/>
      <c r="P201" s="102"/>
      <c r="Q201" s="102"/>
      <c r="R201" s="102"/>
      <c r="S201" s="101"/>
    </row>
    <row r="202" spans="1:19" ht="72" x14ac:dyDescent="0.3">
      <c r="A202" t="s">
        <v>3561</v>
      </c>
      <c r="B202" t="s">
        <v>3531</v>
      </c>
      <c r="C202" s="90" t="s">
        <v>3672</v>
      </c>
      <c r="D202" t="s">
        <v>5562</v>
      </c>
      <c r="E202" s="101" t="s">
        <v>5832</v>
      </c>
      <c r="F202" t="str" cm="1">
        <f t="array" aca="1" ref="F202" ca="1">INDIRECT("'" &amp; A202 &amp; "'!" &amp; B202)</f>
        <v>a79</v>
      </c>
      <c r="G202" t="str" cm="1">
        <f t="array" aca="1" ref="G202" ca="1">INDIRECT("'" &amp; A202 &amp; "'!" &amp; ADDRESS(1, COLUMN(INDIRECT("'" &amp; A202 &amp; "'!" &amp; B202))))</f>
        <v>1987*</v>
      </c>
      <c r="H202" t="e">
        <f ca="1">VLOOKUP($G202, survey_codes_dict!A:C, 2, FALSE)</f>
        <v>#N/A</v>
      </c>
      <c r="I202" s="102" t="e">
        <f ca="1">VLOOKUP($G202, survey_codes_dict!A:D, 4, FALSE)</f>
        <v>#N/A</v>
      </c>
      <c r="J202" s="102" t="e">
        <f t="shared" ca="1" si="6"/>
        <v>#N/A</v>
      </c>
      <c r="K202" s="102" t="e">
        <f t="shared" ca="1" si="7"/>
        <v>#N/A</v>
      </c>
      <c r="L202" s="102"/>
      <c r="M202" s="102"/>
      <c r="N202" s="102"/>
      <c r="O202" s="102"/>
      <c r="P202" s="102"/>
      <c r="Q202" s="102"/>
      <c r="R202" s="102"/>
      <c r="S202" s="101"/>
    </row>
    <row r="203" spans="1:19" ht="72" x14ac:dyDescent="0.3">
      <c r="A203" t="s">
        <v>3561</v>
      </c>
      <c r="B203" t="s">
        <v>3673</v>
      </c>
      <c r="C203" s="90" t="s">
        <v>3674</v>
      </c>
      <c r="D203" t="s">
        <v>5562</v>
      </c>
      <c r="E203" s="101" t="s">
        <v>5833</v>
      </c>
      <c r="F203" t="str" cm="1">
        <f t="array" aca="1" ref="F203" ca="1">INDIRECT("'" &amp; A203 &amp; "'!" &amp; B203)</f>
        <v>a80</v>
      </c>
      <c r="G203" t="str" cm="1">
        <f t="array" aca="1" ref="G203" ca="1">INDIRECT("'" &amp; A203 &amp; "'!" &amp; ADDRESS(1, COLUMN(INDIRECT("'" &amp; A203 &amp; "'!" &amp; B203))))</f>
        <v>1987*</v>
      </c>
      <c r="H203" t="e">
        <f ca="1">VLOOKUP($G203, survey_codes_dict!A:C, 2, FALSE)</f>
        <v>#N/A</v>
      </c>
      <c r="I203" s="102" t="e">
        <f ca="1">VLOOKUP($G203, survey_codes_dict!A:D, 4, FALSE)</f>
        <v>#N/A</v>
      </c>
      <c r="J203" s="102" t="e">
        <f t="shared" ca="1" si="6"/>
        <v>#N/A</v>
      </c>
      <c r="K203" s="102" t="e">
        <f t="shared" ca="1" si="7"/>
        <v>#N/A</v>
      </c>
      <c r="L203" s="102"/>
      <c r="M203" s="102"/>
      <c r="N203" s="102"/>
      <c r="O203" s="102"/>
      <c r="P203" s="102"/>
      <c r="Q203" s="102"/>
      <c r="R203" s="102"/>
      <c r="S203" s="101"/>
    </row>
    <row r="204" spans="1:19" ht="86.4" x14ac:dyDescent="0.3">
      <c r="A204" t="s">
        <v>3561</v>
      </c>
      <c r="B204" t="s">
        <v>3675</v>
      </c>
      <c r="C204" s="90" t="s">
        <v>3676</v>
      </c>
      <c r="D204" t="s">
        <v>5562</v>
      </c>
      <c r="E204" s="101" t="s">
        <v>5834</v>
      </c>
      <c r="F204" t="str" cm="1">
        <f t="array" aca="1" ref="F204" ca="1">INDIRECT("'" &amp; A204 &amp; "'!" &amp; B204)</f>
        <v>a81</v>
      </c>
      <c r="G204" t="str" cm="1">
        <f t="array" aca="1" ref="G204" ca="1">INDIRECT("'" &amp; A204 &amp; "'!" &amp; ADDRESS(1, COLUMN(INDIRECT("'" &amp; A204 &amp; "'!" &amp; B204))))</f>
        <v>1987*</v>
      </c>
      <c r="H204" t="e">
        <f ca="1">VLOOKUP($G204, survey_codes_dict!A:C, 2, FALSE)</f>
        <v>#N/A</v>
      </c>
      <c r="I204" s="102" t="e">
        <f ca="1">VLOOKUP($G204, survey_codes_dict!A:D, 4, FALSE)</f>
        <v>#N/A</v>
      </c>
      <c r="J204" s="102" t="e">
        <f t="shared" ca="1" si="6"/>
        <v>#N/A</v>
      </c>
      <c r="K204" s="102" t="e">
        <f t="shared" ca="1" si="7"/>
        <v>#N/A</v>
      </c>
      <c r="L204" s="102"/>
      <c r="M204" s="102"/>
      <c r="N204" s="102"/>
      <c r="O204" s="102"/>
      <c r="P204" s="102"/>
      <c r="Q204" s="102"/>
      <c r="R204" s="102"/>
      <c r="S204" s="101"/>
    </row>
    <row r="205" spans="1:19" ht="57.6" x14ac:dyDescent="0.3">
      <c r="A205" t="s">
        <v>3561</v>
      </c>
      <c r="B205" t="s">
        <v>3677</v>
      </c>
      <c r="C205" s="90" t="s">
        <v>3678</v>
      </c>
      <c r="D205" t="s">
        <v>5562</v>
      </c>
      <c r="E205" s="101" t="s">
        <v>5835</v>
      </c>
      <c r="F205" t="str" cm="1">
        <f t="array" aca="1" ref="F205" ca="1">INDIRECT("'" &amp; A205 &amp; "'!" &amp; B205)</f>
        <v>a82</v>
      </c>
      <c r="G205" t="str" cm="1">
        <f t="array" aca="1" ref="G205" ca="1">INDIRECT("'" &amp; A205 &amp; "'!" &amp; ADDRESS(1, COLUMN(INDIRECT("'" &amp; A205 &amp; "'!" &amp; B205))))</f>
        <v>1987*</v>
      </c>
      <c r="H205" t="e">
        <f ca="1">VLOOKUP($G205, survey_codes_dict!A:C, 2, FALSE)</f>
        <v>#N/A</v>
      </c>
      <c r="I205" s="102" t="e">
        <f ca="1">VLOOKUP($G205, survey_codes_dict!A:D, 4, FALSE)</f>
        <v>#N/A</v>
      </c>
      <c r="J205" s="102" t="e">
        <f t="shared" ca="1" si="6"/>
        <v>#N/A</v>
      </c>
      <c r="K205" s="102" t="e">
        <f t="shared" ca="1" si="7"/>
        <v>#N/A</v>
      </c>
      <c r="L205" s="102"/>
      <c r="M205" s="102"/>
      <c r="N205" s="102"/>
      <c r="O205" s="102"/>
      <c r="P205" s="102"/>
      <c r="Q205" s="102"/>
      <c r="R205" s="102"/>
      <c r="S205" s="101"/>
    </row>
    <row r="206" spans="1:19" ht="86.4" x14ac:dyDescent="0.3">
      <c r="A206" t="s">
        <v>3561</v>
      </c>
      <c r="B206" t="s">
        <v>3679</v>
      </c>
      <c r="C206" s="90" t="s">
        <v>3680</v>
      </c>
      <c r="D206" t="s">
        <v>5562</v>
      </c>
      <c r="E206" s="101" t="s">
        <v>5836</v>
      </c>
      <c r="F206" t="str" cm="1">
        <f t="array" aca="1" ref="F206" ca="1">INDIRECT("'" &amp; A206 &amp; "'!" &amp; B206)</f>
        <v>a92</v>
      </c>
      <c r="G206" t="str" cm="1">
        <f t="array" aca="1" ref="G206" ca="1">INDIRECT("'" &amp; A206 &amp; "'!" &amp; ADDRESS(1, COLUMN(INDIRECT("'" &amp; A206 &amp; "'!" &amp; B206))))</f>
        <v>1987*</v>
      </c>
      <c r="H206" t="e">
        <f ca="1">VLOOKUP($G206, survey_codes_dict!A:C, 2, FALSE)</f>
        <v>#N/A</v>
      </c>
      <c r="I206" s="102" t="e">
        <f ca="1">VLOOKUP($G206, survey_codes_dict!A:D, 4, FALSE)</f>
        <v>#N/A</v>
      </c>
      <c r="J206" s="102" t="e">
        <f t="shared" ca="1" si="6"/>
        <v>#N/A</v>
      </c>
      <c r="K206" s="102" t="e">
        <f t="shared" ca="1" si="7"/>
        <v>#N/A</v>
      </c>
      <c r="L206" s="102"/>
      <c r="M206" s="102"/>
      <c r="N206" s="102"/>
      <c r="O206" s="102"/>
      <c r="P206" s="102"/>
      <c r="Q206" s="102"/>
      <c r="R206" s="102"/>
      <c r="S206" s="101"/>
    </row>
    <row r="207" spans="1:19" ht="115.2" x14ac:dyDescent="0.3">
      <c r="A207" t="s">
        <v>3561</v>
      </c>
      <c r="B207" t="s">
        <v>3681</v>
      </c>
      <c r="C207" s="90" t="s">
        <v>3682</v>
      </c>
      <c r="D207" t="s">
        <v>5562</v>
      </c>
      <c r="E207" s="101" t="s">
        <v>5837</v>
      </c>
      <c r="F207" t="str" cm="1">
        <f t="array" aca="1" ref="F207" ca="1">INDIRECT("'" &amp; A207 &amp; "'!" &amp; B207)</f>
        <v>a93</v>
      </c>
      <c r="G207" t="str" cm="1">
        <f t="array" aca="1" ref="G207" ca="1">INDIRECT("'" &amp; A207 &amp; "'!" &amp; ADDRESS(1, COLUMN(INDIRECT("'" &amp; A207 &amp; "'!" &amp; B207))))</f>
        <v>1987*</v>
      </c>
      <c r="H207" t="e">
        <f ca="1">VLOOKUP($G207, survey_codes_dict!A:C, 2, FALSE)</f>
        <v>#N/A</v>
      </c>
      <c r="I207" s="102" t="e">
        <f ca="1">VLOOKUP($G207, survey_codes_dict!A:D, 4, FALSE)</f>
        <v>#N/A</v>
      </c>
      <c r="J207" s="102" t="e">
        <f t="shared" ca="1" si="6"/>
        <v>#N/A</v>
      </c>
      <c r="K207" s="102" t="e">
        <f t="shared" ca="1" si="7"/>
        <v>#N/A</v>
      </c>
      <c r="L207" s="102"/>
      <c r="M207" s="102"/>
      <c r="N207" s="102"/>
      <c r="O207" s="102"/>
      <c r="P207" s="102"/>
      <c r="Q207" s="102"/>
      <c r="R207" s="102"/>
      <c r="S207" s="101"/>
    </row>
    <row r="208" spans="1:19" ht="43.2" x14ac:dyDescent="0.3">
      <c r="A208" t="s">
        <v>3561</v>
      </c>
      <c r="B208" t="s">
        <v>3683</v>
      </c>
      <c r="C208" s="90" t="s">
        <v>3383</v>
      </c>
      <c r="D208" t="s">
        <v>5562</v>
      </c>
      <c r="E208" s="101" t="s">
        <v>5706</v>
      </c>
      <c r="F208" t="str" cm="1">
        <f t="array" aca="1" ref="F208" ca="1">INDIRECT("'" &amp; A208 &amp; "'!" &amp; B208)</f>
        <v>a94</v>
      </c>
      <c r="G208" t="str" cm="1">
        <f t="array" aca="1" ref="G208" ca="1">INDIRECT("'" &amp; A208 &amp; "'!" &amp; ADDRESS(1, COLUMN(INDIRECT("'" &amp; A208 &amp; "'!" &amp; B208))))</f>
        <v>1987*</v>
      </c>
      <c r="H208" t="e">
        <f ca="1">VLOOKUP($G208, survey_codes_dict!A:C, 2, FALSE)</f>
        <v>#N/A</v>
      </c>
      <c r="I208" s="102" t="e">
        <f ca="1">VLOOKUP($G208, survey_codes_dict!A:D, 4, FALSE)</f>
        <v>#N/A</v>
      </c>
      <c r="J208" s="102" t="e">
        <f t="shared" ca="1" si="6"/>
        <v>#N/A</v>
      </c>
      <c r="K208" s="102" t="e">
        <f t="shared" ca="1" si="7"/>
        <v>#N/A</v>
      </c>
      <c r="L208" s="102"/>
      <c r="M208" s="102"/>
      <c r="N208" s="102"/>
      <c r="O208" s="102"/>
      <c r="P208" s="102"/>
      <c r="Q208" s="102"/>
      <c r="R208" s="102"/>
      <c r="S208" s="101"/>
    </row>
    <row r="209" spans="1:19" ht="86.4" x14ac:dyDescent="0.3">
      <c r="A209" t="s">
        <v>3561</v>
      </c>
      <c r="B209" t="s">
        <v>3684</v>
      </c>
      <c r="C209" s="90" t="s">
        <v>3685</v>
      </c>
      <c r="D209" t="s">
        <v>5562</v>
      </c>
      <c r="E209" s="101" t="s">
        <v>5838</v>
      </c>
      <c r="F209" t="str" cm="1">
        <f t="array" aca="1" ref="F209" ca="1">INDIRECT("'" &amp; A209 &amp; "'!" &amp; B209)</f>
        <v>a117</v>
      </c>
      <c r="G209" t="str" cm="1">
        <f t="array" aca="1" ref="G209" ca="1">INDIRECT("'" &amp; A209 &amp; "'!" &amp; ADDRESS(1, COLUMN(INDIRECT("'" &amp; A209 &amp; "'!" &amp; B209))))</f>
        <v>1987*</v>
      </c>
      <c r="H209" t="e">
        <f ca="1">VLOOKUP($G209, survey_codes_dict!A:C, 2, FALSE)</f>
        <v>#N/A</v>
      </c>
      <c r="I209" s="102" t="e">
        <f ca="1">VLOOKUP($G209, survey_codes_dict!A:D, 4, FALSE)</f>
        <v>#N/A</v>
      </c>
      <c r="J209" s="102" t="e">
        <f t="shared" ca="1" si="6"/>
        <v>#N/A</v>
      </c>
      <c r="K209" s="102" t="e">
        <f t="shared" ca="1" si="7"/>
        <v>#N/A</v>
      </c>
      <c r="L209" s="102"/>
      <c r="M209" s="102"/>
      <c r="N209" s="102"/>
      <c r="O209" s="102"/>
      <c r="P209" s="102"/>
      <c r="Q209" s="102"/>
      <c r="R209" s="102"/>
      <c r="S209" s="101"/>
    </row>
    <row r="210" spans="1:19" ht="43.2" x14ac:dyDescent="0.3">
      <c r="A210" t="s">
        <v>3561</v>
      </c>
      <c r="B210" t="s">
        <v>3686</v>
      </c>
      <c r="C210" s="90" t="s">
        <v>3383</v>
      </c>
      <c r="D210" t="s">
        <v>5562</v>
      </c>
      <c r="E210" s="101" t="s">
        <v>5706</v>
      </c>
      <c r="F210" t="str" cm="1">
        <f t="array" aca="1" ref="F210" ca="1">INDIRECT("'" &amp; A210 &amp; "'!" &amp; B210)</f>
        <v>a118</v>
      </c>
      <c r="G210" t="str" cm="1">
        <f t="array" aca="1" ref="G210" ca="1">INDIRECT("'" &amp; A210 &amp; "'!" &amp; ADDRESS(1, COLUMN(INDIRECT("'" &amp; A210 &amp; "'!" &amp; B210))))</f>
        <v>1987*</v>
      </c>
      <c r="H210" t="e">
        <f ca="1">VLOOKUP($G210, survey_codes_dict!A:C, 2, FALSE)</f>
        <v>#N/A</v>
      </c>
      <c r="I210" s="102" t="e">
        <f ca="1">VLOOKUP($G210, survey_codes_dict!A:D, 4, FALSE)</f>
        <v>#N/A</v>
      </c>
      <c r="J210" s="102" t="e">
        <f t="shared" ca="1" si="6"/>
        <v>#N/A</v>
      </c>
      <c r="K210" s="102" t="e">
        <f t="shared" ca="1" si="7"/>
        <v>#N/A</v>
      </c>
      <c r="L210" s="102"/>
      <c r="M210" s="102"/>
      <c r="N210" s="102"/>
      <c r="O210" s="102"/>
      <c r="P210" s="102"/>
      <c r="Q210" s="102"/>
      <c r="R210" s="102"/>
      <c r="S210" s="101"/>
    </row>
    <row r="211" spans="1:19" ht="72" x14ac:dyDescent="0.3">
      <c r="A211" t="s">
        <v>3561</v>
      </c>
      <c r="B211" t="s">
        <v>3687</v>
      </c>
      <c r="C211" s="90" t="s">
        <v>3672</v>
      </c>
      <c r="D211" t="s">
        <v>5562</v>
      </c>
      <c r="E211" s="101" t="s">
        <v>5832</v>
      </c>
      <c r="F211" t="str" cm="1">
        <f t="array" aca="1" ref="F211" ca="1">INDIRECT("'" &amp; A211 &amp; "'!" &amp; B211)</f>
        <v>a112</v>
      </c>
      <c r="G211" t="str" cm="1">
        <f t="array" aca="1" ref="G211" ca="1">INDIRECT("'" &amp; A211 &amp; "'!" &amp; ADDRESS(1, COLUMN(INDIRECT("'" &amp; A211 &amp; "'!" &amp; B211))))</f>
        <v>1987*</v>
      </c>
      <c r="H211" t="e">
        <f ca="1">VLOOKUP($G211, survey_codes_dict!A:C, 2, FALSE)</f>
        <v>#N/A</v>
      </c>
      <c r="I211" s="102" t="e">
        <f ca="1">VLOOKUP($G211, survey_codes_dict!A:D, 4, FALSE)</f>
        <v>#N/A</v>
      </c>
      <c r="J211" s="102" t="e">
        <f t="shared" ca="1" si="6"/>
        <v>#N/A</v>
      </c>
      <c r="K211" s="102" t="e">
        <f t="shared" ca="1" si="7"/>
        <v>#N/A</v>
      </c>
      <c r="L211" s="102"/>
      <c r="M211" s="102"/>
      <c r="N211" s="102"/>
      <c r="O211" s="102"/>
      <c r="P211" s="102"/>
      <c r="Q211" s="102"/>
      <c r="R211" s="102"/>
      <c r="S211" s="101"/>
    </row>
    <row r="212" spans="1:19" ht="43.2" x14ac:dyDescent="0.3">
      <c r="A212" t="s">
        <v>3561</v>
      </c>
      <c r="B212" t="s">
        <v>3688</v>
      </c>
      <c r="C212" s="90" t="s">
        <v>3383</v>
      </c>
      <c r="D212" t="s">
        <v>5562</v>
      </c>
      <c r="E212" s="101" t="s">
        <v>5706</v>
      </c>
      <c r="F212" t="str" cm="1">
        <f t="array" aca="1" ref="F212" ca="1">INDIRECT("'" &amp; A212 &amp; "'!" &amp; B212)</f>
        <v>a114</v>
      </c>
      <c r="G212" t="str" cm="1">
        <f t="array" aca="1" ref="G212" ca="1">INDIRECT("'" &amp; A212 &amp; "'!" &amp; ADDRESS(1, COLUMN(INDIRECT("'" &amp; A212 &amp; "'!" &amp; B212))))</f>
        <v>1987*</v>
      </c>
      <c r="H212" t="e">
        <f ca="1">VLOOKUP($G212, survey_codes_dict!A:C, 2, FALSE)</f>
        <v>#N/A</v>
      </c>
      <c r="I212" s="102" t="e">
        <f ca="1">VLOOKUP($G212, survey_codes_dict!A:D, 4, FALSE)</f>
        <v>#N/A</v>
      </c>
      <c r="J212" s="102" t="e">
        <f t="shared" ca="1" si="6"/>
        <v>#N/A</v>
      </c>
      <c r="K212" s="102" t="e">
        <f t="shared" ca="1" si="7"/>
        <v>#N/A</v>
      </c>
      <c r="L212" s="102"/>
      <c r="M212" s="102"/>
      <c r="N212" s="102"/>
      <c r="O212" s="102"/>
      <c r="P212" s="102"/>
      <c r="Q212" s="102"/>
      <c r="R212" s="102"/>
      <c r="S212" s="101"/>
    </row>
    <row r="213" spans="1:19" ht="43.2" x14ac:dyDescent="0.3">
      <c r="A213" t="s">
        <v>3561</v>
      </c>
      <c r="B213" t="s">
        <v>3689</v>
      </c>
      <c r="C213" s="90" t="s">
        <v>3690</v>
      </c>
      <c r="D213" t="s">
        <v>5562</v>
      </c>
      <c r="E213" s="101" t="s">
        <v>5839</v>
      </c>
      <c r="F213" t="str" cm="1">
        <f t="array" aca="1" ref="F213" ca="1">INDIRECT("'" &amp; A213 &amp; "'!" &amp; B213)</f>
        <v>a115</v>
      </c>
      <c r="G213" t="str" cm="1">
        <f t="array" aca="1" ref="G213" ca="1">INDIRECT("'" &amp; A213 &amp; "'!" &amp; ADDRESS(1, COLUMN(INDIRECT("'" &amp; A213 &amp; "'!" &amp; B213))))</f>
        <v>1987*</v>
      </c>
      <c r="H213" t="e">
        <f ca="1">VLOOKUP($G213, survey_codes_dict!A:C, 2, FALSE)</f>
        <v>#N/A</v>
      </c>
      <c r="I213" s="102" t="e">
        <f ca="1">VLOOKUP($G213, survey_codes_dict!A:D, 4, FALSE)</f>
        <v>#N/A</v>
      </c>
      <c r="J213" s="102" t="e">
        <f t="shared" ca="1" si="6"/>
        <v>#N/A</v>
      </c>
      <c r="K213" s="102" t="e">
        <f t="shared" ca="1" si="7"/>
        <v>#N/A</v>
      </c>
      <c r="L213" s="102"/>
      <c r="M213" s="102"/>
      <c r="N213" s="102"/>
      <c r="O213" s="102"/>
      <c r="P213" s="102"/>
      <c r="Q213" s="102"/>
      <c r="R213" s="102"/>
      <c r="S213" s="101"/>
    </row>
    <row r="214" spans="1:19" ht="43.2" x14ac:dyDescent="0.3">
      <c r="A214" t="s">
        <v>3561</v>
      </c>
      <c r="B214" t="s">
        <v>3691</v>
      </c>
      <c r="C214" s="90" t="s">
        <v>3383</v>
      </c>
      <c r="D214" t="s">
        <v>5562</v>
      </c>
      <c r="E214" s="101" t="s">
        <v>5706</v>
      </c>
      <c r="F214" t="str" cm="1">
        <f t="array" aca="1" ref="F214" ca="1">INDIRECT("'" &amp; A214 &amp; "'!" &amp; B214)</f>
        <v>a116</v>
      </c>
      <c r="G214" t="str" cm="1">
        <f t="array" aca="1" ref="G214" ca="1">INDIRECT("'" &amp; A214 &amp; "'!" &amp; ADDRESS(1, COLUMN(INDIRECT("'" &amp; A214 &amp; "'!" &amp; B214))))</f>
        <v>1987*</v>
      </c>
      <c r="H214" t="e">
        <f ca="1">VLOOKUP($G214, survey_codes_dict!A:C, 2, FALSE)</f>
        <v>#N/A</v>
      </c>
      <c r="I214" s="102" t="e">
        <f ca="1">VLOOKUP($G214, survey_codes_dict!A:D, 4, FALSE)</f>
        <v>#N/A</v>
      </c>
      <c r="J214" s="102" t="e">
        <f t="shared" ca="1" si="6"/>
        <v>#N/A</v>
      </c>
      <c r="K214" s="102" t="e">
        <f t="shared" ca="1" si="7"/>
        <v>#N/A</v>
      </c>
      <c r="L214" s="102"/>
      <c r="M214" s="102"/>
      <c r="N214" s="102"/>
      <c r="O214" s="102"/>
      <c r="P214" s="102"/>
      <c r="Q214" s="102"/>
      <c r="R214" s="102"/>
      <c r="S214" s="101"/>
    </row>
    <row r="215" spans="1:19" ht="86.4" x14ac:dyDescent="0.3">
      <c r="A215" t="s">
        <v>3561</v>
      </c>
      <c r="B215" t="s">
        <v>3692</v>
      </c>
      <c r="C215" s="90" t="s">
        <v>3693</v>
      </c>
      <c r="D215" t="s">
        <v>5562</v>
      </c>
      <c r="E215" s="101" t="s">
        <v>5840</v>
      </c>
      <c r="F215" t="str" cm="1">
        <f t="array" aca="1" ref="F215" ca="1">INDIRECT("'" &amp; A215 &amp; "'!" &amp; B215)</f>
        <v>a18</v>
      </c>
      <c r="G215" t="str" cm="1">
        <f t="array" aca="1" ref="G215" ca="1">INDIRECT("'" &amp; A215 &amp; "'!" &amp; ADDRESS(1, COLUMN(INDIRECT("'" &amp; A215 &amp; "'!" &amp; B215))))</f>
        <v>1981 - 2</v>
      </c>
      <c r="H215">
        <f ca="1">VLOOKUP($G215, survey_codes_dict!A:C, 2, FALSE)</f>
        <v>0</v>
      </c>
      <c r="I215" s="102" t="str">
        <f ca="1">VLOOKUP($G215, survey_codes_dict!A:D, 4, FALSE)</f>
        <v>1981_1</v>
      </c>
      <c r="J215" s="102" t="str">
        <f t="shared" ca="1" si="6"/>
        <v>0__a18</v>
      </c>
      <c r="K215" s="102" t="str">
        <f t="shared" ca="1" si="7"/>
        <v>1981_1__a18</v>
      </c>
      <c r="L215" s="102"/>
      <c r="M215" s="102"/>
      <c r="N215" s="102"/>
      <c r="O215" s="102"/>
      <c r="P215" s="102"/>
      <c r="Q215" s="102"/>
      <c r="R215" s="102"/>
      <c r="S215" s="101"/>
    </row>
    <row r="216" spans="1:19" ht="72" x14ac:dyDescent="0.3">
      <c r="A216" t="s">
        <v>3561</v>
      </c>
      <c r="B216" t="s">
        <v>3694</v>
      </c>
      <c r="C216" s="90" t="s">
        <v>3695</v>
      </c>
      <c r="D216" t="s">
        <v>5562</v>
      </c>
      <c r="E216" s="101" t="s">
        <v>5841</v>
      </c>
      <c r="F216" t="str" cm="1">
        <f t="array" aca="1" ref="F216" ca="1">INDIRECT("'" &amp; A216 &amp; "'!" &amp; B216)</f>
        <v>h48</v>
      </c>
      <c r="G216" t="str" cm="1">
        <f t="array" aca="1" ref="G216" ca="1">INDIRECT("'" &amp; A216 &amp; "'!" &amp; ADDRESS(1, COLUMN(INDIRECT("'" &amp; A216 &amp; "'!" &amp; B216))))</f>
        <v>1973 - 5</v>
      </c>
      <c r="H216" t="str">
        <f ca="1">VLOOKUP($G216, survey_codes_dict!A:C, 2, FALSE)</f>
        <v>1973_5</v>
      </c>
      <c r="I216" s="102" t="str">
        <f ca="1">VLOOKUP($G216, survey_codes_dict!A:D, 4, FALSE)</f>
        <v>1973_4</v>
      </c>
      <c r="J216" s="102" t="str">
        <f t="shared" ca="1" si="6"/>
        <v>1973_5__h48</v>
      </c>
      <c r="K216" s="102" t="str">
        <f t="shared" ca="1" si="7"/>
        <v>1973_4__h48</v>
      </c>
      <c r="L216" s="102"/>
      <c r="M216" s="102"/>
      <c r="N216" s="102"/>
      <c r="O216" s="102"/>
      <c r="P216" s="102"/>
      <c r="Q216" s="102"/>
      <c r="R216" s="102"/>
      <c r="S216" s="101"/>
    </row>
    <row r="217" spans="1:19" ht="129.6" x14ac:dyDescent="0.3">
      <c r="A217" t="s">
        <v>3561</v>
      </c>
      <c r="B217" t="s">
        <v>3696</v>
      </c>
      <c r="C217" s="90" t="s">
        <v>3697</v>
      </c>
      <c r="D217" t="s">
        <v>5562</v>
      </c>
      <c r="E217" s="101" t="s">
        <v>5842</v>
      </c>
      <c r="F217" t="str" cm="1">
        <f t="array" aca="1" ref="F217" ca="1">INDIRECT("'" &amp; A217 &amp; "'!" &amp; B217)</f>
        <v>h58</v>
      </c>
      <c r="G217" t="str" cm="1">
        <f t="array" aca="1" ref="G217" ca="1">INDIRECT("'" &amp; A217 &amp; "'!" &amp; ADDRESS(1, COLUMN(INDIRECT("'" &amp; A217 &amp; "'!" &amp; B217))))</f>
        <v>1973 - 5</v>
      </c>
      <c r="H217" t="str">
        <f ca="1">VLOOKUP($G217, survey_codes_dict!A:C, 2, FALSE)</f>
        <v>1973_5</v>
      </c>
      <c r="I217" s="102" t="str">
        <f ca="1">VLOOKUP($G217, survey_codes_dict!A:D, 4, FALSE)</f>
        <v>1973_4</v>
      </c>
      <c r="J217" s="102" t="str">
        <f t="shared" ca="1" si="6"/>
        <v>1973_5__h58</v>
      </c>
      <c r="K217" s="102" t="str">
        <f t="shared" ca="1" si="7"/>
        <v>1973_4__h58</v>
      </c>
      <c r="L217" s="102"/>
      <c r="M217" s="102"/>
      <c r="N217" s="102"/>
      <c r="O217" s="102"/>
      <c r="P217" s="102"/>
      <c r="Q217" s="102"/>
      <c r="R217" s="102"/>
      <c r="S217" s="101"/>
    </row>
    <row r="218" spans="1:19" ht="72" x14ac:dyDescent="0.3">
      <c r="A218" t="s">
        <v>3561</v>
      </c>
      <c r="B218" t="s">
        <v>3698</v>
      </c>
      <c r="C218" s="90" t="s">
        <v>3699</v>
      </c>
      <c r="D218" t="s">
        <v>5562</v>
      </c>
      <c r="E218" s="101" t="s">
        <v>5843</v>
      </c>
      <c r="F218" t="str" cm="1">
        <f t="array" aca="1" ref="F218" ca="1">INDIRECT("'" &amp; A218 &amp; "'!" &amp; B218)</f>
        <v>g4</v>
      </c>
      <c r="G218" t="str" cm="1">
        <f t="array" aca="1" ref="G218" ca="1">INDIRECT("'" &amp; A218 &amp; "'!" &amp; ADDRESS(1, COLUMN(INDIRECT("'" &amp; A218 &amp; "'!" &amp; B218))))</f>
        <v>1973 - 4</v>
      </c>
      <c r="H218" t="str">
        <f ca="1">VLOOKUP($G218, survey_codes_dict!A:C, 2, FALSE)</f>
        <v>1973_4</v>
      </c>
      <c r="I218" s="102" t="str">
        <f ca="1">VLOOKUP($G218, survey_codes_dict!A:D, 4, FALSE)</f>
        <v>1973_3</v>
      </c>
      <c r="J218" s="102" t="str">
        <f t="shared" ca="1" si="6"/>
        <v>1973_4__g4</v>
      </c>
      <c r="K218" s="102" t="str">
        <f t="shared" ca="1" si="7"/>
        <v>1973_3__g4</v>
      </c>
      <c r="L218" s="102"/>
      <c r="M218" s="102"/>
      <c r="N218" s="102"/>
      <c r="O218" s="102"/>
      <c r="P218" s="102"/>
      <c r="Q218" s="102"/>
      <c r="R218" s="102"/>
      <c r="S218" s="101"/>
    </row>
    <row r="219" spans="1:19" ht="72" x14ac:dyDescent="0.3">
      <c r="A219" t="s">
        <v>3561</v>
      </c>
      <c r="B219" t="s">
        <v>3700</v>
      </c>
      <c r="C219" s="90" t="s">
        <v>3701</v>
      </c>
      <c r="D219" t="s">
        <v>5562</v>
      </c>
      <c r="E219" s="101" t="s">
        <v>5844</v>
      </c>
      <c r="F219" t="str" cm="1">
        <f t="array" aca="1" ref="F219" ca="1">INDIRECT("'" &amp; A219 &amp; "'!" &amp; B219)</f>
        <v>c6</v>
      </c>
      <c r="G219" t="str" cm="1">
        <f t="array" aca="1" ref="G219" ca="1">INDIRECT("'" &amp; A219 &amp; "'!" &amp; ADDRESS(1, COLUMN(INDIRECT("'" &amp; A219 &amp; "'!" &amp; B219))))</f>
        <v>1973 - 2</v>
      </c>
      <c r="H219" t="str">
        <f ca="1">VLOOKUP($G219, survey_codes_dict!A:C, 2, FALSE)</f>
        <v>1973_2</v>
      </c>
      <c r="I219" s="102" t="str">
        <f ca="1">VLOOKUP($G219, survey_codes_dict!A:D, 4, FALSE)</f>
        <v>1973_1</v>
      </c>
      <c r="J219" s="102" t="str">
        <f t="shared" ca="1" si="6"/>
        <v>1973_2__c6</v>
      </c>
      <c r="K219" s="102" t="str">
        <f t="shared" ca="1" si="7"/>
        <v>1973_1__c6</v>
      </c>
      <c r="L219" s="102"/>
      <c r="M219" s="102"/>
      <c r="N219" s="102"/>
      <c r="O219" s="102"/>
      <c r="P219" s="102"/>
      <c r="Q219" s="102"/>
      <c r="R219" s="102"/>
      <c r="S219" s="101"/>
    </row>
    <row r="220" spans="1:19" ht="86.4" x14ac:dyDescent="0.3">
      <c r="A220" t="s">
        <v>3561</v>
      </c>
      <c r="B220" t="s">
        <v>3702</v>
      </c>
      <c r="C220" s="90" t="s">
        <v>3703</v>
      </c>
      <c r="D220" t="s">
        <v>5562</v>
      </c>
      <c r="E220" s="101" t="s">
        <v>5845</v>
      </c>
      <c r="F220" t="str" cm="1">
        <f t="array" aca="1" ref="F220" ca="1">INDIRECT("'" &amp; A220 &amp; "'!" &amp; B220)</f>
        <v>d11</v>
      </c>
      <c r="G220" t="str" cm="1">
        <f t="array" aca="1" ref="G220" ca="1">INDIRECT("'" &amp; A220 &amp; "'!" &amp; ADDRESS(1, COLUMN(INDIRECT("'" &amp; A220 &amp; "'!" &amp; B220))))</f>
        <v>1973 - 2</v>
      </c>
      <c r="H220" t="str">
        <f ca="1">VLOOKUP($G220, survey_codes_dict!A:C, 2, FALSE)</f>
        <v>1973_2</v>
      </c>
      <c r="I220" s="102" t="str">
        <f ca="1">VLOOKUP($G220, survey_codes_dict!A:D, 4, FALSE)</f>
        <v>1973_1</v>
      </c>
      <c r="J220" s="102" t="str">
        <f t="shared" ca="1" si="6"/>
        <v>1973_2__d11</v>
      </c>
      <c r="K220" s="102" t="str">
        <f t="shared" ca="1" si="7"/>
        <v>1973_1__d11</v>
      </c>
      <c r="L220" s="102"/>
      <c r="M220" s="102"/>
      <c r="N220" s="102"/>
      <c r="O220" s="102"/>
      <c r="P220" s="102"/>
      <c r="Q220" s="102"/>
      <c r="R220" s="102"/>
      <c r="S220" s="101"/>
    </row>
    <row r="221" spans="1:19" ht="86.4" x14ac:dyDescent="0.3">
      <c r="A221" t="s">
        <v>3561</v>
      </c>
      <c r="B221" t="s">
        <v>3704</v>
      </c>
      <c r="C221" s="90" t="s">
        <v>3703</v>
      </c>
      <c r="D221" t="s">
        <v>5562</v>
      </c>
      <c r="E221" s="101" t="s">
        <v>5845</v>
      </c>
      <c r="F221" t="str" cm="1">
        <f t="array" aca="1" ref="F221" ca="1">INDIRECT("'" &amp; A221 &amp; "'!" &amp; B221)</f>
        <v>d12</v>
      </c>
      <c r="G221" t="str" cm="1">
        <f t="array" aca="1" ref="G221" ca="1">INDIRECT("'" &amp; A221 &amp; "'!" &amp; ADDRESS(1, COLUMN(INDIRECT("'" &amp; A221 &amp; "'!" &amp; B221))))</f>
        <v>1973 - 2</v>
      </c>
      <c r="H221" t="str">
        <f ca="1">VLOOKUP($G221, survey_codes_dict!A:C, 2, FALSE)</f>
        <v>1973_2</v>
      </c>
      <c r="I221" s="102" t="str">
        <f ca="1">VLOOKUP($G221, survey_codes_dict!A:D, 4, FALSE)</f>
        <v>1973_1</v>
      </c>
      <c r="J221" s="102" t="str">
        <f t="shared" ca="1" si="6"/>
        <v>1973_2__d12</v>
      </c>
      <c r="K221" s="102" t="str">
        <f t="shared" ca="1" si="7"/>
        <v>1973_1__d12</v>
      </c>
      <c r="L221" s="102"/>
      <c r="M221" s="102"/>
      <c r="N221" s="102"/>
      <c r="O221" s="102"/>
      <c r="P221" s="102"/>
      <c r="Q221" s="102"/>
      <c r="R221" s="102"/>
      <c r="S221" s="101"/>
    </row>
    <row r="222" spans="1:19" ht="28.8" x14ac:dyDescent="0.3">
      <c r="A222" t="s">
        <v>3561</v>
      </c>
      <c r="B222" t="s">
        <v>3705</v>
      </c>
      <c r="C222" s="90" t="s">
        <v>3706</v>
      </c>
      <c r="D222" t="s">
        <v>5663</v>
      </c>
      <c r="E222" s="101" t="s">
        <v>5576</v>
      </c>
      <c r="F222" t="str" cm="1">
        <f t="array" aca="1" ref="F222" ca="1">INDIRECT("'" &amp; A222 &amp; "'!" &amp; B222)</f>
        <v>האם בעלך מגוייס?</v>
      </c>
      <c r="G222" t="str" cm="1">
        <f t="array" aca="1" ref="G222" ca="1">INDIRECT("'" &amp; A222 &amp; "'!" &amp; ADDRESS(1, COLUMN(INDIRECT("'" &amp; A222 &amp; "'!" &amp; B222))))</f>
        <v>שאלה</v>
      </c>
      <c r="H222" t="e">
        <f ca="1">VLOOKUP($G222, survey_codes_dict!A:C, 2, FALSE)</f>
        <v>#N/A</v>
      </c>
      <c r="I222" s="102" t="e">
        <f ca="1">VLOOKUP($G222, survey_codes_dict!A:D, 4, FALSE)</f>
        <v>#N/A</v>
      </c>
      <c r="J222" s="102" t="e">
        <f t="shared" ca="1" si="6"/>
        <v>#N/A</v>
      </c>
      <c r="K222" s="102" t="e">
        <f t="shared" ca="1" si="7"/>
        <v>#N/A</v>
      </c>
      <c r="L222" s="102"/>
      <c r="M222" s="102"/>
      <c r="N222" s="102"/>
      <c r="O222" s="102"/>
      <c r="P222" s="102"/>
      <c r="Q222" s="102"/>
      <c r="R222" s="102"/>
      <c r="S222" s="102"/>
    </row>
    <row r="223" spans="1:19" ht="100.8" x14ac:dyDescent="0.3">
      <c r="A223" t="s">
        <v>3561</v>
      </c>
      <c r="B223" t="s">
        <v>3707</v>
      </c>
      <c r="C223" s="90" t="s">
        <v>3708</v>
      </c>
      <c r="D223" t="s">
        <v>5562</v>
      </c>
      <c r="E223" s="101" t="s">
        <v>5846</v>
      </c>
      <c r="F223" t="str" cm="1">
        <f t="array" aca="1" ref="F223" ca="1">INDIRECT("'" &amp; A223 &amp; "'!" &amp; B223)</f>
        <v>g60</v>
      </c>
      <c r="G223" t="str" cm="1">
        <f t="array" aca="1" ref="G223" ca="1">INDIRECT("'" &amp; A223 &amp; "'!" &amp; ADDRESS(1, COLUMN(INDIRECT("'" &amp; A223 &amp; "'!" &amp; B223))))</f>
        <v>1973 - 4</v>
      </c>
      <c r="H223" t="str">
        <f ca="1">VLOOKUP($G223, survey_codes_dict!A:C, 2, FALSE)</f>
        <v>1973_4</v>
      </c>
      <c r="I223" s="102" t="str">
        <f ca="1">VLOOKUP($G223, survey_codes_dict!A:D, 4, FALSE)</f>
        <v>1973_3</v>
      </c>
      <c r="J223" s="102" t="str">
        <f t="shared" ca="1" si="6"/>
        <v>1973_4__g60</v>
      </c>
      <c r="K223" s="102" t="str">
        <f t="shared" ca="1" si="7"/>
        <v>1973_3__g60</v>
      </c>
      <c r="L223" s="102"/>
      <c r="M223" s="102"/>
      <c r="N223" s="102"/>
      <c r="O223" s="102"/>
      <c r="P223" s="102"/>
      <c r="Q223" s="102"/>
      <c r="R223" s="102"/>
      <c r="S223" s="101"/>
    </row>
    <row r="224" spans="1:19" ht="86.4" x14ac:dyDescent="0.3">
      <c r="A224" t="s">
        <v>3561</v>
      </c>
      <c r="B224" t="s">
        <v>3709</v>
      </c>
      <c r="C224" s="90" t="s">
        <v>3710</v>
      </c>
      <c r="D224" t="s">
        <v>5562</v>
      </c>
      <c r="E224" s="101" t="s">
        <v>5847</v>
      </c>
      <c r="F224" t="str" cm="1">
        <f t="array" aca="1" ref="F224" ca="1">INDIRECT("'" &amp; A224 &amp; "'!" &amp; B224)</f>
        <v>f2</v>
      </c>
      <c r="G224" t="str" cm="1">
        <f t="array" aca="1" ref="G224" ca="1">INDIRECT("'" &amp; A224 &amp; "'!" &amp; ADDRESS(1, COLUMN(INDIRECT("'" &amp; A224 &amp; "'!" &amp; B224))))</f>
        <v>1973 - 3</v>
      </c>
      <c r="H224" t="str">
        <f ca="1">VLOOKUP($G224, survey_codes_dict!A:C, 2, FALSE)</f>
        <v>1973_3</v>
      </c>
      <c r="I224" s="102" t="str">
        <f ca="1">VLOOKUP($G224, survey_codes_dict!A:D, 4, FALSE)</f>
        <v>1973_2</v>
      </c>
      <c r="J224" s="102" t="str">
        <f t="shared" ca="1" si="6"/>
        <v>1973_3__f2</v>
      </c>
      <c r="K224" s="102" t="str">
        <f t="shared" ca="1" si="7"/>
        <v>1973_2__f2</v>
      </c>
      <c r="L224" s="102"/>
      <c r="M224" s="102"/>
      <c r="N224" s="102"/>
      <c r="O224" s="102"/>
      <c r="P224" s="102"/>
      <c r="Q224" s="102"/>
      <c r="R224" s="102"/>
      <c r="S224" s="101"/>
    </row>
    <row r="225" spans="1:19" ht="72" x14ac:dyDescent="0.3">
      <c r="A225" t="s">
        <v>3561</v>
      </c>
      <c r="B225" t="s">
        <v>3711</v>
      </c>
      <c r="C225" s="90" t="s">
        <v>3712</v>
      </c>
      <c r="D225" t="s">
        <v>5562</v>
      </c>
      <c r="E225" s="101" t="s">
        <v>5848</v>
      </c>
      <c r="F225" t="str" cm="1">
        <f t="array" aca="1" ref="F225" ca="1">INDIRECT("'" &amp; A225 &amp; "'!" &amp; B225)</f>
        <v>f3</v>
      </c>
      <c r="G225" t="str" cm="1">
        <f t="array" aca="1" ref="G225" ca="1">INDIRECT("'" &amp; A225 &amp; "'!" &amp; ADDRESS(1, COLUMN(INDIRECT("'" &amp; A225 &amp; "'!" &amp; B225))))</f>
        <v>1973 - 3</v>
      </c>
      <c r="H225" t="str">
        <f ca="1">VLOOKUP($G225, survey_codes_dict!A:C, 2, FALSE)</f>
        <v>1973_3</v>
      </c>
      <c r="I225" s="102" t="str">
        <f ca="1">VLOOKUP($G225, survey_codes_dict!A:D, 4, FALSE)</f>
        <v>1973_2</v>
      </c>
      <c r="J225" s="102" t="str">
        <f t="shared" ca="1" si="6"/>
        <v>1973_3__f3</v>
      </c>
      <c r="K225" s="102" t="str">
        <f t="shared" ca="1" si="7"/>
        <v>1973_2__f3</v>
      </c>
      <c r="L225" s="102"/>
      <c r="M225" s="102"/>
      <c r="N225" s="102"/>
      <c r="O225" s="102"/>
      <c r="P225" s="102"/>
      <c r="Q225" s="102"/>
      <c r="R225" s="102"/>
      <c r="S225" s="101"/>
    </row>
    <row r="226" spans="1:19" ht="72" x14ac:dyDescent="0.3">
      <c r="A226" t="s">
        <v>3561</v>
      </c>
      <c r="B226" t="s">
        <v>3713</v>
      </c>
      <c r="C226" s="90" t="s">
        <v>3712</v>
      </c>
      <c r="D226" t="s">
        <v>5562</v>
      </c>
      <c r="E226" s="101" t="s">
        <v>5848</v>
      </c>
      <c r="F226" t="str" cm="1">
        <f t="array" aca="1" ref="F226" ca="1">INDIRECT("'" &amp; A226 &amp; "'!" &amp; B226)</f>
        <v>f41</v>
      </c>
      <c r="G226" t="str" cm="1">
        <f t="array" aca="1" ref="G226" ca="1">INDIRECT("'" &amp; A226 &amp; "'!" &amp; ADDRESS(1, COLUMN(INDIRECT("'" &amp; A226 &amp; "'!" &amp; B226))))</f>
        <v>1973 - 3</v>
      </c>
      <c r="H226" t="str">
        <f ca="1">VLOOKUP($G226, survey_codes_dict!A:C, 2, FALSE)</f>
        <v>1973_3</v>
      </c>
      <c r="I226" s="102" t="str">
        <f ca="1">VLOOKUP($G226, survey_codes_dict!A:D, 4, FALSE)</f>
        <v>1973_2</v>
      </c>
      <c r="J226" s="102" t="str">
        <f t="shared" ca="1" si="6"/>
        <v>1973_3__f41</v>
      </c>
      <c r="K226" s="102" t="str">
        <f t="shared" ca="1" si="7"/>
        <v>1973_2__f41</v>
      </c>
      <c r="L226" s="102"/>
      <c r="M226" s="102"/>
      <c r="N226" s="102"/>
      <c r="O226" s="102"/>
      <c r="P226" s="102"/>
      <c r="Q226" s="102"/>
      <c r="R226" s="102"/>
      <c r="S226" s="101"/>
    </row>
    <row r="227" spans="1:19" ht="72" x14ac:dyDescent="0.3">
      <c r="A227" t="s">
        <v>3561</v>
      </c>
      <c r="B227" t="s">
        <v>3714</v>
      </c>
      <c r="C227" s="90" t="s">
        <v>3715</v>
      </c>
      <c r="D227" t="s">
        <v>5562</v>
      </c>
      <c r="E227" s="101" t="s">
        <v>5849</v>
      </c>
      <c r="F227" t="str" cm="1">
        <f t="array" aca="1" ref="F227" ca="1">INDIRECT("'" &amp; A227 &amp; "'!" &amp; B227)</f>
        <v>c27</v>
      </c>
      <c r="G227" t="str" cm="1">
        <f t="array" aca="1" ref="G227" ca="1">INDIRECT("'" &amp; A227 &amp; "'!" &amp; ADDRESS(1, COLUMN(INDIRECT("'" &amp; A227 &amp; "'!" &amp; B227))))</f>
        <v>1973 - 2</v>
      </c>
      <c r="H227" t="str">
        <f ca="1">VLOOKUP($G227, survey_codes_dict!A:C, 2, FALSE)</f>
        <v>1973_2</v>
      </c>
      <c r="I227" s="102" t="str">
        <f ca="1">VLOOKUP($G227, survey_codes_dict!A:D, 4, FALSE)</f>
        <v>1973_1</v>
      </c>
      <c r="J227" s="102" t="str">
        <f t="shared" ca="1" si="6"/>
        <v>1973_2__c27</v>
      </c>
      <c r="K227" s="102" t="str">
        <f t="shared" ca="1" si="7"/>
        <v>1973_1__c27</v>
      </c>
      <c r="L227" s="102"/>
      <c r="M227" s="102"/>
      <c r="N227" s="102"/>
      <c r="O227" s="102"/>
      <c r="P227" s="102"/>
      <c r="Q227" s="102"/>
      <c r="R227" s="102"/>
      <c r="S227" s="101"/>
    </row>
    <row r="228" spans="1:19" ht="72" x14ac:dyDescent="0.3">
      <c r="A228" t="s">
        <v>3561</v>
      </c>
      <c r="B228" t="s">
        <v>3716</v>
      </c>
      <c r="C228" s="90" t="s">
        <v>3712</v>
      </c>
      <c r="D228" t="s">
        <v>5562</v>
      </c>
      <c r="E228" s="101" t="s">
        <v>5848</v>
      </c>
      <c r="F228" t="str" cm="1">
        <f t="array" aca="1" ref="F228" ca="1">INDIRECT("'" &amp; A228 &amp; "'!" &amp; B228)</f>
        <v>c45</v>
      </c>
      <c r="G228" t="str" cm="1">
        <f t="array" aca="1" ref="G228" ca="1">INDIRECT("'" &amp; A228 &amp; "'!" &amp; ADDRESS(1, COLUMN(INDIRECT("'" &amp; A228 &amp; "'!" &amp; B228))))</f>
        <v>1973 - 2</v>
      </c>
      <c r="H228" t="str">
        <f ca="1">VLOOKUP($G228, survey_codes_dict!A:C, 2, FALSE)</f>
        <v>1973_2</v>
      </c>
      <c r="I228" s="102" t="str">
        <f ca="1">VLOOKUP($G228, survey_codes_dict!A:D, 4, FALSE)</f>
        <v>1973_1</v>
      </c>
      <c r="J228" s="102" t="str">
        <f t="shared" ca="1" si="6"/>
        <v>1973_2__c45</v>
      </c>
      <c r="K228" s="102" t="str">
        <f t="shared" ca="1" si="7"/>
        <v>1973_1__c45</v>
      </c>
      <c r="L228" s="102"/>
      <c r="M228" s="102"/>
      <c r="N228" s="102"/>
      <c r="O228" s="102"/>
      <c r="P228" s="102"/>
      <c r="Q228" s="102"/>
      <c r="R228" s="102"/>
      <c r="S228" s="101"/>
    </row>
    <row r="229" spans="1:19" ht="72" x14ac:dyDescent="0.3">
      <c r="A229" t="s">
        <v>3561</v>
      </c>
      <c r="B229" t="s">
        <v>3717</v>
      </c>
      <c r="C229" s="90" t="s">
        <v>3712</v>
      </c>
      <c r="D229" t="s">
        <v>5562</v>
      </c>
      <c r="E229" s="101" t="s">
        <v>5848</v>
      </c>
      <c r="F229" t="str" cm="1">
        <f t="array" aca="1" ref="F229" ca="1">INDIRECT("'" &amp; A229 &amp; "'!" &amp; B229)</f>
        <v>d22</v>
      </c>
      <c r="G229" t="str" cm="1">
        <f t="array" aca="1" ref="G229" ca="1">INDIRECT("'" &amp; A229 &amp; "'!" &amp; ADDRESS(1, COLUMN(INDIRECT("'" &amp; A229 &amp; "'!" &amp; B229))))</f>
        <v>1973 - 2</v>
      </c>
      <c r="H229" t="str">
        <f ca="1">VLOOKUP($G229, survey_codes_dict!A:C, 2, FALSE)</f>
        <v>1973_2</v>
      </c>
      <c r="I229" s="102" t="str">
        <f ca="1">VLOOKUP($G229, survey_codes_dict!A:D, 4, FALSE)</f>
        <v>1973_1</v>
      </c>
      <c r="J229" s="102" t="str">
        <f t="shared" ca="1" si="6"/>
        <v>1973_2__d22</v>
      </c>
      <c r="K229" s="102" t="str">
        <f t="shared" ca="1" si="7"/>
        <v>1973_1__d22</v>
      </c>
      <c r="L229" s="102"/>
      <c r="M229" s="102"/>
      <c r="N229" s="102"/>
      <c r="O229" s="102"/>
      <c r="P229" s="102"/>
      <c r="Q229" s="102"/>
      <c r="R229" s="102"/>
      <c r="S229" s="101"/>
    </row>
    <row r="230" spans="1:19" ht="72" x14ac:dyDescent="0.3">
      <c r="A230" t="s">
        <v>3561</v>
      </c>
      <c r="B230" t="s">
        <v>3718</v>
      </c>
      <c r="C230" s="90" t="s">
        <v>3712</v>
      </c>
      <c r="D230" t="s">
        <v>5562</v>
      </c>
      <c r="E230" s="101" t="s">
        <v>5848</v>
      </c>
      <c r="F230" t="str" cm="1">
        <f t="array" aca="1" ref="F230" ca="1">INDIRECT("'" &amp; A230 &amp; "'!" &amp; B230)</f>
        <v>c48</v>
      </c>
      <c r="G230" t="str" cm="1">
        <f t="array" aca="1" ref="G230" ca="1">INDIRECT("'" &amp; A230 &amp; "'!" &amp; ADDRESS(1, COLUMN(INDIRECT("'" &amp; A230 &amp; "'!" &amp; B230))))</f>
        <v>1973 - 2</v>
      </c>
      <c r="H230" t="str">
        <f ca="1">VLOOKUP($G230, survey_codes_dict!A:C, 2, FALSE)</f>
        <v>1973_2</v>
      </c>
      <c r="I230" s="102" t="str">
        <f ca="1">VLOOKUP($G230, survey_codes_dict!A:D, 4, FALSE)</f>
        <v>1973_1</v>
      </c>
      <c r="J230" s="102" t="str">
        <f t="shared" ca="1" si="6"/>
        <v>1973_2__c48</v>
      </c>
      <c r="K230" s="102" t="str">
        <f t="shared" ca="1" si="7"/>
        <v>1973_1__c48</v>
      </c>
      <c r="L230" s="102"/>
      <c r="M230" s="102"/>
      <c r="N230" s="102"/>
      <c r="O230" s="102"/>
      <c r="P230" s="102"/>
      <c r="Q230" s="102"/>
      <c r="R230" s="102"/>
      <c r="S230" s="101"/>
    </row>
    <row r="231" spans="1:19" ht="72" x14ac:dyDescent="0.3">
      <c r="A231" t="s">
        <v>3561</v>
      </c>
      <c r="B231" t="s">
        <v>3719</v>
      </c>
      <c r="C231" s="90" t="s">
        <v>3712</v>
      </c>
      <c r="D231" t="s">
        <v>5562</v>
      </c>
      <c r="E231" s="101" t="s">
        <v>5848</v>
      </c>
      <c r="F231" t="str" cm="1">
        <f t="array" aca="1" ref="F231" ca="1">INDIRECT("'" &amp; A231 &amp; "'!" &amp; B231)</f>
        <v>d25</v>
      </c>
      <c r="G231" t="str" cm="1">
        <f t="array" aca="1" ref="G231" ca="1">INDIRECT("'" &amp; A231 &amp; "'!" &amp; ADDRESS(1, COLUMN(INDIRECT("'" &amp; A231 &amp; "'!" &amp; B231))))</f>
        <v>1973 - 2</v>
      </c>
      <c r="H231" t="str">
        <f ca="1">VLOOKUP($G231, survey_codes_dict!A:C, 2, FALSE)</f>
        <v>1973_2</v>
      </c>
      <c r="I231" s="102" t="str">
        <f ca="1">VLOOKUP($G231, survey_codes_dict!A:D, 4, FALSE)</f>
        <v>1973_1</v>
      </c>
      <c r="J231" s="102" t="str">
        <f t="shared" ca="1" si="6"/>
        <v>1973_2__d25</v>
      </c>
      <c r="K231" s="102" t="str">
        <f t="shared" ca="1" si="7"/>
        <v>1973_1__d25</v>
      </c>
      <c r="L231" s="102"/>
      <c r="M231" s="102"/>
      <c r="N231" s="102"/>
      <c r="O231" s="102"/>
      <c r="P231" s="102"/>
      <c r="Q231" s="102"/>
      <c r="R231" s="102"/>
      <c r="S231" s="101"/>
    </row>
    <row r="232" spans="1:19" ht="72" x14ac:dyDescent="0.3">
      <c r="A232" t="s">
        <v>3561</v>
      </c>
      <c r="B232" t="s">
        <v>3720</v>
      </c>
      <c r="C232" s="90" t="s">
        <v>3712</v>
      </c>
      <c r="D232" t="s">
        <v>5562</v>
      </c>
      <c r="E232" s="101" t="s">
        <v>5848</v>
      </c>
      <c r="F232" t="str" cm="1">
        <f t="array" aca="1" ref="F232" ca="1">INDIRECT("'" &amp; A232 &amp; "'!" &amp; B232)</f>
        <v>c50</v>
      </c>
      <c r="G232" t="str" cm="1">
        <f t="array" aca="1" ref="G232" ca="1">INDIRECT("'" &amp; A232 &amp; "'!" &amp; ADDRESS(1, COLUMN(INDIRECT("'" &amp; A232 &amp; "'!" &amp; B232))))</f>
        <v>1973 - 2</v>
      </c>
      <c r="H232" t="str">
        <f ca="1">VLOOKUP($G232, survey_codes_dict!A:C, 2, FALSE)</f>
        <v>1973_2</v>
      </c>
      <c r="I232" s="102" t="str">
        <f ca="1">VLOOKUP($G232, survey_codes_dict!A:D, 4, FALSE)</f>
        <v>1973_1</v>
      </c>
      <c r="J232" s="102" t="str">
        <f t="shared" ca="1" si="6"/>
        <v>1973_2__c50</v>
      </c>
      <c r="K232" s="102" t="str">
        <f t="shared" ca="1" si="7"/>
        <v>1973_1__c50</v>
      </c>
      <c r="L232" s="102"/>
      <c r="M232" s="102"/>
      <c r="N232" s="102"/>
      <c r="O232" s="102"/>
      <c r="P232" s="102"/>
      <c r="Q232" s="102"/>
      <c r="R232" s="102"/>
      <c r="S232" s="101"/>
    </row>
    <row r="233" spans="1:19" ht="72" x14ac:dyDescent="0.3">
      <c r="A233" t="s">
        <v>3561</v>
      </c>
      <c r="B233" t="s">
        <v>3721</v>
      </c>
      <c r="C233" s="90" t="s">
        <v>3712</v>
      </c>
      <c r="D233" t="s">
        <v>5562</v>
      </c>
      <c r="E233" s="101" t="s">
        <v>5848</v>
      </c>
      <c r="F233" t="str" cm="1">
        <f t="array" aca="1" ref="F233" ca="1">INDIRECT("'" &amp; A233 &amp; "'!" &amp; B233)</f>
        <v>d27</v>
      </c>
      <c r="G233" t="str" cm="1">
        <f t="array" aca="1" ref="G233" ca="1">INDIRECT("'" &amp; A233 &amp; "'!" &amp; ADDRESS(1, COLUMN(INDIRECT("'" &amp; A233 &amp; "'!" &amp; B233))))</f>
        <v>1973 - 2</v>
      </c>
      <c r="H233" t="str">
        <f ca="1">VLOOKUP($G233, survey_codes_dict!A:C, 2, FALSE)</f>
        <v>1973_2</v>
      </c>
      <c r="I233" s="102" t="str">
        <f ca="1">VLOOKUP($G233, survey_codes_dict!A:D, 4, FALSE)</f>
        <v>1973_1</v>
      </c>
      <c r="J233" s="102" t="str">
        <f t="shared" ca="1" si="6"/>
        <v>1973_2__d27</v>
      </c>
      <c r="K233" s="102" t="str">
        <f t="shared" ca="1" si="7"/>
        <v>1973_1__d27</v>
      </c>
      <c r="L233" s="102"/>
      <c r="M233" s="102"/>
      <c r="N233" s="102"/>
      <c r="O233" s="102"/>
      <c r="P233" s="102"/>
      <c r="Q233" s="102"/>
      <c r="R233" s="102"/>
      <c r="S233" s="101"/>
    </row>
    <row r="234" spans="1:19" ht="72" x14ac:dyDescent="0.3">
      <c r="A234" t="s">
        <v>3561</v>
      </c>
      <c r="B234" t="s">
        <v>3722</v>
      </c>
      <c r="C234" s="90" t="s">
        <v>3712</v>
      </c>
      <c r="D234" t="s">
        <v>5562</v>
      </c>
      <c r="E234" s="101" t="s">
        <v>5848</v>
      </c>
      <c r="F234" t="str" cm="1">
        <f t="array" aca="1" ref="F234" ca="1">INDIRECT("'" &amp; A234 &amp; "'!" &amp; B234)</f>
        <v>d28</v>
      </c>
      <c r="G234" t="str" cm="1">
        <f t="array" aca="1" ref="G234" ca="1">INDIRECT("'" &amp; A234 &amp; "'!" &amp; ADDRESS(1, COLUMN(INDIRECT("'" &amp; A234 &amp; "'!" &amp; B234))))</f>
        <v>1973 - 2</v>
      </c>
      <c r="H234" t="str">
        <f ca="1">VLOOKUP($G234, survey_codes_dict!A:C, 2, FALSE)</f>
        <v>1973_2</v>
      </c>
      <c r="I234" s="102" t="str">
        <f ca="1">VLOOKUP($G234, survey_codes_dict!A:D, 4, FALSE)</f>
        <v>1973_1</v>
      </c>
      <c r="J234" s="102" t="str">
        <f t="shared" ca="1" si="6"/>
        <v>1973_2__d28</v>
      </c>
      <c r="K234" s="102" t="str">
        <f t="shared" ca="1" si="7"/>
        <v>1973_1__d28</v>
      </c>
      <c r="L234" s="102"/>
      <c r="M234" s="102"/>
      <c r="N234" s="102"/>
      <c r="O234" s="102"/>
      <c r="P234" s="102"/>
      <c r="Q234" s="102"/>
      <c r="R234" s="102"/>
      <c r="S234" s="101"/>
    </row>
    <row r="235" spans="1:19" ht="86.4" x14ac:dyDescent="0.3">
      <c r="A235" t="s">
        <v>3561</v>
      </c>
      <c r="B235" t="s">
        <v>3723</v>
      </c>
      <c r="C235" s="90" t="s">
        <v>3724</v>
      </c>
      <c r="D235" t="s">
        <v>5562</v>
      </c>
      <c r="E235" s="101" t="s">
        <v>5850</v>
      </c>
      <c r="F235" t="str" cm="1">
        <f t="array" aca="1" ref="F235" ca="1">INDIRECT("'" &amp; A235 &amp; "'!" &amp; B235)</f>
        <v>a86</v>
      </c>
      <c r="G235" t="str" cm="1">
        <f t="array" aca="1" ref="G235" ca="1">INDIRECT("'" &amp; A235 &amp; "'!" &amp; ADDRESS(1, COLUMN(INDIRECT("'" &amp; A235 &amp; "'!" &amp; B235))))</f>
        <v>1969 - 1</v>
      </c>
      <c r="H235" t="str">
        <f ca="1">VLOOKUP($G235, survey_codes_dict!A:C, 2, FALSE)</f>
        <v>1969_1</v>
      </c>
      <c r="I235" s="102">
        <f ca="1">VLOOKUP($G235, survey_codes_dict!A:D, 4, FALSE)</f>
        <v>0</v>
      </c>
      <c r="J235" s="102" t="str">
        <f t="shared" ca="1" si="6"/>
        <v>1969_1__a86</v>
      </c>
      <c r="K235" s="102" t="str">
        <f t="shared" ca="1" si="7"/>
        <v>0__a86</v>
      </c>
      <c r="L235" s="102"/>
      <c r="M235" s="102"/>
      <c r="N235" s="102"/>
      <c r="O235" s="102"/>
      <c r="P235" s="102"/>
      <c r="Q235" s="102"/>
      <c r="R235" s="102"/>
      <c r="S235" s="101"/>
    </row>
    <row r="236" spans="1:19" ht="72" x14ac:dyDescent="0.3">
      <c r="A236" t="s">
        <v>3561</v>
      </c>
      <c r="B236" t="s">
        <v>3725</v>
      </c>
      <c r="C236" s="90" t="s">
        <v>3726</v>
      </c>
      <c r="D236" t="s">
        <v>5562</v>
      </c>
      <c r="E236" s="101" t="s">
        <v>5851</v>
      </c>
      <c r="F236" t="str" cm="1">
        <f t="array" aca="1" ref="F236" ca="1">INDIRECT("'" &amp; A236 &amp; "'!" &amp; B236)</f>
        <v>e11</v>
      </c>
      <c r="G236" t="str" cm="1">
        <f t="array" aca="1" ref="G236" ca="1">INDIRECT("'" &amp; A236 &amp; "'!" &amp; ADDRESS(1, COLUMN(INDIRECT("'" &amp; A236 &amp; "'!" &amp; B236))))</f>
        <v>1973 - 2</v>
      </c>
      <c r="H236" t="str">
        <f ca="1">VLOOKUP($G236, survey_codes_dict!A:C, 2, FALSE)</f>
        <v>1973_2</v>
      </c>
      <c r="I236" s="102" t="str">
        <f ca="1">VLOOKUP($G236, survey_codes_dict!A:D, 4, FALSE)</f>
        <v>1973_1</v>
      </c>
      <c r="J236" s="102" t="str">
        <f t="shared" ca="1" si="6"/>
        <v>1973_2__e11</v>
      </c>
      <c r="K236" s="102" t="str">
        <f t="shared" ca="1" si="7"/>
        <v>1973_1__e11</v>
      </c>
      <c r="L236" s="102"/>
      <c r="M236" s="102"/>
      <c r="N236" s="102"/>
      <c r="O236" s="102"/>
      <c r="P236" s="102"/>
      <c r="Q236" s="102"/>
      <c r="R236" s="102"/>
      <c r="S236" s="101"/>
    </row>
    <row r="237" spans="1:19" ht="72" x14ac:dyDescent="0.3">
      <c r="A237" t="s">
        <v>3561</v>
      </c>
      <c r="B237" t="s">
        <v>3727</v>
      </c>
      <c r="C237" s="90" t="s">
        <v>3728</v>
      </c>
      <c r="D237" t="s">
        <v>5562</v>
      </c>
      <c r="E237" s="101" t="s">
        <v>5852</v>
      </c>
      <c r="F237" t="str" cm="1">
        <f t="array" aca="1" ref="F237" ca="1">INDIRECT("'" &amp; A237 &amp; "'!" &amp; B237)</f>
        <v>a87</v>
      </c>
      <c r="G237" t="str" cm="1">
        <f t="array" aca="1" ref="G237" ca="1">INDIRECT("'" &amp; A237 &amp; "'!" &amp; ADDRESS(1, COLUMN(INDIRECT("'" &amp; A237 &amp; "'!" &amp; B237))))</f>
        <v>1969 - 1</v>
      </c>
      <c r="H237" t="str">
        <f ca="1">VLOOKUP($G237, survey_codes_dict!A:C, 2, FALSE)</f>
        <v>1969_1</v>
      </c>
      <c r="I237" s="102">
        <f ca="1">VLOOKUP($G237, survey_codes_dict!A:D, 4, FALSE)</f>
        <v>0</v>
      </c>
      <c r="J237" s="102" t="str">
        <f t="shared" ca="1" si="6"/>
        <v>1969_1__a87</v>
      </c>
      <c r="K237" s="102" t="str">
        <f t="shared" ca="1" si="7"/>
        <v>0__a87</v>
      </c>
      <c r="L237" s="102"/>
      <c r="M237" s="102"/>
      <c r="N237" s="102"/>
      <c r="O237" s="102"/>
      <c r="P237" s="102"/>
      <c r="Q237" s="102"/>
      <c r="R237" s="102"/>
      <c r="S237" s="101"/>
    </row>
    <row r="238" spans="1:19" ht="72" x14ac:dyDescent="0.3">
      <c r="A238" t="s">
        <v>3561</v>
      </c>
      <c r="B238" t="s">
        <v>3729</v>
      </c>
      <c r="C238" s="90" t="s">
        <v>3730</v>
      </c>
      <c r="D238" t="s">
        <v>5562</v>
      </c>
      <c r="E238" s="101" t="s">
        <v>5853</v>
      </c>
      <c r="F238" t="str" cm="1">
        <f t="array" aca="1" ref="F238" ca="1">INDIRECT("'" &amp; A238 &amp; "'!" &amp; B238)</f>
        <v>e13</v>
      </c>
      <c r="G238" t="str" cm="1">
        <f t="array" aca="1" ref="G238" ca="1">INDIRECT("'" &amp; A238 &amp; "'!" &amp; ADDRESS(1, COLUMN(INDIRECT("'" &amp; A238 &amp; "'!" &amp; B238))))</f>
        <v>1973 - 2</v>
      </c>
      <c r="H238" t="str">
        <f ca="1">VLOOKUP($G238, survey_codes_dict!A:C, 2, FALSE)</f>
        <v>1973_2</v>
      </c>
      <c r="I238" s="102" t="str">
        <f ca="1">VLOOKUP($G238, survey_codes_dict!A:D, 4, FALSE)</f>
        <v>1973_1</v>
      </c>
      <c r="J238" s="102" t="str">
        <f t="shared" ca="1" si="6"/>
        <v>1973_2__e13</v>
      </c>
      <c r="K238" s="102" t="str">
        <f t="shared" ca="1" si="7"/>
        <v>1973_1__e13</v>
      </c>
      <c r="L238" s="102"/>
      <c r="M238" s="102"/>
      <c r="N238" s="102"/>
      <c r="O238" s="102"/>
      <c r="P238" s="102"/>
      <c r="Q238" s="102"/>
      <c r="R238" s="102"/>
      <c r="S238" s="101"/>
    </row>
    <row r="239" spans="1:19" ht="72" x14ac:dyDescent="0.3">
      <c r="A239" t="s">
        <v>3561</v>
      </c>
      <c r="B239" t="s">
        <v>3731</v>
      </c>
      <c r="C239" s="90" t="s">
        <v>3732</v>
      </c>
      <c r="D239" t="s">
        <v>5562</v>
      </c>
      <c r="E239" s="101" t="s">
        <v>5854</v>
      </c>
      <c r="F239" t="str" cm="1">
        <f t="array" aca="1" ref="F239" ca="1">INDIRECT("'" &amp; A239 &amp; "'!" &amp; B239)</f>
        <v>e14</v>
      </c>
      <c r="G239" t="str" cm="1">
        <f t="array" aca="1" ref="G239" ca="1">INDIRECT("'" &amp; A239 &amp; "'!" &amp; ADDRESS(1, COLUMN(INDIRECT("'" &amp; A239 &amp; "'!" &amp; B239))))</f>
        <v>1973 - 2</v>
      </c>
      <c r="H239" t="str">
        <f ca="1">VLOOKUP($G239, survey_codes_dict!A:C, 2, FALSE)</f>
        <v>1973_2</v>
      </c>
      <c r="I239" s="102" t="str">
        <f ca="1">VLOOKUP($G239, survey_codes_dict!A:D, 4, FALSE)</f>
        <v>1973_1</v>
      </c>
      <c r="J239" s="102" t="str">
        <f t="shared" ca="1" si="6"/>
        <v>1973_2__e14</v>
      </c>
      <c r="K239" s="102" t="str">
        <f t="shared" ca="1" si="7"/>
        <v>1973_1__e14</v>
      </c>
      <c r="L239" s="102"/>
      <c r="M239" s="102"/>
      <c r="N239" s="102"/>
      <c r="O239" s="102"/>
      <c r="P239" s="102"/>
      <c r="Q239" s="102"/>
      <c r="R239" s="102"/>
      <c r="S239" s="101"/>
    </row>
    <row r="240" spans="1:19" ht="86.4" x14ac:dyDescent="0.3">
      <c r="A240" t="s">
        <v>3561</v>
      </c>
      <c r="B240" t="s">
        <v>3733</v>
      </c>
      <c r="C240" s="90" t="s">
        <v>3734</v>
      </c>
      <c r="D240" t="s">
        <v>5562</v>
      </c>
      <c r="E240" s="101" t="s">
        <v>5855</v>
      </c>
      <c r="F240" t="str" cm="1">
        <f t="array" aca="1" ref="F240" ca="1">INDIRECT("'" &amp; A240 &amp; "'!" &amp; B240)</f>
        <v>b10</v>
      </c>
      <c r="G240" t="str" cm="1">
        <f t="array" aca="1" ref="G240" ca="1">INDIRECT("'" &amp; A240 &amp; "'!" &amp; ADDRESS(1, COLUMN(INDIRECT("'" &amp; A240 &amp; "'!" &amp; B240))))</f>
        <v>1969 - 1</v>
      </c>
      <c r="H240" t="str">
        <f ca="1">VLOOKUP($G240, survey_codes_dict!A:C, 2, FALSE)</f>
        <v>1969_1</v>
      </c>
      <c r="I240" s="102">
        <f ca="1">VLOOKUP($G240, survey_codes_dict!A:D, 4, FALSE)</f>
        <v>0</v>
      </c>
      <c r="J240" s="102" t="str">
        <f t="shared" ca="1" si="6"/>
        <v>1969_1__b10</v>
      </c>
      <c r="K240" s="102" t="str">
        <f t="shared" ca="1" si="7"/>
        <v>0__b10</v>
      </c>
      <c r="L240" s="102"/>
      <c r="M240" s="102"/>
      <c r="N240" s="102"/>
      <c r="O240" s="102"/>
      <c r="P240" s="102"/>
      <c r="Q240" s="102"/>
      <c r="R240" s="102"/>
      <c r="S240" s="101"/>
    </row>
    <row r="241" spans="1:19" ht="57.6" x14ac:dyDescent="0.3">
      <c r="A241" t="s">
        <v>3561</v>
      </c>
      <c r="B241" t="s">
        <v>3735</v>
      </c>
      <c r="C241" s="90" t="s">
        <v>3736</v>
      </c>
      <c r="D241" t="s">
        <v>5562</v>
      </c>
      <c r="E241" s="101" t="s">
        <v>5856</v>
      </c>
      <c r="F241" t="str" cm="1">
        <f t="array" aca="1" ref="F241" ca="1">INDIRECT("'" &amp; A241 &amp; "'!" &amp; B241)</f>
        <v>v18</v>
      </c>
      <c r="G241" t="str" cm="1">
        <f t="array" aca="1" ref="G241" ca="1">INDIRECT("'" &amp; A241 &amp; "'!" &amp; ADDRESS(1, COLUMN(INDIRECT("'" &amp; A241 &amp; "'!" &amp; B241))))</f>
        <v>1973 - 1</v>
      </c>
      <c r="H241" t="str">
        <f ca="1">VLOOKUP($G241, survey_codes_dict!A:C, 2, FALSE)</f>
        <v>1973_1</v>
      </c>
      <c r="I241" s="102" t="str">
        <f ca="1">VLOOKUP($G241, survey_codes_dict!A:D, 4, FALSE)</f>
        <v>1969_2</v>
      </c>
      <c r="J241" s="102" t="str">
        <f t="shared" ca="1" si="6"/>
        <v>1973_1__v18</v>
      </c>
      <c r="K241" s="102" t="str">
        <f t="shared" ca="1" si="7"/>
        <v>1969_2__v18</v>
      </c>
      <c r="L241" s="102"/>
      <c r="M241" s="102"/>
      <c r="N241" s="102"/>
      <c r="O241" s="102"/>
      <c r="P241" s="102"/>
      <c r="Q241" s="102"/>
      <c r="R241" s="102"/>
      <c r="S241" s="101"/>
    </row>
    <row r="242" spans="1:19" ht="72" x14ac:dyDescent="0.3">
      <c r="A242" t="s">
        <v>3561</v>
      </c>
      <c r="B242" t="s">
        <v>3737</v>
      </c>
      <c r="C242" s="90" t="s">
        <v>3738</v>
      </c>
      <c r="D242" t="s">
        <v>5562</v>
      </c>
      <c r="E242" s="101" t="s">
        <v>5857</v>
      </c>
      <c r="F242" t="str" cm="1">
        <f t="array" aca="1" ref="F242" ca="1">INDIRECT("'" &amp; A242 &amp; "'!" &amp; B242)</f>
        <v>b22</v>
      </c>
      <c r="G242" t="str" cm="1">
        <f t="array" aca="1" ref="G242" ca="1">INDIRECT("'" &amp; A242 &amp; "'!" &amp; ADDRESS(1, COLUMN(INDIRECT("'" &amp; A242 &amp; "'!" &amp; B242))))</f>
        <v>1969 - 2</v>
      </c>
      <c r="H242" t="str">
        <f ca="1">VLOOKUP($G242, survey_codes_dict!A:C, 2, FALSE)</f>
        <v>1969_2</v>
      </c>
      <c r="I242" s="102" t="str">
        <f ca="1">VLOOKUP($G242, survey_codes_dict!A:D, 4, FALSE)</f>
        <v>1969_1</v>
      </c>
      <c r="J242" s="102" t="str">
        <f t="shared" ca="1" si="6"/>
        <v>1969_2__b22</v>
      </c>
      <c r="K242" s="102" t="str">
        <f t="shared" ca="1" si="7"/>
        <v>1969_1__b22</v>
      </c>
      <c r="L242" s="102"/>
      <c r="M242" s="102"/>
      <c r="N242" s="102"/>
      <c r="O242" s="102"/>
      <c r="P242" s="102"/>
      <c r="Q242" s="102"/>
      <c r="R242" s="102"/>
      <c r="S242" s="101"/>
    </row>
    <row r="243" spans="1:19" ht="72" x14ac:dyDescent="0.3">
      <c r="A243" t="s">
        <v>3561</v>
      </c>
      <c r="B243" t="s">
        <v>3739</v>
      </c>
      <c r="C243" s="90" t="s">
        <v>3738</v>
      </c>
      <c r="D243" t="s">
        <v>5562</v>
      </c>
      <c r="E243" s="101" t="s">
        <v>5857</v>
      </c>
      <c r="F243" t="str" cm="1">
        <f t="array" aca="1" ref="F243" ca="1">INDIRECT("'" &amp; A243 &amp; "'!" &amp; B243)</f>
        <v>a84</v>
      </c>
      <c r="G243" t="str" cm="1">
        <f t="array" aca="1" ref="G243" ca="1">INDIRECT("'" &amp; A243 &amp; "'!" &amp; ADDRESS(1, COLUMN(INDIRECT("'" &amp; A243 &amp; "'!" &amp; B243))))</f>
        <v>1969 - 1</v>
      </c>
      <c r="H243" t="str">
        <f ca="1">VLOOKUP($G243, survey_codes_dict!A:C, 2, FALSE)</f>
        <v>1969_1</v>
      </c>
      <c r="I243" s="102">
        <f ca="1">VLOOKUP($G243, survey_codes_dict!A:D, 4, FALSE)</f>
        <v>0</v>
      </c>
      <c r="J243" s="102" t="str">
        <f t="shared" ca="1" si="6"/>
        <v>1969_1__a84</v>
      </c>
      <c r="K243" s="102" t="str">
        <f t="shared" ca="1" si="7"/>
        <v>0__a84</v>
      </c>
      <c r="L243" s="102"/>
      <c r="M243" s="102"/>
      <c r="N243" s="102"/>
      <c r="O243" s="102"/>
      <c r="P243" s="102"/>
      <c r="Q243" s="102"/>
      <c r="R243" s="102"/>
      <c r="S243" s="101"/>
    </row>
    <row r="244" spans="1:19" ht="187.2" x14ac:dyDescent="0.3">
      <c r="A244" t="s">
        <v>3561</v>
      </c>
      <c r="B244" t="s">
        <v>3740</v>
      </c>
      <c r="C244" s="90" t="s">
        <v>3588</v>
      </c>
      <c r="D244" t="s">
        <v>5562</v>
      </c>
      <c r="E244" s="101" t="s">
        <v>5793</v>
      </c>
      <c r="F244" t="str" cm="1">
        <f t="array" aca="1" ref="F244" ca="1">INDIRECT("'" &amp; A244 &amp; "'!" &amp; B244)</f>
        <v>b27</v>
      </c>
      <c r="G244" t="str" cm="1">
        <f t="array" aca="1" ref="G244" ca="1">INDIRECT("'" &amp; A244 &amp; "'!" &amp; ADDRESS(1, COLUMN(INDIRECT("'" &amp; A244 &amp; "'!" &amp; B244))))</f>
        <v>1969 - 2</v>
      </c>
      <c r="H244" t="str">
        <f ca="1">VLOOKUP($G244, survey_codes_dict!A:C, 2, FALSE)</f>
        <v>1969_2</v>
      </c>
      <c r="I244" s="102" t="str">
        <f ca="1">VLOOKUP($G244, survey_codes_dict!A:D, 4, FALSE)</f>
        <v>1969_1</v>
      </c>
      <c r="J244" s="102" t="str">
        <f t="shared" ca="1" si="6"/>
        <v>1969_2__b27</v>
      </c>
      <c r="K244" s="102" t="str">
        <f t="shared" ca="1" si="7"/>
        <v>1969_1__b27</v>
      </c>
      <c r="L244" s="102"/>
      <c r="M244" s="102"/>
      <c r="N244" s="102"/>
      <c r="O244" s="102"/>
      <c r="P244" s="102"/>
      <c r="Q244" s="102"/>
      <c r="R244" s="102"/>
      <c r="S244" s="101"/>
    </row>
    <row r="245" spans="1:19" ht="57.6" x14ac:dyDescent="0.3">
      <c r="A245" t="s">
        <v>3561</v>
      </c>
      <c r="B245" t="s">
        <v>3741</v>
      </c>
      <c r="C245" s="90" t="s">
        <v>3742</v>
      </c>
      <c r="D245" t="s">
        <v>5562</v>
      </c>
      <c r="E245" s="101" t="s">
        <v>5858</v>
      </c>
      <c r="F245" t="str" cm="1">
        <f t="array" aca="1" ref="F245" ca="1">INDIRECT("'" &amp; A245 &amp; "'!" &amp; B245)</f>
        <v>b70</v>
      </c>
      <c r="G245" t="str" cm="1">
        <f t="array" aca="1" ref="G245" ca="1">INDIRECT("'" &amp; A245 &amp; "'!" &amp; ADDRESS(1, COLUMN(INDIRECT("'" &amp; A245 &amp; "'!" &amp; B245))))</f>
        <v>1969 - 2</v>
      </c>
      <c r="H245" t="str">
        <f ca="1">VLOOKUP($G245, survey_codes_dict!A:C, 2, FALSE)</f>
        <v>1969_2</v>
      </c>
      <c r="I245" s="102" t="str">
        <f ca="1">VLOOKUP($G245, survey_codes_dict!A:D, 4, FALSE)</f>
        <v>1969_1</v>
      </c>
      <c r="J245" s="102" t="str">
        <f t="shared" ca="1" si="6"/>
        <v>1969_2__b70</v>
      </c>
      <c r="K245" s="102" t="str">
        <f t="shared" ca="1" si="7"/>
        <v>1969_1__b70</v>
      </c>
      <c r="L245" s="102"/>
      <c r="M245" s="102"/>
      <c r="N245" s="102"/>
      <c r="O245" s="102"/>
      <c r="P245" s="102"/>
      <c r="Q245" s="102"/>
      <c r="R245" s="102"/>
      <c r="S245" s="101"/>
    </row>
    <row r="246" spans="1:19" ht="57.6" x14ac:dyDescent="0.3">
      <c r="A246" t="s">
        <v>3561</v>
      </c>
      <c r="B246" t="s">
        <v>3743</v>
      </c>
      <c r="C246" s="90" t="s">
        <v>3744</v>
      </c>
      <c r="D246" t="s">
        <v>5562</v>
      </c>
      <c r="E246" s="101" t="s">
        <v>5859</v>
      </c>
      <c r="F246" t="str" cm="1">
        <f t="array" aca="1" ref="F246" ca="1">INDIRECT("'" &amp; A246 &amp; "'!" &amp; B246)</f>
        <v>b71</v>
      </c>
      <c r="G246" t="str" cm="1">
        <f t="array" aca="1" ref="G246" ca="1">INDIRECT("'" &amp; A246 &amp; "'!" &amp; ADDRESS(1, COLUMN(INDIRECT("'" &amp; A246 &amp; "'!" &amp; B246))))</f>
        <v>1969 - 2</v>
      </c>
      <c r="H246" t="str">
        <f ca="1">VLOOKUP($G246, survey_codes_dict!A:C, 2, FALSE)</f>
        <v>1969_2</v>
      </c>
      <c r="I246" s="102" t="str">
        <f ca="1">VLOOKUP($G246, survey_codes_dict!A:D, 4, FALSE)</f>
        <v>1969_1</v>
      </c>
      <c r="J246" s="102" t="str">
        <f t="shared" ca="1" si="6"/>
        <v>1969_2__b71</v>
      </c>
      <c r="K246" s="102" t="str">
        <f t="shared" ca="1" si="7"/>
        <v>1969_1__b71</v>
      </c>
      <c r="L246" s="102"/>
      <c r="M246" s="102"/>
      <c r="N246" s="102"/>
      <c r="O246" s="102"/>
      <c r="P246" s="102"/>
      <c r="Q246" s="102"/>
      <c r="R246" s="102"/>
      <c r="S246" s="101"/>
    </row>
    <row r="247" spans="1:19" ht="72" x14ac:dyDescent="0.3">
      <c r="A247" t="s">
        <v>3561</v>
      </c>
      <c r="B247" t="s">
        <v>3745</v>
      </c>
      <c r="C247" s="90" t="s">
        <v>3746</v>
      </c>
      <c r="D247" t="s">
        <v>5562</v>
      </c>
      <c r="E247" s="101" t="s">
        <v>5860</v>
      </c>
      <c r="F247" t="str" cm="1">
        <f t="array" aca="1" ref="F247" ca="1">INDIRECT("'" &amp; A247 &amp; "'!" &amp; B247)</f>
        <v>b72</v>
      </c>
      <c r="G247" t="str" cm="1">
        <f t="array" aca="1" ref="G247" ca="1">INDIRECT("'" &amp; A247 &amp; "'!" &amp; ADDRESS(1, COLUMN(INDIRECT("'" &amp; A247 &amp; "'!" &amp; B247))))</f>
        <v>1969 - 2</v>
      </c>
      <c r="H247" t="str">
        <f ca="1">VLOOKUP($G247, survey_codes_dict!A:C, 2, FALSE)</f>
        <v>1969_2</v>
      </c>
      <c r="I247" s="102" t="str">
        <f ca="1">VLOOKUP($G247, survey_codes_dict!A:D, 4, FALSE)</f>
        <v>1969_1</v>
      </c>
      <c r="J247" s="102" t="str">
        <f t="shared" ca="1" si="6"/>
        <v>1969_2__b72</v>
      </c>
      <c r="K247" s="102" t="str">
        <f t="shared" ca="1" si="7"/>
        <v>1969_1__b72</v>
      </c>
      <c r="L247" s="102"/>
      <c r="M247" s="102"/>
      <c r="N247" s="102"/>
      <c r="O247" s="102"/>
      <c r="P247" s="102"/>
      <c r="Q247" s="102"/>
      <c r="R247" s="102"/>
      <c r="S247" s="101"/>
    </row>
    <row r="248" spans="1:19" ht="57.6" x14ac:dyDescent="0.3">
      <c r="A248" t="s">
        <v>3561</v>
      </c>
      <c r="B248" t="s">
        <v>3747</v>
      </c>
      <c r="C248" s="90" t="s">
        <v>3742</v>
      </c>
      <c r="D248" t="s">
        <v>5562</v>
      </c>
      <c r="E248" s="101" t="s">
        <v>5858</v>
      </c>
      <c r="F248" t="str" cm="1">
        <f t="array" aca="1" ref="F248" ca="1">INDIRECT("'" &amp; A248 &amp; "'!" &amp; B248)</f>
        <v>b74</v>
      </c>
      <c r="G248" t="str" cm="1">
        <f t="array" aca="1" ref="G248" ca="1">INDIRECT("'" &amp; A248 &amp; "'!" &amp; ADDRESS(1, COLUMN(INDIRECT("'" &amp; A248 &amp; "'!" &amp; B248))))</f>
        <v>1969 - 2</v>
      </c>
      <c r="H248" t="str">
        <f ca="1">VLOOKUP($G248, survey_codes_dict!A:C, 2, FALSE)</f>
        <v>1969_2</v>
      </c>
      <c r="I248" s="102" t="str">
        <f ca="1">VLOOKUP($G248, survey_codes_dict!A:D, 4, FALSE)</f>
        <v>1969_1</v>
      </c>
      <c r="J248" s="102" t="str">
        <f t="shared" ca="1" si="6"/>
        <v>1969_2__b74</v>
      </c>
      <c r="K248" s="102" t="str">
        <f t="shared" ca="1" si="7"/>
        <v>1969_1__b74</v>
      </c>
      <c r="L248" s="102"/>
      <c r="M248" s="102"/>
      <c r="N248" s="102"/>
      <c r="O248" s="102"/>
      <c r="P248" s="102"/>
      <c r="Q248" s="102"/>
      <c r="R248" s="102"/>
      <c r="S248" s="101"/>
    </row>
    <row r="249" spans="1:19" ht="57.6" x14ac:dyDescent="0.3">
      <c r="A249" t="s">
        <v>3561</v>
      </c>
      <c r="B249" t="s">
        <v>3748</v>
      </c>
      <c r="C249" s="90" t="s">
        <v>3744</v>
      </c>
      <c r="D249" t="s">
        <v>5562</v>
      </c>
      <c r="E249" s="101" t="s">
        <v>5859</v>
      </c>
      <c r="F249" t="str" cm="1">
        <f t="array" aca="1" ref="F249" ca="1">INDIRECT("'" &amp; A249 &amp; "'!" &amp; B249)</f>
        <v>b75</v>
      </c>
      <c r="G249" t="str" cm="1">
        <f t="array" aca="1" ref="G249" ca="1">INDIRECT("'" &amp; A249 &amp; "'!" &amp; ADDRESS(1, COLUMN(INDIRECT("'" &amp; A249 &amp; "'!" &amp; B249))))</f>
        <v>1969 - 2</v>
      </c>
      <c r="H249" t="str">
        <f ca="1">VLOOKUP($G249, survey_codes_dict!A:C, 2, FALSE)</f>
        <v>1969_2</v>
      </c>
      <c r="I249" s="102" t="str">
        <f ca="1">VLOOKUP($G249, survey_codes_dict!A:D, 4, FALSE)</f>
        <v>1969_1</v>
      </c>
      <c r="J249" s="102" t="str">
        <f t="shared" ca="1" si="6"/>
        <v>1969_2__b75</v>
      </c>
      <c r="K249" s="102" t="str">
        <f t="shared" ca="1" si="7"/>
        <v>1969_1__b75</v>
      </c>
      <c r="L249" s="102"/>
      <c r="M249" s="102"/>
      <c r="N249" s="102"/>
      <c r="O249" s="102"/>
      <c r="P249" s="102"/>
      <c r="Q249" s="102"/>
      <c r="R249" s="102"/>
      <c r="S249" s="101"/>
    </row>
    <row r="250" spans="1:19" ht="72" x14ac:dyDescent="0.3">
      <c r="A250" t="s">
        <v>3561</v>
      </c>
      <c r="B250" t="s">
        <v>3749</v>
      </c>
      <c r="C250" s="90" t="s">
        <v>3746</v>
      </c>
      <c r="D250" t="s">
        <v>5562</v>
      </c>
      <c r="E250" s="101" t="s">
        <v>5860</v>
      </c>
      <c r="F250" t="str" cm="1">
        <f t="array" aca="1" ref="F250" ca="1">INDIRECT("'" &amp; A250 &amp; "'!" &amp; B250)</f>
        <v>b76</v>
      </c>
      <c r="G250" t="str" cm="1">
        <f t="array" aca="1" ref="G250" ca="1">INDIRECT("'" &amp; A250 &amp; "'!" &amp; ADDRESS(1, COLUMN(INDIRECT("'" &amp; A250 &amp; "'!" &amp; B250))))</f>
        <v>1969 - 2</v>
      </c>
      <c r="H250" t="str">
        <f ca="1">VLOOKUP($G250, survey_codes_dict!A:C, 2, FALSE)</f>
        <v>1969_2</v>
      </c>
      <c r="I250" s="102" t="str">
        <f ca="1">VLOOKUP($G250, survey_codes_dict!A:D, 4, FALSE)</f>
        <v>1969_1</v>
      </c>
      <c r="J250" s="102" t="str">
        <f t="shared" ca="1" si="6"/>
        <v>1969_2__b76</v>
      </c>
      <c r="K250" s="102" t="str">
        <f t="shared" ca="1" si="7"/>
        <v>1969_1__b76</v>
      </c>
      <c r="L250" s="102"/>
      <c r="M250" s="102"/>
      <c r="N250" s="102"/>
      <c r="O250" s="102"/>
      <c r="P250" s="102"/>
      <c r="Q250" s="102"/>
      <c r="R250" s="102"/>
      <c r="S250" s="101"/>
    </row>
    <row r="251" spans="1:19" ht="57.6" x14ac:dyDescent="0.3">
      <c r="A251" t="s">
        <v>3561</v>
      </c>
      <c r="B251" t="s">
        <v>3750</v>
      </c>
      <c r="C251" s="90" t="s">
        <v>3742</v>
      </c>
      <c r="D251" t="s">
        <v>5562</v>
      </c>
      <c r="E251" s="101" t="s">
        <v>5858</v>
      </c>
      <c r="F251" t="str" cm="1">
        <f t="array" aca="1" ref="F251" ca="1">INDIRECT("'" &amp; A251 &amp; "'!" &amp; B251)</f>
        <v>b78</v>
      </c>
      <c r="G251" t="str" cm="1">
        <f t="array" aca="1" ref="G251" ca="1">INDIRECT("'" &amp; A251 &amp; "'!" &amp; ADDRESS(1, COLUMN(INDIRECT("'" &amp; A251 &amp; "'!" &amp; B251))))</f>
        <v>1969 - 2</v>
      </c>
      <c r="H251" t="str">
        <f ca="1">VLOOKUP($G251, survey_codes_dict!A:C, 2, FALSE)</f>
        <v>1969_2</v>
      </c>
      <c r="I251" s="102" t="str">
        <f ca="1">VLOOKUP($G251, survey_codes_dict!A:D, 4, FALSE)</f>
        <v>1969_1</v>
      </c>
      <c r="J251" s="102" t="str">
        <f t="shared" ca="1" si="6"/>
        <v>1969_2__b78</v>
      </c>
      <c r="K251" s="102" t="str">
        <f t="shared" ca="1" si="7"/>
        <v>1969_1__b78</v>
      </c>
      <c r="L251" s="102"/>
      <c r="M251" s="102"/>
      <c r="N251" s="102"/>
      <c r="O251" s="102"/>
      <c r="P251" s="102"/>
      <c r="Q251" s="102"/>
      <c r="R251" s="102"/>
      <c r="S251" s="101"/>
    </row>
    <row r="252" spans="1:19" ht="57.6" x14ac:dyDescent="0.3">
      <c r="A252" t="s">
        <v>3561</v>
      </c>
      <c r="B252" t="s">
        <v>3751</v>
      </c>
      <c r="C252" s="90" t="s">
        <v>3744</v>
      </c>
      <c r="D252" t="s">
        <v>5562</v>
      </c>
      <c r="E252" s="101" t="s">
        <v>5859</v>
      </c>
      <c r="F252" t="str" cm="1">
        <f t="array" aca="1" ref="F252" ca="1">INDIRECT("'" &amp; A252 &amp; "'!" &amp; B252)</f>
        <v>b79</v>
      </c>
      <c r="G252" t="str" cm="1">
        <f t="array" aca="1" ref="G252" ca="1">INDIRECT("'" &amp; A252 &amp; "'!" &amp; ADDRESS(1, COLUMN(INDIRECT("'" &amp; A252 &amp; "'!" &amp; B252))))</f>
        <v>1969 - 2</v>
      </c>
      <c r="H252" t="str">
        <f ca="1">VLOOKUP($G252, survey_codes_dict!A:C, 2, FALSE)</f>
        <v>1969_2</v>
      </c>
      <c r="I252" s="102" t="str">
        <f ca="1">VLOOKUP($G252, survey_codes_dict!A:D, 4, FALSE)</f>
        <v>1969_1</v>
      </c>
      <c r="J252" s="102" t="str">
        <f t="shared" ca="1" si="6"/>
        <v>1969_2__b79</v>
      </c>
      <c r="K252" s="102" t="str">
        <f t="shared" ca="1" si="7"/>
        <v>1969_1__b79</v>
      </c>
      <c r="L252" s="102"/>
      <c r="M252" s="102"/>
      <c r="N252" s="102"/>
      <c r="O252" s="102"/>
      <c r="P252" s="102"/>
      <c r="Q252" s="102"/>
      <c r="R252" s="102"/>
      <c r="S252" s="101"/>
    </row>
    <row r="253" spans="1:19" ht="72" x14ac:dyDescent="0.3">
      <c r="A253" t="s">
        <v>3561</v>
      </c>
      <c r="B253" t="s">
        <v>3752</v>
      </c>
      <c r="C253" s="90" t="s">
        <v>3746</v>
      </c>
      <c r="D253" t="s">
        <v>5562</v>
      </c>
      <c r="E253" s="101" t="s">
        <v>5860</v>
      </c>
      <c r="F253" t="str" cm="1">
        <f t="array" aca="1" ref="F253" ca="1">INDIRECT("'" &amp; A253 &amp; "'!" &amp; B253)</f>
        <v>b80</v>
      </c>
      <c r="G253" t="str" cm="1">
        <f t="array" aca="1" ref="G253" ca="1">INDIRECT("'" &amp; A253 &amp; "'!" &amp; ADDRESS(1, COLUMN(INDIRECT("'" &amp; A253 &amp; "'!" &amp; B253))))</f>
        <v>1969 - 2</v>
      </c>
      <c r="H253" t="str">
        <f ca="1">VLOOKUP($G253, survey_codes_dict!A:C, 2, FALSE)</f>
        <v>1969_2</v>
      </c>
      <c r="I253" s="102" t="str">
        <f ca="1">VLOOKUP($G253, survey_codes_dict!A:D, 4, FALSE)</f>
        <v>1969_1</v>
      </c>
      <c r="J253" s="102" t="str">
        <f t="shared" ca="1" si="6"/>
        <v>1969_2__b80</v>
      </c>
      <c r="K253" s="102" t="str">
        <f t="shared" ca="1" si="7"/>
        <v>1969_1__b80</v>
      </c>
      <c r="L253" s="102"/>
      <c r="M253" s="102"/>
      <c r="N253" s="102"/>
      <c r="O253" s="102"/>
      <c r="P253" s="102"/>
      <c r="Q253" s="102"/>
      <c r="R253" s="102"/>
      <c r="S253" s="101"/>
    </row>
    <row r="254" spans="1:19" ht="158.4" x14ac:dyDescent="0.3">
      <c r="A254" t="s">
        <v>3561</v>
      </c>
      <c r="B254" t="s">
        <v>3753</v>
      </c>
      <c r="C254" s="90" t="s">
        <v>3754</v>
      </c>
      <c r="D254" t="s">
        <v>5562</v>
      </c>
      <c r="E254" s="101" t="s">
        <v>5861</v>
      </c>
      <c r="F254" t="str" cm="1">
        <f t="array" aca="1" ref="F254" ca="1">INDIRECT("'" &amp; A254 &amp; "'!" &amp; B254)</f>
        <v>c8</v>
      </c>
      <c r="G254" t="str" cm="1">
        <f t="array" aca="1" ref="G254" ca="1">INDIRECT("'" &amp; A254 &amp; "'!" &amp; ADDRESS(1, COLUMN(INDIRECT("'" &amp; A254 &amp; "'!" &amp; B254))))</f>
        <v>1969 - 2</v>
      </c>
      <c r="H254" t="str">
        <f ca="1">VLOOKUP($G254, survey_codes_dict!A:C, 2, FALSE)</f>
        <v>1969_2</v>
      </c>
      <c r="I254" s="102" t="str">
        <f ca="1">VLOOKUP($G254, survey_codes_dict!A:D, 4, FALSE)</f>
        <v>1969_1</v>
      </c>
      <c r="J254" s="102" t="str">
        <f t="shared" ca="1" si="6"/>
        <v>1969_2__c8</v>
      </c>
      <c r="K254" s="102" t="str">
        <f t="shared" ca="1" si="7"/>
        <v>1969_1__c8</v>
      </c>
      <c r="L254" s="102"/>
      <c r="M254" s="102"/>
      <c r="N254" s="102"/>
      <c r="O254" s="102"/>
      <c r="P254" s="102"/>
      <c r="Q254" s="102"/>
      <c r="R254" s="102"/>
      <c r="S254" s="101"/>
    </row>
    <row r="255" spans="1:19" ht="144" x14ac:dyDescent="0.3">
      <c r="A255" t="s">
        <v>3561</v>
      </c>
      <c r="B255" t="s">
        <v>3755</v>
      </c>
      <c r="C255" s="90" t="s">
        <v>3352</v>
      </c>
      <c r="D255" t="s">
        <v>5562</v>
      </c>
      <c r="E255" s="101" t="s">
        <v>5694</v>
      </c>
      <c r="F255" t="str" cm="1">
        <f t="array" aca="1" ref="F255" ca="1">INDIRECT("'" &amp; A255 &amp; "'!" &amp; B255)</f>
        <v>c21</v>
      </c>
      <c r="G255" t="str" cm="1">
        <f t="array" aca="1" ref="G255" ca="1">INDIRECT("'" &amp; A255 &amp; "'!" &amp; ADDRESS(1, COLUMN(INDIRECT("'" &amp; A255 &amp; "'!" &amp; B255))))</f>
        <v>1969 - 2</v>
      </c>
      <c r="H255" t="str">
        <f ca="1">VLOOKUP($G255, survey_codes_dict!A:C, 2, FALSE)</f>
        <v>1969_2</v>
      </c>
      <c r="I255" s="102" t="str">
        <f ca="1">VLOOKUP($G255, survey_codes_dict!A:D, 4, FALSE)</f>
        <v>1969_1</v>
      </c>
      <c r="J255" s="102" t="str">
        <f t="shared" ca="1" si="6"/>
        <v>1969_2__c21</v>
      </c>
      <c r="K255" s="102" t="str">
        <f t="shared" ca="1" si="7"/>
        <v>1969_1__c21</v>
      </c>
      <c r="L255" s="102"/>
      <c r="M255" s="102"/>
      <c r="N255" s="102"/>
      <c r="O255" s="102"/>
      <c r="P255" s="102"/>
      <c r="Q255" s="102"/>
      <c r="R255" s="102"/>
      <c r="S255" s="101"/>
    </row>
    <row r="256" spans="1:19" ht="144" x14ac:dyDescent="0.3">
      <c r="A256" t="s">
        <v>3561</v>
      </c>
      <c r="B256" t="s">
        <v>3756</v>
      </c>
      <c r="C256" s="90" t="s">
        <v>3482</v>
      </c>
      <c r="D256" t="s">
        <v>5562</v>
      </c>
      <c r="E256" s="101" t="s">
        <v>5749</v>
      </c>
      <c r="F256" t="str" cm="1">
        <f t="array" aca="1" ref="F256" ca="1">INDIRECT("'" &amp; A256 &amp; "'!" &amp; B256)</f>
        <v>c22</v>
      </c>
      <c r="G256" t="str" cm="1">
        <f t="array" aca="1" ref="G256" ca="1">INDIRECT("'" &amp; A256 &amp; "'!" &amp; ADDRESS(1, COLUMN(INDIRECT("'" &amp; A256 &amp; "'!" &amp; B256))))</f>
        <v>1969 - 2</v>
      </c>
      <c r="H256" t="str">
        <f ca="1">VLOOKUP($G256, survey_codes_dict!A:C, 2, FALSE)</f>
        <v>1969_2</v>
      </c>
      <c r="I256" s="102" t="str">
        <f ca="1">VLOOKUP($G256, survey_codes_dict!A:D, 4, FALSE)</f>
        <v>1969_1</v>
      </c>
      <c r="J256" s="102" t="str">
        <f t="shared" ca="1" si="6"/>
        <v>1969_2__c22</v>
      </c>
      <c r="K256" s="102" t="str">
        <f t="shared" ca="1" si="7"/>
        <v>1969_1__c22</v>
      </c>
      <c r="L256" s="102"/>
      <c r="M256" s="102"/>
      <c r="N256" s="102"/>
      <c r="O256" s="102"/>
      <c r="P256" s="102"/>
      <c r="Q256" s="102"/>
      <c r="R256" s="102"/>
      <c r="S256" s="101"/>
    </row>
    <row r="257" spans="1:19" ht="172.8" x14ac:dyDescent="0.3">
      <c r="A257" t="s">
        <v>3561</v>
      </c>
      <c r="B257" t="s">
        <v>3757</v>
      </c>
      <c r="C257" s="90" t="s">
        <v>3758</v>
      </c>
      <c r="D257" t="s">
        <v>5562</v>
      </c>
      <c r="E257" s="101" t="s">
        <v>5862</v>
      </c>
      <c r="F257" t="str" cm="1">
        <f t="array" aca="1" ref="F257" ca="1">INDIRECT("'" &amp; A257 &amp; "'!" &amp; B257)</f>
        <v>c23</v>
      </c>
      <c r="G257" t="str" cm="1">
        <f t="array" aca="1" ref="G257" ca="1">INDIRECT("'" &amp; A257 &amp; "'!" &amp; ADDRESS(1, COLUMN(INDIRECT("'" &amp; A257 &amp; "'!" &amp; B257))))</f>
        <v>1969 - 2</v>
      </c>
      <c r="H257" t="str">
        <f ca="1">VLOOKUP($G257, survey_codes_dict!A:C, 2, FALSE)</f>
        <v>1969_2</v>
      </c>
      <c r="I257" s="102" t="str">
        <f ca="1">VLOOKUP($G257, survey_codes_dict!A:D, 4, FALSE)</f>
        <v>1969_1</v>
      </c>
      <c r="J257" s="102" t="str">
        <f t="shared" ca="1" si="6"/>
        <v>1969_2__c23</v>
      </c>
      <c r="K257" s="102" t="str">
        <f t="shared" ca="1" si="7"/>
        <v>1969_1__c23</v>
      </c>
      <c r="L257" s="102"/>
      <c r="M257" s="102"/>
      <c r="N257" s="102"/>
      <c r="O257" s="102"/>
      <c r="P257" s="102"/>
      <c r="Q257" s="102"/>
      <c r="R257" s="102"/>
      <c r="S257" s="101"/>
    </row>
    <row r="258" spans="1:19" ht="144" x14ac:dyDescent="0.3">
      <c r="A258" t="s">
        <v>3561</v>
      </c>
      <c r="B258" t="s">
        <v>3759</v>
      </c>
      <c r="C258" s="90" t="s">
        <v>3352</v>
      </c>
      <c r="D258" t="s">
        <v>5562</v>
      </c>
      <c r="E258" s="101" t="s">
        <v>5694</v>
      </c>
      <c r="F258" t="str" cm="1">
        <f t="array" aca="1" ref="F258" ca="1">INDIRECT("'" &amp; A258 &amp; "'!" &amp; B258)</f>
        <v>c25</v>
      </c>
      <c r="G258" t="str" cm="1">
        <f t="array" aca="1" ref="G258" ca="1">INDIRECT("'" &amp; A258 &amp; "'!" &amp; ADDRESS(1, COLUMN(INDIRECT("'" &amp; A258 &amp; "'!" &amp; B258))))</f>
        <v>1969 - 2</v>
      </c>
      <c r="H258" t="str">
        <f ca="1">VLOOKUP($G258, survey_codes_dict!A:C, 2, FALSE)</f>
        <v>1969_2</v>
      </c>
      <c r="I258" s="102" t="str">
        <f ca="1">VLOOKUP($G258, survey_codes_dict!A:D, 4, FALSE)</f>
        <v>1969_1</v>
      </c>
      <c r="J258" s="102" t="str">
        <f t="shared" ref="J258:J321" ca="1" si="8">_xlfn.CONCAT($H258, "__", F258)</f>
        <v>1969_2__c25</v>
      </c>
      <c r="K258" s="102" t="str">
        <f t="shared" ref="K258:K321" ca="1" si="9">_xlfn.CONCAT($I258, "__", F258)</f>
        <v>1969_1__c25</v>
      </c>
      <c r="L258" s="102"/>
      <c r="M258" s="102"/>
      <c r="N258" s="102"/>
      <c r="O258" s="102"/>
      <c r="P258" s="102"/>
      <c r="Q258" s="102"/>
      <c r="R258" s="102"/>
      <c r="S258" s="101"/>
    </row>
    <row r="259" spans="1:19" ht="144" x14ac:dyDescent="0.3">
      <c r="A259" t="s">
        <v>3561</v>
      </c>
      <c r="B259" t="s">
        <v>3760</v>
      </c>
      <c r="C259" s="90" t="s">
        <v>3482</v>
      </c>
      <c r="D259" t="s">
        <v>5562</v>
      </c>
      <c r="E259" s="101" t="s">
        <v>5749</v>
      </c>
      <c r="F259" t="str" cm="1">
        <f t="array" aca="1" ref="F259" ca="1">INDIRECT("'" &amp; A259 &amp; "'!" &amp; B259)</f>
        <v>c26</v>
      </c>
      <c r="G259" t="str" cm="1">
        <f t="array" aca="1" ref="G259" ca="1">INDIRECT("'" &amp; A259 &amp; "'!" &amp; ADDRESS(1, COLUMN(INDIRECT("'" &amp; A259 &amp; "'!" &amp; B259))))</f>
        <v>1969 - 2</v>
      </c>
      <c r="H259" t="str">
        <f ca="1">VLOOKUP($G259, survey_codes_dict!A:C, 2, FALSE)</f>
        <v>1969_2</v>
      </c>
      <c r="I259" s="102" t="str">
        <f ca="1">VLOOKUP($G259, survey_codes_dict!A:D, 4, FALSE)</f>
        <v>1969_1</v>
      </c>
      <c r="J259" s="102" t="str">
        <f t="shared" ca="1" si="8"/>
        <v>1969_2__c26</v>
      </c>
      <c r="K259" s="102" t="str">
        <f t="shared" ca="1" si="9"/>
        <v>1969_1__c26</v>
      </c>
      <c r="L259" s="102"/>
      <c r="M259" s="102"/>
      <c r="N259" s="102"/>
      <c r="O259" s="102"/>
      <c r="P259" s="102"/>
      <c r="Q259" s="102"/>
      <c r="R259" s="102"/>
      <c r="S259" s="101"/>
    </row>
    <row r="260" spans="1:19" ht="158.4" x14ac:dyDescent="0.3">
      <c r="A260" t="s">
        <v>3561</v>
      </c>
      <c r="B260" t="s">
        <v>3761</v>
      </c>
      <c r="C260" s="90" t="s">
        <v>3762</v>
      </c>
      <c r="D260" t="s">
        <v>5562</v>
      </c>
      <c r="E260" s="101" t="s">
        <v>5863</v>
      </c>
      <c r="F260" t="str" cm="1">
        <f t="array" aca="1" ref="F260" ca="1">INDIRECT("'" &amp; A260 &amp; "'!" &amp; B260)</f>
        <v>c27</v>
      </c>
      <c r="G260" t="str" cm="1">
        <f t="array" aca="1" ref="G260" ca="1">INDIRECT("'" &amp; A260 &amp; "'!" &amp; ADDRESS(1, COLUMN(INDIRECT("'" &amp; A260 &amp; "'!" &amp; B260))))</f>
        <v>1969 - 2</v>
      </c>
      <c r="H260" t="str">
        <f ca="1">VLOOKUP($G260, survey_codes_dict!A:C, 2, FALSE)</f>
        <v>1969_2</v>
      </c>
      <c r="I260" s="102" t="str">
        <f ca="1">VLOOKUP($G260, survey_codes_dict!A:D, 4, FALSE)</f>
        <v>1969_1</v>
      </c>
      <c r="J260" s="102" t="str">
        <f t="shared" ca="1" si="8"/>
        <v>1969_2__c27</v>
      </c>
      <c r="K260" s="102" t="str">
        <f t="shared" ca="1" si="9"/>
        <v>1969_1__c27</v>
      </c>
      <c r="L260" s="102"/>
      <c r="M260" s="102"/>
      <c r="N260" s="102"/>
      <c r="O260" s="102"/>
      <c r="P260" s="102"/>
      <c r="Q260" s="102"/>
      <c r="R260" s="102"/>
      <c r="S260" s="101"/>
    </row>
    <row r="261" spans="1:19" ht="72" x14ac:dyDescent="0.3">
      <c r="A261" t="s">
        <v>3561</v>
      </c>
      <c r="B261" t="s">
        <v>3763</v>
      </c>
      <c r="C261" s="90" t="s">
        <v>3712</v>
      </c>
      <c r="D261" t="s">
        <v>5562</v>
      </c>
      <c r="E261" s="101" t="s">
        <v>5848</v>
      </c>
      <c r="F261" t="str" cm="1">
        <f t="array" aca="1" ref="F261" ca="1">INDIRECT("'" &amp; A261 &amp; "'!" &amp; B261)</f>
        <v>a79</v>
      </c>
      <c r="G261" t="str" cm="1">
        <f t="array" aca="1" ref="G261" ca="1">INDIRECT("'" &amp; A261 &amp; "'!" &amp; ADDRESS(1, COLUMN(INDIRECT("'" &amp; A261 &amp; "'!" &amp; B261))))</f>
        <v>1969 - 1</v>
      </c>
      <c r="H261" t="str">
        <f ca="1">VLOOKUP($G261, survey_codes_dict!A:C, 2, FALSE)</f>
        <v>1969_1</v>
      </c>
      <c r="I261" s="102">
        <f ca="1">VLOOKUP($G261, survey_codes_dict!A:D, 4, FALSE)</f>
        <v>0</v>
      </c>
      <c r="J261" s="102" t="str">
        <f t="shared" ca="1" si="8"/>
        <v>1969_1__a79</v>
      </c>
      <c r="K261" s="102" t="str">
        <f t="shared" ca="1" si="9"/>
        <v>0__a79</v>
      </c>
      <c r="L261" s="102"/>
      <c r="M261" s="102"/>
      <c r="N261" s="102"/>
      <c r="O261" s="102"/>
      <c r="P261" s="102"/>
      <c r="Q261" s="102"/>
      <c r="R261" s="102"/>
      <c r="S261" s="101"/>
    </row>
    <row r="262" spans="1:19" ht="72" x14ac:dyDescent="0.3">
      <c r="A262" t="s">
        <v>3561</v>
      </c>
      <c r="B262" t="s">
        <v>3764</v>
      </c>
      <c r="C262" s="90" t="s">
        <v>3712</v>
      </c>
      <c r="D262" t="s">
        <v>5562</v>
      </c>
      <c r="E262" s="101" t="s">
        <v>5848</v>
      </c>
      <c r="F262" t="str" cm="1">
        <f t="array" aca="1" ref="F262" ca="1">INDIRECT("'" &amp; A262 &amp; "'!" &amp; B262)</f>
        <v>a81</v>
      </c>
      <c r="G262" t="str" cm="1">
        <f t="array" aca="1" ref="G262" ca="1">INDIRECT("'" &amp; A262 &amp; "'!" &amp; ADDRESS(1, COLUMN(INDIRECT("'" &amp; A262 &amp; "'!" &amp; B262))))</f>
        <v>1969 - 1</v>
      </c>
      <c r="H262" t="str">
        <f ca="1">VLOOKUP($G262, survey_codes_dict!A:C, 2, FALSE)</f>
        <v>1969_1</v>
      </c>
      <c r="I262" s="102">
        <f ca="1">VLOOKUP($G262, survey_codes_dict!A:D, 4, FALSE)</f>
        <v>0</v>
      </c>
      <c r="J262" s="102" t="str">
        <f t="shared" ca="1" si="8"/>
        <v>1969_1__a81</v>
      </c>
      <c r="K262" s="102" t="str">
        <f t="shared" ca="1" si="9"/>
        <v>0__a81</v>
      </c>
      <c r="L262" s="102"/>
      <c r="M262" s="102"/>
      <c r="N262" s="102"/>
      <c r="O262" s="102"/>
      <c r="P262" s="102"/>
      <c r="Q262" s="102"/>
      <c r="R262" s="102"/>
      <c r="S262" s="101"/>
    </row>
    <row r="263" spans="1:19" ht="86.4" x14ac:dyDescent="0.3">
      <c r="A263" t="s">
        <v>3561</v>
      </c>
      <c r="B263" t="s">
        <v>3765</v>
      </c>
      <c r="C263" s="90" t="s">
        <v>3766</v>
      </c>
      <c r="D263" t="s">
        <v>5562</v>
      </c>
      <c r="E263" s="101" t="s">
        <v>5864</v>
      </c>
      <c r="F263" t="str" cm="1">
        <f t="array" aca="1" ref="F263" ca="1">INDIRECT("'" &amp; A263 &amp; "'!" &amp; B263)</f>
        <v>b3</v>
      </c>
      <c r="G263" t="str" cm="1">
        <f t="array" aca="1" ref="G263" ca="1">INDIRECT("'" &amp; A263 &amp; "'!" &amp; ADDRESS(1, COLUMN(INDIRECT("'" &amp; A263 &amp; "'!" &amp; B263))))</f>
        <v>1969 - 1</v>
      </c>
      <c r="H263" t="str">
        <f ca="1">VLOOKUP($G263, survey_codes_dict!A:C, 2, FALSE)</f>
        <v>1969_1</v>
      </c>
      <c r="I263" s="102">
        <f ca="1">VLOOKUP($G263, survey_codes_dict!A:D, 4, FALSE)</f>
        <v>0</v>
      </c>
      <c r="J263" s="102" t="str">
        <f t="shared" ca="1" si="8"/>
        <v>1969_1__b3</v>
      </c>
      <c r="K263" s="102" t="str">
        <f t="shared" ca="1" si="9"/>
        <v>0__b3</v>
      </c>
      <c r="L263" s="102"/>
      <c r="M263" s="102"/>
      <c r="N263" s="102"/>
      <c r="O263" s="102"/>
      <c r="P263" s="102"/>
      <c r="Q263" s="102"/>
      <c r="R263" s="102"/>
      <c r="S263" s="101"/>
    </row>
    <row r="264" spans="1:19" ht="72" x14ac:dyDescent="0.3">
      <c r="A264" t="s">
        <v>3561</v>
      </c>
      <c r="B264" t="s">
        <v>3767</v>
      </c>
      <c r="C264" s="90" t="s">
        <v>3768</v>
      </c>
      <c r="D264" t="s">
        <v>5562</v>
      </c>
      <c r="E264" s="101" t="s">
        <v>5865</v>
      </c>
      <c r="F264" t="str" cm="1">
        <f t="array" aca="1" ref="F264" ca="1">INDIRECT("'" &amp; A264 &amp; "'!" &amp; B264)</f>
        <v>v603</v>
      </c>
      <c r="G264" cm="1">
        <f t="array" aca="1" ref="G264" ca="1">INDIRECT("'" &amp; A264 &amp; "'!" &amp; ADDRESS(1, COLUMN(INDIRECT("'" &amp; A264 &amp; "'!" &amp; B264))))</f>
        <v>2021</v>
      </c>
      <c r="H264" t="e">
        <f ca="1">VLOOKUP($G264, survey_codes_dict!A:C, 2, FALSE)</f>
        <v>#N/A</v>
      </c>
      <c r="I264" s="102" t="e">
        <f ca="1">VLOOKUP($G264, survey_codes_dict!A:D, 4, FALSE)</f>
        <v>#N/A</v>
      </c>
      <c r="J264" s="102" t="e">
        <f t="shared" ca="1" si="8"/>
        <v>#N/A</v>
      </c>
      <c r="K264" s="102" t="e">
        <f t="shared" ca="1" si="9"/>
        <v>#N/A</v>
      </c>
      <c r="L264" s="102"/>
      <c r="M264" s="102"/>
      <c r="N264" s="102"/>
      <c r="O264" s="102"/>
      <c r="P264" s="102"/>
      <c r="Q264" s="102"/>
      <c r="R264" s="102"/>
      <c r="S264" s="102"/>
    </row>
    <row r="265" spans="1:19" ht="72" x14ac:dyDescent="0.3">
      <c r="A265" t="s">
        <v>3769</v>
      </c>
      <c r="B265" t="s">
        <v>3562</v>
      </c>
      <c r="C265" s="90" t="s">
        <v>3636</v>
      </c>
      <c r="D265" t="s">
        <v>5562</v>
      </c>
      <c r="E265" s="101" t="s">
        <v>5814</v>
      </c>
      <c r="F265" t="str" cm="1">
        <f t="array" aca="1" ref="F265" ca="1">INDIRECT("'" &amp; A265 &amp; "'!" &amp; B265)</f>
        <v>v46</v>
      </c>
      <c r="G265" cm="1">
        <f t="array" aca="1" ref="G265" ca="1">INDIRECT("'" &amp; A265 &amp; "'!" &amp; ADDRESS(1, COLUMN(INDIRECT("'" &amp; A265 &amp; "'!" &amp; B265))))</f>
        <v>2020</v>
      </c>
      <c r="H265" t="e">
        <f ca="1">VLOOKUP($G265, survey_codes_dict!A:C, 2, FALSE)</f>
        <v>#N/A</v>
      </c>
      <c r="I265" s="102" t="e">
        <f ca="1">VLOOKUP($G265, survey_codes_dict!A:D, 4, FALSE)</f>
        <v>#N/A</v>
      </c>
      <c r="J265" s="102" t="e">
        <f t="shared" ca="1" si="8"/>
        <v>#N/A</v>
      </c>
      <c r="K265" s="102" t="e">
        <f t="shared" ca="1" si="9"/>
        <v>#N/A</v>
      </c>
      <c r="L265" s="102"/>
      <c r="M265" s="102"/>
      <c r="N265" s="102"/>
      <c r="O265" s="102"/>
      <c r="P265" s="102"/>
      <c r="Q265" s="102"/>
      <c r="R265" s="102"/>
      <c r="S265" s="101"/>
    </row>
    <row r="266" spans="1:19" ht="72" x14ac:dyDescent="0.3">
      <c r="A266" t="s">
        <v>3769</v>
      </c>
      <c r="B266" t="s">
        <v>3564</v>
      </c>
      <c r="C266" s="90" t="s">
        <v>3770</v>
      </c>
      <c r="D266" t="s">
        <v>5562</v>
      </c>
      <c r="E266" s="101" t="s">
        <v>5866</v>
      </c>
      <c r="F266" t="str" cm="1">
        <f t="array" aca="1" ref="F266" ca="1">INDIRECT("'" &amp; A266 &amp; "'!" &amp; B266)</f>
        <v>a74</v>
      </c>
      <c r="G266" cm="1">
        <f t="array" aca="1" ref="G266" ca="1">INDIRECT("'" &amp; A266 &amp; "'!" &amp; ADDRESS(1, COLUMN(INDIRECT("'" &amp; A266 &amp; "'!" &amp; B266))))</f>
        <v>2001</v>
      </c>
      <c r="H266" t="str">
        <f ca="1">VLOOKUP($G266, survey_codes_dict!A:C, 2, FALSE)</f>
        <v>2001</v>
      </c>
      <c r="I266" s="102" t="str">
        <f ca="1">VLOOKUP($G266, survey_codes_dict!A:D, 4, FALSE)</f>
        <v>1999_1</v>
      </c>
      <c r="J266" s="102" t="str">
        <f t="shared" ca="1" si="8"/>
        <v>2001__a74</v>
      </c>
      <c r="K266" s="102" t="str">
        <f t="shared" ca="1" si="9"/>
        <v>1999_1__a74</v>
      </c>
      <c r="L266" s="102"/>
      <c r="M266" s="102"/>
      <c r="N266" s="102"/>
      <c r="O266" s="102"/>
      <c r="P266" s="102"/>
      <c r="Q266" s="102"/>
      <c r="R266" s="102"/>
      <c r="S266" s="101"/>
    </row>
    <row r="267" spans="1:19" ht="72" x14ac:dyDescent="0.3">
      <c r="A267" t="s">
        <v>3769</v>
      </c>
      <c r="B267" t="s">
        <v>3566</v>
      </c>
      <c r="C267" s="90" t="s">
        <v>3636</v>
      </c>
      <c r="D267" t="s">
        <v>5562</v>
      </c>
      <c r="E267" s="101" t="s">
        <v>5814</v>
      </c>
      <c r="F267" t="str" cm="1">
        <f t="array" aca="1" ref="F267" ca="1">INDIRECT("'" &amp; A267 &amp; "'!" &amp; B267)</f>
        <v>i57</v>
      </c>
      <c r="G267" cm="1">
        <f t="array" aca="1" ref="G267" ca="1">INDIRECT("'" &amp; A267 &amp; "'!" &amp; ADDRESS(1, COLUMN(INDIRECT("'" &amp; A267 &amp; "'!" &amp; B267))))</f>
        <v>1999</v>
      </c>
      <c r="H267" t="str">
        <f ca="1">VLOOKUP($G267, survey_codes_dict!A:C, 2, FALSE)</f>
        <v>1999_1</v>
      </c>
      <c r="I267" s="102" t="str">
        <f ca="1">VLOOKUP($G267, survey_codes_dict!A:D, 4, FALSE)</f>
        <v>1996_Jews</v>
      </c>
      <c r="J267" s="102" t="str">
        <f t="shared" ca="1" si="8"/>
        <v>1999_1__i57</v>
      </c>
      <c r="K267" s="102" t="str">
        <f t="shared" ca="1" si="9"/>
        <v>1996_Jews__i57</v>
      </c>
      <c r="L267" s="102"/>
      <c r="M267" s="102"/>
      <c r="N267" s="102"/>
      <c r="O267" s="102"/>
      <c r="P267" s="102"/>
      <c r="Q267" s="102"/>
      <c r="R267" s="102"/>
      <c r="S267" s="101"/>
    </row>
    <row r="268" spans="1:19" ht="43.2" x14ac:dyDescent="0.3">
      <c r="A268" t="s">
        <v>3769</v>
      </c>
      <c r="B268" t="s">
        <v>3771</v>
      </c>
      <c r="C268" s="90" t="s">
        <v>3772</v>
      </c>
      <c r="D268" t="s">
        <v>5562</v>
      </c>
      <c r="E268" s="101" t="s">
        <v>5867</v>
      </c>
      <c r="F268" t="str" cm="1">
        <f t="array" aca="1" ref="F268" ca="1">INDIRECT("'" &amp; A268 &amp; "'!" &amp; B268)</f>
        <v>a16</v>
      </c>
      <c r="G268" t="str" cm="1">
        <f t="array" aca="1" ref="G268" ca="1">INDIRECT("'" &amp; A268 &amp; "'!" &amp; ADDRESS(1, COLUMN(INDIRECT("'" &amp; A268 &amp; "'!" &amp; B268))))</f>
        <v>1987*</v>
      </c>
      <c r="H268" t="e">
        <f ca="1">VLOOKUP($G268, survey_codes_dict!A:C, 2, FALSE)</f>
        <v>#N/A</v>
      </c>
      <c r="I268" s="102" t="e">
        <f ca="1">VLOOKUP($G268, survey_codes_dict!A:D, 4, FALSE)</f>
        <v>#N/A</v>
      </c>
      <c r="J268" s="102" t="e">
        <f t="shared" ca="1" si="8"/>
        <v>#N/A</v>
      </c>
      <c r="K268" s="102" t="e">
        <f t="shared" ca="1" si="9"/>
        <v>#N/A</v>
      </c>
      <c r="L268" s="102"/>
      <c r="M268" s="102"/>
      <c r="N268" s="102"/>
      <c r="O268" s="102"/>
      <c r="P268" s="102"/>
      <c r="Q268" s="102"/>
      <c r="R268" s="102"/>
      <c r="S268" s="101"/>
    </row>
    <row r="269" spans="1:19" ht="72" x14ac:dyDescent="0.3">
      <c r="A269" t="s">
        <v>3769</v>
      </c>
      <c r="B269" t="s">
        <v>3773</v>
      </c>
      <c r="C269" s="90" t="s">
        <v>3712</v>
      </c>
      <c r="D269" t="s">
        <v>5562</v>
      </c>
      <c r="E269" s="101" t="s">
        <v>5848</v>
      </c>
      <c r="F269" t="str" cm="1">
        <f t="array" aca="1" ref="F269" ca="1">INDIRECT("'" &amp; A269 &amp; "'!" &amp; B269)</f>
        <v>v32</v>
      </c>
      <c r="G269" t="str" cm="1">
        <f t="array" aca="1" ref="G269" ca="1">INDIRECT("'" &amp; A269 &amp; "'!" &amp; ADDRESS(1, COLUMN(INDIRECT("'" &amp; A269 &amp; "'!" &amp; B269))))</f>
        <v>1977 - 1</v>
      </c>
      <c r="H269" t="str">
        <f ca="1">VLOOKUP($G269, survey_codes_dict!A:C, 2, FALSE)</f>
        <v>1977_1</v>
      </c>
      <c r="I269" s="102" t="str">
        <f ca="1">VLOOKUP($G269, survey_codes_dict!A:D, 4, FALSE)</f>
        <v>1973_5</v>
      </c>
      <c r="J269" s="102" t="str">
        <f t="shared" ca="1" si="8"/>
        <v>1977_1__v32</v>
      </c>
      <c r="K269" s="102" t="str">
        <f t="shared" ca="1" si="9"/>
        <v>1973_5__v32</v>
      </c>
      <c r="L269" s="102"/>
      <c r="M269" s="102"/>
      <c r="N269" s="102"/>
      <c r="O269" s="102"/>
      <c r="P269" s="102"/>
      <c r="Q269" s="102"/>
      <c r="R269" s="102"/>
      <c r="S269" s="101"/>
    </row>
    <row r="270" spans="1:19" ht="72" x14ac:dyDescent="0.3">
      <c r="A270" t="s">
        <v>3769</v>
      </c>
      <c r="B270" t="s">
        <v>3774</v>
      </c>
      <c r="C270" s="90" t="s">
        <v>3636</v>
      </c>
      <c r="D270" t="s">
        <v>5562</v>
      </c>
      <c r="E270" s="101" t="s">
        <v>5814</v>
      </c>
      <c r="F270" t="str" cm="1">
        <f t="array" aca="1" ref="F270" ca="1">INDIRECT("'" &amp; A270 &amp; "'!" &amp; B270)</f>
        <v>v45</v>
      </c>
      <c r="G270" cm="1">
        <f t="array" aca="1" ref="G270" ca="1">INDIRECT("'" &amp; A270 &amp; "'!" &amp; ADDRESS(1, COLUMN(INDIRECT("'" &amp; A270 &amp; "'!" &amp; B270))))</f>
        <v>2020</v>
      </c>
      <c r="H270" t="e">
        <f ca="1">VLOOKUP($G270, survey_codes_dict!A:C, 2, FALSE)</f>
        <v>#N/A</v>
      </c>
      <c r="I270" s="102" t="e">
        <f ca="1">VLOOKUP($G270, survey_codes_dict!A:D, 4, FALSE)</f>
        <v>#N/A</v>
      </c>
      <c r="J270" s="102" t="e">
        <f t="shared" ca="1" si="8"/>
        <v>#N/A</v>
      </c>
      <c r="K270" s="102" t="e">
        <f t="shared" ca="1" si="9"/>
        <v>#N/A</v>
      </c>
      <c r="L270" s="102"/>
      <c r="M270" s="102"/>
      <c r="N270" s="102"/>
      <c r="O270" s="102"/>
      <c r="P270" s="102"/>
      <c r="Q270" s="102"/>
      <c r="R270" s="102"/>
      <c r="S270" s="101"/>
    </row>
    <row r="271" spans="1:19" ht="72" x14ac:dyDescent="0.3">
      <c r="A271" t="s">
        <v>3769</v>
      </c>
      <c r="B271" t="s">
        <v>3312</v>
      </c>
      <c r="C271" s="90" t="s">
        <v>3770</v>
      </c>
      <c r="D271" t="s">
        <v>5562</v>
      </c>
      <c r="E271" s="101" t="s">
        <v>5866</v>
      </c>
      <c r="F271" t="str" cm="1">
        <f t="array" aca="1" ref="F271" ca="1">INDIRECT("'" &amp; A271 &amp; "'!" &amp; B271)</f>
        <v>a73</v>
      </c>
      <c r="G271" cm="1">
        <f t="array" aca="1" ref="G271" ca="1">INDIRECT("'" &amp; A271 &amp; "'!" &amp; ADDRESS(1, COLUMN(INDIRECT("'" &amp; A271 &amp; "'!" &amp; B271))))</f>
        <v>2001</v>
      </c>
      <c r="H271" t="str">
        <f ca="1">VLOOKUP($G271, survey_codes_dict!A:C, 2, FALSE)</f>
        <v>2001</v>
      </c>
      <c r="I271" s="102" t="str">
        <f ca="1">VLOOKUP($G271, survey_codes_dict!A:D, 4, FALSE)</f>
        <v>1999_1</v>
      </c>
      <c r="J271" s="102" t="str">
        <f t="shared" ca="1" si="8"/>
        <v>2001__a73</v>
      </c>
      <c r="K271" s="102" t="str">
        <f t="shared" ca="1" si="9"/>
        <v>1999_1__a73</v>
      </c>
      <c r="L271" s="102"/>
      <c r="M271" s="102"/>
      <c r="N271" s="102"/>
      <c r="O271" s="102"/>
      <c r="P271" s="102"/>
      <c r="Q271" s="102"/>
      <c r="R271" s="102"/>
      <c r="S271" s="101"/>
    </row>
    <row r="272" spans="1:19" ht="72" x14ac:dyDescent="0.3">
      <c r="A272" t="s">
        <v>3769</v>
      </c>
      <c r="B272" t="s">
        <v>3571</v>
      </c>
      <c r="C272" s="90" t="s">
        <v>3636</v>
      </c>
      <c r="D272" t="s">
        <v>5562</v>
      </c>
      <c r="E272" s="101" t="s">
        <v>5814</v>
      </c>
      <c r="F272" t="str" cm="1">
        <f t="array" aca="1" ref="F272" ca="1">INDIRECT("'" &amp; A272 &amp; "'!" &amp; B272)</f>
        <v>i56</v>
      </c>
      <c r="G272" cm="1">
        <f t="array" aca="1" ref="G272" ca="1">INDIRECT("'" &amp; A272 &amp; "'!" &amp; ADDRESS(1, COLUMN(INDIRECT("'" &amp; A272 &amp; "'!" &amp; B272))))</f>
        <v>1999</v>
      </c>
      <c r="H272" t="str">
        <f ca="1">VLOOKUP($G272, survey_codes_dict!A:C, 2, FALSE)</f>
        <v>1999_1</v>
      </c>
      <c r="I272" s="102" t="str">
        <f ca="1">VLOOKUP($G272, survey_codes_dict!A:D, 4, FALSE)</f>
        <v>1996_Jews</v>
      </c>
      <c r="J272" s="102" t="str">
        <f t="shared" ca="1" si="8"/>
        <v>1999_1__i56</v>
      </c>
      <c r="K272" s="102" t="str">
        <f t="shared" ca="1" si="9"/>
        <v>1996_Jews__i56</v>
      </c>
      <c r="L272" s="102"/>
      <c r="M272" s="102"/>
      <c r="N272" s="102"/>
      <c r="O272" s="102"/>
      <c r="P272" s="102"/>
      <c r="Q272" s="102"/>
      <c r="R272" s="102"/>
      <c r="S272" s="101"/>
    </row>
    <row r="273" spans="1:19" ht="72" x14ac:dyDescent="0.3">
      <c r="A273" t="s">
        <v>3769</v>
      </c>
      <c r="B273" t="s">
        <v>3775</v>
      </c>
      <c r="C273" s="90" t="s">
        <v>3776</v>
      </c>
      <c r="D273" t="s">
        <v>5562</v>
      </c>
      <c r="E273" s="101" t="s">
        <v>5868</v>
      </c>
      <c r="F273" t="str" cm="1">
        <f t="array" aca="1" ref="F273" ca="1">INDIRECT("'" &amp; A273 &amp; "'!" &amp; B273)</f>
        <v>a75</v>
      </c>
      <c r="G273" t="str" cm="1">
        <f t="array" aca="1" ref="G273" ca="1">INDIRECT("'" &amp; A273 &amp; "'!" &amp; ADDRESS(1, COLUMN(INDIRECT("'" &amp; A273 &amp; "'!" &amp; B273))))</f>
        <v>1987*</v>
      </c>
      <c r="H273" t="e">
        <f ca="1">VLOOKUP($G273, survey_codes_dict!A:C, 2, FALSE)</f>
        <v>#N/A</v>
      </c>
      <c r="I273" s="102" t="e">
        <f ca="1">VLOOKUP($G273, survey_codes_dict!A:D, 4, FALSE)</f>
        <v>#N/A</v>
      </c>
      <c r="J273" s="102" t="e">
        <f t="shared" ca="1" si="8"/>
        <v>#N/A</v>
      </c>
      <c r="K273" s="102" t="e">
        <f t="shared" ca="1" si="9"/>
        <v>#N/A</v>
      </c>
      <c r="L273" s="102"/>
      <c r="M273" s="102"/>
      <c r="N273" s="102"/>
      <c r="O273" s="102"/>
      <c r="P273" s="102"/>
      <c r="Q273" s="102"/>
      <c r="R273" s="102"/>
      <c r="S273" s="101"/>
    </row>
    <row r="274" spans="1:19" ht="72" x14ac:dyDescent="0.3">
      <c r="A274" t="s">
        <v>3769</v>
      </c>
      <c r="B274" t="s">
        <v>3777</v>
      </c>
      <c r="C274" s="90" t="s">
        <v>3778</v>
      </c>
      <c r="D274" t="s">
        <v>5562</v>
      </c>
      <c r="E274" s="101" t="s">
        <v>5869</v>
      </c>
      <c r="F274" t="str" cm="1">
        <f t="array" aca="1" ref="F274" ca="1">INDIRECT("'" &amp; A274 &amp; "'!" &amp; B274)</f>
        <v>a31</v>
      </c>
      <c r="G274" t="str" cm="1">
        <f t="array" aca="1" ref="G274" ca="1">INDIRECT("'" &amp; A274 &amp; "'!" &amp; ADDRESS(1, COLUMN(INDIRECT("'" &amp; A274 &amp; "'!" &amp; B274))))</f>
        <v>1981 - 2</v>
      </c>
      <c r="H274">
        <f ca="1">VLOOKUP($G274, survey_codes_dict!A:C, 2, FALSE)</f>
        <v>0</v>
      </c>
      <c r="I274" s="102" t="str">
        <f ca="1">VLOOKUP($G274, survey_codes_dict!A:D, 4, FALSE)</f>
        <v>1981_1</v>
      </c>
      <c r="J274" s="102" t="str">
        <f t="shared" ca="1" si="8"/>
        <v>0__a31</v>
      </c>
      <c r="K274" s="102" t="str">
        <f t="shared" ca="1" si="9"/>
        <v>1981_1__a31</v>
      </c>
      <c r="L274" s="102"/>
      <c r="M274" s="102"/>
      <c r="N274" s="102"/>
      <c r="O274" s="102"/>
      <c r="P274" s="102"/>
      <c r="Q274" s="102"/>
      <c r="R274" s="102"/>
      <c r="S274" s="101"/>
    </row>
    <row r="275" spans="1:19" ht="43.2" x14ac:dyDescent="0.3">
      <c r="A275" t="s">
        <v>3769</v>
      </c>
      <c r="B275" t="s">
        <v>3779</v>
      </c>
      <c r="C275" s="90" t="s">
        <v>3780</v>
      </c>
      <c r="D275" t="s">
        <v>5562</v>
      </c>
      <c r="E275" s="101" t="s">
        <v>5870</v>
      </c>
      <c r="F275" t="str" cm="1">
        <f t="array" aca="1" ref="F275" ca="1">INDIRECT("'" &amp; A275 &amp; "'!" &amp; B275)</f>
        <v>v11</v>
      </c>
      <c r="G275" t="str" cm="1">
        <f t="array" aca="1" ref="G275" ca="1">INDIRECT("'" &amp; A275 &amp; "'!" &amp; ADDRESS(1, COLUMN(INDIRECT("'" &amp; A275 &amp; "'!" &amp; B275))))</f>
        <v>1973 - 1</v>
      </c>
      <c r="H275" t="str">
        <f ca="1">VLOOKUP($G275, survey_codes_dict!A:C, 2, FALSE)</f>
        <v>1973_1</v>
      </c>
      <c r="I275" s="102" t="str">
        <f ca="1">VLOOKUP($G275, survey_codes_dict!A:D, 4, FALSE)</f>
        <v>1969_2</v>
      </c>
      <c r="J275" s="102" t="str">
        <f t="shared" ca="1" si="8"/>
        <v>1973_1__v11</v>
      </c>
      <c r="K275" s="102" t="str">
        <f t="shared" ca="1" si="9"/>
        <v>1969_2__v11</v>
      </c>
      <c r="L275" s="102"/>
      <c r="M275" s="102"/>
      <c r="N275" s="102"/>
      <c r="O275" s="102"/>
      <c r="P275" s="102"/>
      <c r="Q275" s="102"/>
      <c r="R275" s="102"/>
      <c r="S275" s="101"/>
    </row>
    <row r="276" spans="1:19" ht="72" x14ac:dyDescent="0.3">
      <c r="A276" t="s">
        <v>3769</v>
      </c>
      <c r="B276" t="s">
        <v>3781</v>
      </c>
      <c r="C276" s="90" t="s">
        <v>3672</v>
      </c>
      <c r="D276" t="s">
        <v>5562</v>
      </c>
      <c r="E276" s="101" t="s">
        <v>5832</v>
      </c>
      <c r="F276" t="str" cm="1">
        <f t="array" aca="1" ref="F276" ca="1">INDIRECT("'" &amp; A276 &amp; "'!" &amp; B276)</f>
        <v>a113</v>
      </c>
      <c r="G276" t="str" cm="1">
        <f t="array" aca="1" ref="G276" ca="1">INDIRECT("'" &amp; A276 &amp; "'!" &amp; ADDRESS(1, COLUMN(INDIRECT("'" &amp; A276 &amp; "'!" &amp; B276))))</f>
        <v>1987*</v>
      </c>
      <c r="H276" t="e">
        <f ca="1">VLOOKUP($G276, survey_codes_dict!A:C, 2, FALSE)</f>
        <v>#N/A</v>
      </c>
      <c r="I276" s="102" t="e">
        <f ca="1">VLOOKUP($G276, survey_codes_dict!A:D, 4, FALSE)</f>
        <v>#N/A</v>
      </c>
      <c r="J276" s="102" t="e">
        <f t="shared" ca="1" si="8"/>
        <v>#N/A</v>
      </c>
      <c r="K276" s="102" t="e">
        <f t="shared" ca="1" si="9"/>
        <v>#N/A</v>
      </c>
      <c r="L276" s="102"/>
      <c r="M276" s="102"/>
      <c r="N276" s="102"/>
      <c r="O276" s="102"/>
      <c r="P276" s="102"/>
      <c r="Q276" s="102"/>
      <c r="R276" s="102"/>
      <c r="S276" s="101"/>
    </row>
    <row r="277" spans="1:19" ht="72" x14ac:dyDescent="0.3">
      <c r="A277" t="s">
        <v>3769</v>
      </c>
      <c r="B277" t="s">
        <v>3782</v>
      </c>
      <c r="C277" s="90" t="s">
        <v>3778</v>
      </c>
      <c r="D277" t="s">
        <v>5562</v>
      </c>
      <c r="E277" s="101" t="s">
        <v>5869</v>
      </c>
      <c r="F277" t="str" cm="1">
        <f t="array" aca="1" ref="F277" ca="1">INDIRECT("'" &amp; A277 &amp; "'!" &amp; B277)</f>
        <v>b71</v>
      </c>
      <c r="G277" t="str" cm="1">
        <f t="array" aca="1" ref="G277" ca="1">INDIRECT("'" &amp; A277 &amp; "'!" &amp; ADDRESS(1, COLUMN(INDIRECT("'" &amp; A277 &amp; "'!" &amp; B277))))</f>
        <v>1988*</v>
      </c>
      <c r="H277" t="str">
        <f ca="1">VLOOKUP($G277, survey_codes_dict!A:C, 2, FALSE)</f>
        <v>1988_N=873</v>
      </c>
      <c r="I277" s="102" t="str">
        <f ca="1">VLOOKUP($G277, survey_codes_dict!A:D, 4, FALSE)</f>
        <v>1988_Panel_N=416</v>
      </c>
      <c r="J277" s="102" t="str">
        <f t="shared" ca="1" si="8"/>
        <v>1988_N=873__b71</v>
      </c>
      <c r="K277" s="102" t="str">
        <f t="shared" ca="1" si="9"/>
        <v>1988_Panel_N=416__b71</v>
      </c>
      <c r="L277" s="102"/>
      <c r="M277" s="102"/>
      <c r="N277" s="102"/>
      <c r="O277" s="102"/>
      <c r="P277" s="102"/>
      <c r="Q277" s="102"/>
      <c r="R277" s="102"/>
      <c r="S277" s="101"/>
    </row>
    <row r="278" spans="1:19" ht="72" x14ac:dyDescent="0.3">
      <c r="A278" t="s">
        <v>3769</v>
      </c>
      <c r="B278" t="s">
        <v>3783</v>
      </c>
      <c r="C278" s="90" t="s">
        <v>3784</v>
      </c>
      <c r="D278" t="s">
        <v>5562</v>
      </c>
      <c r="E278" s="101" t="s">
        <v>5871</v>
      </c>
      <c r="F278" t="str" cm="1">
        <f t="array" aca="1" ref="F278" ca="1">INDIRECT("'" &amp; A278 &amp; "'!" &amp; B278)</f>
        <v>a15</v>
      </c>
      <c r="G278" t="str" cm="1">
        <f t="array" aca="1" ref="G278" ca="1">INDIRECT("'" &amp; A278 &amp; "'!" &amp; ADDRESS(1, COLUMN(INDIRECT("'" &amp; A278 &amp; "'!" &amp; B278))))</f>
        <v>1987*</v>
      </c>
      <c r="H278" t="e">
        <f ca="1">VLOOKUP($G278, survey_codes_dict!A:C, 2, FALSE)</f>
        <v>#N/A</v>
      </c>
      <c r="I278" s="102" t="e">
        <f ca="1">VLOOKUP($G278, survey_codes_dict!A:D, 4, FALSE)</f>
        <v>#N/A</v>
      </c>
      <c r="J278" s="102" t="e">
        <f t="shared" ca="1" si="8"/>
        <v>#N/A</v>
      </c>
      <c r="K278" s="102" t="e">
        <f t="shared" ca="1" si="9"/>
        <v>#N/A</v>
      </c>
      <c r="L278" s="102"/>
      <c r="M278" s="102"/>
      <c r="N278" s="102"/>
      <c r="O278" s="102"/>
      <c r="P278" s="102"/>
      <c r="Q278" s="102"/>
      <c r="R278" s="102"/>
      <c r="S278" s="101"/>
    </row>
    <row r="279" spans="1:19" ht="72" x14ac:dyDescent="0.3">
      <c r="A279" t="s">
        <v>3769</v>
      </c>
      <c r="B279" t="s">
        <v>3785</v>
      </c>
      <c r="C279" s="90" t="s">
        <v>3712</v>
      </c>
      <c r="D279" t="s">
        <v>5562</v>
      </c>
      <c r="E279" s="101" t="s">
        <v>5848</v>
      </c>
      <c r="F279" t="str" cm="1">
        <f t="array" aca="1" ref="F279" ca="1">INDIRECT("'" &amp; A279 &amp; "'!" &amp; B279)</f>
        <v>c46</v>
      </c>
      <c r="G279" t="str" cm="1">
        <f t="array" aca="1" ref="G279" ca="1">INDIRECT("'" &amp; A279 &amp; "'!" &amp; ADDRESS(1, COLUMN(INDIRECT("'" &amp; A279 &amp; "'!" &amp; B279))))</f>
        <v>1973 - 2</v>
      </c>
      <c r="H279" t="str">
        <f ca="1">VLOOKUP($G279, survey_codes_dict!A:C, 2, FALSE)</f>
        <v>1973_2</v>
      </c>
      <c r="I279" s="102" t="str">
        <f ca="1">VLOOKUP($G279, survey_codes_dict!A:D, 4, FALSE)</f>
        <v>1973_1</v>
      </c>
      <c r="J279" s="102" t="str">
        <f t="shared" ca="1" si="8"/>
        <v>1973_2__c46</v>
      </c>
      <c r="K279" s="102" t="str">
        <f t="shared" ca="1" si="9"/>
        <v>1973_1__c46</v>
      </c>
      <c r="L279" s="102"/>
      <c r="M279" s="102"/>
      <c r="N279" s="102"/>
      <c r="O279" s="102"/>
      <c r="P279" s="102"/>
      <c r="Q279" s="102"/>
      <c r="R279" s="102"/>
      <c r="S279" s="101"/>
    </row>
    <row r="280" spans="1:19" ht="72" x14ac:dyDescent="0.3">
      <c r="A280" t="s">
        <v>3769</v>
      </c>
      <c r="B280" t="s">
        <v>3589</v>
      </c>
      <c r="C280" s="90" t="s">
        <v>3712</v>
      </c>
      <c r="D280" t="s">
        <v>5562</v>
      </c>
      <c r="E280" s="101" t="s">
        <v>5848</v>
      </c>
      <c r="F280" t="str" cm="1">
        <f t="array" aca="1" ref="F280" ca="1">INDIRECT("'" &amp; A280 &amp; "'!" &amp; B280)</f>
        <v>d23</v>
      </c>
      <c r="G280" t="str" cm="1">
        <f t="array" aca="1" ref="G280" ca="1">INDIRECT("'" &amp; A280 &amp; "'!" &amp; ADDRESS(1, COLUMN(INDIRECT("'" &amp; A280 &amp; "'!" &amp; B280))))</f>
        <v>1973 - 2</v>
      </c>
      <c r="H280" t="str">
        <f ca="1">VLOOKUP($G280, survey_codes_dict!A:C, 2, FALSE)</f>
        <v>1973_2</v>
      </c>
      <c r="I280" s="102" t="str">
        <f ca="1">VLOOKUP($G280, survey_codes_dict!A:D, 4, FALSE)</f>
        <v>1973_1</v>
      </c>
      <c r="J280" s="102" t="str">
        <f t="shared" ca="1" si="8"/>
        <v>1973_2__d23</v>
      </c>
      <c r="K280" s="102" t="str">
        <f t="shared" ca="1" si="9"/>
        <v>1973_1__d23</v>
      </c>
      <c r="L280" s="102"/>
      <c r="M280" s="102"/>
      <c r="N280" s="102"/>
      <c r="O280" s="102"/>
      <c r="P280" s="102"/>
      <c r="Q280" s="102"/>
      <c r="R280" s="102"/>
      <c r="S280" s="101"/>
    </row>
    <row r="281" spans="1:19" ht="144" x14ac:dyDescent="0.3">
      <c r="A281" t="s">
        <v>3769</v>
      </c>
      <c r="B281" t="s">
        <v>3786</v>
      </c>
      <c r="C281" s="90" t="s">
        <v>3787</v>
      </c>
      <c r="D281" t="s">
        <v>5562</v>
      </c>
      <c r="E281" s="101" t="s">
        <v>5872</v>
      </c>
      <c r="F281" t="str" cm="1">
        <f t="array" aca="1" ref="F281" ca="1">INDIRECT("'" &amp; A281 &amp; "'!" &amp; B281)</f>
        <v>b58</v>
      </c>
      <c r="G281" t="str" cm="1">
        <f t="array" aca="1" ref="G281" ca="1">INDIRECT("'" &amp; A281 &amp; "'!" &amp; ADDRESS(1, COLUMN(INDIRECT("'" &amp; A281 &amp; "'!" &amp; B281))))</f>
        <v>1988*</v>
      </c>
      <c r="H281" t="str">
        <f ca="1">VLOOKUP($G281, survey_codes_dict!A:C, 2, FALSE)</f>
        <v>1988_N=873</v>
      </c>
      <c r="I281" s="102" t="str">
        <f ca="1">VLOOKUP($G281, survey_codes_dict!A:D, 4, FALSE)</f>
        <v>1988_Panel_N=416</v>
      </c>
      <c r="J281" s="102" t="str">
        <f t="shared" ca="1" si="8"/>
        <v>1988_N=873__b58</v>
      </c>
      <c r="K281" s="102" t="str">
        <f t="shared" ca="1" si="9"/>
        <v>1988_Panel_N=416__b58</v>
      </c>
      <c r="L281" s="102"/>
      <c r="M281" s="102"/>
      <c r="N281" s="102"/>
      <c r="O281" s="102"/>
      <c r="P281" s="102"/>
      <c r="Q281" s="102"/>
      <c r="R281" s="102"/>
      <c r="S281" s="101"/>
    </row>
    <row r="282" spans="1:19" ht="144" x14ac:dyDescent="0.3">
      <c r="A282" t="s">
        <v>3769</v>
      </c>
      <c r="B282" t="s">
        <v>3788</v>
      </c>
      <c r="C282" s="90" t="s">
        <v>3789</v>
      </c>
      <c r="D282" t="s">
        <v>5562</v>
      </c>
      <c r="E282" s="101" t="s">
        <v>5873</v>
      </c>
      <c r="F282" t="str" cm="1">
        <f t="array" aca="1" ref="F282" ca="1">INDIRECT("'" &amp; A282 &amp; "'!" &amp; B282)</f>
        <v>a76</v>
      </c>
      <c r="G282" t="str" cm="1">
        <f t="array" aca="1" ref="G282" ca="1">INDIRECT("'" &amp; A282 &amp; "'!" &amp; ADDRESS(1, COLUMN(INDIRECT("'" &amp; A282 &amp; "'!" &amp; B282))))</f>
        <v>1987*</v>
      </c>
      <c r="H282" t="e">
        <f ca="1">VLOOKUP($G282, survey_codes_dict!A:C, 2, FALSE)</f>
        <v>#N/A</v>
      </c>
      <c r="I282" s="102" t="e">
        <f ca="1">VLOOKUP($G282, survey_codes_dict!A:D, 4, FALSE)</f>
        <v>#N/A</v>
      </c>
      <c r="J282" s="102" t="e">
        <f t="shared" ca="1" si="8"/>
        <v>#N/A</v>
      </c>
      <c r="K282" s="102" t="e">
        <f t="shared" ca="1" si="9"/>
        <v>#N/A</v>
      </c>
      <c r="L282" s="102"/>
      <c r="M282" s="102"/>
      <c r="N282" s="102"/>
      <c r="O282" s="102"/>
      <c r="P282" s="102"/>
      <c r="Q282" s="102"/>
      <c r="R282" s="102"/>
      <c r="S282" s="101"/>
    </row>
    <row r="283" spans="1:19" ht="129.6" x14ac:dyDescent="0.3">
      <c r="A283" t="s">
        <v>3769</v>
      </c>
      <c r="B283" t="s">
        <v>3790</v>
      </c>
      <c r="C283" s="90" t="s">
        <v>3791</v>
      </c>
      <c r="D283" t="s">
        <v>5562</v>
      </c>
      <c r="E283" s="101" t="s">
        <v>5874</v>
      </c>
      <c r="F283" t="str" cm="1">
        <f t="array" aca="1" ref="F283" ca="1">INDIRECT("'" &amp; A283 &amp; "'!" &amp; B283)</f>
        <v>a77</v>
      </c>
      <c r="G283" t="str" cm="1">
        <f t="array" aca="1" ref="G283" ca="1">INDIRECT("'" &amp; A283 &amp; "'!" &amp; ADDRESS(1, COLUMN(INDIRECT("'" &amp; A283 &amp; "'!" &amp; B283))))</f>
        <v>1987*</v>
      </c>
      <c r="H283" t="e">
        <f ca="1">VLOOKUP($G283, survey_codes_dict!A:C, 2, FALSE)</f>
        <v>#N/A</v>
      </c>
      <c r="I283" s="102" t="e">
        <f ca="1">VLOOKUP($G283, survey_codes_dict!A:D, 4, FALSE)</f>
        <v>#N/A</v>
      </c>
      <c r="J283" s="102" t="e">
        <f t="shared" ca="1" si="8"/>
        <v>#N/A</v>
      </c>
      <c r="K283" s="102" t="e">
        <f t="shared" ca="1" si="9"/>
        <v>#N/A</v>
      </c>
      <c r="L283" s="102"/>
      <c r="M283" s="102"/>
      <c r="N283" s="102"/>
      <c r="O283" s="102"/>
      <c r="P283" s="102"/>
      <c r="Q283" s="102"/>
      <c r="R283" s="102"/>
      <c r="S283" s="101"/>
    </row>
    <row r="284" spans="1:19" ht="86.4" x14ac:dyDescent="0.3">
      <c r="A284" t="s">
        <v>3769</v>
      </c>
      <c r="B284" t="s">
        <v>3792</v>
      </c>
      <c r="C284" s="90" t="s">
        <v>3793</v>
      </c>
      <c r="D284" t="s">
        <v>5562</v>
      </c>
      <c r="E284" s="101" t="s">
        <v>5875</v>
      </c>
      <c r="F284" t="str" cm="1">
        <f t="array" aca="1" ref="F284" ca="1">INDIRECT("'" &amp; A284 &amp; "'!" &amp; B284)</f>
        <v>v20</v>
      </c>
      <c r="G284" t="str" cm="1">
        <f t="array" aca="1" ref="G284" ca="1">INDIRECT("'" &amp; A284 &amp; "'!" &amp; ADDRESS(1, COLUMN(INDIRECT("'" &amp; A284 &amp; "'!" &amp; B284))))</f>
        <v>1973 - 1</v>
      </c>
      <c r="H284" t="str">
        <f ca="1">VLOOKUP($G284, survey_codes_dict!A:C, 2, FALSE)</f>
        <v>1973_1</v>
      </c>
      <c r="I284" s="102" t="str">
        <f ca="1">VLOOKUP($G284, survey_codes_dict!A:D, 4, FALSE)</f>
        <v>1969_2</v>
      </c>
      <c r="J284" s="102" t="str">
        <f t="shared" ca="1" si="8"/>
        <v>1973_1__v20</v>
      </c>
      <c r="K284" s="102" t="str">
        <f t="shared" ca="1" si="9"/>
        <v>1969_2__v20</v>
      </c>
      <c r="L284" s="102"/>
      <c r="M284" s="102"/>
      <c r="N284" s="102"/>
      <c r="O284" s="102"/>
      <c r="P284" s="102"/>
      <c r="Q284" s="102"/>
      <c r="R284" s="102"/>
      <c r="S284" s="101"/>
    </row>
    <row r="285" spans="1:19" ht="115.2" x14ac:dyDescent="0.3">
      <c r="A285" t="s">
        <v>3769</v>
      </c>
      <c r="B285" t="s">
        <v>3794</v>
      </c>
      <c r="C285" s="90" t="s">
        <v>3795</v>
      </c>
      <c r="D285" t="s">
        <v>5562</v>
      </c>
      <c r="E285" s="101" t="s">
        <v>5876</v>
      </c>
      <c r="F285" t="str" cm="1">
        <f t="array" aca="1" ref="F285" ca="1">INDIRECT("'" &amp; A285 &amp; "'!" &amp; B285)</f>
        <v>v89</v>
      </c>
      <c r="G285" cm="1">
        <f t="array" aca="1" ref="G285" ca="1">INDIRECT("'" &amp; A285 &amp; "'!" &amp; ADDRESS(1, COLUMN(INDIRECT("'" &amp; A285 &amp; "'!" &amp; B285))))</f>
        <v>2015</v>
      </c>
      <c r="H285" t="e">
        <f ca="1">VLOOKUP($G285, survey_codes_dict!A:C, 2, FALSE)</f>
        <v>#N/A</v>
      </c>
      <c r="I285" s="102" t="e">
        <f ca="1">VLOOKUP($G285, survey_codes_dict!A:D, 4, FALSE)</f>
        <v>#N/A</v>
      </c>
      <c r="J285" s="102" t="e">
        <f t="shared" ca="1" si="8"/>
        <v>#N/A</v>
      </c>
      <c r="K285" s="102" t="e">
        <f t="shared" ca="1" si="9"/>
        <v>#N/A</v>
      </c>
      <c r="L285" s="102"/>
      <c r="M285" s="102"/>
      <c r="N285" s="102"/>
      <c r="O285" s="102"/>
      <c r="P285" s="102"/>
      <c r="Q285" s="102"/>
      <c r="R285" s="102"/>
      <c r="S285" s="101"/>
    </row>
    <row r="286" spans="1:19" ht="100.8" x14ac:dyDescent="0.3">
      <c r="A286" t="s">
        <v>3769</v>
      </c>
      <c r="B286" t="s">
        <v>3796</v>
      </c>
      <c r="C286" s="90" t="s">
        <v>3797</v>
      </c>
      <c r="D286" t="s">
        <v>5562</v>
      </c>
      <c r="E286" s="101" t="s">
        <v>5877</v>
      </c>
      <c r="F286" t="str" cm="1">
        <f t="array" aca="1" ref="F286" ca="1">INDIRECT("'" &amp; A286 &amp; "'!" &amp; B286)</f>
        <v>b156</v>
      </c>
      <c r="G286" t="str" cm="1">
        <f t="array" aca="1" ref="G286" ca="1">INDIRECT("'" &amp; A286 &amp; "'!" &amp; ADDRESS(1, COLUMN(INDIRECT("'" &amp; A286 &amp; "'!" &amp; B286))))</f>
        <v>1981 - 3</v>
      </c>
      <c r="H286" t="str">
        <f ca="1">VLOOKUP($G286, survey_codes_dict!A:C, 2, FALSE)</f>
        <v>1981_3</v>
      </c>
      <c r="I286" s="102">
        <f ca="1">VLOOKUP($G286, survey_codes_dict!A:D, 4, FALSE)</f>
        <v>0</v>
      </c>
      <c r="J286" s="102" t="str">
        <f t="shared" ca="1" si="8"/>
        <v>1981_3__b156</v>
      </c>
      <c r="K286" s="102" t="str">
        <f t="shared" ca="1" si="9"/>
        <v>0__b156</v>
      </c>
      <c r="L286" s="102"/>
      <c r="M286" s="102"/>
      <c r="N286" s="102"/>
      <c r="O286" s="102"/>
      <c r="P286" s="102"/>
      <c r="Q286" s="102"/>
      <c r="R286" s="102"/>
      <c r="S286" s="101"/>
    </row>
    <row r="287" spans="1:19" ht="57.6" x14ac:dyDescent="0.3">
      <c r="A287" t="s">
        <v>3769</v>
      </c>
      <c r="B287" t="s">
        <v>3798</v>
      </c>
      <c r="C287" s="90" t="s">
        <v>3799</v>
      </c>
      <c r="D287" t="s">
        <v>5562</v>
      </c>
      <c r="E287" s="101" t="s">
        <v>5878</v>
      </c>
      <c r="F287" t="str" cm="1">
        <f t="array" aca="1" ref="F287" ca="1">INDIRECT("'" &amp; A287 &amp; "'!" &amp; B287)</f>
        <v>v17</v>
      </c>
      <c r="G287" t="str" cm="1">
        <f t="array" aca="1" ref="G287" ca="1">INDIRECT("'" &amp; A287 &amp; "'!" &amp; ADDRESS(1, COLUMN(INDIRECT("'" &amp; A287 &amp; "'!" &amp; B287))))</f>
        <v>1981 - 1</v>
      </c>
      <c r="H287" t="str">
        <f ca="1">VLOOKUP($G287, survey_codes_dict!A:C, 2, FALSE)</f>
        <v>1981_1</v>
      </c>
      <c r="I287" s="102" t="str">
        <f ca="1">VLOOKUP($G287, survey_codes_dict!A:D, 4, FALSE)</f>
        <v>1977_4</v>
      </c>
      <c r="J287" s="102" t="str">
        <f t="shared" ca="1" si="8"/>
        <v>1981_1__v17</v>
      </c>
      <c r="K287" s="102" t="str">
        <f t="shared" ca="1" si="9"/>
        <v>1977_4__v17</v>
      </c>
      <c r="L287" s="102"/>
      <c r="M287" s="102"/>
      <c r="N287" s="102"/>
      <c r="O287" s="102"/>
      <c r="P287" s="102"/>
      <c r="Q287" s="102"/>
      <c r="R287" s="102"/>
      <c r="S287" s="101"/>
    </row>
    <row r="288" spans="1:19" ht="72" x14ac:dyDescent="0.3">
      <c r="A288" t="s">
        <v>3769</v>
      </c>
      <c r="B288" t="s">
        <v>3800</v>
      </c>
      <c r="C288" s="90" t="s">
        <v>3801</v>
      </c>
      <c r="D288" t="s">
        <v>5562</v>
      </c>
      <c r="E288" s="101" t="s">
        <v>5879</v>
      </c>
      <c r="F288" t="str" cm="1">
        <f t="array" aca="1" ref="F288" ca="1">INDIRECT("'" &amp; A288 &amp; "'!" &amp; B288)</f>
        <v>v6</v>
      </c>
      <c r="G288" t="str" cm="1">
        <f t="array" aca="1" ref="G288" ca="1">INDIRECT("'" &amp; A288 &amp; "'!" &amp; ADDRESS(1, COLUMN(INDIRECT("'" &amp; A288 &amp; "'!" &amp; B288))))</f>
        <v>1973 - 1</v>
      </c>
      <c r="H288" t="str">
        <f ca="1">VLOOKUP($G288, survey_codes_dict!A:C, 2, FALSE)</f>
        <v>1973_1</v>
      </c>
      <c r="I288" s="102" t="str">
        <f ca="1">VLOOKUP($G288, survey_codes_dict!A:D, 4, FALSE)</f>
        <v>1969_2</v>
      </c>
      <c r="J288" s="102" t="str">
        <f t="shared" ca="1" si="8"/>
        <v>1973_1__v6</v>
      </c>
      <c r="K288" s="102" t="str">
        <f t="shared" ca="1" si="9"/>
        <v>1969_2__v6</v>
      </c>
      <c r="L288" s="102"/>
      <c r="M288" s="102"/>
      <c r="N288" s="102"/>
      <c r="O288" s="102"/>
      <c r="P288" s="102"/>
      <c r="Q288" s="102"/>
      <c r="R288" s="102"/>
      <c r="S288" s="101"/>
    </row>
    <row r="289" spans="1:19" ht="57.6" x14ac:dyDescent="0.3">
      <c r="A289" t="s">
        <v>3769</v>
      </c>
      <c r="B289" t="s">
        <v>3802</v>
      </c>
      <c r="C289" s="90" t="s">
        <v>3799</v>
      </c>
      <c r="D289" t="s">
        <v>5562</v>
      </c>
      <c r="E289" s="101" t="s">
        <v>5878</v>
      </c>
      <c r="F289" t="str" cm="1">
        <f t="array" aca="1" ref="F289" ca="1">INDIRECT("'" &amp; A289 &amp; "'!" &amp; B289)</f>
        <v>v18</v>
      </c>
      <c r="G289" t="str" cm="1">
        <f t="array" aca="1" ref="G289" ca="1">INDIRECT("'" &amp; A289 &amp; "'!" &amp; ADDRESS(1, COLUMN(INDIRECT("'" &amp; A289 &amp; "'!" &amp; B289))))</f>
        <v>1981 - 1</v>
      </c>
      <c r="H289" t="str">
        <f ca="1">VLOOKUP($G289, survey_codes_dict!A:C, 2, FALSE)</f>
        <v>1981_1</v>
      </c>
      <c r="I289" s="102" t="str">
        <f ca="1">VLOOKUP($G289, survey_codes_dict!A:D, 4, FALSE)</f>
        <v>1977_4</v>
      </c>
      <c r="J289" s="102" t="str">
        <f t="shared" ca="1" si="8"/>
        <v>1981_1__v18</v>
      </c>
      <c r="K289" s="102" t="str">
        <f t="shared" ca="1" si="9"/>
        <v>1977_4__v18</v>
      </c>
      <c r="L289" s="102"/>
      <c r="M289" s="102"/>
      <c r="N289" s="102"/>
      <c r="O289" s="102"/>
      <c r="P289" s="102"/>
      <c r="Q289" s="102"/>
      <c r="R289" s="102"/>
      <c r="S289" s="101"/>
    </row>
    <row r="290" spans="1:19" ht="43.2" x14ac:dyDescent="0.3">
      <c r="A290" t="s">
        <v>3769</v>
      </c>
      <c r="B290" t="s">
        <v>3803</v>
      </c>
      <c r="C290" s="90" t="s">
        <v>3383</v>
      </c>
      <c r="D290" t="s">
        <v>5562</v>
      </c>
      <c r="E290" s="101" t="s">
        <v>5706</v>
      </c>
      <c r="F290" t="str" cm="1">
        <f t="array" aca="1" ref="F290" ca="1">INDIRECT("'" &amp; A290 &amp; "'!" &amp; B290)</f>
        <v>c23</v>
      </c>
      <c r="G290" t="str" cm="1">
        <f t="array" aca="1" ref="G290" ca="1">INDIRECT("'" &amp; A290 &amp; "'!" &amp; ADDRESS(1, COLUMN(INDIRECT("'" &amp; A290 &amp; "'!" &amp; B290))))</f>
        <v>1973 - 2</v>
      </c>
      <c r="H290" t="str">
        <f ca="1">VLOOKUP($G290, survey_codes_dict!A:C, 2, FALSE)</f>
        <v>1973_2</v>
      </c>
      <c r="I290" s="102" t="str">
        <f ca="1">VLOOKUP($G290, survey_codes_dict!A:D, 4, FALSE)</f>
        <v>1973_1</v>
      </c>
      <c r="J290" s="102" t="str">
        <f t="shared" ca="1" si="8"/>
        <v>1973_2__c23</v>
      </c>
      <c r="K290" s="102" t="str">
        <f t="shared" ca="1" si="9"/>
        <v>1973_1__c23</v>
      </c>
      <c r="L290" s="102"/>
      <c r="M290" s="102"/>
      <c r="N290" s="102"/>
      <c r="O290" s="102"/>
      <c r="P290" s="102"/>
      <c r="Q290" s="102"/>
      <c r="R290" s="102"/>
      <c r="S290" s="101"/>
    </row>
    <row r="291" spans="1:19" ht="57.6" x14ac:dyDescent="0.3">
      <c r="A291" t="s">
        <v>3769</v>
      </c>
      <c r="B291" t="s">
        <v>3804</v>
      </c>
      <c r="C291" s="90" t="s">
        <v>3805</v>
      </c>
      <c r="D291" t="s">
        <v>5562</v>
      </c>
      <c r="E291" s="101" t="s">
        <v>5880</v>
      </c>
      <c r="F291" t="str" cm="1">
        <f t="array" aca="1" ref="F291" ca="1">INDIRECT("'" &amp; A291 &amp; "'!" &amp; B291)</f>
        <v>a5</v>
      </c>
      <c r="G291" t="str" cm="1">
        <f t="array" aca="1" ref="G291" ca="1">INDIRECT("'" &amp; A291 &amp; "'!" &amp; ADDRESS(1, COLUMN(INDIRECT("'" &amp; A291 &amp; "'!" &amp; B291))))</f>
        <v>1969 - 1</v>
      </c>
      <c r="H291" t="str">
        <f ca="1">VLOOKUP($G291, survey_codes_dict!A:C, 2, FALSE)</f>
        <v>1969_1</v>
      </c>
      <c r="I291" s="102">
        <f ca="1">VLOOKUP($G291, survey_codes_dict!A:D, 4, FALSE)</f>
        <v>0</v>
      </c>
      <c r="J291" s="102" t="str">
        <f t="shared" ca="1" si="8"/>
        <v>1969_1__a5</v>
      </c>
      <c r="K291" s="102" t="str">
        <f t="shared" ca="1" si="9"/>
        <v>0__a5</v>
      </c>
      <c r="L291" s="102"/>
      <c r="M291" s="102"/>
      <c r="N291" s="102"/>
      <c r="O291" s="102"/>
      <c r="P291" s="102"/>
      <c r="Q291" s="102"/>
      <c r="R291" s="102"/>
      <c r="S291" s="101"/>
    </row>
    <row r="292" spans="1:19" ht="57.6" x14ac:dyDescent="0.3">
      <c r="A292" t="s">
        <v>3769</v>
      </c>
      <c r="B292" t="s">
        <v>3806</v>
      </c>
      <c r="C292" s="90" t="s">
        <v>3805</v>
      </c>
      <c r="D292" t="s">
        <v>5562</v>
      </c>
      <c r="E292" s="101" t="s">
        <v>5880</v>
      </c>
      <c r="F292" t="str" cm="1">
        <f t="array" aca="1" ref="F292" ca="1">INDIRECT("'" &amp; A292 &amp; "'!" &amp; B292)</f>
        <v>a6</v>
      </c>
      <c r="G292" t="str" cm="1">
        <f t="array" aca="1" ref="G292" ca="1">INDIRECT("'" &amp; A292 &amp; "'!" &amp; ADDRESS(1, COLUMN(INDIRECT("'" &amp; A292 &amp; "'!" &amp; B292))))</f>
        <v>1969 - 1</v>
      </c>
      <c r="H292" t="str">
        <f ca="1">VLOOKUP($G292, survey_codes_dict!A:C, 2, FALSE)</f>
        <v>1969_1</v>
      </c>
      <c r="I292" s="102">
        <f ca="1">VLOOKUP($G292, survey_codes_dict!A:D, 4, FALSE)</f>
        <v>0</v>
      </c>
      <c r="J292" s="102" t="str">
        <f t="shared" ca="1" si="8"/>
        <v>1969_1__a6</v>
      </c>
      <c r="K292" s="102" t="str">
        <f t="shared" ca="1" si="9"/>
        <v>0__a6</v>
      </c>
      <c r="L292" s="102"/>
      <c r="M292" s="102"/>
      <c r="N292" s="102"/>
      <c r="O292" s="102"/>
      <c r="P292" s="102"/>
      <c r="Q292" s="102"/>
      <c r="R292" s="102"/>
      <c r="S292" s="101"/>
    </row>
    <row r="293" spans="1:19" ht="72" x14ac:dyDescent="0.3">
      <c r="A293" t="s">
        <v>3769</v>
      </c>
      <c r="B293" t="s">
        <v>3807</v>
      </c>
      <c r="C293" s="90" t="s">
        <v>3712</v>
      </c>
      <c r="D293" t="s">
        <v>5562</v>
      </c>
      <c r="E293" s="101" t="s">
        <v>5848</v>
      </c>
      <c r="F293" t="str" cm="1">
        <f t="array" aca="1" ref="F293" ca="1">INDIRECT("'" &amp; A293 &amp; "'!" &amp; B293)</f>
        <v>g26</v>
      </c>
      <c r="G293" t="str" cm="1">
        <f t="array" aca="1" ref="G293" ca="1">INDIRECT("'" &amp; A293 &amp; "'!" &amp; ADDRESS(1, COLUMN(INDIRECT("'" &amp; A293 &amp; "'!" &amp; B293))))</f>
        <v>1973 - 4</v>
      </c>
      <c r="H293" t="str">
        <f ca="1">VLOOKUP($G293, survey_codes_dict!A:C, 2, FALSE)</f>
        <v>1973_4</v>
      </c>
      <c r="I293" s="102" t="str">
        <f ca="1">VLOOKUP($G293, survey_codes_dict!A:D, 4, FALSE)</f>
        <v>1973_3</v>
      </c>
      <c r="J293" s="102" t="str">
        <f t="shared" ca="1" si="8"/>
        <v>1973_4__g26</v>
      </c>
      <c r="K293" s="102" t="str">
        <f t="shared" ca="1" si="9"/>
        <v>1973_3__g26</v>
      </c>
      <c r="L293" s="102"/>
      <c r="M293" s="102"/>
      <c r="N293" s="102"/>
      <c r="O293" s="102"/>
      <c r="P293" s="102"/>
      <c r="Q293" s="102"/>
      <c r="R293" s="102"/>
      <c r="S293" s="101"/>
    </row>
    <row r="294" spans="1:19" ht="72" x14ac:dyDescent="0.3">
      <c r="A294" t="s">
        <v>3769</v>
      </c>
      <c r="B294" t="s">
        <v>3808</v>
      </c>
      <c r="C294" s="90" t="s">
        <v>3809</v>
      </c>
      <c r="D294" t="s">
        <v>5562</v>
      </c>
      <c r="E294" s="101" t="s">
        <v>5881</v>
      </c>
      <c r="F294" t="str" cm="1">
        <f t="array" aca="1" ref="F294" ca="1">INDIRECT("'" &amp; A294 &amp; "'!" &amp; B294)</f>
        <v>g27</v>
      </c>
      <c r="G294" t="str" cm="1">
        <f t="array" aca="1" ref="G294" ca="1">INDIRECT("'" &amp; A294 &amp; "'!" &amp; ADDRESS(1, COLUMN(INDIRECT("'" &amp; A294 &amp; "'!" &amp; B294))))</f>
        <v>1973 - 4</v>
      </c>
      <c r="H294" t="str">
        <f ca="1">VLOOKUP($G294, survey_codes_dict!A:C, 2, FALSE)</f>
        <v>1973_4</v>
      </c>
      <c r="I294" s="102" t="str">
        <f ca="1">VLOOKUP($G294, survey_codes_dict!A:D, 4, FALSE)</f>
        <v>1973_3</v>
      </c>
      <c r="J294" s="102" t="str">
        <f t="shared" ca="1" si="8"/>
        <v>1973_4__g27</v>
      </c>
      <c r="K294" s="102" t="str">
        <f t="shared" ca="1" si="9"/>
        <v>1973_3__g27</v>
      </c>
      <c r="L294" s="102"/>
      <c r="M294" s="102"/>
      <c r="N294" s="102"/>
      <c r="O294" s="102"/>
      <c r="P294" s="102"/>
      <c r="Q294" s="102"/>
      <c r="R294" s="102"/>
      <c r="S294" s="101"/>
    </row>
    <row r="295" spans="1:19" ht="72" x14ac:dyDescent="0.3">
      <c r="A295" t="s">
        <v>3769</v>
      </c>
      <c r="B295" t="s">
        <v>3810</v>
      </c>
      <c r="C295" s="90" t="s">
        <v>3811</v>
      </c>
      <c r="D295" t="s">
        <v>5562</v>
      </c>
      <c r="E295" s="101" t="s">
        <v>5882</v>
      </c>
      <c r="F295" t="str" cm="1">
        <f t="array" aca="1" ref="F295" ca="1">INDIRECT("'" &amp; A295 &amp; "'!" &amp; B295)</f>
        <v>c2</v>
      </c>
      <c r="G295" t="str" cm="1">
        <f t="array" aca="1" ref="G295" ca="1">INDIRECT("'" &amp; A295 &amp; "'!" &amp; ADDRESS(1, COLUMN(INDIRECT("'" &amp; A295 &amp; "'!" &amp; B295))))</f>
        <v>1973 - 2</v>
      </c>
      <c r="H295" t="str">
        <f ca="1">VLOOKUP($G295, survey_codes_dict!A:C, 2, FALSE)</f>
        <v>1973_2</v>
      </c>
      <c r="I295" s="102" t="str">
        <f ca="1">VLOOKUP($G295, survey_codes_dict!A:D, 4, FALSE)</f>
        <v>1973_1</v>
      </c>
      <c r="J295" s="102" t="str">
        <f t="shared" ca="1" si="8"/>
        <v>1973_2__c2</v>
      </c>
      <c r="K295" s="102" t="str">
        <f t="shared" ca="1" si="9"/>
        <v>1973_1__c2</v>
      </c>
      <c r="L295" s="102"/>
      <c r="M295" s="102"/>
      <c r="N295" s="102"/>
      <c r="O295" s="102"/>
      <c r="P295" s="102"/>
      <c r="Q295" s="102"/>
      <c r="R295" s="102"/>
      <c r="S295" s="101"/>
    </row>
    <row r="296" spans="1:19" ht="72" x14ac:dyDescent="0.3">
      <c r="A296" t="s">
        <v>3769</v>
      </c>
      <c r="B296" t="s">
        <v>3812</v>
      </c>
      <c r="C296" s="90" t="s">
        <v>3636</v>
      </c>
      <c r="D296" t="s">
        <v>5562</v>
      </c>
      <c r="E296" s="101" t="s">
        <v>5814</v>
      </c>
      <c r="F296" t="str" cm="1">
        <f t="array" aca="1" ref="F296" ca="1">INDIRECT("'" &amp; A296 &amp; "'!" &amp; B296)</f>
        <v>c3</v>
      </c>
      <c r="G296" t="str" cm="1">
        <f t="array" aca="1" ref="G296" ca="1">INDIRECT("'" &amp; A296 &amp; "'!" &amp; ADDRESS(1, COLUMN(INDIRECT("'" &amp; A296 &amp; "'!" &amp; B296))))</f>
        <v>1973 - 2</v>
      </c>
      <c r="H296" t="str">
        <f ca="1">VLOOKUP($G296, survey_codes_dict!A:C, 2, FALSE)</f>
        <v>1973_2</v>
      </c>
      <c r="I296" s="102" t="str">
        <f ca="1">VLOOKUP($G296, survey_codes_dict!A:D, 4, FALSE)</f>
        <v>1973_1</v>
      </c>
      <c r="J296" s="102" t="str">
        <f t="shared" ca="1" si="8"/>
        <v>1973_2__c3</v>
      </c>
      <c r="K296" s="102" t="str">
        <f t="shared" ca="1" si="9"/>
        <v>1973_1__c3</v>
      </c>
      <c r="L296" s="102"/>
      <c r="M296" s="102"/>
      <c r="N296" s="102"/>
      <c r="O296" s="102"/>
      <c r="P296" s="102"/>
      <c r="Q296" s="102"/>
      <c r="R296" s="102"/>
      <c r="S296" s="101"/>
    </row>
    <row r="297" spans="1:19" ht="28.8" x14ac:dyDescent="0.3">
      <c r="A297" t="s">
        <v>3769</v>
      </c>
      <c r="B297" t="s">
        <v>3813</v>
      </c>
      <c r="C297" s="90" t="s">
        <v>3348</v>
      </c>
      <c r="D297" t="s">
        <v>5675</v>
      </c>
      <c r="E297" s="101" t="s">
        <v>5566</v>
      </c>
      <c r="F297" t="str" cm="1">
        <f t="array" aca="1" ref="F297" ca="1">INDIRECT("'" &amp; A297 &amp; "'!" &amp; B297)</f>
        <v>c9</v>
      </c>
      <c r="G297" t="str" cm="1">
        <f t="array" aca="1" ref="G297" ca="1">INDIRECT("'" &amp; A297 &amp; "'!" &amp; ADDRESS(1, COLUMN(INDIRECT("'" &amp; A297 &amp; "'!" &amp; B297))))</f>
        <v>1973 - 2</v>
      </c>
      <c r="H297" t="str">
        <f ca="1">VLOOKUP($G297, survey_codes_dict!A:C, 2, FALSE)</f>
        <v>1973_2</v>
      </c>
      <c r="I297" s="102" t="str">
        <f ca="1">VLOOKUP($G297, survey_codes_dict!A:D, 4, FALSE)</f>
        <v>1973_1</v>
      </c>
      <c r="J297" s="102" t="str">
        <f t="shared" ca="1" si="8"/>
        <v>1973_2__c9</v>
      </c>
      <c r="K297" s="102" t="str">
        <f t="shared" ca="1" si="9"/>
        <v>1973_1__c9</v>
      </c>
      <c r="L297" s="102"/>
      <c r="M297" s="102"/>
      <c r="N297" s="102"/>
      <c r="O297" s="102"/>
      <c r="P297" s="102"/>
      <c r="Q297" s="102"/>
      <c r="R297" s="102"/>
      <c r="S297" s="101"/>
    </row>
    <row r="298" spans="1:19" ht="72" x14ac:dyDescent="0.3">
      <c r="A298" t="s">
        <v>3769</v>
      </c>
      <c r="B298" t="s">
        <v>3814</v>
      </c>
      <c r="C298" s="90" t="s">
        <v>3712</v>
      </c>
      <c r="D298" t="s">
        <v>5562</v>
      </c>
      <c r="E298" s="101" t="s">
        <v>5848</v>
      </c>
      <c r="F298" t="str" cm="1">
        <f t="array" aca="1" ref="F298" ca="1">INDIRECT("'" &amp; A298 &amp; "'!" &amp; B298)</f>
        <v>c26</v>
      </c>
      <c r="G298" t="str" cm="1">
        <f t="array" aca="1" ref="G298" ca="1">INDIRECT("'" &amp; A298 &amp; "'!" &amp; ADDRESS(1, COLUMN(INDIRECT("'" &amp; A298 &amp; "'!" &amp; B298))))</f>
        <v>1973 - 2</v>
      </c>
      <c r="H298" t="str">
        <f ca="1">VLOOKUP($G298, survey_codes_dict!A:C, 2, FALSE)</f>
        <v>1973_2</v>
      </c>
      <c r="I298" s="102" t="str">
        <f ca="1">VLOOKUP($G298, survey_codes_dict!A:D, 4, FALSE)</f>
        <v>1973_1</v>
      </c>
      <c r="J298" s="102" t="str">
        <f t="shared" ca="1" si="8"/>
        <v>1973_2__c26</v>
      </c>
      <c r="K298" s="102" t="str">
        <f t="shared" ca="1" si="9"/>
        <v>1973_1__c26</v>
      </c>
      <c r="L298" s="102"/>
      <c r="M298" s="102"/>
      <c r="N298" s="102"/>
      <c r="O298" s="102"/>
      <c r="P298" s="102"/>
      <c r="Q298" s="102"/>
      <c r="R298" s="102"/>
      <c r="S298" s="101"/>
    </row>
    <row r="299" spans="1:19" ht="57.6" x14ac:dyDescent="0.3">
      <c r="A299" t="s">
        <v>3769</v>
      </c>
      <c r="B299" t="s">
        <v>3815</v>
      </c>
      <c r="C299" s="90" t="s">
        <v>3816</v>
      </c>
      <c r="D299" t="s">
        <v>5562</v>
      </c>
      <c r="E299" s="101" t="s">
        <v>5883</v>
      </c>
      <c r="F299" t="str" cm="1">
        <f t="array" aca="1" ref="F299" ca="1">INDIRECT("'" &amp; A299 &amp; "'!" &amp; B299)</f>
        <v>v5</v>
      </c>
      <c r="G299" t="str" cm="1">
        <f t="array" aca="1" ref="G299" ca="1">INDIRECT("'" &amp; A299 &amp; "'!" &amp; ADDRESS(1, COLUMN(INDIRECT("'" &amp; A299 &amp; "'!" &amp; B299))))</f>
        <v>1973 - 1</v>
      </c>
      <c r="H299" t="str">
        <f ca="1">VLOOKUP($G299, survey_codes_dict!A:C, 2, FALSE)</f>
        <v>1973_1</v>
      </c>
      <c r="I299" s="102" t="str">
        <f ca="1">VLOOKUP($G299, survey_codes_dict!A:D, 4, FALSE)</f>
        <v>1969_2</v>
      </c>
      <c r="J299" s="102" t="str">
        <f t="shared" ca="1" si="8"/>
        <v>1973_1__v5</v>
      </c>
      <c r="K299" s="102" t="str">
        <f t="shared" ca="1" si="9"/>
        <v>1969_2__v5</v>
      </c>
      <c r="L299" s="102"/>
      <c r="M299" s="102"/>
      <c r="N299" s="102"/>
      <c r="O299" s="102"/>
      <c r="P299" s="102"/>
      <c r="Q299" s="102"/>
      <c r="R299" s="102"/>
      <c r="S299" s="101"/>
    </row>
    <row r="300" spans="1:19" ht="72" x14ac:dyDescent="0.3">
      <c r="A300" t="s">
        <v>3769</v>
      </c>
      <c r="B300" t="s">
        <v>3817</v>
      </c>
      <c r="C300" s="90" t="s">
        <v>3818</v>
      </c>
      <c r="D300" t="s">
        <v>5562</v>
      </c>
      <c r="E300" s="101" t="s">
        <v>5884</v>
      </c>
      <c r="F300" t="str" cm="1">
        <f t="array" aca="1" ref="F300" ca="1">INDIRECT("'" &amp; A300 &amp; "'!" &amp; B300)</f>
        <v>d43</v>
      </c>
      <c r="G300" t="str" cm="1">
        <f t="array" aca="1" ref="G300" ca="1">INDIRECT("'" &amp; A300 &amp; "'!" &amp; ADDRESS(1, COLUMN(INDIRECT("'" &amp; A300 &amp; "'!" &amp; B300))))</f>
        <v>1973 - 2</v>
      </c>
      <c r="H300" t="str">
        <f ca="1">VLOOKUP($G300, survey_codes_dict!A:C, 2, FALSE)</f>
        <v>1973_2</v>
      </c>
      <c r="I300" s="102" t="str">
        <f ca="1">VLOOKUP($G300, survey_codes_dict!A:D, 4, FALSE)</f>
        <v>1973_1</v>
      </c>
      <c r="J300" s="102" t="str">
        <f t="shared" ca="1" si="8"/>
        <v>1973_2__d43</v>
      </c>
      <c r="K300" s="102" t="str">
        <f t="shared" ca="1" si="9"/>
        <v>1973_1__d43</v>
      </c>
      <c r="L300" s="102"/>
      <c r="M300" s="102"/>
      <c r="N300" s="102"/>
      <c r="O300" s="102"/>
      <c r="P300" s="102"/>
      <c r="Q300" s="102"/>
      <c r="R300" s="102"/>
      <c r="S300" s="101"/>
    </row>
    <row r="301" spans="1:19" ht="72" x14ac:dyDescent="0.3">
      <c r="A301" t="s">
        <v>3769</v>
      </c>
      <c r="B301" t="s">
        <v>3819</v>
      </c>
      <c r="C301" s="90" t="s">
        <v>3712</v>
      </c>
      <c r="D301" t="s">
        <v>5562</v>
      </c>
      <c r="E301" s="101" t="s">
        <v>5848</v>
      </c>
      <c r="F301" t="str" cm="1">
        <f t="array" aca="1" ref="F301" ca="1">INDIRECT("'" &amp; A301 &amp; "'!" &amp; B301)</f>
        <v>c41</v>
      </c>
      <c r="G301" t="str" cm="1">
        <f t="array" aca="1" ref="G301" ca="1">INDIRECT("'" &amp; A301 &amp; "'!" &amp; ADDRESS(1, COLUMN(INDIRECT("'" &amp; A301 &amp; "'!" &amp; B301))))</f>
        <v>1973 - 2</v>
      </c>
      <c r="H301" t="str">
        <f ca="1">VLOOKUP($G301, survey_codes_dict!A:C, 2, FALSE)</f>
        <v>1973_2</v>
      </c>
      <c r="I301" s="102" t="str">
        <f ca="1">VLOOKUP($G301, survey_codes_dict!A:D, 4, FALSE)</f>
        <v>1973_1</v>
      </c>
      <c r="J301" s="102" t="str">
        <f t="shared" ca="1" si="8"/>
        <v>1973_2__c41</v>
      </c>
      <c r="K301" s="102" t="str">
        <f t="shared" ca="1" si="9"/>
        <v>1973_1__c41</v>
      </c>
      <c r="L301" s="102"/>
      <c r="M301" s="102"/>
      <c r="N301" s="102"/>
      <c r="O301" s="102"/>
      <c r="P301" s="102"/>
      <c r="Q301" s="102"/>
      <c r="R301" s="102"/>
      <c r="S301" s="101"/>
    </row>
    <row r="302" spans="1:19" ht="72" x14ac:dyDescent="0.3">
      <c r="A302" t="s">
        <v>3769</v>
      </c>
      <c r="B302" t="s">
        <v>3820</v>
      </c>
      <c r="C302" s="90" t="s">
        <v>3712</v>
      </c>
      <c r="D302" t="s">
        <v>5562</v>
      </c>
      <c r="E302" s="101" t="s">
        <v>5848</v>
      </c>
      <c r="F302" t="str" cm="1">
        <f t="array" aca="1" ref="F302" ca="1">INDIRECT("'" &amp; A302 &amp; "'!" &amp; B302)</f>
        <v>g6</v>
      </c>
      <c r="G302" t="str" cm="1">
        <f t="array" aca="1" ref="G302" ca="1">INDIRECT("'" &amp; A302 &amp; "'!" &amp; ADDRESS(1, COLUMN(INDIRECT("'" &amp; A302 &amp; "'!" &amp; B302))))</f>
        <v>1973 - 4</v>
      </c>
      <c r="H302" t="str">
        <f ca="1">VLOOKUP($G302, survey_codes_dict!A:C, 2, FALSE)</f>
        <v>1973_4</v>
      </c>
      <c r="I302" s="102" t="str">
        <f ca="1">VLOOKUP($G302, survey_codes_dict!A:D, 4, FALSE)</f>
        <v>1973_3</v>
      </c>
      <c r="J302" s="102" t="str">
        <f t="shared" ca="1" si="8"/>
        <v>1973_4__g6</v>
      </c>
      <c r="K302" s="102" t="str">
        <f t="shared" ca="1" si="9"/>
        <v>1973_3__g6</v>
      </c>
      <c r="L302" s="102"/>
      <c r="M302" s="102"/>
      <c r="N302" s="102"/>
      <c r="O302" s="102"/>
      <c r="P302" s="102"/>
      <c r="Q302" s="102"/>
      <c r="R302" s="102"/>
      <c r="S302" s="101"/>
    </row>
    <row r="303" spans="1:19" ht="72" x14ac:dyDescent="0.3">
      <c r="A303" t="s">
        <v>3769</v>
      </c>
      <c r="B303" t="s">
        <v>3821</v>
      </c>
      <c r="C303" s="90" t="s">
        <v>3712</v>
      </c>
      <c r="D303" t="s">
        <v>5562</v>
      </c>
      <c r="E303" s="101" t="s">
        <v>5848</v>
      </c>
      <c r="F303" t="str" cm="1">
        <f t="array" aca="1" ref="F303" ca="1">INDIRECT("'" &amp; A303 &amp; "'!" &amp; B303)</f>
        <v>c39</v>
      </c>
      <c r="G303" t="str" cm="1">
        <f t="array" aca="1" ref="G303" ca="1">INDIRECT("'" &amp; A303 &amp; "'!" &amp; ADDRESS(1, COLUMN(INDIRECT("'" &amp; A303 &amp; "'!" &amp; B303))))</f>
        <v>1973 - 2</v>
      </c>
      <c r="H303" t="str">
        <f ca="1">VLOOKUP($G303, survey_codes_dict!A:C, 2, FALSE)</f>
        <v>1973_2</v>
      </c>
      <c r="I303" s="102" t="str">
        <f ca="1">VLOOKUP($G303, survey_codes_dict!A:D, 4, FALSE)</f>
        <v>1973_1</v>
      </c>
      <c r="J303" s="102" t="str">
        <f t="shared" ca="1" si="8"/>
        <v>1973_2__c39</v>
      </c>
      <c r="K303" s="102" t="str">
        <f t="shared" ca="1" si="9"/>
        <v>1973_1__c39</v>
      </c>
      <c r="L303" s="102"/>
      <c r="M303" s="102"/>
      <c r="N303" s="102"/>
      <c r="O303" s="102"/>
      <c r="P303" s="102"/>
      <c r="Q303" s="102"/>
      <c r="R303" s="102"/>
      <c r="S303" s="101"/>
    </row>
    <row r="304" spans="1:19" ht="86.4" x14ac:dyDescent="0.3">
      <c r="A304" t="s">
        <v>3769</v>
      </c>
      <c r="B304" t="s">
        <v>3822</v>
      </c>
      <c r="C304" s="90" t="s">
        <v>3823</v>
      </c>
      <c r="D304" t="s">
        <v>5562</v>
      </c>
      <c r="E304" s="101" t="s">
        <v>5885</v>
      </c>
      <c r="F304" t="str" cm="1">
        <f t="array" aca="1" ref="F304" ca="1">INDIRECT("'" &amp; A304 &amp; "'!" &amp; B304)</f>
        <v>v19</v>
      </c>
      <c r="G304" t="str" cm="1">
        <f t="array" aca="1" ref="G304" ca="1">INDIRECT("'" &amp; A304 &amp; "'!" &amp; ADDRESS(1, COLUMN(INDIRECT("'" &amp; A304 &amp; "'!" &amp; B304))))</f>
        <v>1973 - 1</v>
      </c>
      <c r="H304" t="str">
        <f ca="1">VLOOKUP($G304, survey_codes_dict!A:C, 2, FALSE)</f>
        <v>1973_1</v>
      </c>
      <c r="I304" s="102" t="str">
        <f ca="1">VLOOKUP($G304, survey_codes_dict!A:D, 4, FALSE)</f>
        <v>1969_2</v>
      </c>
      <c r="J304" s="102" t="str">
        <f t="shared" ca="1" si="8"/>
        <v>1973_1__v19</v>
      </c>
      <c r="K304" s="102" t="str">
        <f t="shared" ca="1" si="9"/>
        <v>1969_2__v19</v>
      </c>
      <c r="L304" s="102"/>
      <c r="M304" s="102"/>
      <c r="N304" s="102"/>
      <c r="O304" s="102"/>
      <c r="P304" s="102"/>
      <c r="Q304" s="102"/>
      <c r="R304" s="102"/>
      <c r="S304" s="101"/>
    </row>
    <row r="305" spans="1:19" ht="72" x14ac:dyDescent="0.3">
      <c r="A305" t="s">
        <v>3769</v>
      </c>
      <c r="B305" t="s">
        <v>3824</v>
      </c>
      <c r="C305" s="90" t="s">
        <v>3825</v>
      </c>
      <c r="D305" t="s">
        <v>5562</v>
      </c>
      <c r="E305" s="101" t="s">
        <v>5886</v>
      </c>
      <c r="F305" t="str" cm="1">
        <f t="array" aca="1" ref="F305" ca="1">INDIRECT("'" &amp; A305 &amp; "'!" &amp; B305)</f>
        <v>v40</v>
      </c>
      <c r="G305" t="str" cm="1">
        <f t="array" aca="1" ref="G305" ca="1">INDIRECT("'" &amp; A305 &amp; "'!" &amp; ADDRESS(1, COLUMN(INDIRECT("'" &amp; A305 &amp; "'!" &amp; B305))))</f>
        <v>1973 - 1</v>
      </c>
      <c r="H305" t="str">
        <f ca="1">VLOOKUP($G305, survey_codes_dict!A:C, 2, FALSE)</f>
        <v>1973_1</v>
      </c>
      <c r="I305" s="102" t="str">
        <f ca="1">VLOOKUP($G305, survey_codes_dict!A:D, 4, FALSE)</f>
        <v>1969_2</v>
      </c>
      <c r="J305" s="102" t="str">
        <f t="shared" ca="1" si="8"/>
        <v>1973_1__v40</v>
      </c>
      <c r="K305" s="102" t="str">
        <f t="shared" ca="1" si="9"/>
        <v>1969_2__v40</v>
      </c>
      <c r="L305" s="102"/>
      <c r="M305" s="102"/>
      <c r="N305" s="102"/>
      <c r="O305" s="102"/>
      <c r="P305" s="102"/>
      <c r="Q305" s="102"/>
      <c r="R305" s="102"/>
      <c r="S305" s="101"/>
    </row>
    <row r="306" spans="1:19" ht="72" x14ac:dyDescent="0.3">
      <c r="A306" t="s">
        <v>3769</v>
      </c>
      <c r="B306" t="s">
        <v>3826</v>
      </c>
      <c r="C306" s="90" t="s">
        <v>3778</v>
      </c>
      <c r="D306" t="s">
        <v>5562</v>
      </c>
      <c r="E306" s="101" t="s">
        <v>5869</v>
      </c>
      <c r="F306" t="str" cm="1">
        <f t="array" aca="1" ref="F306" ca="1">INDIRECT("'" &amp; A306 &amp; "'!" &amp; B306)</f>
        <v>b11</v>
      </c>
      <c r="G306" t="str" cm="1">
        <f t="array" aca="1" ref="G306" ca="1">INDIRECT("'" &amp; A306 &amp; "'!" &amp; ADDRESS(1, COLUMN(INDIRECT("'" &amp; A306 &amp; "'!" &amp; B306))))</f>
        <v>1969 - 2</v>
      </c>
      <c r="H306" t="str">
        <f ca="1">VLOOKUP($G306, survey_codes_dict!A:C, 2, FALSE)</f>
        <v>1969_2</v>
      </c>
      <c r="I306" s="102" t="str">
        <f ca="1">VLOOKUP($G306, survey_codes_dict!A:D, 4, FALSE)</f>
        <v>1969_1</v>
      </c>
      <c r="J306" s="102" t="str">
        <f t="shared" ca="1" si="8"/>
        <v>1969_2__b11</v>
      </c>
      <c r="K306" s="102" t="str">
        <f t="shared" ca="1" si="9"/>
        <v>1969_1__b11</v>
      </c>
      <c r="L306" s="102"/>
      <c r="M306" s="102"/>
      <c r="N306" s="102"/>
      <c r="O306" s="102"/>
      <c r="P306" s="102"/>
      <c r="Q306" s="102"/>
      <c r="R306" s="102"/>
      <c r="S306" s="101"/>
    </row>
    <row r="307" spans="1:19" ht="72" x14ac:dyDescent="0.3">
      <c r="A307" t="s">
        <v>3769</v>
      </c>
      <c r="B307" t="s">
        <v>3827</v>
      </c>
      <c r="C307" s="90" t="s">
        <v>3828</v>
      </c>
      <c r="D307" t="s">
        <v>5562</v>
      </c>
      <c r="E307" s="101" t="s">
        <v>5887</v>
      </c>
      <c r="F307" t="str" cm="1">
        <f t="array" aca="1" ref="F307" ca="1">INDIRECT("'" &amp; A307 &amp; "'!" &amp; B307)</f>
        <v>v48</v>
      </c>
      <c r="G307" t="str" cm="1">
        <f t="array" aca="1" ref="G307" ca="1">INDIRECT("'" &amp; A307 &amp; "'!" &amp; ADDRESS(1, COLUMN(INDIRECT("'" &amp; A307 &amp; "'!" &amp; B307))))</f>
        <v>1973 - 1</v>
      </c>
      <c r="H307" t="str">
        <f ca="1">VLOOKUP($G307, survey_codes_dict!A:C, 2, FALSE)</f>
        <v>1973_1</v>
      </c>
      <c r="I307" s="102" t="str">
        <f ca="1">VLOOKUP($G307, survey_codes_dict!A:D, 4, FALSE)</f>
        <v>1969_2</v>
      </c>
      <c r="J307" s="102" t="str">
        <f t="shared" ca="1" si="8"/>
        <v>1973_1__v48</v>
      </c>
      <c r="K307" s="102" t="str">
        <f t="shared" ca="1" si="9"/>
        <v>1969_2__v48</v>
      </c>
      <c r="L307" s="102"/>
      <c r="M307" s="102"/>
      <c r="N307" s="102"/>
      <c r="O307" s="102"/>
      <c r="P307" s="102"/>
      <c r="Q307" s="102"/>
      <c r="R307" s="102"/>
      <c r="S307" s="101"/>
    </row>
    <row r="308" spans="1:19" ht="72" x14ac:dyDescent="0.3">
      <c r="A308" t="s">
        <v>3769</v>
      </c>
      <c r="B308" t="s">
        <v>3829</v>
      </c>
      <c r="C308" s="90" t="s">
        <v>3712</v>
      </c>
      <c r="D308" t="s">
        <v>5562</v>
      </c>
      <c r="E308" s="101" t="s">
        <v>5848</v>
      </c>
      <c r="F308" t="str" cm="1">
        <f t="array" aca="1" ref="F308" ca="1">INDIRECT("'" &amp; A308 &amp; "'!" &amp; B308)</f>
        <v>a61</v>
      </c>
      <c r="G308" t="str" cm="1">
        <f t="array" aca="1" ref="G308" ca="1">INDIRECT("'" &amp; A308 &amp; "'!" &amp; ADDRESS(1, COLUMN(INDIRECT("'" &amp; A308 &amp; "'!" &amp; B308))))</f>
        <v>1969 - 1</v>
      </c>
      <c r="H308" t="str">
        <f ca="1">VLOOKUP($G308, survey_codes_dict!A:C, 2, FALSE)</f>
        <v>1969_1</v>
      </c>
      <c r="I308" s="102">
        <f ca="1">VLOOKUP($G308, survey_codes_dict!A:D, 4, FALSE)</f>
        <v>0</v>
      </c>
      <c r="J308" s="102" t="str">
        <f t="shared" ca="1" si="8"/>
        <v>1969_1__a61</v>
      </c>
      <c r="K308" s="102" t="str">
        <f t="shared" ca="1" si="9"/>
        <v>0__a61</v>
      </c>
      <c r="L308" s="102"/>
      <c r="M308" s="102"/>
      <c r="N308" s="102"/>
      <c r="O308" s="102"/>
      <c r="P308" s="102"/>
      <c r="Q308" s="102"/>
      <c r="R308" s="102"/>
      <c r="S308" s="101"/>
    </row>
    <row r="309" spans="1:19" ht="72" x14ac:dyDescent="0.3">
      <c r="A309" t="s">
        <v>3769</v>
      </c>
      <c r="B309" t="s">
        <v>3432</v>
      </c>
      <c r="C309" s="90" t="s">
        <v>3830</v>
      </c>
      <c r="D309" t="s">
        <v>5562</v>
      </c>
      <c r="E309" s="101" t="s">
        <v>5888</v>
      </c>
      <c r="F309" t="str" cm="1">
        <f t="array" aca="1" ref="F309" ca="1">INDIRECT("'" &amp; A309 &amp; "'!" &amp; B309)</f>
        <v>c13</v>
      </c>
      <c r="G309" t="str" cm="1">
        <f t="array" aca="1" ref="G309" ca="1">INDIRECT("'" &amp; A309 &amp; "'!" &amp; ADDRESS(1, COLUMN(INDIRECT("'" &amp; A309 &amp; "'!" &amp; B309))))</f>
        <v>1969 - 3</v>
      </c>
      <c r="H309" t="e">
        <f ca="1">VLOOKUP($G309, survey_codes_dict!A:C, 2, FALSE)</f>
        <v>#N/A</v>
      </c>
      <c r="I309" s="102" t="e">
        <f ca="1">VLOOKUP($G309, survey_codes_dict!A:D, 4, FALSE)</f>
        <v>#N/A</v>
      </c>
      <c r="J309" s="102" t="e">
        <f t="shared" ca="1" si="8"/>
        <v>#N/A</v>
      </c>
      <c r="K309" s="102" t="e">
        <f t="shared" ca="1" si="9"/>
        <v>#N/A</v>
      </c>
      <c r="L309" s="102"/>
      <c r="M309" s="102"/>
      <c r="N309" s="102"/>
      <c r="O309" s="102"/>
      <c r="P309" s="102"/>
      <c r="Q309" s="102"/>
      <c r="R309" s="102"/>
      <c r="S309" s="101"/>
    </row>
    <row r="310" spans="1:19" ht="72" x14ac:dyDescent="0.3">
      <c r="A310" t="s">
        <v>3769</v>
      </c>
      <c r="B310" t="s">
        <v>3831</v>
      </c>
      <c r="C310" s="90" t="s">
        <v>3712</v>
      </c>
      <c r="D310" t="s">
        <v>5562</v>
      </c>
      <c r="E310" s="101" t="s">
        <v>5848</v>
      </c>
      <c r="F310" t="str" cm="1">
        <f t="array" aca="1" ref="F310" ca="1">INDIRECT("'" &amp; A310 &amp; "'!" &amp; B310)</f>
        <v>b12</v>
      </c>
      <c r="G310" t="str" cm="1">
        <f t="array" aca="1" ref="G310" ca="1">INDIRECT("'" &amp; A310 &amp; "'!" &amp; ADDRESS(1, COLUMN(INDIRECT("'" &amp; A310 &amp; "'!" &amp; B310))))</f>
        <v>1969 - 2</v>
      </c>
      <c r="H310" t="str">
        <f ca="1">VLOOKUP($G310, survey_codes_dict!A:C, 2, FALSE)</f>
        <v>1969_2</v>
      </c>
      <c r="I310" s="102" t="str">
        <f ca="1">VLOOKUP($G310, survey_codes_dict!A:D, 4, FALSE)</f>
        <v>1969_1</v>
      </c>
      <c r="J310" s="102" t="str">
        <f t="shared" ca="1" si="8"/>
        <v>1969_2__b12</v>
      </c>
      <c r="K310" s="102" t="str">
        <f t="shared" ca="1" si="9"/>
        <v>1969_1__b12</v>
      </c>
      <c r="L310" s="102"/>
      <c r="M310" s="102"/>
      <c r="N310" s="102"/>
      <c r="O310" s="102"/>
      <c r="P310" s="102"/>
      <c r="Q310" s="102"/>
      <c r="R310" s="102"/>
      <c r="S310" s="101"/>
    </row>
    <row r="311" spans="1:19" ht="72" x14ac:dyDescent="0.3">
      <c r="A311" t="s">
        <v>3769</v>
      </c>
      <c r="B311" t="s">
        <v>3832</v>
      </c>
      <c r="C311" s="90" t="s">
        <v>3833</v>
      </c>
      <c r="D311" t="s">
        <v>5562</v>
      </c>
      <c r="E311" s="101" t="s">
        <v>5889</v>
      </c>
      <c r="F311" t="str" cm="1">
        <f t="array" aca="1" ref="F311" ca="1">INDIRECT("'" &amp; A311 &amp; "'!" &amp; B311)</f>
        <v>a62</v>
      </c>
      <c r="G311" t="str" cm="1">
        <f t="array" aca="1" ref="G311" ca="1">INDIRECT("'" &amp; A311 &amp; "'!" &amp; ADDRESS(1, COLUMN(INDIRECT("'" &amp; A311 &amp; "'!" &amp; B311))))</f>
        <v>1969 - 1</v>
      </c>
      <c r="H311" t="str">
        <f ca="1">VLOOKUP($G311, survey_codes_dict!A:C, 2, FALSE)</f>
        <v>1969_1</v>
      </c>
      <c r="I311" s="102">
        <f ca="1">VLOOKUP($G311, survey_codes_dict!A:D, 4, FALSE)</f>
        <v>0</v>
      </c>
      <c r="J311" s="102" t="str">
        <f t="shared" ca="1" si="8"/>
        <v>1969_1__a62</v>
      </c>
      <c r="K311" s="102" t="str">
        <f t="shared" ca="1" si="9"/>
        <v>0__a62</v>
      </c>
      <c r="L311" s="102"/>
      <c r="M311" s="102"/>
      <c r="N311" s="102"/>
      <c r="O311" s="102"/>
      <c r="P311" s="102"/>
      <c r="Q311" s="102"/>
      <c r="R311" s="102"/>
      <c r="S311" s="101"/>
    </row>
    <row r="312" spans="1:19" ht="72" x14ac:dyDescent="0.3">
      <c r="A312" t="s">
        <v>3769</v>
      </c>
      <c r="B312" t="s">
        <v>3834</v>
      </c>
      <c r="C312" s="90" t="s">
        <v>3712</v>
      </c>
      <c r="D312" t="s">
        <v>5562</v>
      </c>
      <c r="E312" s="101" t="s">
        <v>5848</v>
      </c>
      <c r="F312" t="str" cm="1">
        <f t="array" aca="1" ref="F312" ca="1">INDIRECT("'" &amp; A312 &amp; "'!" &amp; B312)</f>
        <v>a67</v>
      </c>
      <c r="G312" t="str" cm="1">
        <f t="array" aca="1" ref="G312" ca="1">INDIRECT("'" &amp; A312 &amp; "'!" &amp; ADDRESS(1, COLUMN(INDIRECT("'" &amp; A312 &amp; "'!" &amp; B312))))</f>
        <v>1969 - 1</v>
      </c>
      <c r="H312" t="str">
        <f ca="1">VLOOKUP($G312, survey_codes_dict!A:C, 2, FALSE)</f>
        <v>1969_1</v>
      </c>
      <c r="I312" s="102">
        <f ca="1">VLOOKUP($G312, survey_codes_dict!A:D, 4, FALSE)</f>
        <v>0</v>
      </c>
      <c r="J312" s="102" t="str">
        <f t="shared" ca="1" si="8"/>
        <v>1969_1__a67</v>
      </c>
      <c r="K312" s="102" t="str">
        <f t="shared" ca="1" si="9"/>
        <v>0__a67</v>
      </c>
      <c r="L312" s="102"/>
      <c r="M312" s="102"/>
      <c r="N312" s="102"/>
      <c r="O312" s="102"/>
      <c r="P312" s="102"/>
      <c r="Q312" s="102"/>
      <c r="R312" s="102"/>
      <c r="S312" s="101"/>
    </row>
    <row r="313" spans="1:19" ht="72" x14ac:dyDescent="0.3">
      <c r="A313" t="s">
        <v>3769</v>
      </c>
      <c r="B313" t="s">
        <v>3835</v>
      </c>
      <c r="C313" s="90" t="s">
        <v>3833</v>
      </c>
      <c r="D313" t="s">
        <v>5562</v>
      </c>
      <c r="E313" s="101" t="s">
        <v>5889</v>
      </c>
      <c r="F313" t="str" cm="1">
        <f t="array" aca="1" ref="F313" ca="1">INDIRECT("'" &amp; A313 &amp; "'!" &amp; B313)</f>
        <v>a68</v>
      </c>
      <c r="G313" t="str" cm="1">
        <f t="array" aca="1" ref="G313" ca="1">INDIRECT("'" &amp; A313 &amp; "'!" &amp; ADDRESS(1, COLUMN(INDIRECT("'" &amp; A313 &amp; "'!" &amp; B313))))</f>
        <v>1969 - 1</v>
      </c>
      <c r="H313" t="str">
        <f ca="1">VLOOKUP($G313, survey_codes_dict!A:C, 2, FALSE)</f>
        <v>1969_1</v>
      </c>
      <c r="I313" s="102">
        <f ca="1">VLOOKUP($G313, survey_codes_dict!A:D, 4, FALSE)</f>
        <v>0</v>
      </c>
      <c r="J313" s="102" t="str">
        <f t="shared" ca="1" si="8"/>
        <v>1969_1__a68</v>
      </c>
      <c r="K313" s="102" t="str">
        <f t="shared" ca="1" si="9"/>
        <v>0__a68</v>
      </c>
      <c r="L313" s="102"/>
      <c r="M313" s="102"/>
      <c r="N313" s="102"/>
      <c r="O313" s="102"/>
      <c r="P313" s="102"/>
      <c r="Q313" s="102"/>
      <c r="R313" s="102"/>
      <c r="S313" s="101"/>
    </row>
    <row r="314" spans="1:19" ht="72" x14ac:dyDescent="0.3">
      <c r="A314" t="s">
        <v>3769</v>
      </c>
      <c r="B314" t="s">
        <v>3836</v>
      </c>
      <c r="C314" s="90" t="s">
        <v>3712</v>
      </c>
      <c r="D314" t="s">
        <v>5562</v>
      </c>
      <c r="E314" s="101" t="s">
        <v>5848</v>
      </c>
      <c r="F314" t="str" cm="1">
        <f t="array" aca="1" ref="F314" ca="1">INDIRECT("'" &amp; A314 &amp; "'!" &amp; B314)</f>
        <v>a70</v>
      </c>
      <c r="G314" t="str" cm="1">
        <f t="array" aca="1" ref="G314" ca="1">INDIRECT("'" &amp; A314 &amp; "'!" &amp; ADDRESS(1, COLUMN(INDIRECT("'" &amp; A314 &amp; "'!" &amp; B314))))</f>
        <v>1969 - 1</v>
      </c>
      <c r="H314" t="str">
        <f ca="1">VLOOKUP($G314, survey_codes_dict!A:C, 2, FALSE)</f>
        <v>1969_1</v>
      </c>
      <c r="I314" s="102">
        <f ca="1">VLOOKUP($G314, survey_codes_dict!A:D, 4, FALSE)</f>
        <v>0</v>
      </c>
      <c r="J314" s="102" t="str">
        <f t="shared" ca="1" si="8"/>
        <v>1969_1__a70</v>
      </c>
      <c r="K314" s="102" t="str">
        <f t="shared" ca="1" si="9"/>
        <v>0__a70</v>
      </c>
      <c r="L314" s="102"/>
      <c r="M314" s="102"/>
      <c r="N314" s="102"/>
      <c r="O314" s="102"/>
      <c r="P314" s="102"/>
      <c r="Q314" s="102"/>
      <c r="R314" s="102"/>
      <c r="S314" s="101"/>
    </row>
    <row r="315" spans="1:19" ht="72" x14ac:dyDescent="0.3">
      <c r="A315" t="s">
        <v>3769</v>
      </c>
      <c r="B315" t="s">
        <v>3837</v>
      </c>
      <c r="C315" s="90" t="s">
        <v>3833</v>
      </c>
      <c r="D315" t="s">
        <v>5562</v>
      </c>
      <c r="E315" s="101" t="s">
        <v>5889</v>
      </c>
      <c r="F315" t="str" cm="1">
        <f t="array" aca="1" ref="F315" ca="1">INDIRECT("'" &amp; A315 &amp; "'!" &amp; B315)</f>
        <v>a71</v>
      </c>
      <c r="G315" t="str" cm="1">
        <f t="array" aca="1" ref="G315" ca="1">INDIRECT("'" &amp; A315 &amp; "'!" &amp; ADDRESS(1, COLUMN(INDIRECT("'" &amp; A315 &amp; "'!" &amp; B315))))</f>
        <v>1969 - 1</v>
      </c>
      <c r="H315" t="str">
        <f ca="1">VLOOKUP($G315, survey_codes_dict!A:C, 2, FALSE)</f>
        <v>1969_1</v>
      </c>
      <c r="I315" s="102">
        <f ca="1">VLOOKUP($G315, survey_codes_dict!A:D, 4, FALSE)</f>
        <v>0</v>
      </c>
      <c r="J315" s="102" t="str">
        <f t="shared" ca="1" si="8"/>
        <v>1969_1__a71</v>
      </c>
      <c r="K315" s="102" t="str">
        <f t="shared" ca="1" si="9"/>
        <v>0__a71</v>
      </c>
      <c r="L315" s="102"/>
      <c r="M315" s="102"/>
      <c r="N315" s="102"/>
      <c r="O315" s="102"/>
      <c r="P315" s="102"/>
      <c r="Q315" s="102"/>
      <c r="R315" s="102"/>
      <c r="S315" s="101"/>
    </row>
    <row r="316" spans="1:19" ht="72" x14ac:dyDescent="0.3">
      <c r="A316" t="s">
        <v>3769</v>
      </c>
      <c r="B316" t="s">
        <v>3838</v>
      </c>
      <c r="C316" s="90" t="s">
        <v>3839</v>
      </c>
      <c r="D316" t="s">
        <v>5562</v>
      </c>
      <c r="E316" s="101" t="s">
        <v>5890</v>
      </c>
      <c r="F316" t="str" cm="1">
        <f t="array" aca="1" ref="F316" ca="1">INDIRECT("'" &amp; A316 &amp; "'!" &amp; B316)</f>
        <v>a76</v>
      </c>
      <c r="G316" t="str" cm="1">
        <f t="array" aca="1" ref="G316" ca="1">INDIRECT("'" &amp; A316 &amp; "'!" &amp; ADDRESS(1, COLUMN(INDIRECT("'" &amp; A316 &amp; "'!" &amp; B316))))</f>
        <v>1969 - 1</v>
      </c>
      <c r="H316" t="str">
        <f ca="1">VLOOKUP($G316, survey_codes_dict!A:C, 2, FALSE)</f>
        <v>1969_1</v>
      </c>
      <c r="I316" s="102">
        <f ca="1">VLOOKUP($G316, survey_codes_dict!A:D, 4, FALSE)</f>
        <v>0</v>
      </c>
      <c r="J316" s="102" t="str">
        <f t="shared" ca="1" si="8"/>
        <v>1969_1__a76</v>
      </c>
      <c r="K316" s="102" t="str">
        <f t="shared" ca="1" si="9"/>
        <v>0__a76</v>
      </c>
      <c r="L316" s="102"/>
      <c r="M316" s="102"/>
      <c r="N316" s="102"/>
      <c r="O316" s="102"/>
      <c r="P316" s="102"/>
      <c r="Q316" s="102"/>
      <c r="R316" s="102"/>
      <c r="S316" s="101"/>
    </row>
    <row r="317" spans="1:19" ht="72" x14ac:dyDescent="0.3">
      <c r="A317" t="s">
        <v>3769</v>
      </c>
      <c r="B317" t="s">
        <v>3840</v>
      </c>
      <c r="C317" s="90" t="s">
        <v>3841</v>
      </c>
      <c r="D317" t="s">
        <v>5562</v>
      </c>
      <c r="E317" s="101" t="s">
        <v>5891</v>
      </c>
      <c r="F317" t="str" cm="1">
        <f t="array" aca="1" ref="F317" ca="1">INDIRECT("'" &amp; A317 &amp; "'!" &amp; B317)</f>
        <v>a88</v>
      </c>
      <c r="G317" t="str" cm="1">
        <f t="array" aca="1" ref="G317" ca="1">INDIRECT("'" &amp; A317 &amp; "'!" &amp; ADDRESS(1, COLUMN(INDIRECT("'" &amp; A317 &amp; "'!" &amp; B317))))</f>
        <v>1969 - 1</v>
      </c>
      <c r="H317" t="str">
        <f ca="1">VLOOKUP($G317, survey_codes_dict!A:C, 2, FALSE)</f>
        <v>1969_1</v>
      </c>
      <c r="I317" s="102">
        <f ca="1">VLOOKUP($G317, survey_codes_dict!A:D, 4, FALSE)</f>
        <v>0</v>
      </c>
      <c r="J317" s="102" t="str">
        <f t="shared" ca="1" si="8"/>
        <v>1969_1__a88</v>
      </c>
      <c r="K317" s="102" t="str">
        <f t="shared" ca="1" si="9"/>
        <v>0__a88</v>
      </c>
      <c r="L317" s="102"/>
      <c r="M317" s="102"/>
      <c r="N317" s="102"/>
      <c r="O317" s="102"/>
      <c r="P317" s="102"/>
      <c r="Q317" s="102"/>
      <c r="R317" s="102"/>
      <c r="S317" s="101"/>
    </row>
    <row r="318" spans="1:19" ht="57.6" x14ac:dyDescent="0.3">
      <c r="A318" t="s">
        <v>3769</v>
      </c>
      <c r="B318" t="s">
        <v>3842</v>
      </c>
      <c r="C318" s="90" t="s">
        <v>3843</v>
      </c>
      <c r="D318" t="s">
        <v>5562</v>
      </c>
      <c r="E318" s="101" t="s">
        <v>5892</v>
      </c>
      <c r="F318" t="str" cm="1">
        <f t="array" aca="1" ref="F318" ca="1">INDIRECT("'" &amp; A318 &amp; "'!" &amp; B318)</f>
        <v>ccc16</v>
      </c>
      <c r="G318" cm="1">
        <f t="array" aca="1" ref="G318" ca="1">INDIRECT("'" &amp; A318 &amp; "'!" &amp; ADDRESS(1, COLUMN(INDIRECT("'" &amp; A318 &amp; "'!" &amp; B318))))</f>
        <v>1996</v>
      </c>
      <c r="H318" t="str">
        <f ca="1">VLOOKUP($G318, survey_codes_dict!A:C, 2, FALSE)</f>
        <v>1996_Jews</v>
      </c>
      <c r="I318" s="102" t="str">
        <f ca="1">VLOOKUP($G318, survey_codes_dict!A:D, 4, FALSE)</f>
        <v>1992</v>
      </c>
      <c r="J318" s="102" t="str">
        <f t="shared" ca="1" si="8"/>
        <v>1996_Jews__ccc16</v>
      </c>
      <c r="K318" s="102" t="str">
        <f t="shared" ca="1" si="9"/>
        <v>1992__ccc16</v>
      </c>
      <c r="L318" s="102"/>
      <c r="M318" s="102"/>
      <c r="N318" s="102"/>
      <c r="O318" s="102"/>
      <c r="P318" s="102"/>
      <c r="Q318" s="102"/>
      <c r="R318" s="102"/>
      <c r="S318" s="101"/>
    </row>
    <row r="319" spans="1:19" ht="57.6" x14ac:dyDescent="0.3">
      <c r="A319" t="s">
        <v>3769</v>
      </c>
      <c r="B319" t="s">
        <v>3844</v>
      </c>
      <c r="C319" s="90" t="s">
        <v>3843</v>
      </c>
      <c r="D319" t="s">
        <v>5562</v>
      </c>
      <c r="E319" s="101" t="s">
        <v>5892</v>
      </c>
      <c r="F319" t="str" cm="1">
        <f t="array" aca="1" ref="F319" ca="1">INDIRECT("'" &amp; A319 &amp; "'!" &amp; B319)</f>
        <v>ccc17</v>
      </c>
      <c r="G319" cm="1">
        <f t="array" aca="1" ref="G319" ca="1">INDIRECT("'" &amp; A319 &amp; "'!" &amp; ADDRESS(1, COLUMN(INDIRECT("'" &amp; A319 &amp; "'!" &amp; B319))))</f>
        <v>1996</v>
      </c>
      <c r="H319" t="str">
        <f ca="1">VLOOKUP($G319, survey_codes_dict!A:C, 2, FALSE)</f>
        <v>1996_Jews</v>
      </c>
      <c r="I319" s="102" t="str">
        <f ca="1">VLOOKUP($G319, survey_codes_dict!A:D, 4, FALSE)</f>
        <v>1992</v>
      </c>
      <c r="J319" s="102" t="str">
        <f t="shared" ca="1" si="8"/>
        <v>1996_Jews__ccc17</v>
      </c>
      <c r="K319" s="102" t="str">
        <f t="shared" ca="1" si="9"/>
        <v>1992__ccc17</v>
      </c>
      <c r="L319" s="102"/>
      <c r="M319" s="102"/>
      <c r="N319" s="102"/>
      <c r="O319" s="102"/>
      <c r="P319" s="102"/>
      <c r="Q319" s="102"/>
      <c r="R319" s="102"/>
      <c r="S319" s="101"/>
    </row>
    <row r="320" spans="1:19" ht="86.4" x14ac:dyDescent="0.3">
      <c r="A320" t="s">
        <v>3769</v>
      </c>
      <c r="B320" t="s">
        <v>3845</v>
      </c>
      <c r="C320" s="90" t="s">
        <v>3846</v>
      </c>
      <c r="D320" t="s">
        <v>5562</v>
      </c>
      <c r="E320" s="101" t="s">
        <v>5893</v>
      </c>
      <c r="F320" t="str" cm="1">
        <f t="array" aca="1" ref="F320" ca="1">INDIRECT("'" &amp; A320 &amp; "'!" &amp; B320)</f>
        <v>v606</v>
      </c>
      <c r="G320" cm="1">
        <f t="array" aca="1" ref="G320" ca="1">INDIRECT("'" &amp; A320 &amp; "'!" &amp; ADDRESS(1, COLUMN(INDIRECT("'" &amp; A320 &amp; "'!" &amp; B320))))</f>
        <v>2021</v>
      </c>
      <c r="H320" t="e">
        <f ca="1">VLOOKUP($G320, survey_codes_dict!A:C, 2, FALSE)</f>
        <v>#N/A</v>
      </c>
      <c r="I320" s="102" t="e">
        <f ca="1">VLOOKUP($G320, survey_codes_dict!A:D, 4, FALSE)</f>
        <v>#N/A</v>
      </c>
      <c r="J320" s="102" t="e">
        <f t="shared" ca="1" si="8"/>
        <v>#N/A</v>
      </c>
      <c r="K320" s="102" t="e">
        <f t="shared" ca="1" si="9"/>
        <v>#N/A</v>
      </c>
      <c r="L320" s="102"/>
      <c r="M320" s="102"/>
      <c r="N320" s="102"/>
      <c r="O320" s="102"/>
      <c r="P320" s="102"/>
      <c r="Q320" s="102"/>
      <c r="R320" s="102"/>
      <c r="S320" s="102"/>
    </row>
    <row r="321" spans="1:19" ht="86.4" x14ac:dyDescent="0.3">
      <c r="A321" t="s">
        <v>3847</v>
      </c>
      <c r="B321" t="s">
        <v>3562</v>
      </c>
      <c r="C321" s="90" t="s">
        <v>3848</v>
      </c>
      <c r="D321" t="s">
        <v>5562</v>
      </c>
      <c r="E321" s="101" t="s">
        <v>5894</v>
      </c>
      <c r="F321" t="str" cm="1">
        <f t="array" aca="1" ref="F321" ca="1">INDIRECT("'" &amp; A321 &amp; "'!" &amp; B321)</f>
        <v>E8A_after</v>
      </c>
      <c r="G321" cm="1">
        <f t="array" aca="1" ref="G321" ca="1">INDIRECT("'" &amp; A321 &amp; "'!" &amp; ADDRESS(1, COLUMN(INDIRECT("'" &amp; A321 &amp; "'!" &amp; B321))))</f>
        <v>2020</v>
      </c>
      <c r="H321" t="e">
        <f ca="1">VLOOKUP($G321, survey_codes_dict!A:C, 2, FALSE)</f>
        <v>#N/A</v>
      </c>
      <c r="I321" s="102" t="e">
        <f ca="1">VLOOKUP($G321, survey_codes_dict!A:D, 4, FALSE)</f>
        <v>#N/A</v>
      </c>
      <c r="J321" s="102" t="e">
        <f t="shared" ca="1" si="8"/>
        <v>#N/A</v>
      </c>
      <c r="K321" s="102" t="e">
        <f t="shared" ca="1" si="9"/>
        <v>#N/A</v>
      </c>
      <c r="L321" s="102"/>
      <c r="M321" s="102"/>
      <c r="N321" s="102"/>
      <c r="O321" s="102"/>
      <c r="P321" s="102"/>
      <c r="Q321" s="102"/>
      <c r="R321" s="102"/>
      <c r="S321" s="102"/>
    </row>
    <row r="322" spans="1:19" ht="72" x14ac:dyDescent="0.3">
      <c r="A322" t="s">
        <v>3847</v>
      </c>
      <c r="B322" t="s">
        <v>3849</v>
      </c>
      <c r="C322" s="90" t="s">
        <v>3850</v>
      </c>
      <c r="D322" t="s">
        <v>5562</v>
      </c>
      <c r="E322" s="101" t="s">
        <v>5895</v>
      </c>
      <c r="F322" t="str" cm="1">
        <f t="array" aca="1" ref="F322" ca="1">INDIRECT("'" &amp; A322 &amp; "'!" &amp; B322)</f>
        <v>after_v13b_1</v>
      </c>
      <c r="G322" cm="1">
        <f t="array" aca="1" ref="G322" ca="1">INDIRECT("'" &amp; A322 &amp; "'!" &amp; ADDRESS(1, COLUMN(INDIRECT("'" &amp; A322 &amp; "'!" &amp; B322))))</f>
        <v>2015</v>
      </c>
      <c r="H322" t="e">
        <f ca="1">VLOOKUP($G322, survey_codes_dict!A:C, 2, FALSE)</f>
        <v>#N/A</v>
      </c>
      <c r="I322" s="102" t="e">
        <f ca="1">VLOOKUP($G322, survey_codes_dict!A:D, 4, FALSE)</f>
        <v>#N/A</v>
      </c>
      <c r="J322" s="102" t="e">
        <f t="shared" ref="J322:J385" ca="1" si="10">_xlfn.CONCAT($H322, "__", F322)</f>
        <v>#N/A</v>
      </c>
      <c r="K322" s="102" t="e">
        <f t="shared" ref="K322:K385" ca="1" si="11">_xlfn.CONCAT($I322, "__", F322)</f>
        <v>#N/A</v>
      </c>
      <c r="L322" s="102"/>
      <c r="M322" s="102"/>
      <c r="N322" s="102"/>
      <c r="O322" s="102"/>
      <c r="P322" s="102"/>
      <c r="Q322" s="102"/>
      <c r="R322" s="102"/>
      <c r="S322" s="102"/>
    </row>
    <row r="323" spans="1:19" ht="86.4" x14ac:dyDescent="0.3">
      <c r="A323" t="s">
        <v>3847</v>
      </c>
      <c r="B323" t="s">
        <v>3774</v>
      </c>
      <c r="C323" s="90" t="s">
        <v>3851</v>
      </c>
      <c r="D323" t="s">
        <v>5562</v>
      </c>
      <c r="E323" s="101" t="s">
        <v>5896</v>
      </c>
      <c r="F323" t="str" cm="1">
        <f t="array" aca="1" ref="F323" ca="1">INDIRECT("'" &amp; A323 &amp; "'!" &amp; B323)</f>
        <v>E8B_after</v>
      </c>
      <c r="G323" cm="1">
        <f t="array" aca="1" ref="G323" ca="1">INDIRECT("'" &amp; A323 &amp; "'!" &amp; ADDRESS(1, COLUMN(INDIRECT("'" &amp; A323 &amp; "'!" &amp; B323))))</f>
        <v>2020</v>
      </c>
      <c r="H323" t="e">
        <f ca="1">VLOOKUP($G323, survey_codes_dict!A:C, 2, FALSE)</f>
        <v>#N/A</v>
      </c>
      <c r="I323" s="102" t="e">
        <f ca="1">VLOOKUP($G323, survey_codes_dict!A:D, 4, FALSE)</f>
        <v>#N/A</v>
      </c>
      <c r="J323" s="102" t="e">
        <f t="shared" ca="1" si="10"/>
        <v>#N/A</v>
      </c>
      <c r="K323" s="102" t="e">
        <f t="shared" ca="1" si="11"/>
        <v>#N/A</v>
      </c>
      <c r="L323" s="102"/>
      <c r="M323" s="102"/>
      <c r="N323" s="102"/>
      <c r="O323" s="102"/>
      <c r="P323" s="102"/>
      <c r="Q323" s="102"/>
      <c r="R323" s="102"/>
      <c r="S323" s="102"/>
    </row>
    <row r="324" spans="1:19" ht="72" x14ac:dyDescent="0.3">
      <c r="A324" t="s">
        <v>3847</v>
      </c>
      <c r="B324" t="s">
        <v>3852</v>
      </c>
      <c r="C324" s="90" t="s">
        <v>3853</v>
      </c>
      <c r="D324" t="s">
        <v>5562</v>
      </c>
      <c r="E324" s="101" t="s">
        <v>5897</v>
      </c>
      <c r="F324" t="str" cm="1">
        <f t="array" aca="1" ref="F324" ca="1">INDIRECT("'" &amp; A324 &amp; "'!" &amp; B324)</f>
        <v>after_v13b_2</v>
      </c>
      <c r="G324" cm="1">
        <f t="array" aca="1" ref="G324" ca="1">INDIRECT("'" &amp; A324 &amp; "'!" &amp; ADDRESS(1, COLUMN(INDIRECT("'" &amp; A324 &amp; "'!" &amp; B324))))</f>
        <v>2015</v>
      </c>
      <c r="H324" t="e">
        <f ca="1">VLOOKUP($G324, survey_codes_dict!A:C, 2, FALSE)</f>
        <v>#N/A</v>
      </c>
      <c r="I324" s="102" t="e">
        <f ca="1">VLOOKUP($G324, survey_codes_dict!A:D, 4, FALSE)</f>
        <v>#N/A</v>
      </c>
      <c r="J324" s="102" t="e">
        <f t="shared" ca="1" si="10"/>
        <v>#N/A</v>
      </c>
      <c r="K324" s="102" t="e">
        <f t="shared" ca="1" si="11"/>
        <v>#N/A</v>
      </c>
      <c r="L324" s="102"/>
      <c r="M324" s="102"/>
      <c r="N324" s="102"/>
      <c r="O324" s="102"/>
      <c r="P324" s="102"/>
      <c r="Q324" s="102"/>
      <c r="R324" s="102"/>
      <c r="S324" s="102"/>
    </row>
    <row r="325" spans="1:19" ht="86.4" x14ac:dyDescent="0.3">
      <c r="A325" t="s">
        <v>3847</v>
      </c>
      <c r="B325" t="s">
        <v>3573</v>
      </c>
      <c r="C325" s="90" t="s">
        <v>3854</v>
      </c>
      <c r="D325" t="s">
        <v>5562</v>
      </c>
      <c r="E325" s="101" t="s">
        <v>5898</v>
      </c>
      <c r="F325" t="str" cm="1">
        <f t="array" aca="1" ref="F325" ca="1">INDIRECT("'" &amp; A325 &amp; "'!" &amp; B325)</f>
        <v>v53</v>
      </c>
      <c r="G325" cm="1">
        <f t="array" aca="1" ref="G325" ca="1">INDIRECT("'" &amp; A325 &amp; "'!" &amp; ADDRESS(1, COLUMN(INDIRECT("'" &amp; A325 &amp; "'!" &amp; B325))))</f>
        <v>2022</v>
      </c>
      <c r="H325" t="e">
        <f ca="1">VLOOKUP($G325, survey_codes_dict!A:C, 2, FALSE)</f>
        <v>#N/A</v>
      </c>
      <c r="I325" s="102" t="e">
        <f ca="1">VLOOKUP($G325, survey_codes_dict!A:D, 4, FALSE)</f>
        <v>#N/A</v>
      </c>
      <c r="J325" s="102" t="e">
        <f t="shared" ca="1" si="10"/>
        <v>#N/A</v>
      </c>
      <c r="K325" s="102" t="e">
        <f t="shared" ca="1" si="11"/>
        <v>#N/A</v>
      </c>
      <c r="L325" s="102"/>
      <c r="M325" s="102"/>
      <c r="N325" s="102"/>
      <c r="O325" s="102"/>
      <c r="P325" s="102"/>
      <c r="Q325" s="102"/>
      <c r="R325" s="102"/>
      <c r="S325" s="101"/>
    </row>
    <row r="326" spans="1:19" ht="115.2" x14ac:dyDescent="0.3">
      <c r="A326" t="s">
        <v>3847</v>
      </c>
      <c r="B326" t="s">
        <v>3579</v>
      </c>
      <c r="C326" s="90" t="s">
        <v>3855</v>
      </c>
      <c r="D326" t="s">
        <v>5562</v>
      </c>
      <c r="E326" s="101" t="s">
        <v>5899</v>
      </c>
      <c r="F326" t="str" cm="1">
        <f t="array" aca="1" ref="F326" ca="1">INDIRECT("'" &amp; A326 &amp; "'!" &amp; B326)</f>
        <v>v53</v>
      </c>
      <c r="G326" cm="1">
        <f t="array" aca="1" ref="G326" ca="1">INDIRECT("'" &amp; A326 &amp; "'!" &amp; ADDRESS(1, COLUMN(INDIRECT("'" &amp; A326 &amp; "'!" &amp; B326))))</f>
        <v>43556</v>
      </c>
      <c r="H326" t="e">
        <f ca="1">VLOOKUP($G326, survey_codes_dict!A:C, 2, FALSE)</f>
        <v>#N/A</v>
      </c>
      <c r="I326" s="102" t="e">
        <f ca="1">VLOOKUP($G326, survey_codes_dict!A:D, 4, FALSE)</f>
        <v>#N/A</v>
      </c>
      <c r="J326" s="102" t="e">
        <f t="shared" ca="1" si="10"/>
        <v>#N/A</v>
      </c>
      <c r="K326" s="102" t="e">
        <f t="shared" ca="1" si="11"/>
        <v>#N/A</v>
      </c>
      <c r="L326" s="102"/>
      <c r="M326" s="102"/>
      <c r="N326" s="102"/>
      <c r="O326" s="102"/>
      <c r="P326" s="102"/>
      <c r="Q326" s="102"/>
      <c r="R326" s="102"/>
      <c r="S326" s="101"/>
    </row>
    <row r="327" spans="1:19" ht="100.8" x14ac:dyDescent="0.3">
      <c r="A327" t="s">
        <v>3847</v>
      </c>
      <c r="B327" t="s">
        <v>3856</v>
      </c>
      <c r="C327" s="90" t="s">
        <v>3857</v>
      </c>
      <c r="D327" t="s">
        <v>5562</v>
      </c>
      <c r="E327" s="101" t="s">
        <v>5900</v>
      </c>
      <c r="F327" t="str" cm="1">
        <f t="array" aca="1" ref="F327" ca="1">INDIRECT("'" &amp; A327 &amp; "'!" &amp; B327)</f>
        <v>a133</v>
      </c>
      <c r="G327" t="str" cm="1">
        <f t="array" aca="1" ref="G327" ca="1">INDIRECT("'" &amp; A327 &amp; "'!" &amp; ADDRESS(1, COLUMN(INDIRECT("'" &amp; A327 &amp; "'!" &amp; B327))))</f>
        <v>1981 - 2</v>
      </c>
      <c r="H327">
        <f ca="1">VLOOKUP($G327, survey_codes_dict!A:C, 2, FALSE)</f>
        <v>0</v>
      </c>
      <c r="I327" s="102" t="str">
        <f ca="1">VLOOKUP($G327, survey_codes_dict!A:D, 4, FALSE)</f>
        <v>1981_1</v>
      </c>
      <c r="J327" s="102" t="str">
        <f t="shared" ca="1" si="10"/>
        <v>0__a133</v>
      </c>
      <c r="K327" s="102" t="str">
        <f t="shared" ca="1" si="11"/>
        <v>1981_1__a133</v>
      </c>
      <c r="L327" s="102"/>
      <c r="M327" s="102"/>
      <c r="N327" s="102"/>
      <c r="O327" s="102"/>
      <c r="P327" s="102"/>
      <c r="Q327" s="102"/>
      <c r="R327" s="102"/>
      <c r="S327" s="102"/>
    </row>
    <row r="328" spans="1:19" ht="57.6" x14ac:dyDescent="0.3">
      <c r="A328" t="s">
        <v>3847</v>
      </c>
      <c r="B328" t="s">
        <v>3858</v>
      </c>
      <c r="C328" s="90" t="s">
        <v>3859</v>
      </c>
      <c r="D328" t="s">
        <v>5562</v>
      </c>
      <c r="E328" s="101" t="s">
        <v>5901</v>
      </c>
      <c r="F328" t="str" cm="1">
        <f t="array" aca="1" ref="F328" ca="1">INDIRECT("'" &amp; A328 &amp; "'!" &amp; B328)</f>
        <v>v111</v>
      </c>
      <c r="G328" cm="1">
        <f t="array" aca="1" ref="G328" ca="1">INDIRECT("'" &amp; A328 &amp; "'!" &amp; ADDRESS(1, COLUMN(INDIRECT("'" &amp; A328 &amp; "'!" &amp; B328))))</f>
        <v>2020</v>
      </c>
      <c r="H328" t="e">
        <f ca="1">VLOOKUP($G328, survey_codes_dict!A:C, 2, FALSE)</f>
        <v>#N/A</v>
      </c>
      <c r="I328" s="102" t="e">
        <f ca="1">VLOOKUP($G328, survey_codes_dict!A:D, 4, FALSE)</f>
        <v>#N/A</v>
      </c>
      <c r="J328" s="102" t="e">
        <f t="shared" ca="1" si="10"/>
        <v>#N/A</v>
      </c>
      <c r="K328" s="102" t="e">
        <f t="shared" ca="1" si="11"/>
        <v>#N/A</v>
      </c>
      <c r="L328" s="102"/>
      <c r="M328" s="102"/>
      <c r="N328" s="102"/>
      <c r="O328" s="102"/>
      <c r="P328" s="102"/>
      <c r="Q328" s="102"/>
      <c r="R328" s="102"/>
      <c r="S328" s="101"/>
    </row>
    <row r="329" spans="1:19" ht="43.2" x14ac:dyDescent="0.3">
      <c r="A329" t="s">
        <v>3847</v>
      </c>
      <c r="B329" t="s">
        <v>3860</v>
      </c>
      <c r="C329" s="90" t="s">
        <v>3861</v>
      </c>
      <c r="D329" t="s">
        <v>5562</v>
      </c>
      <c r="E329" s="101" t="s">
        <v>5902</v>
      </c>
      <c r="F329" t="str" cm="1">
        <f t="array" aca="1" ref="F329" ca="1">INDIRECT("'" &amp; A329 &amp; "'!" &amp; B329)</f>
        <v>האם אתה יכול לראות את עצמך בתנאים מסוימים עובר למחנה השמאל או למחנה הימין?</v>
      </c>
      <c r="G329" t="str" cm="1">
        <f t="array" aca="1" ref="G329" ca="1">INDIRECT("'" &amp; A329 &amp; "'!" &amp; ADDRESS(1, COLUMN(INDIRECT("'" &amp; A329 &amp; "'!" &amp; B329))))</f>
        <v>שאלה</v>
      </c>
      <c r="H329" t="e">
        <f ca="1">VLOOKUP($G329, survey_codes_dict!A:C, 2, FALSE)</f>
        <v>#N/A</v>
      </c>
      <c r="I329" s="102" t="e">
        <f ca="1">VLOOKUP($G329, survey_codes_dict!A:D, 4, FALSE)</f>
        <v>#N/A</v>
      </c>
      <c r="J329" s="102" t="e">
        <f t="shared" ca="1" si="10"/>
        <v>#N/A</v>
      </c>
      <c r="K329" s="102" t="e">
        <f t="shared" ca="1" si="11"/>
        <v>#N/A</v>
      </c>
      <c r="L329" s="102"/>
      <c r="M329" s="102"/>
      <c r="N329" s="102"/>
      <c r="O329" s="102"/>
      <c r="P329" s="102"/>
      <c r="Q329" s="102"/>
      <c r="R329" s="102"/>
      <c r="S329" s="102"/>
    </row>
    <row r="330" spans="1:19" ht="72" x14ac:dyDescent="0.3">
      <c r="A330" t="s">
        <v>3847</v>
      </c>
      <c r="B330" t="s">
        <v>3862</v>
      </c>
      <c r="C330" s="90" t="s">
        <v>3863</v>
      </c>
      <c r="D330" t="s">
        <v>5562</v>
      </c>
      <c r="E330" s="101" t="s">
        <v>5903</v>
      </c>
      <c r="F330" t="str" cm="1">
        <f t="array" aca="1" ref="F330" ca="1">INDIRECT("'" &amp; A330 &amp; "'!" &amp; B330)</f>
        <v>i20</v>
      </c>
      <c r="G330" cm="1">
        <f t="array" aca="1" ref="G330" ca="1">INDIRECT("'" &amp; A330 &amp; "'!" &amp; ADDRESS(1, COLUMN(INDIRECT("'" &amp; A330 &amp; "'!" &amp; B330))))</f>
        <v>1999</v>
      </c>
      <c r="H330" t="str">
        <f ca="1">VLOOKUP($G330, survey_codes_dict!A:C, 2, FALSE)</f>
        <v>1999_1</v>
      </c>
      <c r="I330" s="102" t="str">
        <f ca="1">VLOOKUP($G330, survey_codes_dict!A:D, 4, FALSE)</f>
        <v>1996_Jews</v>
      </c>
      <c r="J330" s="102" t="str">
        <f t="shared" ca="1" si="10"/>
        <v>1999_1__i20</v>
      </c>
      <c r="K330" s="102" t="str">
        <f t="shared" ca="1" si="11"/>
        <v>1996_Jews__i20</v>
      </c>
      <c r="L330" s="102"/>
      <c r="M330" s="102"/>
      <c r="N330" s="102"/>
      <c r="O330" s="102"/>
      <c r="P330" s="102"/>
      <c r="Q330" s="102"/>
      <c r="R330" s="102"/>
      <c r="S330" s="101"/>
    </row>
    <row r="331" spans="1:19" ht="43.2" x14ac:dyDescent="0.3">
      <c r="A331" t="s">
        <v>3847</v>
      </c>
      <c r="B331" t="s">
        <v>3864</v>
      </c>
      <c r="C331" s="90" t="s">
        <v>3865</v>
      </c>
      <c r="D331" t="s">
        <v>399</v>
      </c>
      <c r="E331" s="101" t="s">
        <v>5577</v>
      </c>
      <c r="F331" t="str" cm="1">
        <f t="array" aca="1" ref="F331" ca="1">INDIRECT("'" &amp; A331 &amp; "'!" &amp; B331)</f>
        <v>דירגת את עצמך יותר לכיוון מחנה השמאל/ימין. האם אתה יכול לראות את עצמך בתנאים מסוימים עובר למחנה האחר?</v>
      </c>
      <c r="G331" t="str" cm="1">
        <f t="array" aca="1" ref="G331" ca="1">INDIRECT("'" &amp; A331 &amp; "'!" &amp; ADDRESS(1, COLUMN(INDIRECT("'" &amp; A331 &amp; "'!" &amp; B331))))</f>
        <v>שאלה</v>
      </c>
      <c r="H331" t="e">
        <f ca="1">VLOOKUP($G331, survey_codes_dict!A:C, 2, FALSE)</f>
        <v>#N/A</v>
      </c>
      <c r="I331" s="102" t="e">
        <f ca="1">VLOOKUP($G331, survey_codes_dict!A:D, 4, FALSE)</f>
        <v>#N/A</v>
      </c>
      <c r="J331" s="102" t="e">
        <f t="shared" ca="1" si="10"/>
        <v>#N/A</v>
      </c>
      <c r="K331" s="102" t="e">
        <f t="shared" ca="1" si="11"/>
        <v>#N/A</v>
      </c>
      <c r="L331" s="102"/>
      <c r="M331" s="102"/>
      <c r="N331" s="102"/>
      <c r="O331" s="102"/>
      <c r="P331" s="102"/>
      <c r="Q331" s="102"/>
      <c r="R331" s="102"/>
      <c r="S331" s="102"/>
    </row>
    <row r="332" spans="1:19" ht="72" x14ac:dyDescent="0.3">
      <c r="A332" t="s">
        <v>3847</v>
      </c>
      <c r="B332" t="s">
        <v>3866</v>
      </c>
      <c r="C332" s="90" t="s">
        <v>3867</v>
      </c>
      <c r="D332" t="s">
        <v>5562</v>
      </c>
      <c r="E332" s="101" t="s">
        <v>5904</v>
      </c>
      <c r="F332" t="str" cm="1">
        <f t="array" aca="1" ref="F332" ca="1">INDIRECT("'" &amp; A332 &amp; "'!" &amp; B332)</f>
        <v>i21</v>
      </c>
      <c r="G332" cm="1">
        <f t="array" aca="1" ref="G332" ca="1">INDIRECT("'" &amp; A332 &amp; "'!" &amp; ADDRESS(1, COLUMN(INDIRECT("'" &amp; A332 &amp; "'!" &amp; B332))))</f>
        <v>1999</v>
      </c>
      <c r="H332" t="str">
        <f ca="1">VLOOKUP($G332, survey_codes_dict!A:C, 2, FALSE)</f>
        <v>1999_1</v>
      </c>
      <c r="I332" s="102" t="str">
        <f ca="1">VLOOKUP($G332, survey_codes_dict!A:D, 4, FALSE)</f>
        <v>1996_Jews</v>
      </c>
      <c r="J332" s="102" t="str">
        <f t="shared" ca="1" si="10"/>
        <v>1999_1__i21</v>
      </c>
      <c r="K332" s="102" t="str">
        <f t="shared" ca="1" si="11"/>
        <v>1996_Jews__i21</v>
      </c>
      <c r="L332" s="102"/>
      <c r="M332" s="102"/>
      <c r="N332" s="102"/>
      <c r="O332" s="102"/>
      <c r="P332" s="102"/>
      <c r="Q332" s="102"/>
      <c r="R332" s="102"/>
      <c r="S332" s="101"/>
    </row>
    <row r="333" spans="1:19" ht="57.6" x14ac:dyDescent="0.3">
      <c r="A333" t="s">
        <v>3847</v>
      </c>
      <c r="B333" t="s">
        <v>3320</v>
      </c>
      <c r="C333" s="90" t="s">
        <v>3868</v>
      </c>
      <c r="D333" t="s">
        <v>5562</v>
      </c>
      <c r="E333" s="101" t="s">
        <v>5905</v>
      </c>
      <c r="F333" t="str" cm="1">
        <f t="array" aca="1" ref="F333" ca="1">INDIRECT("'" &amp; A333 &amp; "'!" &amp; B333)</f>
        <v>v90</v>
      </c>
      <c r="G333" cm="1">
        <f t="array" aca="1" ref="G333" ca="1">INDIRECT("'" &amp; A333 &amp; "'!" &amp; ADDRESS(1, COLUMN(INDIRECT("'" &amp; A333 &amp; "'!" &amp; B333))))</f>
        <v>2009</v>
      </c>
      <c r="H333" t="e">
        <f ca="1">VLOOKUP($G333, survey_codes_dict!A:C, 2, FALSE)</f>
        <v>#N/A</v>
      </c>
      <c r="I333" s="102" t="e">
        <f ca="1">VLOOKUP($G333, survey_codes_dict!A:D, 4, FALSE)</f>
        <v>#N/A</v>
      </c>
      <c r="J333" s="102" t="e">
        <f t="shared" ca="1" si="10"/>
        <v>#N/A</v>
      </c>
      <c r="K333" s="102" t="e">
        <f t="shared" ca="1" si="11"/>
        <v>#N/A</v>
      </c>
      <c r="L333" s="102"/>
      <c r="M333" s="102"/>
      <c r="N333" s="102"/>
      <c r="O333" s="102"/>
      <c r="P333" s="102"/>
      <c r="Q333" s="102"/>
      <c r="R333" s="102"/>
      <c r="S333" s="101"/>
    </row>
    <row r="334" spans="1:19" ht="57.6" x14ac:dyDescent="0.3">
      <c r="A334" t="s">
        <v>3847</v>
      </c>
      <c r="B334" t="s">
        <v>3869</v>
      </c>
      <c r="C334" s="90" t="s">
        <v>3870</v>
      </c>
      <c r="D334" t="s">
        <v>5562</v>
      </c>
      <c r="E334" s="101" t="s">
        <v>5906</v>
      </c>
      <c r="F334" t="str" cm="1">
        <f t="array" aca="1" ref="F334" ca="1">INDIRECT("'" &amp; A334 &amp; "'!" &amp; B334)</f>
        <v>v67</v>
      </c>
      <c r="G334" cm="1">
        <f t="array" aca="1" ref="G334" ca="1">INDIRECT("'" &amp; A334 &amp; "'!" &amp; ADDRESS(1, COLUMN(INDIRECT("'" &amp; A334 &amp; "'!" &amp; B334))))</f>
        <v>2013</v>
      </c>
      <c r="H334" t="e">
        <f ca="1">VLOOKUP($G334, survey_codes_dict!A:C, 2, FALSE)</f>
        <v>#N/A</v>
      </c>
      <c r="I334" s="102" t="e">
        <f ca="1">VLOOKUP($G334, survey_codes_dict!A:D, 4, FALSE)</f>
        <v>#N/A</v>
      </c>
      <c r="J334" s="102" t="e">
        <f t="shared" ca="1" si="10"/>
        <v>#N/A</v>
      </c>
      <c r="K334" s="102" t="e">
        <f t="shared" ca="1" si="11"/>
        <v>#N/A</v>
      </c>
      <c r="L334" s="102"/>
      <c r="M334" s="102"/>
      <c r="N334" s="102"/>
      <c r="O334" s="102"/>
      <c r="P334" s="102"/>
      <c r="Q334" s="102"/>
      <c r="R334" s="102"/>
      <c r="S334" s="101"/>
    </row>
    <row r="335" spans="1:19" ht="57.6" x14ac:dyDescent="0.3">
      <c r="A335" t="s">
        <v>3847</v>
      </c>
      <c r="B335" t="s">
        <v>3788</v>
      </c>
      <c r="C335" s="90" t="s">
        <v>3871</v>
      </c>
      <c r="D335" t="s">
        <v>5562</v>
      </c>
      <c r="E335" s="101" t="s">
        <v>5907</v>
      </c>
      <c r="F335" t="str" cm="1">
        <f t="array" aca="1" ref="F335" ca="1">INDIRECT("'" &amp; A335 &amp; "'!" &amp; B335)</f>
        <v>v58</v>
      </c>
      <c r="G335" t="str" cm="1">
        <f t="array" aca="1" ref="G335" ca="1">INDIRECT("'" &amp; A335 &amp; "'!" &amp; ADDRESS(1, COLUMN(INDIRECT("'" &amp; A335 &amp; "'!" &amp; B335))))</f>
        <v>1987*</v>
      </c>
      <c r="H335" t="e">
        <f ca="1">VLOOKUP($G335, survey_codes_dict!A:C, 2, FALSE)</f>
        <v>#N/A</v>
      </c>
      <c r="I335" s="102" t="e">
        <f ca="1">VLOOKUP($G335, survey_codes_dict!A:D, 4, FALSE)</f>
        <v>#N/A</v>
      </c>
      <c r="J335" s="102" t="e">
        <f t="shared" ca="1" si="10"/>
        <v>#N/A</v>
      </c>
      <c r="K335" s="102" t="e">
        <f t="shared" ca="1" si="11"/>
        <v>#N/A</v>
      </c>
      <c r="L335" s="102"/>
      <c r="M335" s="102"/>
      <c r="N335" s="102"/>
      <c r="O335" s="102"/>
      <c r="P335" s="102"/>
      <c r="Q335" s="102"/>
      <c r="R335" s="102"/>
      <c r="S335" s="101"/>
    </row>
    <row r="336" spans="1:19" ht="57.6" x14ac:dyDescent="0.3">
      <c r="A336" t="s">
        <v>3847</v>
      </c>
      <c r="B336" t="s">
        <v>3872</v>
      </c>
      <c r="C336" s="90" t="s">
        <v>3873</v>
      </c>
      <c r="D336" t="s">
        <v>5562</v>
      </c>
      <c r="E336" s="101" t="s">
        <v>5908</v>
      </c>
      <c r="F336" t="str" cm="1">
        <f t="array" aca="1" ref="F336" ca="1">INDIRECT("'" &amp; A336 &amp; "'!" &amp; B336)</f>
        <v>v45</v>
      </c>
      <c r="G336" cm="1">
        <f t="array" aca="1" ref="G336" ca="1">INDIRECT("'" &amp; A336 &amp; "'!" &amp; ADDRESS(1, COLUMN(INDIRECT("'" &amp; A336 &amp; "'!" &amp; B336))))</f>
        <v>1984</v>
      </c>
      <c r="H336" t="str">
        <f ca="1">VLOOKUP($G336, survey_codes_dict!A:C, 2, FALSE)</f>
        <v>1984</v>
      </c>
      <c r="I336" s="102" t="str">
        <f ca="1">VLOOKUP($G336, survey_codes_dict!A:D, 4, FALSE)</f>
        <v>1981_3</v>
      </c>
      <c r="J336" s="102" t="str">
        <f t="shared" ca="1" si="10"/>
        <v>1984__v45</v>
      </c>
      <c r="K336" s="102" t="str">
        <f t="shared" ca="1" si="11"/>
        <v>1981_3__v45</v>
      </c>
      <c r="L336" s="102"/>
      <c r="M336" s="102"/>
      <c r="N336" s="102"/>
      <c r="O336" s="102"/>
      <c r="P336" s="102"/>
      <c r="Q336" s="102"/>
      <c r="R336" s="102"/>
      <c r="S336" s="101"/>
    </row>
    <row r="337" spans="1:19" ht="72" x14ac:dyDescent="0.3">
      <c r="A337" t="s">
        <v>3847</v>
      </c>
      <c r="B337" t="s">
        <v>3874</v>
      </c>
      <c r="C337" s="90" t="s">
        <v>3875</v>
      </c>
      <c r="D337" t="s">
        <v>5562</v>
      </c>
      <c r="E337" s="101" t="s">
        <v>5909</v>
      </c>
      <c r="F337" t="str" cm="1">
        <f t="array" aca="1" ref="F337" ca="1">INDIRECT("'" &amp; A337 &amp; "'!" &amp; B337)</f>
        <v>v54</v>
      </c>
      <c r="G337" cm="1">
        <f t="array" aca="1" ref="G337" ca="1">INDIRECT("'" &amp; A337 &amp; "'!" &amp; ADDRESS(1, COLUMN(INDIRECT("'" &amp; A337 &amp; "'!" &amp; B337))))</f>
        <v>43556</v>
      </c>
      <c r="H337" t="e">
        <f ca="1">VLOOKUP($G337, survey_codes_dict!A:C, 2, FALSE)</f>
        <v>#N/A</v>
      </c>
      <c r="I337" s="102" t="e">
        <f ca="1">VLOOKUP($G337, survey_codes_dict!A:D, 4, FALSE)</f>
        <v>#N/A</v>
      </c>
      <c r="J337" s="102" t="e">
        <f t="shared" ca="1" si="10"/>
        <v>#N/A</v>
      </c>
      <c r="K337" s="102" t="e">
        <f t="shared" ca="1" si="11"/>
        <v>#N/A</v>
      </c>
      <c r="L337" s="102"/>
      <c r="M337" s="102"/>
      <c r="N337" s="102"/>
      <c r="O337" s="102"/>
      <c r="P337" s="102"/>
      <c r="Q337" s="102"/>
      <c r="R337" s="102"/>
      <c r="S337" s="101"/>
    </row>
    <row r="338" spans="1:19" ht="72" x14ac:dyDescent="0.3">
      <c r="A338" t="s">
        <v>3847</v>
      </c>
      <c r="B338" t="s">
        <v>3876</v>
      </c>
      <c r="C338" s="90" t="s">
        <v>3877</v>
      </c>
      <c r="D338" t="s">
        <v>5562</v>
      </c>
      <c r="E338" s="101" t="s">
        <v>5910</v>
      </c>
      <c r="F338" t="str" cm="1">
        <f t="array" aca="1" ref="F338" ca="1">INDIRECT("'" &amp; A338 &amp; "'!" &amp; B338)</f>
        <v>v55</v>
      </c>
      <c r="G338" cm="1">
        <f t="array" aca="1" ref="G338" ca="1">INDIRECT("'" &amp; A338 &amp; "'!" &amp; ADDRESS(1, COLUMN(INDIRECT("'" &amp; A338 &amp; "'!" &amp; B338))))</f>
        <v>43556</v>
      </c>
      <c r="H338" t="e">
        <f ca="1">VLOOKUP($G338, survey_codes_dict!A:C, 2, FALSE)</f>
        <v>#N/A</v>
      </c>
      <c r="I338" s="102" t="e">
        <f ca="1">VLOOKUP($G338, survey_codes_dict!A:D, 4, FALSE)</f>
        <v>#N/A</v>
      </c>
      <c r="J338" s="102" t="e">
        <f t="shared" ca="1" si="10"/>
        <v>#N/A</v>
      </c>
      <c r="K338" s="102" t="e">
        <f t="shared" ca="1" si="11"/>
        <v>#N/A</v>
      </c>
      <c r="L338" s="102"/>
      <c r="M338" s="102"/>
      <c r="N338" s="102"/>
      <c r="O338" s="102"/>
      <c r="P338" s="102"/>
      <c r="Q338" s="102"/>
      <c r="R338" s="102"/>
      <c r="S338" s="101"/>
    </row>
    <row r="339" spans="1:19" ht="72" x14ac:dyDescent="0.3">
      <c r="A339" t="s">
        <v>3847</v>
      </c>
      <c r="B339" t="s">
        <v>3878</v>
      </c>
      <c r="C339" s="90" t="s">
        <v>3879</v>
      </c>
      <c r="D339" t="s">
        <v>5562</v>
      </c>
      <c r="E339" s="101" t="s">
        <v>5911</v>
      </c>
      <c r="F339" t="str" cm="1">
        <f t="array" aca="1" ref="F339" ca="1">INDIRECT("'" &amp; A339 &amp; "'!" &amp; B339)</f>
        <v>after_v13a</v>
      </c>
      <c r="G339" cm="1">
        <f t="array" aca="1" ref="G339" ca="1">INDIRECT("'" &amp; A339 &amp; "'!" &amp; ADDRESS(1, COLUMN(INDIRECT("'" &amp; A339 &amp; "'!" &amp; B339))))</f>
        <v>2015</v>
      </c>
      <c r="H339" t="e">
        <f ca="1">VLOOKUP($G339, survey_codes_dict!A:C, 2, FALSE)</f>
        <v>#N/A</v>
      </c>
      <c r="I339" s="102" t="e">
        <f ca="1">VLOOKUP($G339, survey_codes_dict!A:D, 4, FALSE)</f>
        <v>#N/A</v>
      </c>
      <c r="J339" s="102" t="e">
        <f t="shared" ca="1" si="10"/>
        <v>#N/A</v>
      </c>
      <c r="K339" s="102" t="e">
        <f t="shared" ca="1" si="11"/>
        <v>#N/A</v>
      </c>
      <c r="L339" s="102"/>
      <c r="M339" s="102"/>
      <c r="N339" s="102"/>
      <c r="O339" s="102"/>
      <c r="P339" s="102"/>
      <c r="Q339" s="102"/>
      <c r="R339" s="102"/>
      <c r="S339" s="102"/>
    </row>
    <row r="340" spans="1:19" ht="100.8" x14ac:dyDescent="0.3">
      <c r="A340" t="s">
        <v>3847</v>
      </c>
      <c r="B340" t="s">
        <v>3880</v>
      </c>
      <c r="C340" s="90" t="s">
        <v>3881</v>
      </c>
      <c r="D340" t="s">
        <v>5562</v>
      </c>
      <c r="E340" s="101" t="s">
        <v>5912</v>
      </c>
      <c r="F340" t="str" cm="1">
        <f t="array" aca="1" ref="F340" ca="1">INDIRECT("'" &amp; A340 &amp; "'!" &amp; B340)</f>
        <v>v5</v>
      </c>
      <c r="G340" cm="1">
        <f t="array" aca="1" ref="G340" ca="1">INDIRECT("'" &amp; A340 &amp; "'!" &amp; ADDRESS(1, COLUMN(INDIRECT("'" &amp; A340 &amp; "'!" &amp; B340))))</f>
        <v>1984</v>
      </c>
      <c r="H340" t="str">
        <f ca="1">VLOOKUP($G340, survey_codes_dict!A:C, 2, FALSE)</f>
        <v>1984</v>
      </c>
      <c r="I340" s="102" t="str">
        <f ca="1">VLOOKUP($G340, survey_codes_dict!A:D, 4, FALSE)</f>
        <v>1981_3</v>
      </c>
      <c r="J340" s="102" t="str">
        <f t="shared" ca="1" si="10"/>
        <v>1984__v5</v>
      </c>
      <c r="K340" s="102" t="str">
        <f t="shared" ca="1" si="11"/>
        <v>1981_3__v5</v>
      </c>
      <c r="L340" s="102"/>
      <c r="M340" s="102"/>
      <c r="N340" s="102"/>
      <c r="O340" s="102"/>
      <c r="P340" s="102"/>
      <c r="Q340" s="102"/>
      <c r="R340" s="102"/>
      <c r="S340" s="101"/>
    </row>
    <row r="341" spans="1:19" ht="43.2" x14ac:dyDescent="0.3">
      <c r="A341" t="s">
        <v>3847</v>
      </c>
      <c r="B341" t="s">
        <v>3882</v>
      </c>
      <c r="C341" s="90" t="s">
        <v>3883</v>
      </c>
      <c r="D341" t="s">
        <v>5562</v>
      </c>
      <c r="E341" s="101" t="s">
        <v>5913</v>
      </c>
      <c r="F341" t="str" cm="1">
        <f t="array" aca="1" ref="F341" ca="1">INDIRECT("'" &amp; A341 &amp; "'!" &amp; B341)</f>
        <v>c54</v>
      </c>
      <c r="G341" t="str" cm="1">
        <f t="array" aca="1" ref="G341" ca="1">INDIRECT("'" &amp; A341 &amp; "'!" &amp; ADDRESS(1, COLUMN(INDIRECT("'" &amp; A341 &amp; "'!" &amp; B341))))</f>
        <v>1973 - 2</v>
      </c>
      <c r="H341" t="str">
        <f ca="1">VLOOKUP($G341, survey_codes_dict!A:C, 2, FALSE)</f>
        <v>1973_2</v>
      </c>
      <c r="I341" s="102" t="str">
        <f ca="1">VLOOKUP($G341, survey_codes_dict!A:D, 4, FALSE)</f>
        <v>1973_1</v>
      </c>
      <c r="J341" s="102" t="str">
        <f t="shared" ca="1" si="10"/>
        <v>1973_2__c54</v>
      </c>
      <c r="K341" s="102" t="str">
        <f t="shared" ca="1" si="11"/>
        <v>1973_1__c54</v>
      </c>
      <c r="L341" s="102"/>
      <c r="M341" s="102"/>
      <c r="N341" s="102"/>
      <c r="O341" s="102"/>
      <c r="P341" s="102"/>
      <c r="Q341" s="102"/>
      <c r="R341" s="102"/>
      <c r="S341" s="101"/>
    </row>
    <row r="342" spans="1:19" ht="43.2" x14ac:dyDescent="0.3">
      <c r="A342" t="s">
        <v>3847</v>
      </c>
      <c r="B342" t="s">
        <v>3884</v>
      </c>
      <c r="C342" s="90" t="s">
        <v>3885</v>
      </c>
      <c r="D342" t="s">
        <v>5562</v>
      </c>
      <c r="E342" s="101" t="s">
        <v>5914</v>
      </c>
      <c r="F342" t="str" cm="1">
        <f t="array" aca="1" ref="F342" ca="1">INDIRECT("'" &amp; A342 &amp; "'!" &amp; B342)</f>
        <v>c30</v>
      </c>
      <c r="G342" t="str" cm="1">
        <f t="array" aca="1" ref="G342" ca="1">INDIRECT("'" &amp; A342 &amp; "'!" &amp; ADDRESS(1, COLUMN(INDIRECT("'" &amp; A342 &amp; "'!" &amp; B342))))</f>
        <v>1973 - 1</v>
      </c>
      <c r="H342" t="str">
        <f ca="1">VLOOKUP($G342, survey_codes_dict!A:C, 2, FALSE)</f>
        <v>1973_1</v>
      </c>
      <c r="I342" s="102" t="str">
        <f ca="1">VLOOKUP($G342, survey_codes_dict!A:D, 4, FALSE)</f>
        <v>1969_2</v>
      </c>
      <c r="J342" s="102" t="str">
        <f t="shared" ca="1" si="10"/>
        <v>1973_1__c30</v>
      </c>
      <c r="K342" s="102" t="str">
        <f t="shared" ca="1" si="11"/>
        <v>1969_2__c30</v>
      </c>
      <c r="L342" s="102"/>
      <c r="M342" s="102"/>
      <c r="N342" s="102"/>
      <c r="O342" s="102"/>
      <c r="P342" s="102"/>
      <c r="Q342" s="102"/>
      <c r="R342" s="102"/>
      <c r="S342" s="101"/>
    </row>
    <row r="343" spans="1:19" ht="72" x14ac:dyDescent="0.3">
      <c r="A343" t="s">
        <v>3847</v>
      </c>
      <c r="B343" t="s">
        <v>3886</v>
      </c>
      <c r="C343" s="90" t="s">
        <v>3887</v>
      </c>
      <c r="D343" t="s">
        <v>5562</v>
      </c>
      <c r="E343" s="101" t="s">
        <v>5915</v>
      </c>
      <c r="F343" t="str" cm="1">
        <f t="array" aca="1" ref="F343" ca="1">INDIRECT("'" &amp; A343 &amp; "'!" &amp; B343)</f>
        <v>v8</v>
      </c>
      <c r="G343" t="str" cm="1">
        <f t="array" aca="1" ref="G343" ca="1">INDIRECT("'" &amp; A343 &amp; "'!" &amp; ADDRESS(1, COLUMN(INDIRECT("'" &amp; A343 &amp; "'!" &amp; B343))))</f>
        <v>1977 - 1</v>
      </c>
      <c r="H343" t="str">
        <f ca="1">VLOOKUP($G343, survey_codes_dict!A:C, 2, FALSE)</f>
        <v>1977_1</v>
      </c>
      <c r="I343" s="102" t="str">
        <f ca="1">VLOOKUP($G343, survey_codes_dict!A:D, 4, FALSE)</f>
        <v>1973_5</v>
      </c>
      <c r="J343" s="102" t="str">
        <f t="shared" ca="1" si="10"/>
        <v>1977_1__v8</v>
      </c>
      <c r="K343" s="102" t="str">
        <f t="shared" ca="1" si="11"/>
        <v>1973_5__v8</v>
      </c>
      <c r="L343" s="102"/>
      <c r="M343" s="102"/>
      <c r="N343" s="102"/>
      <c r="O343" s="102"/>
      <c r="P343" s="102"/>
      <c r="Q343" s="102"/>
      <c r="R343" s="102"/>
      <c r="S343" s="101"/>
    </row>
    <row r="344" spans="1:19" ht="28.8" x14ac:dyDescent="0.3">
      <c r="A344" t="s">
        <v>3847</v>
      </c>
      <c r="B344" t="s">
        <v>3888</v>
      </c>
      <c r="C344" s="90" t="s">
        <v>3889</v>
      </c>
      <c r="D344" t="s">
        <v>399</v>
      </c>
      <c r="E344" s="101" t="s">
        <v>5567</v>
      </c>
      <c r="F344" t="str" cm="1">
        <f t="array" aca="1" ref="F344" ca="1">INDIRECT("'" &amp; A344 &amp; "'!" &amp; B344)</f>
        <v>v58</v>
      </c>
      <c r="G344" cm="1">
        <f t="array" aca="1" ref="G344" ca="1">INDIRECT("'" &amp; A344 &amp; "'!" &amp; ADDRESS(1, COLUMN(INDIRECT("'" &amp; A344 &amp; "'!" &amp; B344))))</f>
        <v>2022</v>
      </c>
      <c r="H344" t="e">
        <f ca="1">VLOOKUP($G344, survey_codes_dict!A:C, 2, FALSE)</f>
        <v>#N/A</v>
      </c>
      <c r="I344" s="102" t="e">
        <f ca="1">VLOOKUP($G344, survey_codes_dict!A:D, 4, FALSE)</f>
        <v>#N/A</v>
      </c>
      <c r="J344" s="102" t="e">
        <f t="shared" ca="1" si="10"/>
        <v>#N/A</v>
      </c>
      <c r="K344" s="102" t="e">
        <f t="shared" ca="1" si="11"/>
        <v>#N/A</v>
      </c>
      <c r="L344" s="102"/>
      <c r="M344" s="102"/>
      <c r="N344" s="102"/>
      <c r="O344" s="102"/>
      <c r="P344" s="102"/>
      <c r="Q344" s="102"/>
      <c r="R344" s="102"/>
      <c r="S344" s="101"/>
    </row>
    <row r="345" spans="1:19" ht="86.4" x14ac:dyDescent="0.3">
      <c r="A345" t="s">
        <v>3847</v>
      </c>
      <c r="B345" t="s">
        <v>3890</v>
      </c>
      <c r="C345" s="90" t="s">
        <v>3891</v>
      </c>
      <c r="D345" t="s">
        <v>5562</v>
      </c>
      <c r="E345" s="101" t="s">
        <v>5916</v>
      </c>
      <c r="F345" t="str" cm="1">
        <f t="array" aca="1" ref="F345" ca="1">INDIRECT("'" &amp; A345 &amp; "'!" &amp; B345)</f>
        <v>v58</v>
      </c>
      <c r="G345" cm="1">
        <f t="array" aca="1" ref="G345" ca="1">INDIRECT("'" &amp; A345 &amp; "'!" &amp; ADDRESS(1, COLUMN(INDIRECT("'" &amp; A345 &amp; "'!" &amp; B345))))</f>
        <v>43556</v>
      </c>
      <c r="H345" t="e">
        <f ca="1">VLOOKUP($G345, survey_codes_dict!A:C, 2, FALSE)</f>
        <v>#N/A</v>
      </c>
      <c r="I345" s="102" t="e">
        <f ca="1">VLOOKUP($G345, survey_codes_dict!A:D, 4, FALSE)</f>
        <v>#N/A</v>
      </c>
      <c r="J345" s="102" t="e">
        <f t="shared" ca="1" si="10"/>
        <v>#N/A</v>
      </c>
      <c r="K345" s="102" t="e">
        <f t="shared" ca="1" si="11"/>
        <v>#N/A</v>
      </c>
      <c r="L345" s="102"/>
      <c r="M345" s="102"/>
      <c r="N345" s="102"/>
      <c r="O345" s="102"/>
      <c r="P345" s="102"/>
      <c r="Q345" s="102"/>
      <c r="R345" s="102"/>
      <c r="S345" s="101"/>
    </row>
    <row r="346" spans="1:19" ht="86.4" x14ac:dyDescent="0.3">
      <c r="A346" t="s">
        <v>3847</v>
      </c>
      <c r="B346" t="s">
        <v>3892</v>
      </c>
      <c r="C346" s="90" t="s">
        <v>3893</v>
      </c>
      <c r="D346" t="s">
        <v>5562</v>
      </c>
      <c r="E346" s="101" t="s">
        <v>5917</v>
      </c>
      <c r="F346" t="str" cm="1">
        <f t="array" aca="1" ref="F346" ca="1">INDIRECT("'" &amp; A346 &amp; "'!" &amp; B346)</f>
        <v>v51</v>
      </c>
      <c r="G346" cm="1">
        <f t="array" aca="1" ref="G346" ca="1">INDIRECT("'" &amp; A346 &amp; "'!" &amp; ADDRESS(1, COLUMN(INDIRECT("'" &amp; A346 &amp; "'!" &amp; B346))))</f>
        <v>2013</v>
      </c>
      <c r="H346" t="e">
        <f ca="1">VLOOKUP($G346, survey_codes_dict!A:C, 2, FALSE)</f>
        <v>#N/A</v>
      </c>
      <c r="I346" s="102" t="e">
        <f ca="1">VLOOKUP($G346, survey_codes_dict!A:D, 4, FALSE)</f>
        <v>#N/A</v>
      </c>
      <c r="J346" s="102" t="e">
        <f t="shared" ca="1" si="10"/>
        <v>#N/A</v>
      </c>
      <c r="K346" s="102" t="e">
        <f t="shared" ca="1" si="11"/>
        <v>#N/A</v>
      </c>
      <c r="L346" s="102"/>
      <c r="M346" s="102"/>
      <c r="N346" s="102"/>
      <c r="O346" s="102"/>
      <c r="P346" s="102"/>
      <c r="Q346" s="102"/>
      <c r="R346" s="102"/>
      <c r="S346" s="101"/>
    </row>
    <row r="347" spans="1:19" ht="86.4" x14ac:dyDescent="0.3">
      <c r="A347" t="s">
        <v>3847</v>
      </c>
      <c r="B347" t="s">
        <v>3894</v>
      </c>
      <c r="C347" s="90" t="s">
        <v>3895</v>
      </c>
      <c r="D347" t="s">
        <v>5562</v>
      </c>
      <c r="E347" s="101" t="s">
        <v>5918</v>
      </c>
      <c r="F347" t="str" cm="1">
        <f t="array" aca="1" ref="F347" ca="1">INDIRECT("'" &amp; A347 &amp; "'!" &amp; B347)</f>
        <v>a68</v>
      </c>
      <c r="G347" cm="1">
        <f t="array" aca="1" ref="G347" ca="1">INDIRECT("'" &amp; A347 &amp; "'!" &amp; ADDRESS(1, COLUMN(INDIRECT("'" &amp; A347 &amp; "'!" &amp; B347))))</f>
        <v>2001</v>
      </c>
      <c r="H347" t="str">
        <f ca="1">VLOOKUP($G347, survey_codes_dict!A:C, 2, FALSE)</f>
        <v>2001</v>
      </c>
      <c r="I347" s="102" t="str">
        <f ca="1">VLOOKUP($G347, survey_codes_dict!A:D, 4, FALSE)</f>
        <v>1999_1</v>
      </c>
      <c r="J347" s="102" t="str">
        <f t="shared" ca="1" si="10"/>
        <v>2001__a68</v>
      </c>
      <c r="K347" s="102" t="str">
        <f t="shared" ca="1" si="11"/>
        <v>1999_1__a68</v>
      </c>
      <c r="L347" s="102"/>
      <c r="M347" s="102"/>
      <c r="N347" s="102"/>
      <c r="O347" s="102"/>
      <c r="P347" s="102"/>
      <c r="Q347" s="102"/>
      <c r="R347" s="102"/>
      <c r="S347" s="101"/>
    </row>
    <row r="348" spans="1:19" ht="86.4" x14ac:dyDescent="0.3">
      <c r="A348" t="s">
        <v>3847</v>
      </c>
      <c r="B348" t="s">
        <v>3375</v>
      </c>
      <c r="C348" s="90" t="s">
        <v>3896</v>
      </c>
      <c r="D348" t="s">
        <v>5562</v>
      </c>
      <c r="E348" s="101" t="s">
        <v>5919</v>
      </c>
      <c r="F348" t="str" cm="1">
        <f t="array" aca="1" ref="F348" ca="1">INDIRECT("'" &amp; A348 &amp; "'!" &amp; B348)</f>
        <v>c74</v>
      </c>
      <c r="G348" cm="1">
        <f t="array" aca="1" ref="G348" ca="1">INDIRECT("'" &amp; A348 &amp; "'!" &amp; ADDRESS(1, COLUMN(INDIRECT("'" &amp; A348 &amp; "'!" &amp; B348))))</f>
        <v>1996</v>
      </c>
      <c r="H348" t="str">
        <f ca="1">VLOOKUP($G348, survey_codes_dict!A:C, 2, FALSE)</f>
        <v>1996_Jews</v>
      </c>
      <c r="I348" s="102" t="str">
        <f ca="1">VLOOKUP($G348, survey_codes_dict!A:D, 4, FALSE)</f>
        <v>1992</v>
      </c>
      <c r="J348" s="102" t="str">
        <f t="shared" ca="1" si="10"/>
        <v>1996_Jews__c74</v>
      </c>
      <c r="K348" s="102" t="str">
        <f t="shared" ca="1" si="11"/>
        <v>1992__c74</v>
      </c>
      <c r="L348" s="102"/>
      <c r="M348" s="102"/>
      <c r="N348" s="102"/>
      <c r="O348" s="102"/>
      <c r="P348" s="102"/>
      <c r="Q348" s="102"/>
      <c r="R348" s="102"/>
      <c r="S348" s="101"/>
    </row>
    <row r="349" spans="1:19" ht="100.8" x14ac:dyDescent="0.3">
      <c r="A349" t="s">
        <v>3847</v>
      </c>
      <c r="B349" t="s">
        <v>3897</v>
      </c>
      <c r="C349" s="90" t="s">
        <v>3898</v>
      </c>
      <c r="D349" t="s">
        <v>5562</v>
      </c>
      <c r="E349" s="101" t="s">
        <v>5920</v>
      </c>
      <c r="F349" t="str" cm="1">
        <f t="array" aca="1" ref="F349" ca="1">INDIRECT("'" &amp; A349 &amp; "'!" &amp; B349)</f>
        <v>v15</v>
      </c>
      <c r="G349" t="str" cm="1">
        <f t="array" aca="1" ref="G349" ca="1">INDIRECT("'" &amp; A349 &amp; "'!" &amp; ADDRESS(1, COLUMN(INDIRECT("'" &amp; A349 &amp; "'!" &amp; B349))))</f>
        <v>1981 - 1</v>
      </c>
      <c r="H349" t="str">
        <f ca="1">VLOOKUP($G349, survey_codes_dict!A:C, 2, FALSE)</f>
        <v>1981_1</v>
      </c>
      <c r="I349" s="102" t="str">
        <f ca="1">VLOOKUP($G349, survey_codes_dict!A:D, 4, FALSE)</f>
        <v>1977_4</v>
      </c>
      <c r="J349" s="102" t="str">
        <f t="shared" ca="1" si="10"/>
        <v>1981_1__v15</v>
      </c>
      <c r="K349" s="102" t="str">
        <f t="shared" ca="1" si="11"/>
        <v>1977_4__v15</v>
      </c>
      <c r="L349" s="102"/>
      <c r="M349" s="102"/>
      <c r="N349" s="102"/>
      <c r="O349" s="102"/>
      <c r="P349" s="102"/>
      <c r="Q349" s="102"/>
      <c r="R349" s="102"/>
      <c r="S349" s="101"/>
    </row>
    <row r="350" spans="1:19" ht="86.4" x14ac:dyDescent="0.3">
      <c r="A350" t="s">
        <v>3847</v>
      </c>
      <c r="B350" t="s">
        <v>3899</v>
      </c>
      <c r="C350" s="90" t="s">
        <v>3893</v>
      </c>
      <c r="D350" t="s">
        <v>5562</v>
      </c>
      <c r="E350" s="101" t="s">
        <v>5917</v>
      </c>
      <c r="F350" t="str" cm="1">
        <f t="array" aca="1" ref="F350" ca="1">INDIRECT("'" &amp; A350 &amp; "'!" &amp; B350)</f>
        <v>v52</v>
      </c>
      <c r="G350" cm="1">
        <f t="array" aca="1" ref="G350" ca="1">INDIRECT("'" &amp; A350 &amp; "'!" &amp; ADDRESS(1, COLUMN(INDIRECT("'" &amp; A350 &amp; "'!" &amp; B350))))</f>
        <v>2013</v>
      </c>
      <c r="H350" t="e">
        <f ca="1">VLOOKUP($G350, survey_codes_dict!A:C, 2, FALSE)</f>
        <v>#N/A</v>
      </c>
      <c r="I350" s="102" t="e">
        <f ca="1">VLOOKUP($G350, survey_codes_dict!A:D, 4, FALSE)</f>
        <v>#N/A</v>
      </c>
      <c r="J350" s="102" t="e">
        <f t="shared" ca="1" si="10"/>
        <v>#N/A</v>
      </c>
      <c r="K350" s="102" t="e">
        <f t="shared" ca="1" si="11"/>
        <v>#N/A</v>
      </c>
      <c r="L350" s="102"/>
      <c r="M350" s="102"/>
      <c r="N350" s="102"/>
      <c r="O350" s="102"/>
      <c r="P350" s="102"/>
      <c r="Q350" s="102"/>
      <c r="R350" s="102"/>
      <c r="S350" s="101"/>
    </row>
    <row r="351" spans="1:19" ht="28.8" x14ac:dyDescent="0.3">
      <c r="A351" t="s">
        <v>3847</v>
      </c>
      <c r="B351" t="s">
        <v>3384</v>
      </c>
      <c r="C351" s="90" t="s">
        <v>3889</v>
      </c>
      <c r="D351" t="s">
        <v>399</v>
      </c>
      <c r="E351" s="101" t="s">
        <v>5567</v>
      </c>
      <c r="F351" t="str" cm="1">
        <f t="array" aca="1" ref="F351" ca="1">INDIRECT("'" &amp; A351 &amp; "'!" &amp; B351)</f>
        <v>v59</v>
      </c>
      <c r="G351" cm="1">
        <f t="array" aca="1" ref="G351" ca="1">INDIRECT("'" &amp; A351 &amp; "'!" &amp; ADDRESS(1, COLUMN(INDIRECT("'" &amp; A351 &amp; "'!" &amp; B351))))</f>
        <v>2022</v>
      </c>
      <c r="H351" t="e">
        <f ca="1">VLOOKUP($G351, survey_codes_dict!A:C, 2, FALSE)</f>
        <v>#N/A</v>
      </c>
      <c r="I351" s="102" t="e">
        <f ca="1">VLOOKUP($G351, survey_codes_dict!A:D, 4, FALSE)</f>
        <v>#N/A</v>
      </c>
      <c r="J351" s="102" t="e">
        <f t="shared" ca="1" si="10"/>
        <v>#N/A</v>
      </c>
      <c r="K351" s="102" t="e">
        <f t="shared" ca="1" si="11"/>
        <v>#N/A</v>
      </c>
      <c r="L351" s="102"/>
      <c r="M351" s="102"/>
      <c r="N351" s="102"/>
      <c r="O351" s="102"/>
      <c r="P351" s="102"/>
      <c r="Q351" s="102"/>
      <c r="R351" s="102"/>
      <c r="S351" s="101"/>
    </row>
    <row r="352" spans="1:19" ht="86.4" x14ac:dyDescent="0.3">
      <c r="A352" t="s">
        <v>3847</v>
      </c>
      <c r="B352" t="s">
        <v>3900</v>
      </c>
      <c r="C352" s="90" t="s">
        <v>3893</v>
      </c>
      <c r="D352" t="s">
        <v>5562</v>
      </c>
      <c r="E352" s="101" t="s">
        <v>5917</v>
      </c>
      <c r="F352" t="str" cm="1">
        <f t="array" aca="1" ref="F352" ca="1">INDIRECT("'" &amp; A352 &amp; "'!" &amp; B352)</f>
        <v>v53</v>
      </c>
      <c r="G352" cm="1">
        <f t="array" aca="1" ref="G352" ca="1">INDIRECT("'" &amp; A352 &amp; "'!" &amp; ADDRESS(1, COLUMN(INDIRECT("'" &amp; A352 &amp; "'!" &amp; B352))))</f>
        <v>2013</v>
      </c>
      <c r="H352" t="e">
        <f ca="1">VLOOKUP($G352, survey_codes_dict!A:C, 2, FALSE)</f>
        <v>#N/A</v>
      </c>
      <c r="I352" s="102" t="e">
        <f ca="1">VLOOKUP($G352, survey_codes_dict!A:D, 4, FALSE)</f>
        <v>#N/A</v>
      </c>
      <c r="J352" s="102" t="e">
        <f t="shared" ca="1" si="10"/>
        <v>#N/A</v>
      </c>
      <c r="K352" s="102" t="e">
        <f t="shared" ca="1" si="11"/>
        <v>#N/A</v>
      </c>
      <c r="L352" s="102"/>
      <c r="M352" s="102"/>
      <c r="N352" s="102"/>
      <c r="O352" s="102"/>
      <c r="P352" s="102"/>
      <c r="Q352" s="102"/>
      <c r="R352" s="102"/>
      <c r="S352" s="101"/>
    </row>
    <row r="353" spans="1:19" ht="28.8" x14ac:dyDescent="0.3">
      <c r="A353" t="s">
        <v>3847</v>
      </c>
      <c r="B353" t="s">
        <v>3901</v>
      </c>
      <c r="C353" s="90" t="s">
        <v>3889</v>
      </c>
      <c r="D353" t="s">
        <v>399</v>
      </c>
      <c r="E353" s="101" t="s">
        <v>5567</v>
      </c>
      <c r="F353" t="str" cm="1">
        <f t="array" aca="1" ref="F353" ca="1">INDIRECT("'" &amp; A353 &amp; "'!" &amp; B353)</f>
        <v>v60</v>
      </c>
      <c r="G353" cm="1">
        <f t="array" aca="1" ref="G353" ca="1">INDIRECT("'" &amp; A353 &amp; "'!" &amp; ADDRESS(1, COLUMN(INDIRECT("'" &amp; A353 &amp; "'!" &amp; B353))))</f>
        <v>2022</v>
      </c>
      <c r="H353" t="e">
        <f ca="1">VLOOKUP($G353, survey_codes_dict!A:C, 2, FALSE)</f>
        <v>#N/A</v>
      </c>
      <c r="I353" s="102" t="e">
        <f ca="1">VLOOKUP($G353, survey_codes_dict!A:D, 4, FALSE)</f>
        <v>#N/A</v>
      </c>
      <c r="J353" s="102" t="e">
        <f t="shared" ca="1" si="10"/>
        <v>#N/A</v>
      </c>
      <c r="K353" s="102" t="e">
        <f t="shared" ca="1" si="11"/>
        <v>#N/A</v>
      </c>
      <c r="L353" s="102"/>
      <c r="M353" s="102"/>
      <c r="N353" s="102"/>
      <c r="O353" s="102"/>
      <c r="P353" s="102"/>
      <c r="Q353" s="102"/>
      <c r="R353" s="102"/>
      <c r="S353" s="101"/>
    </row>
    <row r="354" spans="1:19" ht="43.2" x14ac:dyDescent="0.3">
      <c r="A354" t="s">
        <v>3847</v>
      </c>
      <c r="B354" t="s">
        <v>3902</v>
      </c>
      <c r="C354" s="90" t="s">
        <v>3903</v>
      </c>
      <c r="D354" t="s">
        <v>5562</v>
      </c>
      <c r="E354" s="101" t="s">
        <v>5921</v>
      </c>
      <c r="F354" t="str" cm="1">
        <f t="array" aca="1" ref="F354" ca="1">INDIRECT("'" &amp; A354 &amp; "'!" &amp; B354)</f>
        <v>a71</v>
      </c>
      <c r="G354" cm="1">
        <f t="array" aca="1" ref="G354" ca="1">INDIRECT("'" &amp; A354 &amp; "'!" &amp; ADDRESS(1, COLUMN(INDIRECT("'" &amp; A354 &amp; "'!" &amp; B354))))</f>
        <v>2001</v>
      </c>
      <c r="H354" t="str">
        <f ca="1">VLOOKUP($G354, survey_codes_dict!A:C, 2, FALSE)</f>
        <v>2001</v>
      </c>
      <c r="I354" s="102" t="str">
        <f ca="1">VLOOKUP($G354, survey_codes_dict!A:D, 4, FALSE)</f>
        <v>1999_1</v>
      </c>
      <c r="J354" s="102" t="str">
        <f t="shared" ca="1" si="10"/>
        <v>2001__a71</v>
      </c>
      <c r="K354" s="102" t="str">
        <f t="shared" ca="1" si="11"/>
        <v>1999_1__a71</v>
      </c>
      <c r="L354" s="102"/>
      <c r="M354" s="102"/>
      <c r="N354" s="102"/>
      <c r="O354" s="102"/>
      <c r="P354" s="102"/>
      <c r="Q354" s="102"/>
      <c r="R354" s="102"/>
      <c r="S354" s="101"/>
    </row>
    <row r="355" spans="1:19" ht="86.4" x14ac:dyDescent="0.3">
      <c r="A355" t="s">
        <v>3847</v>
      </c>
      <c r="B355" t="s">
        <v>3904</v>
      </c>
      <c r="C355" s="90" t="s">
        <v>3896</v>
      </c>
      <c r="D355" t="s">
        <v>5562</v>
      </c>
      <c r="E355" s="101" t="s">
        <v>5919</v>
      </c>
      <c r="F355" t="str" cm="1">
        <f t="array" aca="1" ref="F355" ca="1">INDIRECT("'" &amp; A355 &amp; "'!" &amp; B355)</f>
        <v>v12</v>
      </c>
      <c r="G355" cm="1">
        <f t="array" aca="1" ref="G355" ca="1">INDIRECT("'" &amp; A355 &amp; "'!" &amp; ADDRESS(1, COLUMN(INDIRECT("'" &amp; A355 &amp; "'!" &amp; B355))))</f>
        <v>1984</v>
      </c>
      <c r="H355" t="str">
        <f ca="1">VLOOKUP($G355, survey_codes_dict!A:C, 2, FALSE)</f>
        <v>1984</v>
      </c>
      <c r="I355" s="102" t="str">
        <f ca="1">VLOOKUP($G355, survey_codes_dict!A:D, 4, FALSE)</f>
        <v>1981_3</v>
      </c>
      <c r="J355" s="102" t="str">
        <f t="shared" ca="1" si="10"/>
        <v>1984__v12</v>
      </c>
      <c r="K355" s="102" t="str">
        <f t="shared" ca="1" si="11"/>
        <v>1981_3__v12</v>
      </c>
      <c r="L355" s="102"/>
      <c r="M355" s="102"/>
      <c r="N355" s="102"/>
      <c r="O355" s="102"/>
      <c r="P355" s="102"/>
      <c r="Q355" s="102"/>
      <c r="R355" s="102"/>
      <c r="S355" s="101"/>
    </row>
    <row r="356" spans="1:19" ht="100.8" x14ac:dyDescent="0.3">
      <c r="A356" t="s">
        <v>3847</v>
      </c>
      <c r="B356" t="s">
        <v>3905</v>
      </c>
      <c r="C356" s="90" t="s">
        <v>3898</v>
      </c>
      <c r="D356" t="s">
        <v>5562</v>
      </c>
      <c r="E356" s="101" t="s">
        <v>5920</v>
      </c>
      <c r="F356" t="str" cm="1">
        <f t="array" aca="1" ref="F356" ca="1">INDIRECT("'" &amp; A356 &amp; "'!" &amp; B356)</f>
        <v>v9</v>
      </c>
      <c r="G356" t="str" cm="1">
        <f t="array" aca="1" ref="G356" ca="1">INDIRECT("'" &amp; A356 &amp; "'!" &amp; ADDRESS(1, COLUMN(INDIRECT("'" &amp; A356 &amp; "'!" &amp; B356))))</f>
        <v>1981 - 1</v>
      </c>
      <c r="H356" t="str">
        <f ca="1">VLOOKUP($G356, survey_codes_dict!A:C, 2, FALSE)</f>
        <v>1981_1</v>
      </c>
      <c r="I356" s="102" t="str">
        <f ca="1">VLOOKUP($G356, survey_codes_dict!A:D, 4, FALSE)</f>
        <v>1977_4</v>
      </c>
      <c r="J356" s="102" t="str">
        <f t="shared" ca="1" si="10"/>
        <v>1981_1__v9</v>
      </c>
      <c r="K356" s="102" t="str">
        <f t="shared" ca="1" si="11"/>
        <v>1977_4__v9</v>
      </c>
      <c r="L356" s="102"/>
      <c r="M356" s="102"/>
      <c r="N356" s="102"/>
      <c r="O356" s="102"/>
      <c r="P356" s="102"/>
      <c r="Q356" s="102"/>
      <c r="R356" s="102"/>
      <c r="S356" s="101"/>
    </row>
    <row r="357" spans="1:19" ht="72" x14ac:dyDescent="0.3">
      <c r="A357" t="s">
        <v>3847</v>
      </c>
      <c r="B357" t="s">
        <v>3906</v>
      </c>
      <c r="C357" s="90" t="s">
        <v>3907</v>
      </c>
      <c r="D357" t="s">
        <v>5562</v>
      </c>
      <c r="E357" s="101" t="s">
        <v>5922</v>
      </c>
      <c r="F357" t="str" cm="1">
        <f t="array" aca="1" ref="F357" ca="1">INDIRECT("'" &amp; A357 &amp; "'!" &amp; B357)</f>
        <v>v51</v>
      </c>
      <c r="G357" t="str" cm="1">
        <f t="array" aca="1" ref="G357" ca="1">INDIRECT("'" &amp; A357 &amp; "'!" &amp; ADDRESS(1, COLUMN(INDIRECT("'" &amp; A357 &amp; "'!" &amp; B357))))</f>
        <v>1973 - 1</v>
      </c>
      <c r="H357" t="str">
        <f ca="1">VLOOKUP($G357, survey_codes_dict!A:C, 2, FALSE)</f>
        <v>1973_1</v>
      </c>
      <c r="I357" s="102" t="str">
        <f ca="1">VLOOKUP($G357, survey_codes_dict!A:D, 4, FALSE)</f>
        <v>1969_2</v>
      </c>
      <c r="J357" s="102" t="str">
        <f t="shared" ca="1" si="10"/>
        <v>1973_1__v51</v>
      </c>
      <c r="K357" s="102" t="str">
        <f t="shared" ca="1" si="11"/>
        <v>1969_2__v51</v>
      </c>
      <c r="L357" s="102"/>
      <c r="M357" s="102"/>
      <c r="N357" s="102"/>
      <c r="O357" s="102"/>
      <c r="P357" s="102"/>
      <c r="Q357" s="102"/>
      <c r="R357" s="102"/>
      <c r="S357" s="101"/>
    </row>
    <row r="358" spans="1:19" ht="28.8" x14ac:dyDescent="0.3">
      <c r="A358" t="s">
        <v>3847</v>
      </c>
      <c r="B358" t="s">
        <v>3908</v>
      </c>
      <c r="C358" s="90" t="s">
        <v>3889</v>
      </c>
      <c r="D358" t="s">
        <v>399</v>
      </c>
      <c r="E358" s="101" t="s">
        <v>5567</v>
      </c>
      <c r="F358" t="str" cm="1">
        <f t="array" aca="1" ref="F358" ca="1">INDIRECT("'" &amp; A358 &amp; "'!" &amp; B358)</f>
        <v>v61</v>
      </c>
      <c r="G358" cm="1">
        <f t="array" aca="1" ref="G358" ca="1">INDIRECT("'" &amp; A358 &amp; "'!" &amp; ADDRESS(1, COLUMN(INDIRECT("'" &amp; A358 &amp; "'!" &amp; B358))))</f>
        <v>2022</v>
      </c>
      <c r="H358" t="e">
        <f ca="1">VLOOKUP($G358, survey_codes_dict!A:C, 2, FALSE)</f>
        <v>#N/A</v>
      </c>
      <c r="I358" s="102" t="e">
        <f ca="1">VLOOKUP($G358, survey_codes_dict!A:D, 4, FALSE)</f>
        <v>#N/A</v>
      </c>
      <c r="J358" s="102" t="e">
        <f t="shared" ca="1" si="10"/>
        <v>#N/A</v>
      </c>
      <c r="K358" s="102" t="e">
        <f t="shared" ca="1" si="11"/>
        <v>#N/A</v>
      </c>
      <c r="L358" s="102"/>
      <c r="M358" s="102"/>
      <c r="N358" s="102"/>
      <c r="O358" s="102"/>
      <c r="P358" s="102"/>
      <c r="Q358" s="102"/>
      <c r="R358" s="102"/>
      <c r="S358" s="101"/>
    </row>
    <row r="359" spans="1:19" ht="86.4" x14ac:dyDescent="0.3">
      <c r="A359" t="s">
        <v>3847</v>
      </c>
      <c r="B359" t="s">
        <v>3909</v>
      </c>
      <c r="C359" s="90" t="s">
        <v>3910</v>
      </c>
      <c r="D359" t="s">
        <v>5562</v>
      </c>
      <c r="E359" s="101" t="s">
        <v>5923</v>
      </c>
      <c r="F359" t="str" cm="1">
        <f t="array" aca="1" ref="F359" ca="1">INDIRECT("'" &amp; A359 &amp; "'!" &amp; B359)</f>
        <v>v16</v>
      </c>
      <c r="G359" t="str" cm="1">
        <f t="array" aca="1" ref="G359" ca="1">INDIRECT("'" &amp; A359 &amp; "'!" &amp; ADDRESS(1, COLUMN(INDIRECT("'" &amp; A359 &amp; "'!" &amp; B359))))</f>
        <v>1987*</v>
      </c>
      <c r="H359" t="e">
        <f ca="1">VLOOKUP($G359, survey_codes_dict!A:C, 2, FALSE)</f>
        <v>#N/A</v>
      </c>
      <c r="I359" s="102" t="e">
        <f ca="1">VLOOKUP($G359, survey_codes_dict!A:D, 4, FALSE)</f>
        <v>#N/A</v>
      </c>
      <c r="J359" s="102" t="e">
        <f t="shared" ca="1" si="10"/>
        <v>#N/A</v>
      </c>
      <c r="K359" s="102" t="e">
        <f t="shared" ca="1" si="11"/>
        <v>#N/A</v>
      </c>
      <c r="L359" s="102"/>
      <c r="M359" s="102"/>
      <c r="N359" s="102"/>
      <c r="O359" s="102"/>
      <c r="P359" s="102"/>
      <c r="Q359" s="102"/>
      <c r="R359" s="102"/>
      <c r="S359" s="101"/>
    </row>
    <row r="360" spans="1:19" ht="86.4" x14ac:dyDescent="0.3">
      <c r="A360" t="s">
        <v>3847</v>
      </c>
      <c r="B360" t="s">
        <v>3911</v>
      </c>
      <c r="C360" s="90" t="s">
        <v>3896</v>
      </c>
      <c r="D360" t="s">
        <v>5562</v>
      </c>
      <c r="E360" s="101" t="s">
        <v>5919</v>
      </c>
      <c r="F360" t="str" cm="1">
        <f t="array" aca="1" ref="F360" ca="1">INDIRECT("'" &amp; A360 &amp; "'!" &amp; B360)</f>
        <v>b7</v>
      </c>
      <c r="G360" t="str" cm="1">
        <f t="array" aca="1" ref="G360" ca="1">INDIRECT("'" &amp; A360 &amp; "'!" &amp; ADDRESS(1, COLUMN(INDIRECT("'" &amp; A360 &amp; "'!" &amp; B360))))</f>
        <v>1981 - 3</v>
      </c>
      <c r="H360" t="str">
        <f ca="1">VLOOKUP($G360, survey_codes_dict!A:C, 2, FALSE)</f>
        <v>1981_3</v>
      </c>
      <c r="I360" s="102">
        <f ca="1">VLOOKUP($G360, survey_codes_dict!A:D, 4, FALSE)</f>
        <v>0</v>
      </c>
      <c r="J360" s="102" t="str">
        <f t="shared" ca="1" si="10"/>
        <v>1981_3__b7</v>
      </c>
      <c r="K360" s="102" t="str">
        <f t="shared" ca="1" si="11"/>
        <v>0__b7</v>
      </c>
      <c r="L360" s="102"/>
      <c r="M360" s="102"/>
      <c r="N360" s="102"/>
      <c r="O360" s="102"/>
      <c r="P360" s="102"/>
      <c r="Q360" s="102"/>
      <c r="R360" s="102"/>
      <c r="S360" s="101"/>
    </row>
    <row r="361" spans="1:19" ht="72" x14ac:dyDescent="0.3">
      <c r="A361" t="s">
        <v>3847</v>
      </c>
      <c r="B361" t="s">
        <v>3912</v>
      </c>
      <c r="C361" s="90" t="s">
        <v>3913</v>
      </c>
      <c r="D361" t="s">
        <v>5562</v>
      </c>
      <c r="E361" s="101" t="s">
        <v>5924</v>
      </c>
      <c r="F361" t="str" cm="1">
        <f t="array" aca="1" ref="F361" ca="1">INDIRECT("'" &amp; A361 &amp; "'!" &amp; B361)</f>
        <v>g53</v>
      </c>
      <c r="G361" t="str" cm="1">
        <f t="array" aca="1" ref="G361" ca="1">INDIRECT("'" &amp; A361 &amp; "'!" &amp; ADDRESS(1, COLUMN(INDIRECT("'" &amp; A361 &amp; "'!" &amp; B361))))</f>
        <v>1973 - 4</v>
      </c>
      <c r="H361" t="str">
        <f ca="1">VLOOKUP($G361, survey_codes_dict!A:C, 2, FALSE)</f>
        <v>1973_4</v>
      </c>
      <c r="I361" s="102" t="str">
        <f ca="1">VLOOKUP($G361, survey_codes_dict!A:D, 4, FALSE)</f>
        <v>1973_3</v>
      </c>
      <c r="J361" s="102" t="str">
        <f t="shared" ca="1" si="10"/>
        <v>1973_4__g53</v>
      </c>
      <c r="K361" s="102" t="str">
        <f t="shared" ca="1" si="11"/>
        <v>1973_3__g53</v>
      </c>
      <c r="L361" s="102"/>
      <c r="M361" s="102"/>
      <c r="N361" s="102"/>
      <c r="O361" s="102"/>
      <c r="P361" s="102"/>
      <c r="Q361" s="102"/>
      <c r="R361" s="102"/>
      <c r="S361" s="101"/>
    </row>
    <row r="362" spans="1:19" ht="28.8" x14ac:dyDescent="0.3">
      <c r="A362" t="s">
        <v>3847</v>
      </c>
      <c r="B362" t="s">
        <v>3623</v>
      </c>
      <c r="C362" s="90" t="s">
        <v>3889</v>
      </c>
      <c r="D362" t="s">
        <v>399</v>
      </c>
      <c r="E362" s="101" t="s">
        <v>5567</v>
      </c>
      <c r="F362" t="str" cm="1">
        <f t="array" aca="1" ref="F362" ca="1">INDIRECT("'" &amp; A362 &amp; "'!" &amp; B362)</f>
        <v>v62</v>
      </c>
      <c r="G362" cm="1">
        <f t="array" aca="1" ref="G362" ca="1">INDIRECT("'" &amp; A362 &amp; "'!" &amp; ADDRESS(1, COLUMN(INDIRECT("'" &amp; A362 &amp; "'!" &amp; B362))))</f>
        <v>2022</v>
      </c>
      <c r="H362" t="e">
        <f ca="1">VLOOKUP($G362, survey_codes_dict!A:C, 2, FALSE)</f>
        <v>#N/A</v>
      </c>
      <c r="I362" s="102" t="e">
        <f ca="1">VLOOKUP($G362, survey_codes_dict!A:D, 4, FALSE)</f>
        <v>#N/A</v>
      </c>
      <c r="J362" s="102" t="e">
        <f t="shared" ca="1" si="10"/>
        <v>#N/A</v>
      </c>
      <c r="K362" s="102" t="e">
        <f t="shared" ca="1" si="11"/>
        <v>#N/A</v>
      </c>
      <c r="L362" s="102"/>
      <c r="M362" s="102"/>
      <c r="N362" s="102"/>
      <c r="O362" s="102"/>
      <c r="P362" s="102"/>
      <c r="Q362" s="102"/>
      <c r="R362" s="102"/>
      <c r="S362" s="101"/>
    </row>
    <row r="363" spans="1:19" ht="86.4" x14ac:dyDescent="0.3">
      <c r="A363" t="s">
        <v>3847</v>
      </c>
      <c r="B363" t="s">
        <v>3914</v>
      </c>
      <c r="C363" s="90" t="s">
        <v>3893</v>
      </c>
      <c r="D363" t="s">
        <v>5562</v>
      </c>
      <c r="E363" s="101" t="s">
        <v>5917</v>
      </c>
      <c r="F363" t="str" cm="1">
        <f t="array" aca="1" ref="F363" ca="1">INDIRECT("'" &amp; A363 &amp; "'!" &amp; B363)</f>
        <v>v56</v>
      </c>
      <c r="G363" cm="1">
        <f t="array" aca="1" ref="G363" ca="1">INDIRECT("'" &amp; A363 &amp; "'!" &amp; ADDRESS(1, COLUMN(INDIRECT("'" &amp; A363 &amp; "'!" &amp; B363))))</f>
        <v>2013</v>
      </c>
      <c r="H363" t="e">
        <f ca="1">VLOOKUP($G363, survey_codes_dict!A:C, 2, FALSE)</f>
        <v>#N/A</v>
      </c>
      <c r="I363" s="102" t="e">
        <f ca="1">VLOOKUP($G363, survey_codes_dict!A:D, 4, FALSE)</f>
        <v>#N/A</v>
      </c>
      <c r="J363" s="102" t="e">
        <f t="shared" ca="1" si="10"/>
        <v>#N/A</v>
      </c>
      <c r="K363" s="102" t="e">
        <f t="shared" ca="1" si="11"/>
        <v>#N/A</v>
      </c>
      <c r="L363" s="102"/>
      <c r="M363" s="102"/>
      <c r="N363" s="102"/>
      <c r="O363" s="102"/>
      <c r="P363" s="102"/>
      <c r="Q363" s="102"/>
      <c r="R363" s="102"/>
      <c r="S363" s="101"/>
    </row>
    <row r="364" spans="1:19" ht="86.4" x14ac:dyDescent="0.3">
      <c r="A364" t="s">
        <v>3847</v>
      </c>
      <c r="B364" t="s">
        <v>3399</v>
      </c>
      <c r="C364" s="90" t="s">
        <v>3893</v>
      </c>
      <c r="D364" t="s">
        <v>5562</v>
      </c>
      <c r="E364" s="101" t="s">
        <v>5917</v>
      </c>
      <c r="F364" t="str" cm="1">
        <f t="array" aca="1" ref="F364" ca="1">INDIRECT("'" &amp; A364 &amp; "'!" &amp; B364)</f>
        <v>v75</v>
      </c>
      <c r="G364" cm="1">
        <f t="array" aca="1" ref="G364" ca="1">INDIRECT("'" &amp; A364 &amp; "'!" &amp; ADDRESS(1, COLUMN(INDIRECT("'" &amp; A364 &amp; "'!" &amp; B364))))</f>
        <v>2009</v>
      </c>
      <c r="H364" t="e">
        <f ca="1">VLOOKUP($G364, survey_codes_dict!A:C, 2, FALSE)</f>
        <v>#N/A</v>
      </c>
      <c r="I364" s="102" t="e">
        <f ca="1">VLOOKUP($G364, survey_codes_dict!A:D, 4, FALSE)</f>
        <v>#N/A</v>
      </c>
      <c r="J364" s="102" t="e">
        <f t="shared" ca="1" si="10"/>
        <v>#N/A</v>
      </c>
      <c r="K364" s="102" t="e">
        <f t="shared" ca="1" si="11"/>
        <v>#N/A</v>
      </c>
      <c r="L364" s="102"/>
      <c r="M364" s="102"/>
      <c r="N364" s="102"/>
      <c r="O364" s="102"/>
      <c r="P364" s="102"/>
      <c r="Q364" s="102"/>
      <c r="R364" s="102"/>
      <c r="S364" s="101"/>
    </row>
    <row r="365" spans="1:19" ht="72" x14ac:dyDescent="0.3">
      <c r="A365" t="s">
        <v>3847</v>
      </c>
      <c r="B365" t="s">
        <v>3821</v>
      </c>
      <c r="C365" s="90" t="s">
        <v>3907</v>
      </c>
      <c r="D365" t="s">
        <v>5562</v>
      </c>
      <c r="E365" s="101" t="s">
        <v>5922</v>
      </c>
      <c r="F365" t="str" cm="1">
        <f t="array" aca="1" ref="F365" ca="1">INDIRECT("'" &amp; A365 &amp; "'!" &amp; B365)</f>
        <v>d3</v>
      </c>
      <c r="G365" t="str" cm="1">
        <f t="array" aca="1" ref="G365" ca="1">INDIRECT("'" &amp; A365 &amp; "'!" &amp; ADDRESS(1, COLUMN(INDIRECT("'" &amp; A365 &amp; "'!" &amp; B365))))</f>
        <v>1973 - 2</v>
      </c>
      <c r="H365" t="str">
        <f ca="1">VLOOKUP($G365, survey_codes_dict!A:C, 2, FALSE)</f>
        <v>1973_2</v>
      </c>
      <c r="I365" s="102" t="str">
        <f ca="1">VLOOKUP($G365, survey_codes_dict!A:D, 4, FALSE)</f>
        <v>1973_1</v>
      </c>
      <c r="J365" s="102" t="str">
        <f t="shared" ca="1" si="10"/>
        <v>1973_2__d3</v>
      </c>
      <c r="K365" s="102" t="str">
        <f t="shared" ca="1" si="11"/>
        <v>1973_1__d3</v>
      </c>
      <c r="L365" s="102"/>
      <c r="M365" s="102"/>
      <c r="N365" s="102"/>
      <c r="O365" s="102"/>
      <c r="P365" s="102"/>
      <c r="Q365" s="102"/>
      <c r="R365" s="102"/>
      <c r="S365" s="101"/>
    </row>
    <row r="366" spans="1:19" ht="57.6" x14ac:dyDescent="0.3">
      <c r="A366" t="s">
        <v>3847</v>
      </c>
      <c r="B366" t="s">
        <v>3915</v>
      </c>
      <c r="C366" s="90" t="s">
        <v>3868</v>
      </c>
      <c r="D366" t="s">
        <v>5562</v>
      </c>
      <c r="E366" s="101" t="s">
        <v>5905</v>
      </c>
      <c r="F366" t="str" cm="1">
        <f t="array" aca="1" ref="F366" ca="1">INDIRECT("'" &amp; A366 &amp; "'!" &amp; B366)</f>
        <v>v91</v>
      </c>
      <c r="G366" cm="1">
        <f t="array" aca="1" ref="G366" ca="1">INDIRECT("'" &amp; A366 &amp; "'!" &amp; ADDRESS(1, COLUMN(INDIRECT("'" &amp; A366 &amp; "'!" &amp; B366))))</f>
        <v>2009</v>
      </c>
      <c r="H366" t="e">
        <f ca="1">VLOOKUP($G366, survey_codes_dict!A:C, 2, FALSE)</f>
        <v>#N/A</v>
      </c>
      <c r="I366" s="102" t="e">
        <f ca="1">VLOOKUP($G366, survey_codes_dict!A:D, 4, FALSE)</f>
        <v>#N/A</v>
      </c>
      <c r="J366" s="102" t="e">
        <f t="shared" ca="1" si="10"/>
        <v>#N/A</v>
      </c>
      <c r="K366" s="102" t="e">
        <f t="shared" ca="1" si="11"/>
        <v>#N/A</v>
      </c>
      <c r="L366" s="102"/>
      <c r="M366" s="102"/>
      <c r="N366" s="102"/>
      <c r="O366" s="102"/>
      <c r="P366" s="102"/>
      <c r="Q366" s="102"/>
      <c r="R366" s="102"/>
      <c r="S366" s="101"/>
    </row>
    <row r="367" spans="1:19" ht="28.8" x14ac:dyDescent="0.3">
      <c r="A367" t="s">
        <v>3847</v>
      </c>
      <c r="B367" t="s">
        <v>3916</v>
      </c>
      <c r="C367" s="90" t="s">
        <v>3917</v>
      </c>
      <c r="D367" t="s">
        <v>5664</v>
      </c>
      <c r="E367" s="101" t="s">
        <v>5578</v>
      </c>
      <c r="F367" t="str" cm="1">
        <f t="array" aca="1" ref="F367" ca="1">INDIRECT("'" &amp; A367 &amp; "'!" &amp; B367)</f>
        <v>v620S</v>
      </c>
      <c r="G367" cm="1">
        <f t="array" aca="1" ref="G367" ca="1">INDIRECT("'" &amp; A367 &amp; "'!" &amp; ADDRESS(1, COLUMN(INDIRECT("'" &amp; A367 &amp; "'!" &amp; B367))))</f>
        <v>2021</v>
      </c>
      <c r="H367" t="e">
        <f ca="1">VLOOKUP($G367, survey_codes_dict!A:C, 2, FALSE)</f>
        <v>#N/A</v>
      </c>
      <c r="I367" s="102" t="e">
        <f ca="1">VLOOKUP($G367, survey_codes_dict!A:D, 4, FALSE)</f>
        <v>#N/A</v>
      </c>
      <c r="J367" s="102" t="e">
        <f t="shared" ca="1" si="10"/>
        <v>#N/A</v>
      </c>
      <c r="K367" s="102" t="e">
        <f t="shared" ca="1" si="11"/>
        <v>#N/A</v>
      </c>
      <c r="L367" s="102"/>
      <c r="M367" s="102"/>
      <c r="N367" s="102"/>
      <c r="O367" s="102"/>
      <c r="P367" s="102"/>
      <c r="Q367" s="102"/>
      <c r="R367" s="102"/>
      <c r="S367" s="102"/>
    </row>
    <row r="368" spans="1:19" ht="28.8" x14ac:dyDescent="0.3">
      <c r="A368" t="s">
        <v>3847</v>
      </c>
      <c r="B368" t="s">
        <v>3918</v>
      </c>
      <c r="C368" s="90" t="s">
        <v>3919</v>
      </c>
      <c r="D368" t="s">
        <v>5664</v>
      </c>
      <c r="E368" s="101" t="s">
        <v>5579</v>
      </c>
      <c r="F368" t="str" cm="1">
        <f t="array" aca="1" ref="F368" ca="1">INDIRECT("'" &amp; A368 &amp; "'!" &amp; B368)</f>
        <v>b19</v>
      </c>
      <c r="G368" cm="1">
        <f t="array" aca="1" ref="G368" ca="1">INDIRECT("'" &amp; A368 &amp; "'!" &amp; ADDRESS(1, COLUMN(INDIRECT("'" &amp; A368 &amp; "'!" &amp; B368))))</f>
        <v>2006</v>
      </c>
      <c r="H368" t="str">
        <f ca="1">VLOOKUP($G368, survey_codes_dict!A:C, 2, FALSE)</f>
        <v>2006</v>
      </c>
      <c r="I368" s="102" t="str">
        <f ca="1">VLOOKUP($G368, survey_codes_dict!A:D, 4, FALSE)</f>
        <v>2003</v>
      </c>
      <c r="J368" s="102" t="str">
        <f t="shared" ca="1" si="10"/>
        <v>2006__b19</v>
      </c>
      <c r="K368" s="102" t="str">
        <f t="shared" ca="1" si="11"/>
        <v>2003__b19</v>
      </c>
      <c r="L368" s="102"/>
      <c r="M368" s="102"/>
      <c r="N368" s="102"/>
      <c r="O368" s="102"/>
      <c r="P368" s="102"/>
      <c r="Q368" s="102"/>
      <c r="R368" s="102"/>
      <c r="S368" s="101"/>
    </row>
    <row r="369" spans="1:19" ht="43.2" x14ac:dyDescent="0.3">
      <c r="A369" t="s">
        <v>3847</v>
      </c>
      <c r="B369" t="s">
        <v>3920</v>
      </c>
      <c r="C369" s="90" t="s">
        <v>3921</v>
      </c>
      <c r="D369" t="s">
        <v>5562</v>
      </c>
      <c r="E369" s="101" t="s">
        <v>5580</v>
      </c>
      <c r="F369" t="str" cm="1">
        <f t="array" aca="1" ref="F369" ca="1">INDIRECT("'" &amp; A369 &amp; "'!" &amp; B369)</f>
        <v>v620b</v>
      </c>
      <c r="G369" cm="1">
        <f t="array" aca="1" ref="G369" ca="1">INDIRECT("'" &amp; A369 &amp; "'!" &amp; ADDRESS(1, COLUMN(INDIRECT("'" &amp; A369 &amp; "'!" &amp; B369))))</f>
        <v>2022</v>
      </c>
      <c r="H369" t="e">
        <f ca="1">VLOOKUP($G369, survey_codes_dict!A:C, 2, FALSE)</f>
        <v>#N/A</v>
      </c>
      <c r="I369" s="102" t="e">
        <f ca="1">VLOOKUP($G369, survey_codes_dict!A:D, 4, FALSE)</f>
        <v>#N/A</v>
      </c>
      <c r="J369" s="102" t="e">
        <f t="shared" ca="1" si="10"/>
        <v>#N/A</v>
      </c>
      <c r="K369" s="102" t="e">
        <f t="shared" ca="1" si="11"/>
        <v>#N/A</v>
      </c>
      <c r="L369" s="102"/>
      <c r="M369" s="102"/>
      <c r="N369" s="102"/>
      <c r="O369" s="102"/>
      <c r="P369" s="102"/>
      <c r="Q369" s="102"/>
      <c r="R369" s="102"/>
      <c r="S369" s="102"/>
    </row>
    <row r="370" spans="1:19" ht="28.8" x14ac:dyDescent="0.3">
      <c r="A370" t="s">
        <v>3847</v>
      </c>
      <c r="B370" t="s">
        <v>3922</v>
      </c>
      <c r="C370" s="90" t="s">
        <v>3923</v>
      </c>
      <c r="D370" t="s">
        <v>5664</v>
      </c>
      <c r="E370" s="101" t="s">
        <v>5581</v>
      </c>
      <c r="F370" t="str" cm="1">
        <f t="array" aca="1" ref="F370" ca="1">INDIRECT("'" &amp; A370 &amp; "'!" &amp; B370)</f>
        <v>v620j</v>
      </c>
      <c r="G370" cm="1">
        <f t="array" aca="1" ref="G370" ca="1">INDIRECT("'" &amp; A370 &amp; "'!" &amp; ADDRESS(1, COLUMN(INDIRECT("'" &amp; A370 &amp; "'!" &amp; B370))))</f>
        <v>2022</v>
      </c>
      <c r="H370" t="e">
        <f ca="1">VLOOKUP($G370, survey_codes_dict!A:C, 2, FALSE)</f>
        <v>#N/A</v>
      </c>
      <c r="I370" s="102" t="e">
        <f ca="1">VLOOKUP($G370, survey_codes_dict!A:D, 4, FALSE)</f>
        <v>#N/A</v>
      </c>
      <c r="J370" s="102" t="e">
        <f t="shared" ca="1" si="10"/>
        <v>#N/A</v>
      </c>
      <c r="K370" s="102" t="e">
        <f t="shared" ca="1" si="11"/>
        <v>#N/A</v>
      </c>
      <c r="L370" s="102"/>
      <c r="M370" s="102"/>
      <c r="N370" s="102"/>
      <c r="O370" s="102"/>
      <c r="P370" s="102"/>
      <c r="Q370" s="102"/>
      <c r="R370" s="102"/>
      <c r="S370" s="102"/>
    </row>
    <row r="371" spans="1:19" ht="72" x14ac:dyDescent="0.3">
      <c r="A371" t="s">
        <v>3847</v>
      </c>
      <c r="B371" t="s">
        <v>3924</v>
      </c>
      <c r="C371" s="90" t="s">
        <v>3925</v>
      </c>
      <c r="D371" t="s">
        <v>5562</v>
      </c>
      <c r="E371" s="101" t="s">
        <v>5925</v>
      </c>
      <c r="F371" t="str" cm="1">
        <f t="array" aca="1" ref="F371" ca="1">INDIRECT("'" &amp; A371 &amp; "'!" &amp; B371)</f>
        <v>i22</v>
      </c>
      <c r="G371" cm="1">
        <f t="array" aca="1" ref="G371" ca="1">INDIRECT("'" &amp; A371 &amp; "'!" &amp; ADDRESS(1, COLUMN(INDIRECT("'" &amp; A371 &amp; "'!" &amp; B371))))</f>
        <v>1999</v>
      </c>
      <c r="H371" t="str">
        <f ca="1">VLOOKUP($G371, survey_codes_dict!A:C, 2, FALSE)</f>
        <v>1999_1</v>
      </c>
      <c r="I371" s="102" t="str">
        <f ca="1">VLOOKUP($G371, survey_codes_dict!A:D, 4, FALSE)</f>
        <v>1996_Jews</v>
      </c>
      <c r="J371" s="102" t="str">
        <f t="shared" ca="1" si="10"/>
        <v>1999_1__i22</v>
      </c>
      <c r="K371" s="102" t="str">
        <f t="shared" ca="1" si="11"/>
        <v>1996_Jews__i22</v>
      </c>
      <c r="L371" s="102"/>
      <c r="M371" s="102"/>
      <c r="N371" s="102"/>
      <c r="O371" s="102"/>
      <c r="P371" s="102"/>
      <c r="Q371" s="102"/>
      <c r="R371" s="102"/>
      <c r="S371" s="101"/>
    </row>
    <row r="372" spans="1:19" ht="86.4" x14ac:dyDescent="0.3">
      <c r="A372" t="s">
        <v>3847</v>
      </c>
      <c r="B372" t="s">
        <v>3926</v>
      </c>
      <c r="C372" s="90" t="s">
        <v>3927</v>
      </c>
      <c r="D372" t="s">
        <v>5562</v>
      </c>
      <c r="E372" s="101" t="s">
        <v>5926</v>
      </c>
      <c r="F372" t="str" cm="1">
        <f t="array" aca="1" ref="F372" ca="1">INDIRECT("'" &amp; A372 &amp; "'!" &amp; B372)</f>
        <v>b29</v>
      </c>
      <c r="G372" t="str" cm="1">
        <f t="array" aca="1" ref="G372" ca="1">INDIRECT("'" &amp; A372 &amp; "'!" &amp; ADDRESS(1, COLUMN(INDIRECT("'" &amp; A372 &amp; "'!" &amp; B372))))</f>
        <v>1981 - 3</v>
      </c>
      <c r="H372" t="str">
        <f ca="1">VLOOKUP($G372, survey_codes_dict!A:C, 2, FALSE)</f>
        <v>1981_3</v>
      </c>
      <c r="I372" s="102">
        <f ca="1">VLOOKUP($G372, survey_codes_dict!A:D, 4, FALSE)</f>
        <v>0</v>
      </c>
      <c r="J372" s="102" t="str">
        <f t="shared" ca="1" si="10"/>
        <v>1981_3__b29</v>
      </c>
      <c r="K372" s="102" t="str">
        <f t="shared" ca="1" si="11"/>
        <v>0__b29</v>
      </c>
      <c r="L372" s="102"/>
      <c r="M372" s="102"/>
      <c r="N372" s="102"/>
      <c r="O372" s="102"/>
      <c r="P372" s="102"/>
      <c r="Q372" s="102"/>
      <c r="R372" s="102"/>
      <c r="S372" s="101"/>
    </row>
    <row r="373" spans="1:19" ht="115.2" x14ac:dyDescent="0.3">
      <c r="A373" t="s">
        <v>3847</v>
      </c>
      <c r="B373" t="s">
        <v>3928</v>
      </c>
      <c r="C373" s="90" t="s">
        <v>3929</v>
      </c>
      <c r="D373" t="s">
        <v>5562</v>
      </c>
      <c r="E373" s="101" t="s">
        <v>5927</v>
      </c>
      <c r="F373" t="str" cm="1">
        <f t="array" aca="1" ref="F373" ca="1">INDIRECT("'" &amp; A373 &amp; "'!" &amp; B373)</f>
        <v>c38</v>
      </c>
      <c r="G373" t="str" cm="1">
        <f t="array" aca="1" ref="G373" ca="1">INDIRECT("'" &amp; A373 &amp; "'!" &amp; ADDRESS(1, COLUMN(INDIRECT("'" &amp; A373 &amp; "'!" &amp; B373))))</f>
        <v>1973 - 2</v>
      </c>
      <c r="H373" t="str">
        <f ca="1">VLOOKUP($G373, survey_codes_dict!A:C, 2, FALSE)</f>
        <v>1973_2</v>
      </c>
      <c r="I373" s="102" t="str">
        <f ca="1">VLOOKUP($G373, survey_codes_dict!A:D, 4, FALSE)</f>
        <v>1973_1</v>
      </c>
      <c r="J373" s="102" t="str">
        <f t="shared" ca="1" si="10"/>
        <v>1973_2__c38</v>
      </c>
      <c r="K373" s="102" t="str">
        <f t="shared" ca="1" si="11"/>
        <v>1973_1__c38</v>
      </c>
      <c r="L373" s="102"/>
      <c r="M373" s="102"/>
      <c r="N373" s="102"/>
      <c r="O373" s="102"/>
      <c r="P373" s="102"/>
      <c r="Q373" s="102"/>
      <c r="R373" s="102"/>
      <c r="S373" s="101"/>
    </row>
    <row r="374" spans="1:19" ht="86.4" x14ac:dyDescent="0.3">
      <c r="A374" t="s">
        <v>3847</v>
      </c>
      <c r="B374" t="s">
        <v>3930</v>
      </c>
      <c r="C374" s="90" t="s">
        <v>3931</v>
      </c>
      <c r="D374" t="s">
        <v>5562</v>
      </c>
      <c r="E374" s="101" t="s">
        <v>5928</v>
      </c>
      <c r="F374" t="str" cm="1">
        <f t="array" aca="1" ref="F374" ca="1">INDIRECT("'" &amp; A374 &amp; "'!" &amp; B374)</f>
        <v>b44</v>
      </c>
      <c r="G374" t="str" cm="1">
        <f t="array" aca="1" ref="G374" ca="1">INDIRECT("'" &amp; A374 &amp; "'!" &amp; ADDRESS(1, COLUMN(INDIRECT("'" &amp; A374 &amp; "'!" &amp; B374))))</f>
        <v>1981 - 3</v>
      </c>
      <c r="H374" t="str">
        <f ca="1">VLOOKUP($G374, survey_codes_dict!A:C, 2, FALSE)</f>
        <v>1981_3</v>
      </c>
      <c r="I374" s="102">
        <f ca="1">VLOOKUP($G374, survey_codes_dict!A:D, 4, FALSE)</f>
        <v>0</v>
      </c>
      <c r="J374" s="102" t="str">
        <f t="shared" ca="1" si="10"/>
        <v>1981_3__b44</v>
      </c>
      <c r="K374" s="102" t="str">
        <f t="shared" ca="1" si="11"/>
        <v>0__b44</v>
      </c>
      <c r="L374" s="102"/>
      <c r="M374" s="102"/>
      <c r="N374" s="102"/>
      <c r="O374" s="102"/>
      <c r="P374" s="102"/>
      <c r="Q374" s="102"/>
      <c r="R374" s="102"/>
      <c r="S374" s="101"/>
    </row>
    <row r="375" spans="1:19" ht="86.4" x14ac:dyDescent="0.3">
      <c r="A375" t="s">
        <v>3847</v>
      </c>
      <c r="B375" t="s">
        <v>3932</v>
      </c>
      <c r="C375" s="90" t="s">
        <v>3933</v>
      </c>
      <c r="D375" t="s">
        <v>5562</v>
      </c>
      <c r="E375" s="101" t="s">
        <v>5929</v>
      </c>
      <c r="F375" t="str" cm="1">
        <f t="array" aca="1" ref="F375" ca="1">INDIRECT("'" &amp; A375 &amp; "'!" &amp; B375)</f>
        <v>b77</v>
      </c>
      <c r="G375" t="str" cm="1">
        <f t="array" aca="1" ref="G375" ca="1">INDIRECT("'" &amp; A375 &amp; "'!" &amp; ADDRESS(1, COLUMN(INDIRECT("'" &amp; A375 &amp; "'!" &amp; B375))))</f>
        <v>1981 - 3</v>
      </c>
      <c r="H375" t="str">
        <f ca="1">VLOOKUP($G375, survey_codes_dict!A:C, 2, FALSE)</f>
        <v>1981_3</v>
      </c>
      <c r="I375" s="102">
        <f ca="1">VLOOKUP($G375, survey_codes_dict!A:D, 4, FALSE)</f>
        <v>0</v>
      </c>
      <c r="J375" s="102" t="str">
        <f t="shared" ca="1" si="10"/>
        <v>1981_3__b77</v>
      </c>
      <c r="K375" s="102" t="str">
        <f t="shared" ca="1" si="11"/>
        <v>0__b77</v>
      </c>
      <c r="L375" s="102"/>
      <c r="M375" s="102"/>
      <c r="N375" s="102"/>
      <c r="O375" s="102"/>
      <c r="P375" s="102"/>
      <c r="Q375" s="102"/>
      <c r="R375" s="102"/>
      <c r="S375" s="101"/>
    </row>
    <row r="376" spans="1:19" ht="72" x14ac:dyDescent="0.3">
      <c r="A376" t="s">
        <v>3847</v>
      </c>
      <c r="B376" t="s">
        <v>3934</v>
      </c>
      <c r="C376" s="90" t="s">
        <v>3935</v>
      </c>
      <c r="D376" t="s">
        <v>5562</v>
      </c>
      <c r="E376" s="101" t="s">
        <v>5930</v>
      </c>
      <c r="F376" t="str" cm="1">
        <f t="array" aca="1" ref="F376" ca="1">INDIRECT("'" &amp; A376 &amp; "'!" &amp; B376)</f>
        <v>v13</v>
      </c>
      <c r="G376" t="str" cm="1">
        <f t="array" aca="1" ref="G376" ca="1">INDIRECT("'" &amp; A376 &amp; "'!" &amp; ADDRESS(1, COLUMN(INDIRECT("'" &amp; A376 &amp; "'!" &amp; B376))))</f>
        <v>1977 - 1</v>
      </c>
      <c r="H376" t="str">
        <f ca="1">VLOOKUP($G376, survey_codes_dict!A:C, 2, FALSE)</f>
        <v>1977_1</v>
      </c>
      <c r="I376" s="102" t="str">
        <f ca="1">VLOOKUP($G376, survey_codes_dict!A:D, 4, FALSE)</f>
        <v>1973_5</v>
      </c>
      <c r="J376" s="102" t="str">
        <f t="shared" ca="1" si="10"/>
        <v>1977_1__v13</v>
      </c>
      <c r="K376" s="102" t="str">
        <f t="shared" ca="1" si="11"/>
        <v>1973_5__v13</v>
      </c>
      <c r="L376" s="102"/>
      <c r="M376" s="102"/>
      <c r="N376" s="102"/>
      <c r="O376" s="102"/>
      <c r="P376" s="102"/>
      <c r="Q376" s="102"/>
      <c r="R376" s="102"/>
      <c r="S376" s="101"/>
    </row>
    <row r="377" spans="1:19" ht="100.8" x14ac:dyDescent="0.3">
      <c r="A377" t="s">
        <v>3847</v>
      </c>
      <c r="B377" t="s">
        <v>3936</v>
      </c>
      <c r="C377" s="90" t="s">
        <v>3937</v>
      </c>
      <c r="D377" t="s">
        <v>5562</v>
      </c>
      <c r="E377" s="101" t="s">
        <v>5931</v>
      </c>
      <c r="F377" t="str" cm="1">
        <f t="array" aca="1" ref="F377" ca="1">INDIRECT("'" &amp; A377 &amp; "'!" &amp; B377)</f>
        <v>b29</v>
      </c>
      <c r="G377" t="str" cm="1">
        <f t="array" aca="1" ref="G377" ca="1">INDIRECT("'" &amp; A377 &amp; "'!" &amp; ADDRESS(1, COLUMN(INDIRECT("'" &amp; A377 &amp; "'!" &amp; B377))))</f>
        <v>1969 - 2</v>
      </c>
      <c r="H377" t="str">
        <f ca="1">VLOOKUP($G377, survey_codes_dict!A:C, 2, FALSE)</f>
        <v>1969_2</v>
      </c>
      <c r="I377" s="102" t="str">
        <f ca="1">VLOOKUP($G377, survey_codes_dict!A:D, 4, FALSE)</f>
        <v>1969_1</v>
      </c>
      <c r="J377" s="102" t="str">
        <f t="shared" ca="1" si="10"/>
        <v>1969_2__b29</v>
      </c>
      <c r="K377" s="102" t="str">
        <f t="shared" ca="1" si="11"/>
        <v>1969_1__b29</v>
      </c>
      <c r="L377" s="102"/>
      <c r="M377" s="102"/>
      <c r="N377" s="102"/>
      <c r="O377" s="102"/>
      <c r="P377" s="102"/>
      <c r="Q377" s="102"/>
      <c r="R377" s="102"/>
      <c r="S377" s="101"/>
    </row>
    <row r="378" spans="1:19" ht="72" x14ac:dyDescent="0.3">
      <c r="A378" t="s">
        <v>3847</v>
      </c>
      <c r="B378" t="s">
        <v>3938</v>
      </c>
      <c r="C378" s="90" t="s">
        <v>3712</v>
      </c>
      <c r="D378" t="s">
        <v>5562</v>
      </c>
      <c r="E378" s="101" t="s">
        <v>5848</v>
      </c>
      <c r="F378" t="str" cm="1">
        <f t="array" aca="1" ref="F378" ca="1">INDIRECT("'" &amp; A378 &amp; "'!" &amp; B378)</f>
        <v>g7</v>
      </c>
      <c r="G378" t="str" cm="1">
        <f t="array" aca="1" ref="G378" ca="1">INDIRECT("'" &amp; A378 &amp; "'!" &amp; ADDRESS(1, COLUMN(INDIRECT("'" &amp; A378 &amp; "'!" &amp; B378))))</f>
        <v>1973 - 4</v>
      </c>
      <c r="H378" t="str">
        <f ca="1">VLOOKUP($G378, survey_codes_dict!A:C, 2, FALSE)</f>
        <v>1973_4</v>
      </c>
      <c r="I378" s="102" t="str">
        <f ca="1">VLOOKUP($G378, survey_codes_dict!A:D, 4, FALSE)</f>
        <v>1973_3</v>
      </c>
      <c r="J378" s="102" t="str">
        <f t="shared" ca="1" si="10"/>
        <v>1973_4__g7</v>
      </c>
      <c r="K378" s="102" t="str">
        <f t="shared" ca="1" si="11"/>
        <v>1973_3__g7</v>
      </c>
      <c r="L378" s="102"/>
      <c r="M378" s="102"/>
      <c r="N378" s="102"/>
      <c r="O378" s="102"/>
      <c r="P378" s="102"/>
      <c r="Q378" s="102"/>
      <c r="R378" s="102"/>
      <c r="S378" s="101"/>
    </row>
    <row r="379" spans="1:19" ht="72" x14ac:dyDescent="0.3">
      <c r="A379" t="s">
        <v>3847</v>
      </c>
      <c r="B379" t="s">
        <v>3939</v>
      </c>
      <c r="C379" s="90" t="s">
        <v>3712</v>
      </c>
      <c r="D379" t="s">
        <v>5562</v>
      </c>
      <c r="E379" s="101" t="s">
        <v>5848</v>
      </c>
      <c r="F379" t="str" cm="1">
        <f t="array" aca="1" ref="F379" ca="1">INDIRECT("'" &amp; A379 &amp; "'!" &amp; B379)</f>
        <v>c40</v>
      </c>
      <c r="G379" t="str" cm="1">
        <f t="array" aca="1" ref="G379" ca="1">INDIRECT("'" &amp; A379 &amp; "'!" &amp; ADDRESS(1, COLUMN(INDIRECT("'" &amp; A379 &amp; "'!" &amp; B379))))</f>
        <v>1973 - 2</v>
      </c>
      <c r="H379" t="str">
        <f ca="1">VLOOKUP($G379, survey_codes_dict!A:C, 2, FALSE)</f>
        <v>1973_2</v>
      </c>
      <c r="I379" s="102" t="str">
        <f ca="1">VLOOKUP($G379, survey_codes_dict!A:D, 4, FALSE)</f>
        <v>1973_1</v>
      </c>
      <c r="J379" s="102" t="str">
        <f t="shared" ca="1" si="10"/>
        <v>1973_2__c40</v>
      </c>
      <c r="K379" s="102" t="str">
        <f t="shared" ca="1" si="11"/>
        <v>1973_1__c40</v>
      </c>
      <c r="L379" s="102"/>
      <c r="M379" s="102"/>
      <c r="N379" s="102"/>
      <c r="O379" s="102"/>
      <c r="P379" s="102"/>
      <c r="Q379" s="102"/>
      <c r="R379" s="102"/>
      <c r="S379" s="101"/>
    </row>
    <row r="380" spans="1:19" ht="86.4" x14ac:dyDescent="0.3">
      <c r="A380" t="s">
        <v>3847</v>
      </c>
      <c r="B380" t="s">
        <v>3940</v>
      </c>
      <c r="C380" s="90" t="s">
        <v>3941</v>
      </c>
      <c r="D380" t="s">
        <v>5562</v>
      </c>
      <c r="E380" s="101" t="s">
        <v>5932</v>
      </c>
      <c r="F380" t="str" cm="1">
        <f t="array" aca="1" ref="F380" ca="1">INDIRECT("'" &amp; A380 &amp; "'!" &amp; B380)</f>
        <v>c37</v>
      </c>
      <c r="G380" t="str" cm="1">
        <f t="array" aca="1" ref="G380" ca="1">INDIRECT("'" &amp; A380 &amp; "'!" &amp; ADDRESS(1, COLUMN(INDIRECT("'" &amp; A380 &amp; "'!" &amp; B380))))</f>
        <v>1973 - 2</v>
      </c>
      <c r="H380" t="str">
        <f ca="1">VLOOKUP($G380, survey_codes_dict!A:C, 2, FALSE)</f>
        <v>1973_2</v>
      </c>
      <c r="I380" s="102" t="str">
        <f ca="1">VLOOKUP($G380, survey_codes_dict!A:D, 4, FALSE)</f>
        <v>1973_1</v>
      </c>
      <c r="J380" s="102" t="str">
        <f t="shared" ca="1" si="10"/>
        <v>1973_2__c37</v>
      </c>
      <c r="K380" s="102" t="str">
        <f t="shared" ca="1" si="11"/>
        <v>1973_1__c37</v>
      </c>
      <c r="L380" s="102"/>
      <c r="M380" s="102"/>
      <c r="N380" s="102"/>
      <c r="O380" s="102"/>
      <c r="P380" s="102"/>
      <c r="Q380" s="102"/>
      <c r="R380" s="102"/>
      <c r="S380" s="101"/>
    </row>
    <row r="381" spans="1:19" ht="72" x14ac:dyDescent="0.3">
      <c r="A381" t="s">
        <v>3847</v>
      </c>
      <c r="B381" t="s">
        <v>3942</v>
      </c>
      <c r="C381" s="90" t="s">
        <v>3943</v>
      </c>
      <c r="D381" t="s">
        <v>5562</v>
      </c>
      <c r="E381" s="101" t="s">
        <v>5933</v>
      </c>
      <c r="F381" t="str" cm="1">
        <f t="array" aca="1" ref="F381" ca="1">INDIRECT("'" &amp; A381 &amp; "'!" &amp; B381)</f>
        <v>d36</v>
      </c>
      <c r="G381" t="str" cm="1">
        <f t="array" aca="1" ref="G381" ca="1">INDIRECT("'" &amp; A381 &amp; "'!" &amp; ADDRESS(1, COLUMN(INDIRECT("'" &amp; A381 &amp; "'!" &amp; B381))))</f>
        <v>1973 - 2</v>
      </c>
      <c r="H381" t="str">
        <f ca="1">VLOOKUP($G381, survey_codes_dict!A:C, 2, FALSE)</f>
        <v>1973_2</v>
      </c>
      <c r="I381" s="102" t="str">
        <f ca="1">VLOOKUP($G381, survey_codes_dict!A:D, 4, FALSE)</f>
        <v>1973_1</v>
      </c>
      <c r="J381" s="102" t="str">
        <f t="shared" ca="1" si="10"/>
        <v>1973_2__d36</v>
      </c>
      <c r="K381" s="102" t="str">
        <f t="shared" ca="1" si="11"/>
        <v>1973_1__d36</v>
      </c>
      <c r="L381" s="102"/>
      <c r="M381" s="102"/>
      <c r="N381" s="102"/>
      <c r="O381" s="102"/>
      <c r="P381" s="102"/>
      <c r="Q381" s="102"/>
      <c r="R381" s="102"/>
      <c r="S381" s="101"/>
    </row>
    <row r="382" spans="1:19" ht="57.6" x14ac:dyDescent="0.3">
      <c r="A382" t="s">
        <v>3944</v>
      </c>
      <c r="B382" t="s">
        <v>3562</v>
      </c>
      <c r="C382" s="90" t="s">
        <v>3945</v>
      </c>
      <c r="D382" t="s">
        <v>5562</v>
      </c>
      <c r="E382" s="101" t="s">
        <v>5934</v>
      </c>
      <c r="F382" t="str" cm="1">
        <f t="array" aca="1" ref="F382" ca="1">INDIRECT("'" &amp; A382 &amp; "'!" &amp; B382)</f>
        <v>v49A</v>
      </c>
      <c r="G382" cm="1">
        <f t="array" aca="1" ref="G382" ca="1">INDIRECT("'" &amp; A382 &amp; "'!" &amp; ADDRESS(1, COLUMN(INDIRECT("'" &amp; A382 &amp; "'!" &amp; B382))))</f>
        <v>2020</v>
      </c>
      <c r="H382" t="e">
        <f ca="1">VLOOKUP($G382, survey_codes_dict!A:C, 2, FALSE)</f>
        <v>#N/A</v>
      </c>
      <c r="I382" s="102" t="e">
        <f ca="1">VLOOKUP($G382, survey_codes_dict!A:D, 4, FALSE)</f>
        <v>#N/A</v>
      </c>
      <c r="J382" s="102" t="e">
        <f t="shared" ca="1" si="10"/>
        <v>#N/A</v>
      </c>
      <c r="K382" s="102" t="e">
        <f t="shared" ca="1" si="11"/>
        <v>#N/A</v>
      </c>
      <c r="L382" s="102"/>
      <c r="M382" s="102"/>
      <c r="N382" s="102"/>
      <c r="O382" s="102"/>
      <c r="P382" s="102"/>
      <c r="Q382" s="102"/>
      <c r="R382" s="102"/>
      <c r="S382" s="102"/>
    </row>
    <row r="383" spans="1:19" ht="43.2" x14ac:dyDescent="0.3">
      <c r="A383" t="s">
        <v>3944</v>
      </c>
      <c r="B383" t="s">
        <v>3946</v>
      </c>
      <c r="C383" s="90" t="s">
        <v>3947</v>
      </c>
      <c r="D383" t="s">
        <v>5562</v>
      </c>
      <c r="E383" s="101" t="s">
        <v>5935</v>
      </c>
      <c r="F383" t="str" cm="1">
        <f t="array" aca="1" ref="F383" ca="1">INDIRECT("'" &amp; A383 &amp; "'!" &amp; B383)</f>
        <v>v45A</v>
      </c>
      <c r="G383" cm="1">
        <f t="array" aca="1" ref="G383" ca="1">INDIRECT("'" &amp; A383 &amp; "'!" &amp; ADDRESS(1, COLUMN(INDIRECT("'" &amp; A383 &amp; "'!" &amp; B383))))</f>
        <v>2013</v>
      </c>
      <c r="H383" t="e">
        <f ca="1">VLOOKUP($G383, survey_codes_dict!A:C, 2, FALSE)</f>
        <v>#N/A</v>
      </c>
      <c r="I383" s="102" t="e">
        <f ca="1">VLOOKUP($G383, survey_codes_dict!A:D, 4, FALSE)</f>
        <v>#N/A</v>
      </c>
      <c r="J383" s="102" t="e">
        <f t="shared" ca="1" si="10"/>
        <v>#N/A</v>
      </c>
      <c r="K383" s="102" t="e">
        <f t="shared" ca="1" si="11"/>
        <v>#N/A</v>
      </c>
      <c r="L383" s="102"/>
      <c r="M383" s="102"/>
      <c r="N383" s="102"/>
      <c r="O383" s="102"/>
      <c r="P383" s="102"/>
      <c r="Q383" s="102"/>
      <c r="R383" s="102"/>
      <c r="S383" s="102"/>
    </row>
    <row r="384" spans="1:19" ht="28.8" x14ac:dyDescent="0.3">
      <c r="A384" t="s">
        <v>3944</v>
      </c>
      <c r="B384" t="s">
        <v>3948</v>
      </c>
      <c r="C384" s="90" t="s">
        <v>3949</v>
      </c>
      <c r="D384" t="s">
        <v>5661</v>
      </c>
      <c r="E384" s="101" t="s">
        <v>5582</v>
      </c>
      <c r="F384" t="str" cm="1">
        <f t="array" aca="1" ref="F384" ca="1">INDIRECT("'" &amp; A384 &amp; "'!" &amp; B384)</f>
        <v>a27</v>
      </c>
      <c r="G384" cm="1">
        <f t="array" aca="1" ref="G384" ca="1">INDIRECT("'" &amp; A384 &amp; "'!" &amp; ADDRESS(1, COLUMN(INDIRECT("'" &amp; A384 &amp; "'!" &amp; B384))))</f>
        <v>2003</v>
      </c>
      <c r="H384" t="str">
        <f ca="1">VLOOKUP($G384, survey_codes_dict!A:C, 2, FALSE)</f>
        <v>2003</v>
      </c>
      <c r="I384" s="102" t="str">
        <f ca="1">VLOOKUP($G384, survey_codes_dict!A:D, 4, FALSE)</f>
        <v>2001</v>
      </c>
      <c r="J384" s="102" t="str">
        <f t="shared" ca="1" si="10"/>
        <v>2003__a27</v>
      </c>
      <c r="K384" s="102" t="str">
        <f t="shared" ca="1" si="11"/>
        <v>2001__a27</v>
      </c>
      <c r="L384" s="102"/>
      <c r="M384" s="102"/>
      <c r="N384" s="102"/>
      <c r="O384" s="102"/>
      <c r="P384" s="102"/>
      <c r="Q384" s="102"/>
      <c r="R384" s="102"/>
      <c r="S384" s="101"/>
    </row>
    <row r="385" spans="1:19" ht="57.6" x14ac:dyDescent="0.3">
      <c r="A385" t="s">
        <v>3944</v>
      </c>
      <c r="B385" t="s">
        <v>3950</v>
      </c>
      <c r="C385" s="90" t="s">
        <v>3951</v>
      </c>
      <c r="D385" t="s">
        <v>5562</v>
      </c>
      <c r="E385" s="101" t="s">
        <v>5936</v>
      </c>
      <c r="F385" t="str" cm="1">
        <f t="array" aca="1" ref="F385" ca="1">INDIRECT("'" &amp; A385 &amp; "'!" &amp; B385)</f>
        <v>a102</v>
      </c>
      <c r="G385" cm="1">
        <f t="array" aca="1" ref="G385" ca="1">INDIRECT("'" &amp; A385 &amp; "'!" &amp; ADDRESS(1, COLUMN(INDIRECT("'" &amp; A385 &amp; "'!" &amp; B385))))</f>
        <v>1992</v>
      </c>
      <c r="H385" t="str">
        <f ca="1">VLOOKUP($G385, survey_codes_dict!A:C, 2, FALSE)</f>
        <v>1992</v>
      </c>
      <c r="I385" s="102" t="str">
        <f ca="1">VLOOKUP($G385, survey_codes_dict!A:D, 4, FALSE)</f>
        <v>1988_N=873</v>
      </c>
      <c r="J385" s="102" t="str">
        <f t="shared" ca="1" si="10"/>
        <v>1992__a102</v>
      </c>
      <c r="K385" s="102" t="str">
        <f t="shared" ca="1" si="11"/>
        <v>1988_N=873__a102</v>
      </c>
      <c r="L385" s="102"/>
      <c r="M385" s="102"/>
      <c r="N385" s="102"/>
      <c r="O385" s="102"/>
      <c r="P385" s="102"/>
      <c r="Q385" s="102"/>
      <c r="R385" s="102"/>
      <c r="S385" s="101"/>
    </row>
    <row r="386" spans="1:19" ht="28.8" x14ac:dyDescent="0.3">
      <c r="A386" t="s">
        <v>3944</v>
      </c>
      <c r="B386" t="s">
        <v>3952</v>
      </c>
      <c r="C386" s="90" t="s">
        <v>3953</v>
      </c>
      <c r="D386" t="s">
        <v>399</v>
      </c>
      <c r="E386" s="101" t="s">
        <v>5583</v>
      </c>
      <c r="F386" t="str" cm="1">
        <f t="array" aca="1" ref="F386" ca="1">INDIRECT("'" &amp; A386 &amp; "'!" &amp; B386)</f>
        <v>מה יחסך לכל אחת מן המפלגות הבאות? יש עתיד</v>
      </c>
      <c r="G386" t="str" cm="1">
        <f t="array" aca="1" ref="G386" ca="1">INDIRECT("'" &amp; A386 &amp; "'!" &amp; ADDRESS(1, COLUMN(INDIRECT("'" &amp; A386 &amp; "'!" &amp; B386))))</f>
        <v>שאלה</v>
      </c>
      <c r="H386" t="e">
        <f ca="1">VLOOKUP($G386, survey_codes_dict!A:C, 2, FALSE)</f>
        <v>#N/A</v>
      </c>
      <c r="I386" s="102" t="e">
        <f ca="1">VLOOKUP($G386, survey_codes_dict!A:D, 4, FALSE)</f>
        <v>#N/A</v>
      </c>
      <c r="J386" s="102" t="e">
        <f t="shared" ref="J386:J449" ca="1" si="12">_xlfn.CONCAT($H386, "__", F386)</f>
        <v>#N/A</v>
      </c>
      <c r="K386" s="102" t="e">
        <f t="shared" ref="K386:K449" ca="1" si="13">_xlfn.CONCAT($I386, "__", F386)</f>
        <v>#N/A</v>
      </c>
      <c r="L386" s="102"/>
      <c r="M386" s="102"/>
      <c r="N386" s="102"/>
      <c r="O386" s="102"/>
      <c r="P386" s="102"/>
      <c r="Q386" s="102"/>
      <c r="R386" s="102"/>
      <c r="S386" s="102"/>
    </row>
    <row r="387" spans="1:19" ht="28.8" x14ac:dyDescent="0.3">
      <c r="A387" t="s">
        <v>3944</v>
      </c>
      <c r="B387" t="s">
        <v>3954</v>
      </c>
      <c r="C387" s="90" t="s">
        <v>3955</v>
      </c>
      <c r="D387" t="s">
        <v>5664</v>
      </c>
      <c r="E387" s="101" t="s">
        <v>5584</v>
      </c>
      <c r="F387" t="str" cm="1">
        <f t="array" aca="1" ref="F387" ca="1">INDIRECT("'" &amp; A387 &amp; "'!" &amp; B387)</f>
        <v>v49C</v>
      </c>
      <c r="G387" cm="1">
        <f t="array" aca="1" ref="G387" ca="1">INDIRECT("'" &amp; A387 &amp; "'!" &amp; ADDRESS(1, COLUMN(INDIRECT("'" &amp; A387 &amp; "'!" &amp; B387))))</f>
        <v>2020</v>
      </c>
      <c r="H387" t="e">
        <f ca="1">VLOOKUP($G387, survey_codes_dict!A:C, 2, FALSE)</f>
        <v>#N/A</v>
      </c>
      <c r="I387" s="102" t="e">
        <f ca="1">VLOOKUP($G387, survey_codes_dict!A:D, 4, FALSE)</f>
        <v>#N/A</v>
      </c>
      <c r="J387" s="102" t="e">
        <f t="shared" ca="1" si="12"/>
        <v>#N/A</v>
      </c>
      <c r="K387" s="102" t="e">
        <f t="shared" ca="1" si="13"/>
        <v>#N/A</v>
      </c>
      <c r="L387" s="102"/>
      <c r="M387" s="102"/>
      <c r="N387" s="102"/>
      <c r="O387" s="102"/>
      <c r="P387" s="102"/>
      <c r="Q387" s="102"/>
      <c r="R387" s="102"/>
      <c r="S387" s="102"/>
    </row>
    <row r="388" spans="1:19" ht="28.8" x14ac:dyDescent="0.3">
      <c r="A388" t="s">
        <v>3944</v>
      </c>
      <c r="B388" t="s">
        <v>3956</v>
      </c>
      <c r="C388" s="90" t="s">
        <v>3957</v>
      </c>
      <c r="D388" t="s">
        <v>5664</v>
      </c>
      <c r="E388" s="101" t="s">
        <v>5585</v>
      </c>
      <c r="F388" t="str" cm="1">
        <f t="array" aca="1" ref="F388" ca="1">INDIRECT("'" &amp; A388 &amp; "'!" &amp; B388)</f>
        <v>v49_c</v>
      </c>
      <c r="G388" cm="1">
        <f t="array" aca="1" ref="G388" ca="1">INDIRECT("'" &amp; A388 &amp; "'!" &amp; ADDRESS(1, COLUMN(INDIRECT("'" &amp; A388 &amp; "'!" &amp; B388))))</f>
        <v>43709</v>
      </c>
      <c r="H388" t="e">
        <f ca="1">VLOOKUP($G388, survey_codes_dict!A:C, 2, FALSE)</f>
        <v>#N/A</v>
      </c>
      <c r="I388" s="102" t="e">
        <f ca="1">VLOOKUP($G388, survey_codes_dict!A:D, 4, FALSE)</f>
        <v>#N/A</v>
      </c>
      <c r="J388" s="102" t="e">
        <f t="shared" ca="1" si="12"/>
        <v>#N/A</v>
      </c>
      <c r="K388" s="102" t="e">
        <f t="shared" ca="1" si="13"/>
        <v>#N/A</v>
      </c>
      <c r="L388" s="102"/>
      <c r="M388" s="102"/>
      <c r="N388" s="102"/>
      <c r="O388" s="102"/>
      <c r="P388" s="102"/>
      <c r="Q388" s="102"/>
      <c r="R388" s="102"/>
      <c r="S388" s="102"/>
    </row>
    <row r="389" spans="1:19" ht="43.2" x14ac:dyDescent="0.3">
      <c r="A389" t="s">
        <v>3944</v>
      </c>
      <c r="B389" t="s">
        <v>3958</v>
      </c>
      <c r="C389" s="90" t="s">
        <v>3959</v>
      </c>
      <c r="D389" t="s">
        <v>5562</v>
      </c>
      <c r="E389" s="101" t="s">
        <v>5937</v>
      </c>
      <c r="F389" t="str" cm="1">
        <f t="array" aca="1" ref="F389" ca="1">INDIRECT("'" &amp; A389 &amp; "'!" &amp; B389)</f>
        <v>v51B</v>
      </c>
      <c r="G389" cm="1">
        <f t="array" aca="1" ref="G389" ca="1">INDIRECT("'" &amp; A389 &amp; "'!" &amp; ADDRESS(1, COLUMN(INDIRECT("'" &amp; A389 &amp; "'!" &amp; B389))))</f>
        <v>2015</v>
      </c>
      <c r="H389" t="e">
        <f ca="1">VLOOKUP($G389, survey_codes_dict!A:C, 2, FALSE)</f>
        <v>#N/A</v>
      </c>
      <c r="I389" s="102" t="e">
        <f ca="1">VLOOKUP($G389, survey_codes_dict!A:D, 4, FALSE)</f>
        <v>#N/A</v>
      </c>
      <c r="J389" s="102" t="e">
        <f t="shared" ca="1" si="12"/>
        <v>#N/A</v>
      </c>
      <c r="K389" s="102" t="e">
        <f t="shared" ca="1" si="13"/>
        <v>#N/A</v>
      </c>
      <c r="L389" s="102"/>
      <c r="M389" s="102"/>
      <c r="N389" s="102"/>
      <c r="O389" s="102"/>
      <c r="P389" s="102"/>
      <c r="Q389" s="102"/>
      <c r="R389" s="102"/>
      <c r="S389" s="102"/>
    </row>
    <row r="390" spans="1:19" ht="57.6" x14ac:dyDescent="0.3">
      <c r="A390" t="s">
        <v>3944</v>
      </c>
      <c r="B390" t="s">
        <v>3960</v>
      </c>
      <c r="C390" s="90" t="s">
        <v>3961</v>
      </c>
      <c r="D390" t="s">
        <v>5562</v>
      </c>
      <c r="E390" s="101" t="s">
        <v>5938</v>
      </c>
      <c r="F390" t="str" cm="1">
        <f t="array" aca="1" ref="F390" ca="1">INDIRECT("'" &amp; A390 &amp; "'!" &amp; B390)</f>
        <v>מה יחסך לכל אחת מן המפלגות הבאות? התנועה</v>
      </c>
      <c r="G390" t="str" cm="1">
        <f t="array" aca="1" ref="G390" ca="1">INDIRECT("'" &amp; A390 &amp; "'!" &amp; ADDRESS(1, COLUMN(INDIRECT("'" &amp; A390 &amp; "'!" &amp; B390))))</f>
        <v>שאלה</v>
      </c>
      <c r="H390" t="e">
        <f ca="1">VLOOKUP($G390, survey_codes_dict!A:C, 2, FALSE)</f>
        <v>#N/A</v>
      </c>
      <c r="I390" s="102" t="e">
        <f ca="1">VLOOKUP($G390, survey_codes_dict!A:D, 4, FALSE)</f>
        <v>#N/A</v>
      </c>
      <c r="J390" s="102" t="e">
        <f t="shared" ca="1" si="12"/>
        <v>#N/A</v>
      </c>
      <c r="K390" s="102" t="e">
        <f t="shared" ca="1" si="13"/>
        <v>#N/A</v>
      </c>
      <c r="L390" s="102"/>
      <c r="M390" s="102"/>
      <c r="N390" s="102"/>
      <c r="O390" s="102"/>
      <c r="P390" s="102"/>
      <c r="Q390" s="102"/>
      <c r="R390" s="102"/>
      <c r="S390" s="102"/>
    </row>
    <row r="391" spans="1:19" ht="43.2" x14ac:dyDescent="0.3">
      <c r="A391" t="s">
        <v>3944</v>
      </c>
      <c r="B391" t="s">
        <v>3962</v>
      </c>
      <c r="C391" s="90" t="s">
        <v>3963</v>
      </c>
      <c r="D391" t="s">
        <v>5562</v>
      </c>
      <c r="E391" s="101" t="s">
        <v>5939</v>
      </c>
      <c r="F391" t="str" cm="1">
        <f t="array" aca="1" ref="F391" ca="1">INDIRECT("'" &amp; A391 &amp; "'!" &amp; B391)</f>
        <v>c49_f</v>
      </c>
      <c r="G391" cm="1">
        <f t="array" aca="1" ref="G391" ca="1">INDIRECT("'" &amp; A391 &amp; "'!" &amp; ADDRESS(1, COLUMN(INDIRECT("'" &amp; A391 &amp; "'!" &amp; B391))))</f>
        <v>43709</v>
      </c>
      <c r="H391" t="e">
        <f ca="1">VLOOKUP($G391, survey_codes_dict!A:C, 2, FALSE)</f>
        <v>#N/A</v>
      </c>
      <c r="I391" s="102" t="e">
        <f ca="1">VLOOKUP($G391, survey_codes_dict!A:D, 4, FALSE)</f>
        <v>#N/A</v>
      </c>
      <c r="J391" s="102" t="e">
        <f t="shared" ca="1" si="12"/>
        <v>#N/A</v>
      </c>
      <c r="K391" s="102" t="e">
        <f t="shared" ca="1" si="13"/>
        <v>#N/A</v>
      </c>
      <c r="L391" s="102"/>
      <c r="M391" s="102"/>
      <c r="N391" s="102"/>
      <c r="O391" s="102"/>
      <c r="P391" s="102"/>
      <c r="Q391" s="102"/>
      <c r="R391" s="102"/>
      <c r="S391" s="102"/>
    </row>
    <row r="392" spans="1:19" ht="28.8" x14ac:dyDescent="0.3">
      <c r="A392" t="s">
        <v>3944</v>
      </c>
      <c r="B392" t="s">
        <v>3599</v>
      </c>
      <c r="C392" s="90" t="s">
        <v>3964</v>
      </c>
      <c r="D392" t="s">
        <v>399</v>
      </c>
      <c r="E392" s="101" t="s">
        <v>5586</v>
      </c>
      <c r="F392" t="str" cm="1">
        <f t="array" aca="1" ref="F392" ca="1">INDIRECT("'" &amp; A392 &amp; "'!" &amp; B392)</f>
        <v>מה יחסך לכל אחת מן המפלגות הבאות? ימינה</v>
      </c>
      <c r="G392" t="str" cm="1">
        <f t="array" aca="1" ref="G392" ca="1">INDIRECT("'" &amp; A392 &amp; "'!" &amp; ADDRESS(1, COLUMN(INDIRECT("'" &amp; A392 &amp; "'!" &amp; B392))))</f>
        <v>שאלה</v>
      </c>
      <c r="H392" t="e">
        <f ca="1">VLOOKUP($G392, survey_codes_dict!A:C, 2, FALSE)</f>
        <v>#N/A</v>
      </c>
      <c r="I392" s="102" t="e">
        <f ca="1">VLOOKUP($G392, survey_codes_dict!A:D, 4, FALSE)</f>
        <v>#N/A</v>
      </c>
      <c r="J392" s="102" t="e">
        <f t="shared" ca="1" si="12"/>
        <v>#N/A</v>
      </c>
      <c r="K392" s="102" t="e">
        <f t="shared" ca="1" si="13"/>
        <v>#N/A</v>
      </c>
      <c r="L392" s="102"/>
      <c r="M392" s="102"/>
      <c r="N392" s="102"/>
      <c r="O392" s="102"/>
      <c r="P392" s="102"/>
      <c r="Q392" s="102"/>
      <c r="R392" s="102"/>
      <c r="S392" s="102"/>
    </row>
    <row r="393" spans="1:19" ht="28.8" x14ac:dyDescent="0.3">
      <c r="A393" t="s">
        <v>3944</v>
      </c>
      <c r="B393" t="s">
        <v>3965</v>
      </c>
      <c r="C393" s="90" t="s">
        <v>3953</v>
      </c>
      <c r="D393" t="s">
        <v>399</v>
      </c>
      <c r="E393" s="101" t="s">
        <v>5583</v>
      </c>
      <c r="F393" t="str" cm="1">
        <f t="array" aca="1" ref="F393" ca="1">INDIRECT("'" &amp; A393 &amp; "'!" &amp; B393)</f>
        <v>מה יחסך לכל אחת מן המפלגות הבאות? תקווה חדשה</v>
      </c>
      <c r="G393" t="str" cm="1">
        <f t="array" aca="1" ref="G393" ca="1">INDIRECT("'" &amp; A393 &amp; "'!" &amp; ADDRESS(1, COLUMN(INDIRECT("'" &amp; A393 &amp; "'!" &amp; B393))))</f>
        <v>שאלה</v>
      </c>
      <c r="H393" t="e">
        <f ca="1">VLOOKUP($G393, survey_codes_dict!A:C, 2, FALSE)</f>
        <v>#N/A</v>
      </c>
      <c r="I393" s="102" t="e">
        <f ca="1">VLOOKUP($G393, survey_codes_dict!A:D, 4, FALSE)</f>
        <v>#N/A</v>
      </c>
      <c r="J393" s="102" t="e">
        <f t="shared" ca="1" si="12"/>
        <v>#N/A</v>
      </c>
      <c r="K393" s="102" t="e">
        <f t="shared" ca="1" si="13"/>
        <v>#N/A</v>
      </c>
      <c r="L393" s="102"/>
      <c r="M393" s="102"/>
      <c r="N393" s="102"/>
      <c r="O393" s="102"/>
      <c r="P393" s="102"/>
      <c r="Q393" s="102"/>
      <c r="R393" s="102"/>
      <c r="S393" s="102"/>
    </row>
    <row r="394" spans="1:19" ht="28.8" x14ac:dyDescent="0.3">
      <c r="A394" t="s">
        <v>3944</v>
      </c>
      <c r="B394" t="s">
        <v>3603</v>
      </c>
      <c r="C394" s="90" t="s">
        <v>3953</v>
      </c>
      <c r="D394" t="s">
        <v>399</v>
      </c>
      <c r="E394" s="101" t="s">
        <v>5583</v>
      </c>
      <c r="F394" t="str" cm="1">
        <f t="array" aca="1" ref="F394" ca="1">INDIRECT("'" &amp; A394 &amp; "'!" &amp; B394)</f>
        <v>מה יחסך לכל אחת מהמפלגות הבאות? הבית היהודי/מפד"ל</v>
      </c>
      <c r="G394" t="str" cm="1">
        <f t="array" aca="1" ref="G394" ca="1">INDIRECT("'" &amp; A394 &amp; "'!" &amp; ADDRESS(1, COLUMN(INDIRECT("'" &amp; A394 &amp; "'!" &amp; B394))))</f>
        <v>שאלה</v>
      </c>
      <c r="H394" t="e">
        <f ca="1">VLOOKUP($G394, survey_codes_dict!A:C, 2, FALSE)</f>
        <v>#N/A</v>
      </c>
      <c r="I394" s="102" t="e">
        <f ca="1">VLOOKUP($G394, survey_codes_dict!A:D, 4, FALSE)</f>
        <v>#N/A</v>
      </c>
      <c r="J394" s="102" t="e">
        <f t="shared" ca="1" si="12"/>
        <v>#N/A</v>
      </c>
      <c r="K394" s="102" t="e">
        <f t="shared" ca="1" si="13"/>
        <v>#N/A</v>
      </c>
      <c r="L394" s="102"/>
      <c r="M394" s="102"/>
      <c r="N394" s="102"/>
      <c r="O394" s="102"/>
      <c r="P394" s="102"/>
      <c r="Q394" s="102"/>
      <c r="R394" s="102"/>
      <c r="S394" s="102"/>
    </row>
    <row r="395" spans="1:19" ht="28.8" x14ac:dyDescent="0.3">
      <c r="A395" t="s">
        <v>3944</v>
      </c>
      <c r="B395" t="s">
        <v>3605</v>
      </c>
      <c r="C395" s="90" t="s">
        <v>3966</v>
      </c>
      <c r="D395" t="s">
        <v>5664</v>
      </c>
      <c r="E395" s="101" t="s">
        <v>5587</v>
      </c>
      <c r="F395" t="str" cm="1">
        <f t="array" aca="1" ref="F395" ca="1">INDIRECT("'" &amp; A395 &amp; "'!" &amp; B395)</f>
        <v>v49s</v>
      </c>
      <c r="G395" cm="1">
        <f t="array" aca="1" ref="G395" ca="1">INDIRECT("'" &amp; A395 &amp; "'!" &amp; ADDRESS(1, COLUMN(INDIRECT("'" &amp; A395 &amp; "'!" &amp; B395))))</f>
        <v>2022</v>
      </c>
      <c r="H395" t="e">
        <f ca="1">VLOOKUP($G395, survey_codes_dict!A:C, 2, FALSE)</f>
        <v>#N/A</v>
      </c>
      <c r="I395" s="102" t="e">
        <f ca="1">VLOOKUP($G395, survey_codes_dict!A:D, 4, FALSE)</f>
        <v>#N/A</v>
      </c>
      <c r="J395" s="102" t="e">
        <f t="shared" ca="1" si="12"/>
        <v>#N/A</v>
      </c>
      <c r="K395" s="102" t="e">
        <f t="shared" ca="1" si="13"/>
        <v>#N/A</v>
      </c>
      <c r="L395" s="102"/>
      <c r="M395" s="102"/>
      <c r="N395" s="102"/>
      <c r="O395" s="102"/>
      <c r="P395" s="102"/>
      <c r="Q395" s="102"/>
      <c r="R395" s="102"/>
      <c r="S395" s="102"/>
    </row>
    <row r="396" spans="1:19" ht="28.8" x14ac:dyDescent="0.3">
      <c r="A396" t="s">
        <v>3944</v>
      </c>
      <c r="B396" t="s">
        <v>3967</v>
      </c>
      <c r="C396" s="90" t="s">
        <v>3917</v>
      </c>
      <c r="D396" t="s">
        <v>5664</v>
      </c>
      <c r="E396" s="101" t="s">
        <v>5578</v>
      </c>
      <c r="F396" t="str" cm="1">
        <f t="array" aca="1" ref="F396" ca="1">INDIRECT("'" &amp; A396 &amp; "'!" &amp; B396)</f>
        <v>v49S</v>
      </c>
      <c r="G396" cm="1">
        <f t="array" aca="1" ref="G396" ca="1">INDIRECT("'" &amp; A396 &amp; "'!" &amp; ADDRESS(1, COLUMN(INDIRECT("'" &amp; A396 &amp; "'!" &amp; B396))))</f>
        <v>2021</v>
      </c>
      <c r="H396" t="e">
        <f ca="1">VLOOKUP($G396, survey_codes_dict!A:C, 2, FALSE)</f>
        <v>#N/A</v>
      </c>
      <c r="I396" s="102" t="e">
        <f ca="1">VLOOKUP($G396, survey_codes_dict!A:D, 4, FALSE)</f>
        <v>#N/A</v>
      </c>
      <c r="J396" s="102" t="e">
        <f t="shared" ca="1" si="12"/>
        <v>#N/A</v>
      </c>
      <c r="K396" s="102" t="e">
        <f t="shared" ca="1" si="13"/>
        <v>#N/A</v>
      </c>
      <c r="L396" s="102"/>
      <c r="M396" s="102"/>
      <c r="N396" s="102"/>
      <c r="O396" s="102"/>
      <c r="P396" s="102"/>
      <c r="Q396" s="102"/>
      <c r="R396" s="102"/>
      <c r="S396" s="102"/>
    </row>
    <row r="397" spans="1:19" ht="28.8" x14ac:dyDescent="0.3">
      <c r="A397" t="s">
        <v>3944</v>
      </c>
      <c r="B397" t="s">
        <v>3968</v>
      </c>
      <c r="C397" s="90" t="s">
        <v>3969</v>
      </c>
      <c r="D397" t="s">
        <v>5664</v>
      </c>
      <c r="E397" s="101" t="s">
        <v>5588</v>
      </c>
      <c r="F397" t="str" cm="1">
        <f t="array" aca="1" ref="F397" ca="1">INDIRECT("'" &amp; A397 &amp; "'!" &amp; B397)</f>
        <v>a63</v>
      </c>
      <c r="G397" cm="1">
        <f t="array" aca="1" ref="G397" ca="1">INDIRECT("'" &amp; A397 &amp; "'!" &amp; ADDRESS(1, COLUMN(INDIRECT("'" &amp; A397 &amp; "'!" &amp; B397))))</f>
        <v>2006</v>
      </c>
      <c r="H397" t="str">
        <f ca="1">VLOOKUP($G397, survey_codes_dict!A:C, 2, FALSE)</f>
        <v>2006</v>
      </c>
      <c r="I397" s="102" t="str">
        <f ca="1">VLOOKUP($G397, survey_codes_dict!A:D, 4, FALSE)</f>
        <v>2003</v>
      </c>
      <c r="J397" s="102" t="str">
        <f t="shared" ca="1" si="12"/>
        <v>2006__a63</v>
      </c>
      <c r="K397" s="102" t="str">
        <f t="shared" ca="1" si="13"/>
        <v>2003__a63</v>
      </c>
      <c r="L397" s="102"/>
      <c r="M397" s="102"/>
      <c r="N397" s="102"/>
      <c r="O397" s="102"/>
      <c r="P397" s="102"/>
      <c r="Q397" s="102"/>
      <c r="R397" s="102"/>
      <c r="S397" s="101"/>
    </row>
    <row r="398" spans="1:19" ht="43.2" x14ac:dyDescent="0.3">
      <c r="A398" t="s">
        <v>3944</v>
      </c>
      <c r="B398" t="s">
        <v>3970</v>
      </c>
      <c r="C398" s="90" t="s">
        <v>3971</v>
      </c>
      <c r="D398" t="s">
        <v>5562</v>
      </c>
      <c r="E398" s="101" t="s">
        <v>5940</v>
      </c>
      <c r="F398" t="str" cm="1">
        <f t="array" aca="1" ref="F398" ca="1">INDIRECT("'" &amp; A398 &amp; "'!" &amp; B398)</f>
        <v>מה יחסך לכל אחת מן המפלגות הבאות? ישראל ביתנו</v>
      </c>
      <c r="G398" t="str" cm="1">
        <f t="array" aca="1" ref="G398" ca="1">INDIRECT("'" &amp; A398 &amp; "'!" &amp; ADDRESS(1, COLUMN(INDIRECT("'" &amp; A398 &amp; "'!" &amp; B398))))</f>
        <v>שאלה</v>
      </c>
      <c r="H398" t="e">
        <f ca="1">VLOOKUP($G398, survey_codes_dict!A:C, 2, FALSE)</f>
        <v>#N/A</v>
      </c>
      <c r="I398" s="102" t="e">
        <f ca="1">VLOOKUP($G398, survey_codes_dict!A:D, 4, FALSE)</f>
        <v>#N/A</v>
      </c>
      <c r="J398" s="102" t="e">
        <f t="shared" ca="1" si="12"/>
        <v>#N/A</v>
      </c>
      <c r="K398" s="102" t="e">
        <f t="shared" ca="1" si="13"/>
        <v>#N/A</v>
      </c>
      <c r="L398" s="102"/>
      <c r="M398" s="102"/>
      <c r="N398" s="102"/>
      <c r="O398" s="102"/>
      <c r="P398" s="102"/>
      <c r="Q398" s="102"/>
      <c r="R398" s="102"/>
      <c r="S398" s="102"/>
    </row>
    <row r="399" spans="1:19" ht="28.8" x14ac:dyDescent="0.3">
      <c r="A399" t="s">
        <v>3944</v>
      </c>
      <c r="B399" t="s">
        <v>3972</v>
      </c>
      <c r="C399" s="90" t="s">
        <v>3973</v>
      </c>
      <c r="D399" t="s">
        <v>5664</v>
      </c>
      <c r="E399" s="101" t="s">
        <v>5589</v>
      </c>
      <c r="F399" t="str" cm="1">
        <f t="array" aca="1" ref="F399" ca="1">INDIRECT("'" &amp; A399 &amp; "'!" &amp; B399)</f>
        <v>a32</v>
      </c>
      <c r="G399" cm="1">
        <f t="array" aca="1" ref="G399" ca="1">INDIRECT("'" &amp; A399 &amp; "'!" &amp; ADDRESS(1, COLUMN(INDIRECT("'" &amp; A399 &amp; "'!" &amp; B399))))</f>
        <v>2003</v>
      </c>
      <c r="H399" t="str">
        <f ca="1">VLOOKUP($G399, survey_codes_dict!A:C, 2, FALSE)</f>
        <v>2003</v>
      </c>
      <c r="I399" s="102" t="str">
        <f ca="1">VLOOKUP($G399, survey_codes_dict!A:D, 4, FALSE)</f>
        <v>2001</v>
      </c>
      <c r="J399" s="102" t="str">
        <f t="shared" ca="1" si="12"/>
        <v>2003__a32</v>
      </c>
      <c r="K399" s="102" t="str">
        <f t="shared" ca="1" si="13"/>
        <v>2001__a32</v>
      </c>
      <c r="L399" s="102"/>
      <c r="M399" s="102"/>
      <c r="N399" s="102"/>
      <c r="O399" s="102"/>
      <c r="P399" s="102"/>
      <c r="Q399" s="102"/>
      <c r="R399" s="102"/>
      <c r="S399" s="101"/>
    </row>
    <row r="400" spans="1:19" ht="28.8" x14ac:dyDescent="0.3">
      <c r="A400" t="s">
        <v>3944</v>
      </c>
      <c r="B400" t="s">
        <v>3974</v>
      </c>
      <c r="C400" s="90" t="s">
        <v>3964</v>
      </c>
      <c r="D400" t="s">
        <v>399</v>
      </c>
      <c r="E400" s="101" t="s">
        <v>5586</v>
      </c>
      <c r="F400" t="str" cm="1">
        <f t="array" aca="1" ref="F400" ca="1">INDIRECT("'" &amp; A400 &amp; "'!" &amp; B400)</f>
        <v>מה יחסך לכל אחת מן המפלגות הבאות? ש"ס</v>
      </c>
      <c r="G400" t="str" cm="1">
        <f t="array" aca="1" ref="G400" ca="1">INDIRECT("'" &amp; A400 &amp; "'!" &amp; ADDRESS(1, COLUMN(INDIRECT("'" &amp; A400 &amp; "'!" &amp; B400))))</f>
        <v>שאלה</v>
      </c>
      <c r="H400" t="e">
        <f ca="1">VLOOKUP($G400, survey_codes_dict!A:C, 2, FALSE)</f>
        <v>#N/A</v>
      </c>
      <c r="I400" s="102" t="e">
        <f ca="1">VLOOKUP($G400, survey_codes_dict!A:D, 4, FALSE)</f>
        <v>#N/A</v>
      </c>
      <c r="J400" s="102" t="e">
        <f t="shared" ca="1" si="12"/>
        <v>#N/A</v>
      </c>
      <c r="K400" s="102" t="e">
        <f t="shared" ca="1" si="13"/>
        <v>#N/A</v>
      </c>
      <c r="L400" s="102"/>
      <c r="M400" s="102"/>
      <c r="N400" s="102"/>
      <c r="O400" s="102"/>
      <c r="P400" s="102"/>
      <c r="Q400" s="102"/>
      <c r="R400" s="102"/>
      <c r="S400" s="102"/>
    </row>
    <row r="401" spans="1:19" ht="28.8" x14ac:dyDescent="0.3">
      <c r="A401" t="s">
        <v>3944</v>
      </c>
      <c r="B401" t="s">
        <v>3353</v>
      </c>
      <c r="C401" s="90" t="s">
        <v>3964</v>
      </c>
      <c r="D401" t="s">
        <v>399</v>
      </c>
      <c r="E401" s="101" t="s">
        <v>5586</v>
      </c>
      <c r="F401" t="str" cm="1">
        <f t="array" aca="1" ref="F401" ca="1">INDIRECT("'" &amp; A401 &amp; "'!" &amp; B401)</f>
        <v>מה יחסך לכל אחת מן המפלגות הבאות? עוצמה יהודית</v>
      </c>
      <c r="G401" t="str" cm="1">
        <f t="array" aca="1" ref="G401" ca="1">INDIRECT("'" &amp; A401 &amp; "'!" &amp; ADDRESS(1, COLUMN(INDIRECT("'" &amp; A401 &amp; "'!" &amp; B401))))</f>
        <v>שאלה</v>
      </c>
      <c r="H401" t="e">
        <f ca="1">VLOOKUP($G401, survey_codes_dict!A:C, 2, FALSE)</f>
        <v>#N/A</v>
      </c>
      <c r="I401" s="102" t="e">
        <f ca="1">VLOOKUP($G401, survey_codes_dict!A:D, 4, FALSE)</f>
        <v>#N/A</v>
      </c>
      <c r="J401" s="102" t="e">
        <f t="shared" ca="1" si="12"/>
        <v>#N/A</v>
      </c>
      <c r="K401" s="102" t="e">
        <f t="shared" ca="1" si="13"/>
        <v>#N/A</v>
      </c>
      <c r="L401" s="102"/>
      <c r="M401" s="102"/>
      <c r="N401" s="102"/>
      <c r="O401" s="102"/>
      <c r="P401" s="102"/>
      <c r="Q401" s="102"/>
      <c r="R401" s="102"/>
      <c r="S401" s="102"/>
    </row>
    <row r="402" spans="1:19" ht="28.8" x14ac:dyDescent="0.3">
      <c r="A402" t="s">
        <v>3944</v>
      </c>
      <c r="B402" t="s">
        <v>3365</v>
      </c>
      <c r="C402" s="90" t="s">
        <v>3964</v>
      </c>
      <c r="D402" t="s">
        <v>399</v>
      </c>
      <c r="E402" s="101" t="s">
        <v>5586</v>
      </c>
      <c r="F402" t="str" cm="1">
        <f t="array" aca="1" ref="F402" ca="1">INDIRECT("'" &amp; A402 &amp; "'!" &amp; B402)</f>
        <v>מה יחסך לכל אחת מן המפלגות הבאות? יהדות התורה</v>
      </c>
      <c r="G402" t="str" cm="1">
        <f t="array" aca="1" ref="G402" ca="1">INDIRECT("'" &amp; A402 &amp; "'!" &amp; ADDRESS(1, COLUMN(INDIRECT("'" &amp; A402 &amp; "'!" &amp; B402))))</f>
        <v>שאלה</v>
      </c>
      <c r="H402" t="e">
        <f ca="1">VLOOKUP($G402, survey_codes_dict!A:C, 2, FALSE)</f>
        <v>#N/A</v>
      </c>
      <c r="I402" s="102" t="e">
        <f ca="1">VLOOKUP($G402, survey_codes_dict!A:D, 4, FALSE)</f>
        <v>#N/A</v>
      </c>
      <c r="J402" s="102" t="e">
        <f t="shared" ca="1" si="12"/>
        <v>#N/A</v>
      </c>
      <c r="K402" s="102" t="e">
        <f t="shared" ca="1" si="13"/>
        <v>#N/A</v>
      </c>
      <c r="L402" s="102"/>
      <c r="M402" s="102"/>
      <c r="N402" s="102"/>
      <c r="O402" s="102"/>
      <c r="P402" s="102"/>
      <c r="Q402" s="102"/>
      <c r="R402" s="102"/>
      <c r="S402" s="102"/>
    </row>
    <row r="403" spans="1:19" ht="43.2" x14ac:dyDescent="0.3">
      <c r="A403" t="s">
        <v>3944</v>
      </c>
      <c r="B403" t="s">
        <v>3975</v>
      </c>
      <c r="C403" s="90" t="s">
        <v>3976</v>
      </c>
      <c r="D403" t="s">
        <v>5562</v>
      </c>
      <c r="E403" s="101" t="s">
        <v>5941</v>
      </c>
      <c r="F403" t="str" cm="1">
        <f t="array" aca="1" ref="F403" ca="1">INDIRECT("'" &amp; A403 &amp; "'!" &amp; B403)</f>
        <v>v49j</v>
      </c>
      <c r="G403" cm="1">
        <f t="array" aca="1" ref="G403" ca="1">INDIRECT("'" &amp; A403 &amp; "'!" &amp; ADDRESS(1, COLUMN(INDIRECT("'" &amp; A403 &amp; "'!" &amp; B403))))</f>
        <v>2022</v>
      </c>
      <c r="H403" t="e">
        <f ca="1">VLOOKUP($G403, survey_codes_dict!A:C, 2, FALSE)</f>
        <v>#N/A</v>
      </c>
      <c r="I403" s="102" t="e">
        <f ca="1">VLOOKUP($G403, survey_codes_dict!A:D, 4, FALSE)</f>
        <v>#N/A</v>
      </c>
      <c r="J403" s="102" t="e">
        <f t="shared" ca="1" si="12"/>
        <v>#N/A</v>
      </c>
      <c r="K403" s="102" t="e">
        <f t="shared" ca="1" si="13"/>
        <v>#N/A</v>
      </c>
      <c r="L403" s="102"/>
      <c r="M403" s="102"/>
      <c r="N403" s="102"/>
      <c r="O403" s="102"/>
      <c r="P403" s="102"/>
      <c r="Q403" s="102"/>
      <c r="R403" s="102"/>
      <c r="S403" s="102"/>
    </row>
    <row r="404" spans="1:19" ht="28.8" x14ac:dyDescent="0.3">
      <c r="A404" t="s">
        <v>3944</v>
      </c>
      <c r="B404" t="s">
        <v>3977</v>
      </c>
      <c r="C404" s="90" t="s">
        <v>3978</v>
      </c>
      <c r="D404" t="s">
        <v>399</v>
      </c>
      <c r="E404" s="101" t="s">
        <v>5590</v>
      </c>
      <c r="F404" t="str" cm="1">
        <f t="array" aca="1" ref="F404" ca="1">INDIRECT("'" &amp; A404 &amp; "'!" &amp; B404)</f>
        <v>v49J</v>
      </c>
      <c r="G404" cm="1">
        <f t="array" aca="1" ref="G404" ca="1">INDIRECT("'" &amp; A404 &amp; "'!" &amp; ADDRESS(1, COLUMN(INDIRECT("'" &amp; A404 &amp; "'!" &amp; B404))))</f>
        <v>43556</v>
      </c>
      <c r="H404" t="e">
        <f ca="1">VLOOKUP($G404, survey_codes_dict!A:C, 2, FALSE)</f>
        <v>#N/A</v>
      </c>
      <c r="I404" s="102" t="e">
        <f ca="1">VLOOKUP($G404, survey_codes_dict!A:D, 4, FALSE)</f>
        <v>#N/A</v>
      </c>
      <c r="J404" s="102" t="e">
        <f t="shared" ca="1" si="12"/>
        <v>#N/A</v>
      </c>
      <c r="K404" s="102" t="e">
        <f t="shared" ca="1" si="13"/>
        <v>#N/A</v>
      </c>
      <c r="L404" s="102"/>
      <c r="M404" s="102"/>
      <c r="N404" s="102"/>
      <c r="O404" s="102"/>
      <c r="P404" s="102"/>
      <c r="Q404" s="102"/>
      <c r="R404" s="102"/>
      <c r="S404" s="102"/>
    </row>
    <row r="405" spans="1:19" ht="28.8" x14ac:dyDescent="0.3">
      <c r="A405" t="s">
        <v>3944</v>
      </c>
      <c r="B405" t="s">
        <v>3979</v>
      </c>
      <c r="C405" s="90" t="s">
        <v>3980</v>
      </c>
      <c r="D405" t="s">
        <v>399</v>
      </c>
      <c r="E405" s="101" t="s">
        <v>5591</v>
      </c>
      <c r="F405" t="str" cm="1">
        <f t="array" aca="1" ref="F405" ca="1">INDIRECT("'" &amp; A405 &amp; "'!" &amp; B405)</f>
        <v>מה יחסך לכל אחת מן המפלגות הבאות? רע"מ-בל"ד</v>
      </c>
      <c r="G405" t="str" cm="1">
        <f t="array" aca="1" ref="G405" ca="1">INDIRECT("'" &amp; A405 &amp; "'!" &amp; ADDRESS(1, COLUMN(INDIRECT("'" &amp; A405 &amp; "'!" &amp; B405))))</f>
        <v>שאלה</v>
      </c>
      <c r="H405" t="e">
        <f ca="1">VLOOKUP($G405, survey_codes_dict!A:C, 2, FALSE)</f>
        <v>#N/A</v>
      </c>
      <c r="I405" s="102" t="e">
        <f ca="1">VLOOKUP($G405, survey_codes_dict!A:D, 4, FALSE)</f>
        <v>#N/A</v>
      </c>
      <c r="J405" s="102" t="e">
        <f t="shared" ca="1" si="12"/>
        <v>#N/A</v>
      </c>
      <c r="K405" s="102" t="e">
        <f t="shared" ca="1" si="13"/>
        <v>#N/A</v>
      </c>
      <c r="L405" s="102"/>
      <c r="M405" s="102"/>
      <c r="N405" s="102"/>
      <c r="O405" s="102"/>
      <c r="P405" s="102"/>
      <c r="Q405" s="102"/>
      <c r="R405" s="102"/>
      <c r="S405" s="102"/>
    </row>
    <row r="406" spans="1:19" ht="28.8" x14ac:dyDescent="0.3">
      <c r="A406" t="s">
        <v>3944</v>
      </c>
      <c r="B406" t="s">
        <v>3981</v>
      </c>
      <c r="C406" s="90" t="s">
        <v>3980</v>
      </c>
      <c r="D406" t="s">
        <v>399</v>
      </c>
      <c r="E406" s="101" t="s">
        <v>5591</v>
      </c>
      <c r="F406" t="str" cm="1">
        <f t="array" aca="1" ref="F406" ca="1">INDIRECT("'" &amp; A406 &amp; "'!" &amp; B406)</f>
        <v>מה יחסך לכל אחת מן המפלגות הבאות? רע"מ-תע"ל</v>
      </c>
      <c r="G406" t="str" cm="1">
        <f t="array" aca="1" ref="G406" ca="1">INDIRECT("'" &amp; A406 &amp; "'!" &amp; ADDRESS(1, COLUMN(INDIRECT("'" &amp; A406 &amp; "'!" &amp; B406))))</f>
        <v>שאלה</v>
      </c>
      <c r="H406" t="e">
        <f ca="1">VLOOKUP($G406, survey_codes_dict!A:C, 2, FALSE)</f>
        <v>#N/A</v>
      </c>
      <c r="I406" s="102" t="e">
        <f ca="1">VLOOKUP($G406, survey_codes_dict!A:D, 4, FALSE)</f>
        <v>#N/A</v>
      </c>
      <c r="J406" s="102" t="e">
        <f t="shared" ca="1" si="12"/>
        <v>#N/A</v>
      </c>
      <c r="K406" s="102" t="e">
        <f t="shared" ca="1" si="13"/>
        <v>#N/A</v>
      </c>
      <c r="L406" s="102"/>
      <c r="M406" s="102"/>
      <c r="N406" s="102"/>
      <c r="O406" s="102"/>
      <c r="P406" s="102"/>
      <c r="Q406" s="102"/>
      <c r="R406" s="102"/>
      <c r="S406" s="102"/>
    </row>
    <row r="407" spans="1:19" ht="28.8" x14ac:dyDescent="0.3">
      <c r="A407" t="s">
        <v>3944</v>
      </c>
      <c r="B407" t="s">
        <v>3982</v>
      </c>
      <c r="C407" s="90" t="s">
        <v>3983</v>
      </c>
      <c r="D407" t="s">
        <v>399</v>
      </c>
      <c r="E407" s="101" t="s">
        <v>5551</v>
      </c>
      <c r="F407" t="str" cm="1">
        <f t="array" aca="1" ref="F407" ca="1">INDIRECT("'" &amp; A407 &amp; "'!" &amp; B407)</f>
        <v>מה יחסך לכל אחת מן המפלגות הבאות? חד"ש</v>
      </c>
      <c r="G407" t="str" cm="1">
        <f t="array" aca="1" ref="G407" ca="1">INDIRECT("'" &amp; A407 &amp; "'!" &amp; ADDRESS(1, COLUMN(INDIRECT("'" &amp; A407 &amp; "'!" &amp; B407))))</f>
        <v>שאלה</v>
      </c>
      <c r="H407" t="e">
        <f ca="1">VLOOKUP($G407, survey_codes_dict!A:C, 2, FALSE)</f>
        <v>#N/A</v>
      </c>
      <c r="I407" s="102" t="e">
        <f ca="1">VLOOKUP($G407, survey_codes_dict!A:D, 4, FALSE)</f>
        <v>#N/A</v>
      </c>
      <c r="J407" s="102" t="e">
        <f t="shared" ca="1" si="12"/>
        <v>#N/A</v>
      </c>
      <c r="K407" s="102" t="e">
        <f t="shared" ca="1" si="13"/>
        <v>#N/A</v>
      </c>
      <c r="L407" s="102"/>
      <c r="M407" s="102"/>
      <c r="N407" s="102"/>
      <c r="O407" s="102"/>
      <c r="P407" s="102"/>
      <c r="Q407" s="102"/>
      <c r="R407" s="102"/>
      <c r="S407" s="102"/>
    </row>
    <row r="408" spans="1:19" ht="28.8" x14ac:dyDescent="0.3">
      <c r="A408" t="s">
        <v>3944</v>
      </c>
      <c r="B408" t="s">
        <v>3984</v>
      </c>
      <c r="C408" s="90" t="s">
        <v>3983</v>
      </c>
      <c r="D408" t="s">
        <v>399</v>
      </c>
      <c r="E408" s="101" t="s">
        <v>5551</v>
      </c>
      <c r="F408" t="str" cm="1">
        <f t="array" aca="1" ref="F408" ca="1">INDIRECT("'" &amp; A408 &amp; "'!" &amp; B408)</f>
        <v>מה יחסך לכל אחת מן המפלגות הבאות? תע"ל</v>
      </c>
      <c r="G408" t="str" cm="1">
        <f t="array" aca="1" ref="G408" ca="1">INDIRECT("'" &amp; A408 &amp; "'!" &amp; ADDRESS(1, COLUMN(INDIRECT("'" &amp; A408 &amp; "'!" &amp; B408))))</f>
        <v>שאלה</v>
      </c>
      <c r="H408" t="e">
        <f ca="1">VLOOKUP($G408, survey_codes_dict!A:C, 2, FALSE)</f>
        <v>#N/A</v>
      </c>
      <c r="I408" s="102" t="e">
        <f ca="1">VLOOKUP($G408, survey_codes_dict!A:D, 4, FALSE)</f>
        <v>#N/A</v>
      </c>
      <c r="J408" s="102" t="e">
        <f t="shared" ca="1" si="12"/>
        <v>#N/A</v>
      </c>
      <c r="K408" s="102" t="e">
        <f t="shared" ca="1" si="13"/>
        <v>#N/A</v>
      </c>
      <c r="L408" s="102"/>
      <c r="M408" s="102"/>
      <c r="N408" s="102"/>
      <c r="O408" s="102"/>
      <c r="P408" s="102"/>
      <c r="Q408" s="102"/>
      <c r="R408" s="102"/>
      <c r="S408" s="102"/>
    </row>
    <row r="409" spans="1:19" ht="28.8" x14ac:dyDescent="0.3">
      <c r="A409" t="s">
        <v>3944</v>
      </c>
      <c r="B409" t="s">
        <v>3392</v>
      </c>
      <c r="C409" s="90" t="s">
        <v>3983</v>
      </c>
      <c r="D409" t="s">
        <v>399</v>
      </c>
      <c r="E409" s="101" t="s">
        <v>5551</v>
      </c>
      <c r="F409" t="str" cm="1">
        <f t="array" aca="1" ref="F409" ca="1">INDIRECT("'" &amp; A409 &amp; "'!" &amp; B409)</f>
        <v>מה יחסך לכל אחת מן המפלגות הבאות? רע"מ</v>
      </c>
      <c r="G409" t="str" cm="1">
        <f t="array" aca="1" ref="G409" ca="1">INDIRECT("'" &amp; A409 &amp; "'!" &amp; ADDRESS(1, COLUMN(INDIRECT("'" &amp; A409 &amp; "'!" &amp; B409))))</f>
        <v>שאלה</v>
      </c>
      <c r="H409" t="e">
        <f ca="1">VLOOKUP($G409, survey_codes_dict!A:C, 2, FALSE)</f>
        <v>#N/A</v>
      </c>
      <c r="I409" s="102" t="e">
        <f ca="1">VLOOKUP($G409, survey_codes_dict!A:D, 4, FALSE)</f>
        <v>#N/A</v>
      </c>
      <c r="J409" s="102" t="e">
        <f t="shared" ca="1" si="12"/>
        <v>#N/A</v>
      </c>
      <c r="K409" s="102" t="e">
        <f t="shared" ca="1" si="13"/>
        <v>#N/A</v>
      </c>
      <c r="L409" s="102"/>
      <c r="M409" s="102"/>
      <c r="N409" s="102"/>
      <c r="O409" s="102"/>
      <c r="P409" s="102"/>
      <c r="Q409" s="102"/>
      <c r="R409" s="102"/>
      <c r="S409" s="102"/>
    </row>
    <row r="410" spans="1:19" ht="28.8" x14ac:dyDescent="0.3">
      <c r="A410" t="s">
        <v>3944</v>
      </c>
      <c r="B410" t="s">
        <v>3395</v>
      </c>
      <c r="C410" s="90" t="s">
        <v>3983</v>
      </c>
      <c r="D410" t="s">
        <v>399</v>
      </c>
      <c r="E410" s="101" t="s">
        <v>5551</v>
      </c>
      <c r="F410" t="str" cm="1">
        <f t="array" aca="1" ref="F410" ca="1">INDIRECT("'" &amp; A410 &amp; "'!" &amp; B410)</f>
        <v>מה יחסך לכל אחת מן המפלגות הבאות? בל"ד</v>
      </c>
      <c r="G410" t="str" cm="1">
        <f t="array" aca="1" ref="G410" ca="1">INDIRECT("'" &amp; A410 &amp; "'!" &amp; ADDRESS(1, COLUMN(INDIRECT("'" &amp; A410 &amp; "'!" &amp; B410))))</f>
        <v>שאלה</v>
      </c>
      <c r="H410" t="e">
        <f ca="1">VLOOKUP($G410, survey_codes_dict!A:C, 2, FALSE)</f>
        <v>#N/A</v>
      </c>
      <c r="I410" s="102" t="e">
        <f ca="1">VLOOKUP($G410, survey_codes_dict!A:D, 4, FALSE)</f>
        <v>#N/A</v>
      </c>
      <c r="J410" s="102" t="e">
        <f t="shared" ca="1" si="12"/>
        <v>#N/A</v>
      </c>
      <c r="K410" s="102" t="e">
        <f t="shared" ca="1" si="13"/>
        <v>#N/A</v>
      </c>
      <c r="L410" s="102"/>
      <c r="M410" s="102"/>
      <c r="N410" s="102"/>
      <c r="O410" s="102"/>
      <c r="P410" s="102"/>
      <c r="Q410" s="102"/>
      <c r="R410" s="102"/>
      <c r="S410" s="102"/>
    </row>
    <row r="411" spans="1:19" ht="57.6" x14ac:dyDescent="0.3">
      <c r="A411" t="s">
        <v>3944</v>
      </c>
      <c r="B411" t="s">
        <v>3985</v>
      </c>
      <c r="C411" s="90" t="s">
        <v>3986</v>
      </c>
      <c r="D411" t="s">
        <v>5562</v>
      </c>
      <c r="E411" s="101" t="s">
        <v>5942</v>
      </c>
      <c r="F411" t="str" cm="1">
        <f t="array" aca="1" ref="F411" ca="1">INDIRECT("'" &amp; A411 &amp; "'!" &amp; B411)</f>
        <v>F49S_1</v>
      </c>
      <c r="G411" cm="1">
        <f t="array" aca="1" ref="G411" ca="1">INDIRECT("'" &amp; A411 &amp; "'!" &amp; ADDRESS(1, COLUMN(INDIRECT("'" &amp; A411 &amp; "'!" &amp; B411))))</f>
        <v>2021</v>
      </c>
      <c r="H411" t="e">
        <f ca="1">VLOOKUP($G411, survey_codes_dict!A:C, 2, FALSE)</f>
        <v>#N/A</v>
      </c>
      <c r="I411" s="102" t="e">
        <f ca="1">VLOOKUP($G411, survey_codes_dict!A:D, 4, FALSE)</f>
        <v>#N/A</v>
      </c>
      <c r="J411" s="102" t="e">
        <f t="shared" ca="1" si="12"/>
        <v>#N/A</v>
      </c>
      <c r="K411" s="102" t="e">
        <f t="shared" ca="1" si="13"/>
        <v>#N/A</v>
      </c>
      <c r="L411" s="102"/>
      <c r="M411" s="102"/>
      <c r="N411" s="102"/>
      <c r="O411" s="102"/>
      <c r="P411" s="102"/>
      <c r="Q411" s="102"/>
      <c r="R411" s="102"/>
      <c r="S411" s="102"/>
    </row>
    <row r="412" spans="1:19" ht="72" x14ac:dyDescent="0.3">
      <c r="A412" t="s">
        <v>3944</v>
      </c>
      <c r="B412" t="s">
        <v>3420</v>
      </c>
      <c r="C412" s="90" t="s">
        <v>3987</v>
      </c>
      <c r="D412" t="s">
        <v>5562</v>
      </c>
      <c r="E412" s="101" t="s">
        <v>5943</v>
      </c>
      <c r="F412" t="str" cm="1">
        <f t="array" aca="1" ref="F412" ca="1">INDIRECT("'" &amp; A412 &amp; "'!" &amp; B412)</f>
        <v>v50</v>
      </c>
      <c r="G412" cm="1">
        <f t="array" aca="1" ref="G412" ca="1">INDIRECT("'" &amp; A412 &amp; "'!" &amp; ADDRESS(1, COLUMN(INDIRECT("'" &amp; A412 &amp; "'!" &amp; B412))))</f>
        <v>2020</v>
      </c>
      <c r="H412" t="e">
        <f ca="1">VLOOKUP($G412, survey_codes_dict!A:C, 2, FALSE)</f>
        <v>#N/A</v>
      </c>
      <c r="I412" s="102" t="e">
        <f ca="1">VLOOKUP($G412, survey_codes_dict!A:D, 4, FALSE)</f>
        <v>#N/A</v>
      </c>
      <c r="J412" s="102" t="e">
        <f t="shared" ca="1" si="12"/>
        <v>#N/A</v>
      </c>
      <c r="K412" s="102" t="e">
        <f t="shared" ca="1" si="13"/>
        <v>#N/A</v>
      </c>
      <c r="L412" s="102"/>
      <c r="M412" s="102"/>
      <c r="N412" s="102"/>
      <c r="O412" s="102"/>
      <c r="P412" s="102"/>
      <c r="Q412" s="102"/>
      <c r="R412" s="102"/>
      <c r="S412" s="101"/>
    </row>
    <row r="413" spans="1:19" ht="28.8" x14ac:dyDescent="0.3">
      <c r="A413" t="s">
        <v>3944</v>
      </c>
      <c r="B413" t="s">
        <v>3988</v>
      </c>
      <c r="C413" s="90" t="s">
        <v>3989</v>
      </c>
      <c r="D413" t="s">
        <v>399</v>
      </c>
      <c r="E413" s="101" t="s">
        <v>5592</v>
      </c>
      <c r="F413" t="str" cm="1">
        <f t="array" aca="1" ref="F413" ca="1">INDIRECT("'" &amp; A413 &amp; "'!" &amp; B413)</f>
        <v>v623</v>
      </c>
      <c r="G413" cm="1">
        <f t="array" aca="1" ref="G413" ca="1">INDIRECT("'" &amp; A413 &amp; "'!" &amp; ADDRESS(1, COLUMN(INDIRECT("'" &amp; A413 &amp; "'!" &amp; B413))))</f>
        <v>2021</v>
      </c>
      <c r="H413" t="e">
        <f ca="1">VLOOKUP($G413, survey_codes_dict!A:C, 2, FALSE)</f>
        <v>#N/A</v>
      </c>
      <c r="I413" s="102" t="e">
        <f ca="1">VLOOKUP($G413, survey_codes_dict!A:D, 4, FALSE)</f>
        <v>#N/A</v>
      </c>
      <c r="J413" s="102" t="e">
        <f t="shared" ca="1" si="12"/>
        <v>#N/A</v>
      </c>
      <c r="K413" s="102" t="e">
        <f t="shared" ca="1" si="13"/>
        <v>#N/A</v>
      </c>
      <c r="L413" s="102"/>
      <c r="M413" s="102"/>
      <c r="N413" s="102"/>
      <c r="O413" s="102"/>
      <c r="P413" s="102"/>
      <c r="Q413" s="102"/>
      <c r="R413" s="102"/>
      <c r="S413" s="102"/>
    </row>
    <row r="414" spans="1:19" ht="57.6" x14ac:dyDescent="0.3">
      <c r="A414" t="s">
        <v>3944</v>
      </c>
      <c r="B414" t="s">
        <v>3990</v>
      </c>
      <c r="C414" s="90" t="s">
        <v>3951</v>
      </c>
      <c r="D414" t="s">
        <v>5562</v>
      </c>
      <c r="E414" s="101" t="s">
        <v>5936</v>
      </c>
      <c r="F414" t="str" cm="1">
        <f t="array" aca="1" ref="F414" ca="1">INDIRECT("'" &amp; A414 &amp; "'!" &amp; B414)</f>
        <v>a37</v>
      </c>
      <c r="G414" cm="1">
        <f t="array" aca="1" ref="G414" ca="1">INDIRECT("'" &amp; A414 &amp; "'!" &amp; ADDRESS(1, COLUMN(INDIRECT("'" &amp; A414 &amp; "'!" &amp; B414))))</f>
        <v>2003</v>
      </c>
      <c r="H414" t="str">
        <f ca="1">VLOOKUP($G414, survey_codes_dict!A:C, 2, FALSE)</f>
        <v>2003</v>
      </c>
      <c r="I414" s="102" t="str">
        <f ca="1">VLOOKUP($G414, survey_codes_dict!A:D, 4, FALSE)</f>
        <v>2001</v>
      </c>
      <c r="J414" s="102" t="str">
        <f t="shared" ca="1" si="12"/>
        <v>2003__a37</v>
      </c>
      <c r="K414" s="102" t="str">
        <f t="shared" ca="1" si="13"/>
        <v>2001__a37</v>
      </c>
      <c r="L414" s="102"/>
      <c r="M414" s="102"/>
      <c r="N414" s="102"/>
      <c r="O414" s="102"/>
      <c r="P414" s="102"/>
      <c r="Q414" s="102"/>
      <c r="R414" s="102"/>
      <c r="S414" s="101"/>
    </row>
    <row r="415" spans="1:19" ht="57.6" x14ac:dyDescent="0.3">
      <c r="A415" t="s">
        <v>3944</v>
      </c>
      <c r="B415" t="s">
        <v>3991</v>
      </c>
      <c r="C415" s="90" t="s">
        <v>3992</v>
      </c>
      <c r="D415" t="s">
        <v>5562</v>
      </c>
      <c r="E415" s="101" t="s">
        <v>5944</v>
      </c>
      <c r="F415" t="str" cm="1">
        <f t="array" aca="1" ref="F415" ca="1">INDIRECT("'" &amp; A415 &amp; "'!" &amp; B415)</f>
        <v>a48</v>
      </c>
      <c r="G415" cm="1">
        <f t="array" aca="1" ref="G415" ca="1">INDIRECT("'" &amp; A415 &amp; "'!" &amp; ADDRESS(1, COLUMN(INDIRECT("'" &amp; A415 &amp; "'!" &amp; B415))))</f>
        <v>2001</v>
      </c>
      <c r="H415" t="str">
        <f ca="1">VLOOKUP($G415, survey_codes_dict!A:C, 2, FALSE)</f>
        <v>2001</v>
      </c>
      <c r="I415" s="102" t="str">
        <f ca="1">VLOOKUP($G415, survey_codes_dict!A:D, 4, FALSE)</f>
        <v>1999_1</v>
      </c>
      <c r="J415" s="102" t="str">
        <f t="shared" ca="1" si="12"/>
        <v>2001__a48</v>
      </c>
      <c r="K415" s="102" t="str">
        <f t="shared" ca="1" si="13"/>
        <v>1999_1__a48</v>
      </c>
      <c r="L415" s="102"/>
      <c r="M415" s="102"/>
      <c r="N415" s="102"/>
      <c r="O415" s="102"/>
      <c r="P415" s="102"/>
      <c r="Q415" s="102"/>
      <c r="R415" s="102"/>
      <c r="S415" s="101"/>
    </row>
    <row r="416" spans="1:19" ht="57.6" x14ac:dyDescent="0.3">
      <c r="A416" t="s">
        <v>3944</v>
      </c>
      <c r="B416" t="s">
        <v>3993</v>
      </c>
      <c r="C416" s="90" t="s">
        <v>3994</v>
      </c>
      <c r="D416" t="s">
        <v>5562</v>
      </c>
      <c r="E416" s="101" t="s">
        <v>5945</v>
      </c>
      <c r="F416" t="str" cm="1">
        <f t="array" aca="1" ref="F416" ca="1">INDIRECT("'" &amp; A416 &amp; "'!" &amp; B416)</f>
        <v>v52A</v>
      </c>
      <c r="G416" cm="1">
        <f t="array" aca="1" ref="G416" ca="1">INDIRECT("'" &amp; A416 &amp; "'!" &amp; ADDRESS(1, COLUMN(INDIRECT("'" &amp; A416 &amp; "'!" &amp; B416))))</f>
        <v>2020</v>
      </c>
      <c r="H416" t="e">
        <f ca="1">VLOOKUP($G416, survey_codes_dict!A:C, 2, FALSE)</f>
        <v>#N/A</v>
      </c>
      <c r="I416" s="102" t="e">
        <f ca="1">VLOOKUP($G416, survey_codes_dict!A:D, 4, FALSE)</f>
        <v>#N/A</v>
      </c>
      <c r="J416" s="102" t="e">
        <f t="shared" ca="1" si="12"/>
        <v>#N/A</v>
      </c>
      <c r="K416" s="102" t="e">
        <f t="shared" ca="1" si="13"/>
        <v>#N/A</v>
      </c>
      <c r="L416" s="102"/>
      <c r="M416" s="102"/>
      <c r="N416" s="102"/>
      <c r="O416" s="102"/>
      <c r="P416" s="102"/>
      <c r="Q416" s="102"/>
      <c r="R416" s="102"/>
      <c r="S416" s="102"/>
    </row>
    <row r="417" spans="1:19" ht="28.8" x14ac:dyDescent="0.3">
      <c r="A417" t="s">
        <v>3944</v>
      </c>
      <c r="B417" t="s">
        <v>3995</v>
      </c>
      <c r="C417" s="90" t="s">
        <v>3996</v>
      </c>
      <c r="D417" t="s">
        <v>399</v>
      </c>
      <c r="E417" s="101" t="s">
        <v>5593</v>
      </c>
      <c r="F417" t="str" cm="1">
        <f t="array" aca="1" ref="F417" ca="1">INDIRECT("'" &amp; A417 &amp; "'!" &amp; B417)</f>
        <v>ועל אותו סולם, מה יחסך לאישים הבאים? אביגדור ליברמן</v>
      </c>
      <c r="G417" t="str" cm="1">
        <f t="array" aca="1" ref="G417" ca="1">INDIRECT("'" &amp; A417 &amp; "'!" &amp; ADDRESS(1, COLUMN(INDIRECT("'" &amp; A417 &amp; "'!" &amp; B417))))</f>
        <v>שאלה</v>
      </c>
      <c r="H417" t="e">
        <f ca="1">VLOOKUP($G417, survey_codes_dict!A:C, 2, FALSE)</f>
        <v>#N/A</v>
      </c>
      <c r="I417" s="102" t="e">
        <f ca="1">VLOOKUP($G417, survey_codes_dict!A:D, 4, FALSE)</f>
        <v>#N/A</v>
      </c>
      <c r="J417" s="102" t="e">
        <f t="shared" ca="1" si="12"/>
        <v>#N/A</v>
      </c>
      <c r="K417" s="102" t="e">
        <f t="shared" ca="1" si="13"/>
        <v>#N/A</v>
      </c>
      <c r="L417" s="102"/>
      <c r="M417" s="102"/>
      <c r="N417" s="102"/>
      <c r="O417" s="102"/>
      <c r="P417" s="102"/>
      <c r="Q417" s="102"/>
      <c r="R417" s="102"/>
      <c r="S417" s="102"/>
    </row>
    <row r="418" spans="1:19" ht="28.8" x14ac:dyDescent="0.3">
      <c r="A418" t="s">
        <v>3944</v>
      </c>
      <c r="B418" t="s">
        <v>3997</v>
      </c>
      <c r="C418" s="90" t="s">
        <v>3998</v>
      </c>
      <c r="D418" t="s">
        <v>399</v>
      </c>
      <c r="E418" s="101" t="s">
        <v>5594</v>
      </c>
      <c r="F418" t="str" cm="1">
        <f t="array" aca="1" ref="F418" ca="1">INDIRECT("'" &amp; A418 &amp; "'!" &amp; B418)</f>
        <v>ועל אותו סולם, מה יחסך לאישים הבאים? גדעון סער</v>
      </c>
      <c r="G418" t="str" cm="1">
        <f t="array" aca="1" ref="G418" ca="1">INDIRECT("'" &amp; A418 &amp; "'!" &amp; ADDRESS(1, COLUMN(INDIRECT("'" &amp; A418 &amp; "'!" &amp; B418))))</f>
        <v>שאלה</v>
      </c>
      <c r="H418" t="e">
        <f ca="1">VLOOKUP($G418, survey_codes_dict!A:C, 2, FALSE)</f>
        <v>#N/A</v>
      </c>
      <c r="I418" s="102" t="e">
        <f ca="1">VLOOKUP($G418, survey_codes_dict!A:D, 4, FALSE)</f>
        <v>#N/A</v>
      </c>
      <c r="J418" s="102" t="e">
        <f t="shared" ca="1" si="12"/>
        <v>#N/A</v>
      </c>
      <c r="K418" s="102" t="e">
        <f t="shared" ca="1" si="13"/>
        <v>#N/A</v>
      </c>
      <c r="L418" s="102"/>
      <c r="M418" s="102"/>
      <c r="N418" s="102"/>
      <c r="O418" s="102"/>
      <c r="P418" s="102"/>
      <c r="Q418" s="102"/>
      <c r="R418" s="102"/>
      <c r="S418" s="102"/>
    </row>
    <row r="419" spans="1:19" ht="28.8" x14ac:dyDescent="0.3">
      <c r="A419" t="s">
        <v>3944</v>
      </c>
      <c r="B419" t="s">
        <v>3999</v>
      </c>
      <c r="C419" s="90" t="s">
        <v>3996</v>
      </c>
      <c r="D419" t="s">
        <v>399</v>
      </c>
      <c r="E419" s="101" t="s">
        <v>5593</v>
      </c>
      <c r="F419" t="str" cm="1">
        <f t="array" aca="1" ref="F419" ca="1">INDIRECT("'" &amp; A419 &amp; "'!" &amp; B419)</f>
        <v>ועל אותו סולם, מה יחסך לאישים הבאים? נפתלי בנט</v>
      </c>
      <c r="G419" t="str" cm="1">
        <f t="array" aca="1" ref="G419" ca="1">INDIRECT("'" &amp; A419 &amp; "'!" &amp; ADDRESS(1, COLUMN(INDIRECT("'" &amp; A419 &amp; "'!" &amp; B419))))</f>
        <v>שאלה</v>
      </c>
      <c r="H419" t="e">
        <f ca="1">VLOOKUP($G419, survey_codes_dict!A:C, 2, FALSE)</f>
        <v>#N/A</v>
      </c>
      <c r="I419" s="102" t="e">
        <f ca="1">VLOOKUP($G419, survey_codes_dict!A:D, 4, FALSE)</f>
        <v>#N/A</v>
      </c>
      <c r="J419" s="102" t="e">
        <f t="shared" ca="1" si="12"/>
        <v>#N/A</v>
      </c>
      <c r="K419" s="102" t="e">
        <f t="shared" ca="1" si="13"/>
        <v>#N/A</v>
      </c>
      <c r="L419" s="102"/>
      <c r="M419" s="102"/>
      <c r="N419" s="102"/>
      <c r="O419" s="102"/>
      <c r="P419" s="102"/>
      <c r="Q419" s="102"/>
      <c r="R419" s="102"/>
      <c r="S419" s="102"/>
    </row>
    <row r="420" spans="1:19" ht="28.8" x14ac:dyDescent="0.3">
      <c r="A420" t="s">
        <v>3944</v>
      </c>
      <c r="B420" t="s">
        <v>4000</v>
      </c>
      <c r="C420" s="90" t="s">
        <v>3996</v>
      </c>
      <c r="D420" t="s">
        <v>399</v>
      </c>
      <c r="E420" s="101" t="s">
        <v>5593</v>
      </c>
      <c r="F420" t="str" cm="1">
        <f t="array" aca="1" ref="F420" ca="1">INDIRECT("'" &amp; A420 &amp; "'!" &amp; B420)</f>
        <v>ועל אותו סולם, מה יחסך לאישים הבאים? איילת שקד</v>
      </c>
      <c r="G420" t="str" cm="1">
        <f t="array" aca="1" ref="G420" ca="1">INDIRECT("'" &amp; A420 &amp; "'!" &amp; ADDRESS(1, COLUMN(INDIRECT("'" &amp; A420 &amp; "'!" &amp; B420))))</f>
        <v>שאלה</v>
      </c>
      <c r="H420" t="e">
        <f ca="1">VLOOKUP($G420, survey_codes_dict!A:C, 2, FALSE)</f>
        <v>#N/A</v>
      </c>
      <c r="I420" s="102" t="e">
        <f ca="1">VLOOKUP($G420, survey_codes_dict!A:D, 4, FALSE)</f>
        <v>#N/A</v>
      </c>
      <c r="J420" s="102" t="e">
        <f t="shared" ca="1" si="12"/>
        <v>#N/A</v>
      </c>
      <c r="K420" s="102" t="e">
        <f t="shared" ca="1" si="13"/>
        <v>#N/A</v>
      </c>
      <c r="L420" s="102"/>
      <c r="M420" s="102"/>
      <c r="N420" s="102"/>
      <c r="O420" s="102"/>
      <c r="P420" s="102"/>
      <c r="Q420" s="102"/>
      <c r="R420" s="102"/>
      <c r="S420" s="102"/>
    </row>
    <row r="421" spans="1:19" ht="28.8" x14ac:dyDescent="0.3">
      <c r="A421" t="s">
        <v>3944</v>
      </c>
      <c r="B421" t="s">
        <v>4001</v>
      </c>
      <c r="C421" s="90" t="s">
        <v>3996</v>
      </c>
      <c r="D421" t="s">
        <v>399</v>
      </c>
      <c r="E421" s="101" t="s">
        <v>5593</v>
      </c>
      <c r="F421" t="str" cm="1">
        <f t="array" aca="1" ref="F421" ca="1">INDIRECT("'" &amp; A421 &amp; "'!" &amp; B421)</f>
        <v>ועל אותו סולם, מה יחסך לאישים הבאים? בצלאל סמוטריץ'</v>
      </c>
      <c r="G421" t="str" cm="1">
        <f t="array" aca="1" ref="G421" ca="1">INDIRECT("'" &amp; A421 &amp; "'!" &amp; ADDRESS(1, COLUMN(INDIRECT("'" &amp; A421 &amp; "'!" &amp; B421))))</f>
        <v>שאלה</v>
      </c>
      <c r="H421" t="e">
        <f ca="1">VLOOKUP($G421, survey_codes_dict!A:C, 2, FALSE)</f>
        <v>#N/A</v>
      </c>
      <c r="I421" s="102" t="e">
        <f ca="1">VLOOKUP($G421, survey_codes_dict!A:D, 4, FALSE)</f>
        <v>#N/A</v>
      </c>
      <c r="J421" s="102" t="e">
        <f t="shared" ca="1" si="12"/>
        <v>#N/A</v>
      </c>
      <c r="K421" s="102" t="e">
        <f t="shared" ca="1" si="13"/>
        <v>#N/A</v>
      </c>
      <c r="L421" s="102"/>
      <c r="M421" s="102"/>
      <c r="N421" s="102"/>
      <c r="O421" s="102"/>
      <c r="P421" s="102"/>
      <c r="Q421" s="102"/>
      <c r="R421" s="102"/>
      <c r="S421" s="102"/>
    </row>
    <row r="422" spans="1:19" ht="28.8" x14ac:dyDescent="0.3">
      <c r="A422" t="s">
        <v>3944</v>
      </c>
      <c r="B422" t="s">
        <v>4002</v>
      </c>
      <c r="C422" s="90" t="s">
        <v>3996</v>
      </c>
      <c r="D422" t="s">
        <v>399</v>
      </c>
      <c r="E422" s="101" t="s">
        <v>5593</v>
      </c>
      <c r="F422" t="str" cm="1">
        <f t="array" aca="1" ref="F422" ca="1">INDIRECT("'" &amp; A422 &amp; "'!" &amp; B422)</f>
        <v>ועל אותו סולם, מה יחסך לאישים הבאים? משה כחלון</v>
      </c>
      <c r="G422" t="str" cm="1">
        <f t="array" aca="1" ref="G422" ca="1">INDIRECT("'" &amp; A422 &amp; "'!" &amp; ADDRESS(1, COLUMN(INDIRECT("'" &amp; A422 &amp; "'!" &amp; B422))))</f>
        <v>שאלה</v>
      </c>
      <c r="H422" t="e">
        <f ca="1">VLOOKUP($G422, survey_codes_dict!A:C, 2, FALSE)</f>
        <v>#N/A</v>
      </c>
      <c r="I422" s="102" t="e">
        <f ca="1">VLOOKUP($G422, survey_codes_dict!A:D, 4, FALSE)</f>
        <v>#N/A</v>
      </c>
      <c r="J422" s="102" t="e">
        <f t="shared" ca="1" si="12"/>
        <v>#N/A</v>
      </c>
      <c r="K422" s="102" t="e">
        <f t="shared" ca="1" si="13"/>
        <v>#N/A</v>
      </c>
      <c r="L422" s="102"/>
      <c r="M422" s="102"/>
      <c r="N422" s="102"/>
      <c r="O422" s="102"/>
      <c r="P422" s="102"/>
      <c r="Q422" s="102"/>
      <c r="R422" s="102"/>
      <c r="S422" s="102"/>
    </row>
    <row r="423" spans="1:19" ht="28.8" x14ac:dyDescent="0.3">
      <c r="A423" t="s">
        <v>3944</v>
      </c>
      <c r="B423" t="s">
        <v>4003</v>
      </c>
      <c r="C423" s="90" t="s">
        <v>3996</v>
      </c>
      <c r="D423" t="s">
        <v>399</v>
      </c>
      <c r="E423" s="101" t="s">
        <v>5593</v>
      </c>
      <c r="F423" t="str" cm="1">
        <f t="array" aca="1" ref="F423" ca="1">INDIRECT("'" &amp; A423 &amp; "'!" &amp; B423)</f>
        <v>ועל אותו סולם, מה יחסך לאישים הבאים? אריה דרעי</v>
      </c>
      <c r="G423" t="str" cm="1">
        <f t="array" aca="1" ref="G423" ca="1">INDIRECT("'" &amp; A423 &amp; "'!" &amp; ADDRESS(1, COLUMN(INDIRECT("'" &amp; A423 &amp; "'!" &amp; B423))))</f>
        <v>שאלה</v>
      </c>
      <c r="H423" t="e">
        <f ca="1">VLOOKUP($G423, survey_codes_dict!A:C, 2, FALSE)</f>
        <v>#N/A</v>
      </c>
      <c r="I423" s="102" t="e">
        <f ca="1">VLOOKUP($G423, survey_codes_dict!A:D, 4, FALSE)</f>
        <v>#N/A</v>
      </c>
      <c r="J423" s="102" t="e">
        <f t="shared" ca="1" si="12"/>
        <v>#N/A</v>
      </c>
      <c r="K423" s="102" t="e">
        <f t="shared" ca="1" si="13"/>
        <v>#N/A</v>
      </c>
      <c r="L423" s="102"/>
      <c r="M423" s="102"/>
      <c r="N423" s="102"/>
      <c r="O423" s="102"/>
      <c r="P423" s="102"/>
      <c r="Q423" s="102"/>
      <c r="R423" s="102"/>
      <c r="S423" s="102"/>
    </row>
    <row r="424" spans="1:19" ht="28.8" x14ac:dyDescent="0.3">
      <c r="A424" t="s">
        <v>3944</v>
      </c>
      <c r="B424" t="s">
        <v>4004</v>
      </c>
      <c r="C424" s="90" t="s">
        <v>3996</v>
      </c>
      <c r="D424" t="s">
        <v>399</v>
      </c>
      <c r="E424" s="101" t="s">
        <v>5593</v>
      </c>
      <c r="F424" t="str" cm="1">
        <f t="array" aca="1" ref="F424" ca="1">INDIRECT("'" &amp; A424 &amp; "'!" &amp; B424)</f>
        <v>ועל אותו סולם, מה יחסך לאישים הבאים? אלי ישי</v>
      </c>
      <c r="G424" t="str" cm="1">
        <f t="array" aca="1" ref="G424" ca="1">INDIRECT("'" &amp; A424 &amp; "'!" &amp; ADDRESS(1, COLUMN(INDIRECT("'" &amp; A424 &amp; "'!" &amp; B424))))</f>
        <v>שאלה</v>
      </c>
      <c r="H424" t="e">
        <f ca="1">VLOOKUP($G424, survey_codes_dict!A:C, 2, FALSE)</f>
        <v>#N/A</v>
      </c>
      <c r="I424" s="102" t="e">
        <f ca="1">VLOOKUP($G424, survey_codes_dict!A:D, 4, FALSE)</f>
        <v>#N/A</v>
      </c>
      <c r="J424" s="102" t="e">
        <f t="shared" ca="1" si="12"/>
        <v>#N/A</v>
      </c>
      <c r="K424" s="102" t="e">
        <f t="shared" ca="1" si="13"/>
        <v>#N/A</v>
      </c>
      <c r="L424" s="102"/>
      <c r="M424" s="102"/>
      <c r="N424" s="102"/>
      <c r="O424" s="102"/>
      <c r="P424" s="102"/>
      <c r="Q424" s="102"/>
      <c r="R424" s="102"/>
      <c r="S424" s="102"/>
    </row>
    <row r="425" spans="1:19" ht="28.8" x14ac:dyDescent="0.3">
      <c r="A425" t="s">
        <v>3944</v>
      </c>
      <c r="B425" t="s">
        <v>4005</v>
      </c>
      <c r="C425" s="90" t="s">
        <v>4006</v>
      </c>
      <c r="D425" t="s">
        <v>399</v>
      </c>
      <c r="E425" s="101" t="s">
        <v>5595</v>
      </c>
      <c r="F425" t="str" cm="1">
        <f t="array" aca="1" ref="F425" ca="1">INDIRECT("'" &amp; A425 &amp; "'!" &amp; B425)</f>
        <v>ועל אותו סולם, מה יחסך לאישים הבאים? איימן עודה</v>
      </c>
      <c r="G425" t="str" cm="1">
        <f t="array" aca="1" ref="G425" ca="1">INDIRECT("'" &amp; A425 &amp; "'!" &amp; ADDRESS(1, COLUMN(INDIRECT("'" &amp; A425 &amp; "'!" &amp; B425))))</f>
        <v>שאלה</v>
      </c>
      <c r="H425" t="e">
        <f ca="1">VLOOKUP($G425, survey_codes_dict!A:C, 2, FALSE)</f>
        <v>#N/A</v>
      </c>
      <c r="I425" s="102" t="e">
        <f ca="1">VLOOKUP($G425, survey_codes_dict!A:D, 4, FALSE)</f>
        <v>#N/A</v>
      </c>
      <c r="J425" s="102" t="e">
        <f t="shared" ca="1" si="12"/>
        <v>#N/A</v>
      </c>
      <c r="K425" s="102" t="e">
        <f t="shared" ca="1" si="13"/>
        <v>#N/A</v>
      </c>
      <c r="L425" s="102"/>
      <c r="M425" s="102"/>
      <c r="N425" s="102"/>
      <c r="O425" s="102"/>
      <c r="P425" s="102"/>
      <c r="Q425" s="102"/>
      <c r="R425" s="102"/>
      <c r="S425" s="102"/>
    </row>
    <row r="426" spans="1:19" ht="28.8" x14ac:dyDescent="0.3">
      <c r="A426" t="s">
        <v>3944</v>
      </c>
      <c r="B426" t="s">
        <v>4007</v>
      </c>
      <c r="C426" s="90" t="s">
        <v>4006</v>
      </c>
      <c r="D426" t="s">
        <v>399</v>
      </c>
      <c r="E426" s="101" t="s">
        <v>5595</v>
      </c>
      <c r="F426" t="str" cm="1">
        <f t="array" aca="1" ref="F426" ca="1">INDIRECT("'" &amp; A426 &amp; "'!" &amp; B426)</f>
        <v>ועל אותו סולם, מה יחסך לאישים הבאים? אחמד טיבי</v>
      </c>
      <c r="G426" t="str" cm="1">
        <f t="array" aca="1" ref="G426" ca="1">INDIRECT("'" &amp; A426 &amp; "'!" &amp; ADDRESS(1, COLUMN(INDIRECT("'" &amp; A426 &amp; "'!" &amp; B426))))</f>
        <v>שאלה</v>
      </c>
      <c r="H426" t="e">
        <f ca="1">VLOOKUP($G426, survey_codes_dict!A:C, 2, FALSE)</f>
        <v>#N/A</v>
      </c>
      <c r="I426" s="102" t="e">
        <f ca="1">VLOOKUP($G426, survey_codes_dict!A:D, 4, FALSE)</f>
        <v>#N/A</v>
      </c>
      <c r="J426" s="102" t="e">
        <f t="shared" ca="1" si="12"/>
        <v>#N/A</v>
      </c>
      <c r="K426" s="102" t="e">
        <f t="shared" ca="1" si="13"/>
        <v>#N/A</v>
      </c>
      <c r="L426" s="102"/>
      <c r="M426" s="102"/>
      <c r="N426" s="102"/>
      <c r="O426" s="102"/>
      <c r="P426" s="102"/>
      <c r="Q426" s="102"/>
      <c r="R426" s="102"/>
      <c r="S426" s="102"/>
    </row>
    <row r="427" spans="1:19" ht="28.8" x14ac:dyDescent="0.3">
      <c r="A427" t="s">
        <v>3944</v>
      </c>
      <c r="B427" t="s">
        <v>4008</v>
      </c>
      <c r="C427" s="90" t="s">
        <v>4006</v>
      </c>
      <c r="D427" t="s">
        <v>399</v>
      </c>
      <c r="E427" s="101" t="s">
        <v>5595</v>
      </c>
      <c r="F427" t="str" cm="1">
        <f t="array" aca="1" ref="F427" ca="1">INDIRECT("'" &amp; A427 &amp; "'!" &amp; B427)</f>
        <v>ועל אותו סולם, מה יחסך לאישים הבאים? מנסור עבאס</v>
      </c>
      <c r="G427" t="str" cm="1">
        <f t="array" aca="1" ref="G427" ca="1">INDIRECT("'" &amp; A427 &amp; "'!" &amp; ADDRESS(1, COLUMN(INDIRECT("'" &amp; A427 &amp; "'!" &amp; B427))))</f>
        <v>שאלה</v>
      </c>
      <c r="H427" t="e">
        <f ca="1">VLOOKUP($G427, survey_codes_dict!A:C, 2, FALSE)</f>
        <v>#N/A</v>
      </c>
      <c r="I427" s="102" t="e">
        <f ca="1">VLOOKUP($G427, survey_codes_dict!A:D, 4, FALSE)</f>
        <v>#N/A</v>
      </c>
      <c r="J427" s="102" t="e">
        <f t="shared" ca="1" si="12"/>
        <v>#N/A</v>
      </c>
      <c r="K427" s="102" t="e">
        <f t="shared" ca="1" si="13"/>
        <v>#N/A</v>
      </c>
      <c r="L427" s="102"/>
      <c r="M427" s="102"/>
      <c r="N427" s="102"/>
      <c r="O427" s="102"/>
      <c r="P427" s="102"/>
      <c r="Q427" s="102"/>
      <c r="R427" s="102"/>
      <c r="S427" s="102"/>
    </row>
    <row r="428" spans="1:19" ht="28.8" x14ac:dyDescent="0.3">
      <c r="A428" t="s">
        <v>3944</v>
      </c>
      <c r="B428" t="s">
        <v>4009</v>
      </c>
      <c r="C428" s="90" t="s">
        <v>4006</v>
      </c>
      <c r="D428" t="s">
        <v>399</v>
      </c>
      <c r="E428" s="101" t="s">
        <v>5595</v>
      </c>
      <c r="F428" t="str" cm="1">
        <f t="array" aca="1" ref="F428" ca="1">INDIRECT("'" &amp; A428 &amp; "'!" &amp; B428)</f>
        <v>ועל אותו סולם, מה יחסך לאישים הבאים? מטאנס שחאדה</v>
      </c>
      <c r="G428" t="str" cm="1">
        <f t="array" aca="1" ref="G428" ca="1">INDIRECT("'" &amp; A428 &amp; "'!" &amp; ADDRESS(1, COLUMN(INDIRECT("'" &amp; A428 &amp; "'!" &amp; B428))))</f>
        <v>שאלה</v>
      </c>
      <c r="H428" t="e">
        <f ca="1">VLOOKUP($G428, survey_codes_dict!A:C, 2, FALSE)</f>
        <v>#N/A</v>
      </c>
      <c r="I428" s="102" t="e">
        <f ca="1">VLOOKUP($G428, survey_codes_dict!A:D, 4, FALSE)</f>
        <v>#N/A</v>
      </c>
      <c r="J428" s="102" t="e">
        <f t="shared" ca="1" si="12"/>
        <v>#N/A</v>
      </c>
      <c r="K428" s="102" t="e">
        <f t="shared" ca="1" si="13"/>
        <v>#N/A</v>
      </c>
      <c r="L428" s="102"/>
      <c r="M428" s="102"/>
      <c r="N428" s="102"/>
      <c r="O428" s="102"/>
      <c r="P428" s="102"/>
      <c r="Q428" s="102"/>
      <c r="R428" s="102"/>
      <c r="S428" s="102"/>
    </row>
    <row r="429" spans="1:19" ht="28.8" x14ac:dyDescent="0.3">
      <c r="A429" t="s">
        <v>3944</v>
      </c>
      <c r="B429" t="s">
        <v>4010</v>
      </c>
      <c r="C429" s="90" t="s">
        <v>4006</v>
      </c>
      <c r="D429" t="s">
        <v>399</v>
      </c>
      <c r="E429" s="101" t="s">
        <v>5595</v>
      </c>
      <c r="F429" t="str" cm="1">
        <f t="array" aca="1" ref="F429" ca="1">INDIRECT("'" &amp; A429 &amp; "'!" &amp; B429)</f>
        <v>ועל אותו סולם, מה יחסך לאישים הבאים? עאידה תומא-סולימן</v>
      </c>
      <c r="G429" t="str" cm="1">
        <f t="array" aca="1" ref="G429" ca="1">INDIRECT("'" &amp; A429 &amp; "'!" &amp; ADDRESS(1, COLUMN(INDIRECT("'" &amp; A429 &amp; "'!" &amp; B429))))</f>
        <v>שאלה</v>
      </c>
      <c r="H429" t="e">
        <f ca="1">VLOOKUP($G429, survey_codes_dict!A:C, 2, FALSE)</f>
        <v>#N/A</v>
      </c>
      <c r="I429" s="102" t="e">
        <f ca="1">VLOOKUP($G429, survey_codes_dict!A:D, 4, FALSE)</f>
        <v>#N/A</v>
      </c>
      <c r="J429" s="102" t="e">
        <f t="shared" ca="1" si="12"/>
        <v>#N/A</v>
      </c>
      <c r="K429" s="102" t="e">
        <f t="shared" ca="1" si="13"/>
        <v>#N/A</v>
      </c>
      <c r="L429" s="102"/>
      <c r="M429" s="102"/>
      <c r="N429" s="102"/>
      <c r="O429" s="102"/>
      <c r="P429" s="102"/>
      <c r="Q429" s="102"/>
      <c r="R429" s="102"/>
      <c r="S429" s="102"/>
    </row>
    <row r="430" spans="1:19" ht="28.8" x14ac:dyDescent="0.3">
      <c r="A430" t="s">
        <v>3944</v>
      </c>
      <c r="B430" t="s">
        <v>4011</v>
      </c>
      <c r="C430" s="90" t="s">
        <v>4006</v>
      </c>
      <c r="D430" t="s">
        <v>399</v>
      </c>
      <c r="E430" s="101" t="s">
        <v>5595</v>
      </c>
      <c r="F430" t="str" cm="1">
        <f t="array" aca="1" ref="F430" ca="1">INDIRECT("'" &amp; A430 &amp; "'!" &amp; B430)</f>
        <v>ועל אותו סולם, מה יחסך לאישים הבאים? מסעוד גנאים</v>
      </c>
      <c r="G430" t="str" cm="1">
        <f t="array" aca="1" ref="G430" ca="1">INDIRECT("'" &amp; A430 &amp; "'!" &amp; ADDRESS(1, COLUMN(INDIRECT("'" &amp; A430 &amp; "'!" &amp; B430))))</f>
        <v>שאלה</v>
      </c>
      <c r="H430" t="e">
        <f ca="1">VLOOKUP($G430, survey_codes_dict!A:C, 2, FALSE)</f>
        <v>#N/A</v>
      </c>
      <c r="I430" s="102" t="e">
        <f ca="1">VLOOKUP($G430, survey_codes_dict!A:D, 4, FALSE)</f>
        <v>#N/A</v>
      </c>
      <c r="J430" s="102" t="e">
        <f t="shared" ca="1" si="12"/>
        <v>#N/A</v>
      </c>
      <c r="K430" s="102" t="e">
        <f t="shared" ca="1" si="13"/>
        <v>#N/A</v>
      </c>
      <c r="L430" s="102"/>
      <c r="M430" s="102"/>
      <c r="N430" s="102"/>
      <c r="O430" s="102"/>
      <c r="P430" s="102"/>
      <c r="Q430" s="102"/>
      <c r="R430" s="102"/>
      <c r="S430" s="102"/>
    </row>
    <row r="431" spans="1:19" ht="28.8" x14ac:dyDescent="0.3">
      <c r="A431" t="s">
        <v>3944</v>
      </c>
      <c r="B431" t="s">
        <v>4012</v>
      </c>
      <c r="C431" s="90" t="s">
        <v>4006</v>
      </c>
      <c r="D431" t="s">
        <v>399</v>
      </c>
      <c r="E431" s="101" t="s">
        <v>5595</v>
      </c>
      <c r="F431" t="str" cm="1">
        <f t="array" aca="1" ref="F431" ca="1">INDIRECT("'" &amp; A431 &amp; "'!" &amp; B431)</f>
        <v>ועל אותו סולם, מה יחסך לאישים הבאים? ג'מאל זחאלקה</v>
      </c>
      <c r="G431" t="str" cm="1">
        <f t="array" aca="1" ref="G431" ca="1">INDIRECT("'" &amp; A431 &amp; "'!" &amp; ADDRESS(1, COLUMN(INDIRECT("'" &amp; A431 &amp; "'!" &amp; B431))))</f>
        <v>שאלה</v>
      </c>
      <c r="H431" t="e">
        <f ca="1">VLOOKUP($G431, survey_codes_dict!A:C, 2, FALSE)</f>
        <v>#N/A</v>
      </c>
      <c r="I431" s="102" t="e">
        <f ca="1">VLOOKUP($G431, survey_codes_dict!A:D, 4, FALSE)</f>
        <v>#N/A</v>
      </c>
      <c r="J431" s="102" t="e">
        <f t="shared" ca="1" si="12"/>
        <v>#N/A</v>
      </c>
      <c r="K431" s="102" t="e">
        <f t="shared" ca="1" si="13"/>
        <v>#N/A</v>
      </c>
      <c r="L431" s="102"/>
      <c r="M431" s="102"/>
      <c r="N431" s="102"/>
      <c r="O431" s="102"/>
      <c r="P431" s="102"/>
      <c r="Q431" s="102"/>
      <c r="R431" s="102"/>
      <c r="S431" s="102"/>
    </row>
    <row r="432" spans="1:19" ht="28.8" x14ac:dyDescent="0.3">
      <c r="A432" t="s">
        <v>3944</v>
      </c>
      <c r="B432" t="s">
        <v>4013</v>
      </c>
      <c r="C432" s="90" t="s">
        <v>4006</v>
      </c>
      <c r="D432" t="s">
        <v>399</v>
      </c>
      <c r="E432" s="101" t="s">
        <v>5595</v>
      </c>
      <c r="F432" t="str" cm="1">
        <f t="array" aca="1" ref="F432" ca="1">INDIRECT("'" &amp; A432 &amp; "'!" &amp; B432)</f>
        <v>ועל אותו סולם, מה יחסך לאישים הבאים? חנין זועבי</v>
      </c>
      <c r="G432" t="str" cm="1">
        <f t="array" aca="1" ref="G432" ca="1">INDIRECT("'" &amp; A432 &amp; "'!" &amp; ADDRESS(1, COLUMN(INDIRECT("'" &amp; A432 &amp; "'!" &amp; B432))))</f>
        <v>שאלה</v>
      </c>
      <c r="H432" t="e">
        <f ca="1">VLOOKUP($G432, survey_codes_dict!A:C, 2, FALSE)</f>
        <v>#N/A</v>
      </c>
      <c r="I432" s="102" t="e">
        <f ca="1">VLOOKUP($G432, survey_codes_dict!A:D, 4, FALSE)</f>
        <v>#N/A</v>
      </c>
      <c r="J432" s="102" t="e">
        <f t="shared" ca="1" si="12"/>
        <v>#N/A</v>
      </c>
      <c r="K432" s="102" t="e">
        <f t="shared" ca="1" si="13"/>
        <v>#N/A</v>
      </c>
      <c r="L432" s="102"/>
      <c r="M432" s="102"/>
      <c r="N432" s="102"/>
      <c r="O432" s="102"/>
      <c r="P432" s="102"/>
      <c r="Q432" s="102"/>
      <c r="R432" s="102"/>
      <c r="S432" s="102"/>
    </row>
    <row r="433" spans="1:19" ht="28.8" x14ac:dyDescent="0.3">
      <c r="A433" t="s">
        <v>3944</v>
      </c>
      <c r="B433" t="s">
        <v>4014</v>
      </c>
      <c r="C433" s="90" t="s">
        <v>4006</v>
      </c>
      <c r="D433" t="s">
        <v>399</v>
      </c>
      <c r="E433" s="101" t="s">
        <v>5595</v>
      </c>
      <c r="F433" t="str" cm="1">
        <f t="array" aca="1" ref="F433" ca="1">INDIRECT("'" &amp; A433 &amp; "'!" &amp; B433)</f>
        <v>ועל אותו סולם, מה יחסך לאישים הבאים? מוחמד בראכה</v>
      </c>
      <c r="G433" t="str" cm="1">
        <f t="array" aca="1" ref="G433" ca="1">INDIRECT("'" &amp; A433 &amp; "'!" &amp; ADDRESS(1, COLUMN(INDIRECT("'" &amp; A433 &amp; "'!" &amp; B433))))</f>
        <v>שאלה</v>
      </c>
      <c r="H433" t="e">
        <f ca="1">VLOOKUP($G433, survey_codes_dict!A:C, 2, FALSE)</f>
        <v>#N/A</v>
      </c>
      <c r="I433" s="102" t="e">
        <f ca="1">VLOOKUP($G433, survey_codes_dict!A:D, 4, FALSE)</f>
        <v>#N/A</v>
      </c>
      <c r="J433" s="102" t="e">
        <f t="shared" ca="1" si="12"/>
        <v>#N/A</v>
      </c>
      <c r="K433" s="102" t="e">
        <f t="shared" ca="1" si="13"/>
        <v>#N/A</v>
      </c>
      <c r="L433" s="102"/>
      <c r="M433" s="102"/>
      <c r="N433" s="102"/>
      <c r="O433" s="102"/>
      <c r="P433" s="102"/>
      <c r="Q433" s="102"/>
      <c r="R433" s="102"/>
      <c r="S433" s="102"/>
    </row>
    <row r="434" spans="1:19" ht="28.8" x14ac:dyDescent="0.3">
      <c r="A434" t="s">
        <v>3944</v>
      </c>
      <c r="B434" t="s">
        <v>4015</v>
      </c>
      <c r="C434" s="90" t="s">
        <v>4006</v>
      </c>
      <c r="D434" t="s">
        <v>399</v>
      </c>
      <c r="E434" s="101" t="s">
        <v>5595</v>
      </c>
      <c r="F434" t="str" cm="1">
        <f t="array" aca="1" ref="F434" ca="1">INDIRECT("'" &amp; A434 &amp; "'!" &amp; B434)</f>
        <v>ועל אותו סולם, מה יחסך לאישים הבאים? איברהים צרצור</v>
      </c>
      <c r="G434" t="str" cm="1">
        <f t="array" aca="1" ref="G434" ca="1">INDIRECT("'" &amp; A434 &amp; "'!" &amp; ADDRESS(1, COLUMN(INDIRECT("'" &amp; A434 &amp; "'!" &amp; B434))))</f>
        <v>שאלה</v>
      </c>
      <c r="H434" t="e">
        <f ca="1">VLOOKUP($G434, survey_codes_dict!A:C, 2, FALSE)</f>
        <v>#N/A</v>
      </c>
      <c r="I434" s="102" t="e">
        <f ca="1">VLOOKUP($G434, survey_codes_dict!A:D, 4, FALSE)</f>
        <v>#N/A</v>
      </c>
      <c r="J434" s="102" t="e">
        <f t="shared" ca="1" si="12"/>
        <v>#N/A</v>
      </c>
      <c r="K434" s="102" t="e">
        <f t="shared" ca="1" si="13"/>
        <v>#N/A</v>
      </c>
      <c r="L434" s="102"/>
      <c r="M434" s="102"/>
      <c r="N434" s="102"/>
      <c r="O434" s="102"/>
      <c r="P434" s="102"/>
      <c r="Q434" s="102"/>
      <c r="R434" s="102"/>
      <c r="S434" s="102"/>
    </row>
    <row r="435" spans="1:19" ht="57.6" x14ac:dyDescent="0.3">
      <c r="A435" t="s">
        <v>3944</v>
      </c>
      <c r="B435" t="s">
        <v>4016</v>
      </c>
      <c r="C435" s="90" t="s">
        <v>3992</v>
      </c>
      <c r="D435" t="s">
        <v>5562</v>
      </c>
      <c r="E435" s="101" t="s">
        <v>5944</v>
      </c>
      <c r="F435" t="str" cm="1">
        <f t="array" aca="1" ref="F435" ca="1">INDIRECT("'" &amp; A435 &amp; "'!" &amp; B435)</f>
        <v>a49</v>
      </c>
      <c r="G435" cm="1">
        <f t="array" aca="1" ref="G435" ca="1">INDIRECT("'" &amp; A435 &amp; "'!" &amp; ADDRESS(1, COLUMN(INDIRECT("'" &amp; A435 &amp; "'!" &amp; B435))))</f>
        <v>2001</v>
      </c>
      <c r="H435" t="str">
        <f ca="1">VLOOKUP($G435, survey_codes_dict!A:C, 2, FALSE)</f>
        <v>2001</v>
      </c>
      <c r="I435" s="102" t="str">
        <f ca="1">VLOOKUP($G435, survey_codes_dict!A:D, 4, FALSE)</f>
        <v>1999_1</v>
      </c>
      <c r="J435" s="102" t="str">
        <f t="shared" ca="1" si="12"/>
        <v>2001__a49</v>
      </c>
      <c r="K435" s="102" t="str">
        <f t="shared" ca="1" si="13"/>
        <v>1999_1__a49</v>
      </c>
      <c r="L435" s="102"/>
      <c r="M435" s="102"/>
      <c r="N435" s="102"/>
      <c r="O435" s="102"/>
      <c r="P435" s="102"/>
      <c r="Q435" s="102"/>
      <c r="R435" s="102"/>
      <c r="S435" s="101"/>
    </row>
    <row r="436" spans="1:19" ht="72" x14ac:dyDescent="0.3">
      <c r="A436" t="s">
        <v>3944</v>
      </c>
      <c r="B436" t="s">
        <v>4017</v>
      </c>
      <c r="C436" s="90" t="s">
        <v>4018</v>
      </c>
      <c r="D436" t="s">
        <v>5562</v>
      </c>
      <c r="E436" s="101" t="s">
        <v>5946</v>
      </c>
      <c r="F436" t="str" cm="1">
        <f t="array" aca="1" ref="F436" ca="1">INDIRECT("'" &amp; A436 &amp; "'!" &amp; B436)</f>
        <v>v76</v>
      </c>
      <c r="G436" cm="1">
        <f t="array" aca="1" ref="G436" ca="1">INDIRECT("'" &amp; A436 &amp; "'!" &amp; ADDRESS(1, COLUMN(INDIRECT("'" &amp; A436 &amp; "'!" &amp; B436))))</f>
        <v>43556</v>
      </c>
      <c r="H436" t="e">
        <f ca="1">VLOOKUP($G436, survey_codes_dict!A:C, 2, FALSE)</f>
        <v>#N/A</v>
      </c>
      <c r="I436" s="102" t="e">
        <f ca="1">VLOOKUP($G436, survey_codes_dict!A:D, 4, FALSE)</f>
        <v>#N/A</v>
      </c>
      <c r="J436" s="102" t="e">
        <f t="shared" ca="1" si="12"/>
        <v>#N/A</v>
      </c>
      <c r="K436" s="102" t="e">
        <f t="shared" ca="1" si="13"/>
        <v>#N/A</v>
      </c>
      <c r="L436" s="102"/>
      <c r="M436" s="102"/>
      <c r="N436" s="102"/>
      <c r="O436" s="102"/>
      <c r="P436" s="102"/>
      <c r="Q436" s="102"/>
      <c r="R436" s="102"/>
      <c r="S436" s="101"/>
    </row>
    <row r="437" spans="1:19" ht="72" x14ac:dyDescent="0.3">
      <c r="A437" t="s">
        <v>3944</v>
      </c>
      <c r="B437" t="s">
        <v>4019</v>
      </c>
      <c r="C437" s="90" t="s">
        <v>4020</v>
      </c>
      <c r="D437" t="s">
        <v>5562</v>
      </c>
      <c r="E437" s="101" t="s">
        <v>5947</v>
      </c>
      <c r="F437" t="str" cm="1">
        <f t="array" aca="1" ref="F437" ca="1">INDIRECT("'" &amp; A437 &amp; "'!" &amp; B437)</f>
        <v>v77</v>
      </c>
      <c r="G437" cm="1">
        <f t="array" aca="1" ref="G437" ca="1">INDIRECT("'" &amp; A437 &amp; "'!" &amp; ADDRESS(1, COLUMN(INDIRECT("'" &amp; A437 &amp; "'!" &amp; B437))))</f>
        <v>43556</v>
      </c>
      <c r="H437" t="e">
        <f ca="1">VLOOKUP($G437, survey_codes_dict!A:C, 2, FALSE)</f>
        <v>#N/A</v>
      </c>
      <c r="I437" s="102" t="e">
        <f ca="1">VLOOKUP($G437, survey_codes_dict!A:D, 4, FALSE)</f>
        <v>#N/A</v>
      </c>
      <c r="J437" s="102" t="e">
        <f t="shared" ca="1" si="12"/>
        <v>#N/A</v>
      </c>
      <c r="K437" s="102" t="e">
        <f t="shared" ca="1" si="13"/>
        <v>#N/A</v>
      </c>
      <c r="L437" s="102"/>
      <c r="M437" s="102"/>
      <c r="N437" s="102"/>
      <c r="O437" s="102"/>
      <c r="P437" s="102"/>
      <c r="Q437" s="102"/>
      <c r="R437" s="102"/>
      <c r="S437" s="101"/>
    </row>
    <row r="438" spans="1:19" ht="72" x14ac:dyDescent="0.3">
      <c r="A438" t="s">
        <v>3944</v>
      </c>
      <c r="B438" t="s">
        <v>4021</v>
      </c>
      <c r="C438" s="90" t="s">
        <v>4022</v>
      </c>
      <c r="D438" t="s">
        <v>5562</v>
      </c>
      <c r="E438" s="101" t="s">
        <v>5948</v>
      </c>
      <c r="F438" t="str" cm="1">
        <f t="array" aca="1" ref="F438" ca="1">INDIRECT("'" &amp; A438 &amp; "'!" &amp; B438)</f>
        <v>v11_after</v>
      </c>
      <c r="G438" cm="1">
        <f t="array" aca="1" ref="G438" ca="1">INDIRECT("'" &amp; A438 &amp; "'!" &amp; ADDRESS(1, COLUMN(INDIRECT("'" &amp; A438 &amp; "'!" &amp; B438))))</f>
        <v>43556</v>
      </c>
      <c r="H438" t="e">
        <f ca="1">VLOOKUP($G438, survey_codes_dict!A:C, 2, FALSE)</f>
        <v>#N/A</v>
      </c>
      <c r="I438" s="102" t="e">
        <f ca="1">VLOOKUP($G438, survey_codes_dict!A:D, 4, FALSE)</f>
        <v>#N/A</v>
      </c>
      <c r="J438" s="102" t="e">
        <f t="shared" ca="1" si="12"/>
        <v>#N/A</v>
      </c>
      <c r="K438" s="102" t="e">
        <f t="shared" ca="1" si="13"/>
        <v>#N/A</v>
      </c>
      <c r="L438" s="102"/>
      <c r="M438" s="102"/>
      <c r="N438" s="102"/>
      <c r="O438" s="102"/>
      <c r="P438" s="102"/>
      <c r="Q438" s="102"/>
      <c r="R438" s="102"/>
      <c r="S438" s="102"/>
    </row>
    <row r="439" spans="1:19" ht="72" x14ac:dyDescent="0.3">
      <c r="A439" t="s">
        <v>3944</v>
      </c>
      <c r="B439" t="s">
        <v>4023</v>
      </c>
      <c r="C439" s="90" t="s">
        <v>4024</v>
      </c>
      <c r="D439" t="s">
        <v>5562</v>
      </c>
      <c r="E439" s="101" t="s">
        <v>5949</v>
      </c>
      <c r="F439" t="str" cm="1">
        <f t="array" aca="1" ref="F439" ca="1">INDIRECT("'" &amp; A439 &amp; "'!" &amp; B439)</f>
        <v>v121</v>
      </c>
      <c r="G439" cm="1">
        <f t="array" aca="1" ref="G439" ca="1">INDIRECT("'" &amp; A439 &amp; "'!" &amp; ADDRESS(1, COLUMN(INDIRECT("'" &amp; A439 &amp; "'!" &amp; B439))))</f>
        <v>2015</v>
      </c>
      <c r="H439" t="e">
        <f ca="1">VLOOKUP($G439, survey_codes_dict!A:C, 2, FALSE)</f>
        <v>#N/A</v>
      </c>
      <c r="I439" s="102" t="e">
        <f ca="1">VLOOKUP($G439, survey_codes_dict!A:D, 4, FALSE)</f>
        <v>#N/A</v>
      </c>
      <c r="J439" s="102" t="e">
        <f t="shared" ca="1" si="12"/>
        <v>#N/A</v>
      </c>
      <c r="K439" s="102" t="e">
        <f t="shared" ca="1" si="13"/>
        <v>#N/A</v>
      </c>
      <c r="L439" s="102"/>
      <c r="M439" s="102"/>
      <c r="N439" s="102"/>
      <c r="O439" s="102"/>
      <c r="P439" s="102"/>
      <c r="Q439" s="102"/>
      <c r="R439" s="102"/>
      <c r="S439" s="101"/>
    </row>
    <row r="440" spans="1:19" ht="72" x14ac:dyDescent="0.3">
      <c r="A440" t="s">
        <v>3944</v>
      </c>
      <c r="B440" t="s">
        <v>4025</v>
      </c>
      <c r="C440" s="90" t="s">
        <v>4026</v>
      </c>
      <c r="D440" t="s">
        <v>5562</v>
      </c>
      <c r="E440" s="101" t="s">
        <v>5950</v>
      </c>
      <c r="F440" t="str" cm="1">
        <f t="array" aca="1" ref="F440" ca="1">INDIRECT("'" &amp; A440 &amp; "'!" &amp; B440)</f>
        <v>v140</v>
      </c>
      <c r="G440" cm="1">
        <f t="array" aca="1" ref="G440" ca="1">INDIRECT("'" &amp; A440 &amp; "'!" &amp; ADDRESS(1, COLUMN(INDIRECT("'" &amp; A440 &amp; "'!" &amp; B440))))</f>
        <v>2015</v>
      </c>
      <c r="H440" t="e">
        <f ca="1">VLOOKUP($G440, survey_codes_dict!A:C, 2, FALSE)</f>
        <v>#N/A</v>
      </c>
      <c r="I440" s="102" t="e">
        <f ca="1">VLOOKUP($G440, survey_codes_dict!A:D, 4, FALSE)</f>
        <v>#N/A</v>
      </c>
      <c r="J440" s="102" t="e">
        <f t="shared" ca="1" si="12"/>
        <v>#N/A</v>
      </c>
      <c r="K440" s="102" t="e">
        <f t="shared" ca="1" si="13"/>
        <v>#N/A</v>
      </c>
      <c r="L440" s="102"/>
      <c r="M440" s="102"/>
      <c r="N440" s="102"/>
      <c r="O440" s="102"/>
      <c r="P440" s="102"/>
      <c r="Q440" s="102"/>
      <c r="R440" s="102"/>
      <c r="S440" s="101"/>
    </row>
    <row r="441" spans="1:19" ht="86.4" x14ac:dyDescent="0.3">
      <c r="A441" t="s">
        <v>3944</v>
      </c>
      <c r="B441" t="s">
        <v>4027</v>
      </c>
      <c r="C441" s="90" t="s">
        <v>4028</v>
      </c>
      <c r="D441" t="s">
        <v>5562</v>
      </c>
      <c r="E441" s="101" t="s">
        <v>5951</v>
      </c>
      <c r="F441" t="str" cm="1">
        <f t="array" aca="1" ref="F441" ca="1">INDIRECT("'" &amp; A441 &amp; "'!" &amp; B441)</f>
        <v>c301</v>
      </c>
      <c r="G441" cm="1">
        <f t="array" aca="1" ref="G441" ca="1">INDIRECT("'" &amp; A441 &amp; "'!" &amp; ADDRESS(1, COLUMN(INDIRECT("'" &amp; A441 &amp; "'!" &amp; B441))))</f>
        <v>43709</v>
      </c>
      <c r="H441" t="e">
        <f ca="1">VLOOKUP($G441, survey_codes_dict!A:C, 2, FALSE)</f>
        <v>#N/A</v>
      </c>
      <c r="I441" s="102" t="e">
        <f ca="1">VLOOKUP($G441, survey_codes_dict!A:D, 4, FALSE)</f>
        <v>#N/A</v>
      </c>
      <c r="J441" s="102" t="e">
        <f t="shared" ca="1" si="12"/>
        <v>#N/A</v>
      </c>
      <c r="K441" s="102" t="e">
        <f t="shared" ca="1" si="13"/>
        <v>#N/A</v>
      </c>
      <c r="L441" s="102"/>
      <c r="M441" s="102"/>
      <c r="N441" s="102"/>
      <c r="O441" s="102"/>
      <c r="P441" s="102"/>
      <c r="Q441" s="102"/>
      <c r="R441" s="102"/>
      <c r="S441" s="102"/>
    </row>
    <row r="442" spans="1:19" ht="86.4" x14ac:dyDescent="0.3">
      <c r="A442" t="s">
        <v>3944</v>
      </c>
      <c r="B442" t="s">
        <v>4029</v>
      </c>
      <c r="C442" s="90" t="s">
        <v>4030</v>
      </c>
      <c r="D442" t="s">
        <v>5562</v>
      </c>
      <c r="E442" s="101" t="s">
        <v>5952</v>
      </c>
      <c r="F442" t="str" cm="1">
        <f t="array" aca="1" ref="F442" ca="1">INDIRECT("'" &amp; A442 &amp; "'!" &amp; B442)</f>
        <v>c306</v>
      </c>
      <c r="G442" cm="1">
        <f t="array" aca="1" ref="G442" ca="1">INDIRECT("'" &amp; A442 &amp; "'!" &amp; ADDRESS(1, COLUMN(INDIRECT("'" &amp; A442 &amp; "'!" &amp; B442))))</f>
        <v>43709</v>
      </c>
      <c r="H442" t="e">
        <f ca="1">VLOOKUP($G442, survey_codes_dict!A:C, 2, FALSE)</f>
        <v>#N/A</v>
      </c>
      <c r="I442" s="102" t="e">
        <f ca="1">VLOOKUP($G442, survey_codes_dict!A:D, 4, FALSE)</f>
        <v>#N/A</v>
      </c>
      <c r="J442" s="102" t="e">
        <f t="shared" ca="1" si="12"/>
        <v>#N/A</v>
      </c>
      <c r="K442" s="102" t="e">
        <f t="shared" ca="1" si="13"/>
        <v>#N/A</v>
      </c>
      <c r="L442" s="102"/>
      <c r="M442" s="102"/>
      <c r="N442" s="102"/>
      <c r="O442" s="102"/>
      <c r="P442" s="102"/>
      <c r="Q442" s="102"/>
      <c r="R442" s="102"/>
      <c r="S442" s="102"/>
    </row>
    <row r="443" spans="1:19" ht="43.2" x14ac:dyDescent="0.3">
      <c r="A443" t="s">
        <v>3944</v>
      </c>
      <c r="B443" t="s">
        <v>4031</v>
      </c>
      <c r="C443" s="90" t="s">
        <v>3383</v>
      </c>
      <c r="D443" t="s">
        <v>5562</v>
      </c>
      <c r="E443" s="101" t="s">
        <v>5706</v>
      </c>
      <c r="F443" t="str" cm="1">
        <f t="array" aca="1" ref="F443" ca="1">INDIRECT("'" &amp; A443 &amp; "'!" &amp; B443)</f>
        <v>b66</v>
      </c>
      <c r="G443" cm="1">
        <f t="array" aca="1" ref="G443" ca="1">INDIRECT("'" &amp; A443 &amp; "'!" &amp; ADDRESS(1, COLUMN(INDIRECT("'" &amp; A443 &amp; "'!" &amp; B443))))</f>
        <v>2001</v>
      </c>
      <c r="H443" t="str">
        <f ca="1">VLOOKUP($G443, survey_codes_dict!A:C, 2, FALSE)</f>
        <v>2001</v>
      </c>
      <c r="I443" s="102" t="str">
        <f ca="1">VLOOKUP($G443, survey_codes_dict!A:D, 4, FALSE)</f>
        <v>1999_1</v>
      </c>
      <c r="J443" s="102" t="str">
        <f t="shared" ca="1" si="12"/>
        <v>2001__b66</v>
      </c>
      <c r="K443" s="102" t="str">
        <f t="shared" ca="1" si="13"/>
        <v>1999_1__b66</v>
      </c>
      <c r="L443" s="102"/>
      <c r="M443" s="102"/>
      <c r="N443" s="102"/>
      <c r="O443" s="102"/>
      <c r="P443" s="102"/>
      <c r="Q443" s="102"/>
      <c r="R443" s="102"/>
      <c r="S443" s="101"/>
    </row>
    <row r="444" spans="1:19" ht="259.2" x14ac:dyDescent="0.3">
      <c r="A444" t="s">
        <v>3944</v>
      </c>
      <c r="B444" t="s">
        <v>4032</v>
      </c>
      <c r="C444" s="90" t="s">
        <v>4033</v>
      </c>
      <c r="D444" t="s">
        <v>5562</v>
      </c>
      <c r="E444" s="101" t="s">
        <v>5953</v>
      </c>
      <c r="F444" t="str" cm="1">
        <f t="array" aca="1" ref="F444" ca="1">INDIRECT("'" &amp; A444 &amp; "'!" &amp; B444)</f>
        <v>b74</v>
      </c>
      <c r="G444" t="str" cm="1">
        <f t="array" aca="1" ref="G444" ca="1">INDIRECT("'" &amp; A444 &amp; "'!" &amp; ADDRESS(1, COLUMN(INDIRECT("'" &amp; A444 &amp; "'!" &amp; B444))))</f>
        <v>1988*</v>
      </c>
      <c r="H444" t="str">
        <f ca="1">VLOOKUP($G444, survey_codes_dict!A:C, 2, FALSE)</f>
        <v>1988_N=873</v>
      </c>
      <c r="I444" s="102" t="str">
        <f ca="1">VLOOKUP($G444, survey_codes_dict!A:D, 4, FALSE)</f>
        <v>1988_Panel_N=416</v>
      </c>
      <c r="J444" s="102" t="str">
        <f t="shared" ca="1" si="12"/>
        <v>1988_N=873__b74</v>
      </c>
      <c r="K444" s="102" t="str">
        <f t="shared" ca="1" si="13"/>
        <v>1988_Panel_N=416__b74</v>
      </c>
      <c r="L444" s="102"/>
      <c r="M444" s="102"/>
      <c r="N444" s="102"/>
      <c r="O444" s="102"/>
      <c r="P444" s="102"/>
      <c r="Q444" s="102"/>
      <c r="R444" s="102"/>
      <c r="S444" s="101"/>
    </row>
    <row r="445" spans="1:19" ht="115.2" x14ac:dyDescent="0.3">
      <c r="A445" t="s">
        <v>3944</v>
      </c>
      <c r="B445" t="s">
        <v>4034</v>
      </c>
      <c r="C445" s="90" t="s">
        <v>4035</v>
      </c>
      <c r="D445" t="s">
        <v>5562</v>
      </c>
      <c r="E445" s="101" t="s">
        <v>5954</v>
      </c>
      <c r="F445" t="str" cm="1">
        <f t="array" aca="1" ref="F445" ca="1">INDIRECT("'" &amp; A445 &amp; "'!" &amp; B445)</f>
        <v>v102</v>
      </c>
      <c r="G445" t="str" cm="1">
        <f t="array" aca="1" ref="G445" ca="1">INDIRECT("'" &amp; A445 &amp; "'!" &amp; ADDRESS(1, COLUMN(INDIRECT("'" &amp; A445 &amp; "'!" &amp; B445))))</f>
        <v>1981 - 1</v>
      </c>
      <c r="H445" t="str">
        <f ca="1">VLOOKUP($G445, survey_codes_dict!A:C, 2, FALSE)</f>
        <v>1981_1</v>
      </c>
      <c r="I445" s="102" t="str">
        <f ca="1">VLOOKUP($G445, survey_codes_dict!A:D, 4, FALSE)</f>
        <v>1977_4</v>
      </c>
      <c r="J445" s="102" t="str">
        <f t="shared" ca="1" si="12"/>
        <v>1981_1__v102</v>
      </c>
      <c r="K445" s="102" t="str">
        <f t="shared" ca="1" si="13"/>
        <v>1977_4__v102</v>
      </c>
      <c r="L445" s="102"/>
      <c r="M445" s="102"/>
      <c r="N445" s="102"/>
      <c r="O445" s="102"/>
      <c r="P445" s="102"/>
      <c r="Q445" s="102"/>
      <c r="R445" s="102"/>
      <c r="S445" s="101"/>
    </row>
    <row r="446" spans="1:19" ht="144" x14ac:dyDescent="0.3">
      <c r="A446" t="s">
        <v>3944</v>
      </c>
      <c r="B446" t="s">
        <v>4036</v>
      </c>
      <c r="C446" s="90" t="s">
        <v>4037</v>
      </c>
      <c r="D446" t="s">
        <v>5562</v>
      </c>
      <c r="E446" s="101" t="s">
        <v>5955</v>
      </c>
      <c r="F446" t="str" cm="1">
        <f t="array" aca="1" ref="F446" ca="1">INDIRECT("'" &amp; A446 &amp; "'!" &amp; B446)</f>
        <v>h20</v>
      </c>
      <c r="G446" t="str" cm="1">
        <f t="array" aca="1" ref="G446" ca="1">INDIRECT("'" &amp; A446 &amp; "'!" &amp; ADDRESS(1, COLUMN(INDIRECT("'" &amp; A446 &amp; "'!" &amp; B446))))</f>
        <v>1973 - 5</v>
      </c>
      <c r="H446" t="str">
        <f ca="1">VLOOKUP($G446, survey_codes_dict!A:C, 2, FALSE)</f>
        <v>1973_5</v>
      </c>
      <c r="I446" s="102" t="str">
        <f ca="1">VLOOKUP($G446, survey_codes_dict!A:D, 4, FALSE)</f>
        <v>1973_4</v>
      </c>
      <c r="J446" s="102" t="str">
        <f t="shared" ca="1" si="12"/>
        <v>1973_5__h20</v>
      </c>
      <c r="K446" s="102" t="str">
        <f t="shared" ca="1" si="13"/>
        <v>1973_4__h20</v>
      </c>
      <c r="L446" s="102"/>
      <c r="M446" s="102"/>
      <c r="N446" s="102"/>
      <c r="O446" s="102"/>
      <c r="P446" s="102"/>
      <c r="Q446" s="102"/>
      <c r="R446" s="102"/>
      <c r="S446" s="101"/>
    </row>
    <row r="447" spans="1:19" ht="115.2" x14ac:dyDescent="0.3">
      <c r="A447" t="s">
        <v>3944</v>
      </c>
      <c r="B447" t="s">
        <v>4038</v>
      </c>
      <c r="C447" s="90" t="s">
        <v>4039</v>
      </c>
      <c r="D447" t="s">
        <v>5562</v>
      </c>
      <c r="E447" s="101" t="s">
        <v>5956</v>
      </c>
      <c r="F447" t="str" cm="1">
        <f t="array" aca="1" ref="F447" ca="1">INDIRECT("'" &amp; A447 &amp; "'!" &amp; B447)</f>
        <v>f27</v>
      </c>
      <c r="G447" t="str" cm="1">
        <f t="array" aca="1" ref="G447" ca="1">INDIRECT("'" &amp; A447 &amp; "'!" &amp; ADDRESS(1, COLUMN(INDIRECT("'" &amp; A447 &amp; "'!" &amp; B447))))</f>
        <v>1973 - 3</v>
      </c>
      <c r="H447" t="str">
        <f ca="1">VLOOKUP($G447, survey_codes_dict!A:C, 2, FALSE)</f>
        <v>1973_3</v>
      </c>
      <c r="I447" s="102" t="str">
        <f ca="1">VLOOKUP($G447, survey_codes_dict!A:D, 4, FALSE)</f>
        <v>1973_2</v>
      </c>
      <c r="J447" s="102" t="str">
        <f t="shared" ca="1" si="12"/>
        <v>1973_3__f27</v>
      </c>
      <c r="K447" s="102" t="str">
        <f t="shared" ca="1" si="13"/>
        <v>1973_2__f27</v>
      </c>
      <c r="L447" s="102"/>
      <c r="M447" s="102"/>
      <c r="N447" s="102"/>
      <c r="O447" s="102"/>
      <c r="P447" s="102"/>
      <c r="Q447" s="102"/>
      <c r="R447" s="102"/>
      <c r="S447" s="101"/>
    </row>
    <row r="448" spans="1:19" ht="72" x14ac:dyDescent="0.3">
      <c r="A448" t="s">
        <v>3944</v>
      </c>
      <c r="B448" t="s">
        <v>4040</v>
      </c>
      <c r="C448" s="90" t="s">
        <v>3712</v>
      </c>
      <c r="D448" t="s">
        <v>5562</v>
      </c>
      <c r="E448" s="101" t="s">
        <v>5848</v>
      </c>
      <c r="F448" t="str" cm="1">
        <f t="array" aca="1" ref="F448" ca="1">INDIRECT("'" &amp; A448 &amp; "'!" &amp; B448)</f>
        <v>c47</v>
      </c>
      <c r="G448" t="str" cm="1">
        <f t="array" aca="1" ref="G448" ca="1">INDIRECT("'" &amp; A448 &amp; "'!" &amp; ADDRESS(1, COLUMN(INDIRECT("'" &amp; A448 &amp; "'!" &amp; B448))))</f>
        <v>1973 - 2</v>
      </c>
      <c r="H448" t="str">
        <f ca="1">VLOOKUP($G448, survey_codes_dict!A:C, 2, FALSE)</f>
        <v>1973_2</v>
      </c>
      <c r="I448" s="102" t="str">
        <f ca="1">VLOOKUP($G448, survey_codes_dict!A:D, 4, FALSE)</f>
        <v>1973_1</v>
      </c>
      <c r="J448" s="102" t="str">
        <f t="shared" ca="1" si="12"/>
        <v>1973_2__c47</v>
      </c>
      <c r="K448" s="102" t="str">
        <f t="shared" ca="1" si="13"/>
        <v>1973_1__c47</v>
      </c>
      <c r="L448" s="102"/>
      <c r="M448" s="102"/>
      <c r="N448" s="102"/>
      <c r="O448" s="102"/>
      <c r="P448" s="102"/>
      <c r="Q448" s="102"/>
      <c r="R448" s="102"/>
      <c r="S448" s="101"/>
    </row>
    <row r="449" spans="1:19" ht="72" x14ac:dyDescent="0.3">
      <c r="A449" t="s">
        <v>3944</v>
      </c>
      <c r="B449" t="s">
        <v>4041</v>
      </c>
      <c r="C449" s="90" t="s">
        <v>3712</v>
      </c>
      <c r="D449" t="s">
        <v>5562</v>
      </c>
      <c r="E449" s="101" t="s">
        <v>5848</v>
      </c>
      <c r="F449" t="str" cm="1">
        <f t="array" aca="1" ref="F449" ca="1">INDIRECT("'" &amp; A449 &amp; "'!" &amp; B449)</f>
        <v>d24</v>
      </c>
      <c r="G449" t="str" cm="1">
        <f t="array" aca="1" ref="G449" ca="1">INDIRECT("'" &amp; A449 &amp; "'!" &amp; ADDRESS(1, COLUMN(INDIRECT("'" &amp; A449 &amp; "'!" &amp; B449))))</f>
        <v>1973 - 2</v>
      </c>
      <c r="H449" t="str">
        <f ca="1">VLOOKUP($G449, survey_codes_dict!A:C, 2, FALSE)</f>
        <v>1973_2</v>
      </c>
      <c r="I449" s="102" t="str">
        <f ca="1">VLOOKUP($G449, survey_codes_dict!A:D, 4, FALSE)</f>
        <v>1973_1</v>
      </c>
      <c r="J449" s="102" t="str">
        <f t="shared" ca="1" si="12"/>
        <v>1973_2__d24</v>
      </c>
      <c r="K449" s="102" t="str">
        <f t="shared" ca="1" si="13"/>
        <v>1973_1__d24</v>
      </c>
      <c r="L449" s="102"/>
      <c r="M449" s="102"/>
      <c r="N449" s="102"/>
      <c r="O449" s="102"/>
      <c r="P449" s="102"/>
      <c r="Q449" s="102"/>
      <c r="R449" s="102"/>
      <c r="S449" s="101"/>
    </row>
    <row r="450" spans="1:19" ht="72" x14ac:dyDescent="0.3">
      <c r="A450" t="s">
        <v>3944</v>
      </c>
      <c r="B450" t="s">
        <v>4042</v>
      </c>
      <c r="C450" s="90" t="s">
        <v>3712</v>
      </c>
      <c r="D450" t="s">
        <v>5562</v>
      </c>
      <c r="E450" s="101" t="s">
        <v>5848</v>
      </c>
      <c r="F450" t="str" cm="1">
        <f t="array" aca="1" ref="F450" ca="1">INDIRECT("'" &amp; A450 &amp; "'!" &amp; B450)</f>
        <v>c49</v>
      </c>
      <c r="G450" t="str" cm="1">
        <f t="array" aca="1" ref="G450" ca="1">INDIRECT("'" &amp; A450 &amp; "'!" &amp; ADDRESS(1, COLUMN(INDIRECT("'" &amp; A450 &amp; "'!" &amp; B450))))</f>
        <v>1973 - 2</v>
      </c>
      <c r="H450" t="str">
        <f ca="1">VLOOKUP($G450, survey_codes_dict!A:C, 2, FALSE)</f>
        <v>1973_2</v>
      </c>
      <c r="I450" s="102" t="str">
        <f ca="1">VLOOKUP($G450, survey_codes_dict!A:D, 4, FALSE)</f>
        <v>1973_1</v>
      </c>
      <c r="J450" s="102" t="str">
        <f t="shared" ref="J450:J513" ca="1" si="14">_xlfn.CONCAT($H450, "__", F450)</f>
        <v>1973_2__c49</v>
      </c>
      <c r="K450" s="102" t="str">
        <f t="shared" ref="K450:K513" ca="1" si="15">_xlfn.CONCAT($I450, "__", F450)</f>
        <v>1973_1__c49</v>
      </c>
      <c r="L450" s="102"/>
      <c r="M450" s="102"/>
      <c r="N450" s="102"/>
      <c r="O450" s="102"/>
      <c r="P450" s="102"/>
      <c r="Q450" s="102"/>
      <c r="R450" s="102"/>
      <c r="S450" s="101"/>
    </row>
    <row r="451" spans="1:19" ht="72" x14ac:dyDescent="0.3">
      <c r="A451" t="s">
        <v>3944</v>
      </c>
      <c r="B451" t="s">
        <v>4043</v>
      </c>
      <c r="C451" s="90" t="s">
        <v>3712</v>
      </c>
      <c r="D451" t="s">
        <v>5562</v>
      </c>
      <c r="E451" s="101" t="s">
        <v>5848</v>
      </c>
      <c r="F451" t="str" cm="1">
        <f t="array" aca="1" ref="F451" ca="1">INDIRECT("'" &amp; A451 &amp; "'!" &amp; B451)</f>
        <v>d26</v>
      </c>
      <c r="G451" t="str" cm="1">
        <f t="array" aca="1" ref="G451" ca="1">INDIRECT("'" &amp; A451 &amp; "'!" &amp; ADDRESS(1, COLUMN(INDIRECT("'" &amp; A451 &amp; "'!" &amp; B451))))</f>
        <v>1973 - 2</v>
      </c>
      <c r="H451" t="str">
        <f ca="1">VLOOKUP($G451, survey_codes_dict!A:C, 2, FALSE)</f>
        <v>1973_2</v>
      </c>
      <c r="I451" s="102" t="str">
        <f ca="1">VLOOKUP($G451, survey_codes_dict!A:D, 4, FALSE)</f>
        <v>1973_1</v>
      </c>
      <c r="J451" s="102" t="str">
        <f t="shared" ca="1" si="14"/>
        <v>1973_2__d26</v>
      </c>
      <c r="K451" s="102" t="str">
        <f t="shared" ca="1" si="15"/>
        <v>1973_1__d26</v>
      </c>
      <c r="L451" s="102"/>
      <c r="M451" s="102"/>
      <c r="N451" s="102"/>
      <c r="O451" s="102"/>
      <c r="P451" s="102"/>
      <c r="Q451" s="102"/>
      <c r="R451" s="102"/>
      <c r="S451" s="101"/>
    </row>
    <row r="452" spans="1:19" ht="72" x14ac:dyDescent="0.3">
      <c r="A452" t="s">
        <v>3944</v>
      </c>
      <c r="B452" t="s">
        <v>4044</v>
      </c>
      <c r="C452" s="90" t="s">
        <v>3712</v>
      </c>
      <c r="D452" t="s">
        <v>5562</v>
      </c>
      <c r="E452" s="101" t="s">
        <v>5848</v>
      </c>
      <c r="F452" t="str" cm="1">
        <f t="array" aca="1" ref="F452" ca="1">INDIRECT("'" &amp; A452 &amp; "'!" &amp; B452)</f>
        <v>c44</v>
      </c>
      <c r="G452" t="str" cm="1">
        <f t="array" aca="1" ref="G452" ca="1">INDIRECT("'" &amp; A452 &amp; "'!" &amp; ADDRESS(1, COLUMN(INDIRECT("'" &amp; A452 &amp; "'!" &amp; B452))))</f>
        <v>1973 - 2</v>
      </c>
      <c r="H452" t="str">
        <f ca="1">VLOOKUP($G452, survey_codes_dict!A:C, 2, FALSE)</f>
        <v>1973_2</v>
      </c>
      <c r="I452" s="102" t="str">
        <f ca="1">VLOOKUP($G452, survey_codes_dict!A:D, 4, FALSE)</f>
        <v>1973_1</v>
      </c>
      <c r="J452" s="102" t="str">
        <f t="shared" ca="1" si="14"/>
        <v>1973_2__c44</v>
      </c>
      <c r="K452" s="102" t="str">
        <f t="shared" ca="1" si="15"/>
        <v>1973_1__c44</v>
      </c>
      <c r="L452" s="102"/>
      <c r="M452" s="102"/>
      <c r="N452" s="102"/>
      <c r="O452" s="102"/>
      <c r="P452" s="102"/>
      <c r="Q452" s="102"/>
      <c r="R452" s="102"/>
      <c r="S452" s="101"/>
    </row>
    <row r="453" spans="1:19" ht="43.2" x14ac:dyDescent="0.3">
      <c r="A453" t="s">
        <v>3944</v>
      </c>
      <c r="B453" t="s">
        <v>4045</v>
      </c>
      <c r="C453" s="90" t="s">
        <v>3383</v>
      </c>
      <c r="D453" t="s">
        <v>5562</v>
      </c>
      <c r="E453" s="101" t="s">
        <v>5706</v>
      </c>
      <c r="F453" t="str" cm="1">
        <f t="array" aca="1" ref="F453" ca="1">INDIRECT("'" &amp; A453 &amp; "'!" &amp; B453)</f>
        <v>after_v10</v>
      </c>
      <c r="G453" cm="1">
        <f t="array" aca="1" ref="G453" ca="1">INDIRECT("'" &amp; A453 &amp; "'!" &amp; ADDRESS(1, COLUMN(INDIRECT("'" &amp; A453 &amp; "'!" &amp; B453))))</f>
        <v>2015</v>
      </c>
      <c r="H453" t="e">
        <f ca="1">VLOOKUP($G453, survey_codes_dict!A:C, 2, FALSE)</f>
        <v>#N/A</v>
      </c>
      <c r="I453" s="102" t="e">
        <f ca="1">VLOOKUP($G453, survey_codes_dict!A:D, 4, FALSE)</f>
        <v>#N/A</v>
      </c>
      <c r="J453" s="102" t="e">
        <f t="shared" ca="1" si="14"/>
        <v>#N/A</v>
      </c>
      <c r="K453" s="102" t="e">
        <f t="shared" ca="1" si="15"/>
        <v>#N/A</v>
      </c>
      <c r="L453" s="102"/>
      <c r="M453" s="102"/>
      <c r="N453" s="102"/>
      <c r="O453" s="102"/>
      <c r="P453" s="102"/>
      <c r="Q453" s="102"/>
      <c r="R453" s="102"/>
      <c r="S453" s="102"/>
    </row>
    <row r="454" spans="1:19" ht="28.8" x14ac:dyDescent="0.3">
      <c r="A454" t="s">
        <v>3944</v>
      </c>
      <c r="B454" t="s">
        <v>4046</v>
      </c>
      <c r="C454" s="90" t="s">
        <v>4047</v>
      </c>
      <c r="D454" t="s">
        <v>399</v>
      </c>
      <c r="E454" s="101" t="s">
        <v>5596</v>
      </c>
      <c r="F454" t="str" cm="1">
        <f t="array" aca="1" ref="F454" ca="1">INDIRECT("'" &amp; A454 &amp; "'!" &amp; B454)</f>
        <v>לאיזו מפלגה אתה חש הכי קרוב?</v>
      </c>
      <c r="G454" t="str" cm="1">
        <f t="array" aca="1" ref="G454" ca="1">INDIRECT("'" &amp; A454 &amp; "'!" &amp; ADDRESS(1, COLUMN(INDIRECT("'" &amp; A454 &amp; "'!" &amp; B454))))</f>
        <v>שאלה</v>
      </c>
      <c r="H454" t="e">
        <f ca="1">VLOOKUP($G454, survey_codes_dict!A:C, 2, FALSE)</f>
        <v>#N/A</v>
      </c>
      <c r="I454" s="102" t="e">
        <f ca="1">VLOOKUP($G454, survey_codes_dict!A:D, 4, FALSE)</f>
        <v>#N/A</v>
      </c>
      <c r="J454" s="102" t="e">
        <f t="shared" ca="1" si="14"/>
        <v>#N/A</v>
      </c>
      <c r="K454" s="102" t="e">
        <f t="shared" ca="1" si="15"/>
        <v>#N/A</v>
      </c>
      <c r="L454" s="102"/>
      <c r="M454" s="102"/>
      <c r="N454" s="102"/>
      <c r="O454" s="102"/>
      <c r="P454" s="102"/>
      <c r="Q454" s="102"/>
      <c r="R454" s="102"/>
      <c r="S454" s="102"/>
    </row>
    <row r="455" spans="1:19" ht="43.2" x14ac:dyDescent="0.3">
      <c r="A455" t="s">
        <v>3944</v>
      </c>
      <c r="B455" t="s">
        <v>4048</v>
      </c>
      <c r="C455" s="90" t="s">
        <v>4049</v>
      </c>
      <c r="D455" t="s">
        <v>5562</v>
      </c>
      <c r="E455" s="101" t="s">
        <v>5957</v>
      </c>
      <c r="F455" t="str" cm="1">
        <f t="array" aca="1" ref="F455" ca="1">INDIRECT("'" &amp; A455 &amp; "'!" &amp; B455)</f>
        <v>v68</v>
      </c>
      <c r="G455" cm="1">
        <f t="array" aca="1" ref="G455" ca="1">INDIRECT("'" &amp; A455 &amp; "'!" &amp; ADDRESS(1, COLUMN(INDIRECT("'" &amp; A455 &amp; "'!" &amp; B455))))</f>
        <v>2009</v>
      </c>
      <c r="H455" t="e">
        <f ca="1">VLOOKUP($G455, survey_codes_dict!A:C, 2, FALSE)</f>
        <v>#N/A</v>
      </c>
      <c r="I455" s="102" t="e">
        <f ca="1">VLOOKUP($G455, survey_codes_dict!A:D, 4, FALSE)</f>
        <v>#N/A</v>
      </c>
      <c r="J455" s="102" t="e">
        <f t="shared" ca="1" si="14"/>
        <v>#N/A</v>
      </c>
      <c r="K455" s="102" t="e">
        <f t="shared" ca="1" si="15"/>
        <v>#N/A</v>
      </c>
      <c r="L455" s="102"/>
      <c r="M455" s="102"/>
      <c r="N455" s="102"/>
      <c r="O455" s="102"/>
      <c r="P455" s="102"/>
      <c r="Q455" s="102"/>
      <c r="R455" s="102"/>
      <c r="S455" s="101"/>
    </row>
    <row r="456" spans="1:19" ht="57.6" x14ac:dyDescent="0.3">
      <c r="A456" t="s">
        <v>3944</v>
      </c>
      <c r="B456" t="s">
        <v>4050</v>
      </c>
      <c r="C456" s="90" t="s">
        <v>4051</v>
      </c>
      <c r="D456" t="s">
        <v>5562</v>
      </c>
      <c r="E456" s="101" t="s">
        <v>5958</v>
      </c>
      <c r="F456" t="str" cm="1">
        <f t="array" aca="1" ref="F456" ca="1">INDIRECT("'" &amp; A456 &amp; "'!" &amp; B456)</f>
        <v>after_v12</v>
      </c>
      <c r="G456" cm="1">
        <f t="array" aca="1" ref="G456" ca="1">INDIRECT("'" &amp; A456 &amp; "'!" &amp; ADDRESS(1, COLUMN(INDIRECT("'" &amp; A456 &amp; "'!" &amp; B456))))</f>
        <v>2015</v>
      </c>
      <c r="H456" t="e">
        <f ca="1">VLOOKUP($G456, survey_codes_dict!A:C, 2, FALSE)</f>
        <v>#N/A</v>
      </c>
      <c r="I456" s="102" t="e">
        <f ca="1">VLOOKUP($G456, survey_codes_dict!A:D, 4, FALSE)</f>
        <v>#N/A</v>
      </c>
      <c r="J456" s="102" t="e">
        <f t="shared" ca="1" si="14"/>
        <v>#N/A</v>
      </c>
      <c r="K456" s="102" t="e">
        <f t="shared" ca="1" si="15"/>
        <v>#N/A</v>
      </c>
      <c r="L456" s="102"/>
      <c r="M456" s="102"/>
      <c r="N456" s="102"/>
      <c r="O456" s="102"/>
      <c r="P456" s="102"/>
      <c r="Q456" s="102"/>
      <c r="R456" s="102"/>
      <c r="S456" s="102"/>
    </row>
    <row r="457" spans="1:19" ht="72" x14ac:dyDescent="0.3">
      <c r="A457" t="s">
        <v>3944</v>
      </c>
      <c r="B457" t="s">
        <v>4052</v>
      </c>
      <c r="C457" s="90" t="s">
        <v>4053</v>
      </c>
      <c r="D457" t="s">
        <v>5562</v>
      </c>
      <c r="E457" s="101" t="s">
        <v>5959</v>
      </c>
      <c r="F457" t="str" cm="1">
        <f t="array" aca="1" ref="F457" ca="1">INDIRECT("'" &amp; A457 &amp; "'!" &amp; B457)</f>
        <v>מהמפלגות הנותרות, איך היית מדרג את מידת הקרבה אלייך: מי הראשונה?</v>
      </c>
      <c r="G457" t="str" cm="1">
        <f t="array" aca="1" ref="G457" ca="1">INDIRECT("'" &amp; A457 &amp; "'!" &amp; ADDRESS(1, COLUMN(INDIRECT("'" &amp; A457 &amp; "'!" &amp; B457))))</f>
        <v>שאלה</v>
      </c>
      <c r="H457" t="e">
        <f ca="1">VLOOKUP($G457, survey_codes_dict!A:C, 2, FALSE)</f>
        <v>#N/A</v>
      </c>
      <c r="I457" s="102" t="e">
        <f ca="1">VLOOKUP($G457, survey_codes_dict!A:D, 4, FALSE)</f>
        <v>#N/A</v>
      </c>
      <c r="J457" s="102" t="e">
        <f t="shared" ca="1" si="14"/>
        <v>#N/A</v>
      </c>
      <c r="K457" s="102" t="e">
        <f t="shared" ca="1" si="15"/>
        <v>#N/A</v>
      </c>
      <c r="L457" s="102"/>
      <c r="M457" s="102"/>
      <c r="N457" s="102"/>
      <c r="O457" s="102"/>
      <c r="P457" s="102"/>
      <c r="Q457" s="102"/>
      <c r="R457" s="102"/>
      <c r="S457" s="102"/>
    </row>
    <row r="458" spans="1:19" ht="187.2" x14ac:dyDescent="0.3">
      <c r="A458" t="s">
        <v>3944</v>
      </c>
      <c r="B458" t="s">
        <v>4054</v>
      </c>
      <c r="C458" s="90" t="s">
        <v>4055</v>
      </c>
      <c r="D458" t="s">
        <v>5562</v>
      </c>
      <c r="E458" s="101" t="s">
        <v>5960</v>
      </c>
      <c r="F458" t="str" cm="1">
        <f t="array" aca="1" ref="F458" ca="1">INDIRECT("'" &amp; A458 &amp; "'!" &amp; B458)</f>
        <v>b13</v>
      </c>
      <c r="G458" t="str" cm="1">
        <f t="array" aca="1" ref="G458" ca="1">INDIRECT("'" &amp; A458 &amp; "'!" &amp; ADDRESS(1, COLUMN(INDIRECT("'" &amp; A458 &amp; "'!" &amp; B458))))</f>
        <v>1973 - 1</v>
      </c>
      <c r="H458" t="str">
        <f ca="1">VLOOKUP($G458, survey_codes_dict!A:C, 2, FALSE)</f>
        <v>1973_1</v>
      </c>
      <c r="I458" s="102" t="str">
        <f ca="1">VLOOKUP($G458, survey_codes_dict!A:D, 4, FALSE)</f>
        <v>1969_2</v>
      </c>
      <c r="J458" s="102" t="str">
        <f t="shared" ca="1" si="14"/>
        <v>1973_1__b13</v>
      </c>
      <c r="K458" s="102" t="str">
        <f t="shared" ca="1" si="15"/>
        <v>1969_2__b13</v>
      </c>
      <c r="L458" s="102"/>
      <c r="M458" s="102"/>
      <c r="N458" s="102"/>
      <c r="O458" s="102"/>
      <c r="P458" s="102"/>
      <c r="Q458" s="102"/>
      <c r="R458" s="102"/>
      <c r="S458" s="101"/>
    </row>
    <row r="459" spans="1:19" ht="216" x14ac:dyDescent="0.3">
      <c r="A459" t="s">
        <v>3944</v>
      </c>
      <c r="B459" t="s">
        <v>4056</v>
      </c>
      <c r="C459" s="90" t="s">
        <v>4057</v>
      </c>
      <c r="D459" t="s">
        <v>5562</v>
      </c>
      <c r="E459" s="101" t="s">
        <v>5961</v>
      </c>
      <c r="F459" t="str" cm="1">
        <f t="array" aca="1" ref="F459" ca="1">INDIRECT("'" &amp; A459 &amp; "'!" &amp; B459)</f>
        <v>b33</v>
      </c>
      <c r="G459" t="str" cm="1">
        <f t="array" aca="1" ref="G459" ca="1">INDIRECT("'" &amp; A459 &amp; "'!" &amp; ADDRESS(1, COLUMN(INDIRECT("'" &amp; A459 &amp; "'!" &amp; B459))))</f>
        <v>1969 - 2</v>
      </c>
      <c r="H459" t="str">
        <f ca="1">VLOOKUP($G459, survey_codes_dict!A:C, 2, FALSE)</f>
        <v>1969_2</v>
      </c>
      <c r="I459" s="102" t="str">
        <f ca="1">VLOOKUP($G459, survey_codes_dict!A:D, 4, FALSE)</f>
        <v>1969_1</v>
      </c>
      <c r="J459" s="102" t="str">
        <f t="shared" ca="1" si="14"/>
        <v>1969_2__b33</v>
      </c>
      <c r="K459" s="102" t="str">
        <f t="shared" ca="1" si="15"/>
        <v>1969_1__b33</v>
      </c>
      <c r="L459" s="102"/>
      <c r="M459" s="102"/>
      <c r="N459" s="102"/>
      <c r="O459" s="102"/>
      <c r="P459" s="102"/>
      <c r="Q459" s="102"/>
      <c r="R459" s="102"/>
      <c r="S459" s="101"/>
    </row>
    <row r="460" spans="1:19" ht="86.4" x14ac:dyDescent="0.3">
      <c r="A460" t="s">
        <v>4058</v>
      </c>
      <c r="B460" t="s">
        <v>4059</v>
      </c>
      <c r="C460" s="90" t="s">
        <v>4060</v>
      </c>
      <c r="D460" t="s">
        <v>5562</v>
      </c>
      <c r="E460" s="101" t="s">
        <v>5962</v>
      </c>
      <c r="F460" t="str" cm="1">
        <f t="array" aca="1" ref="F460" ca="1">INDIRECT("'" &amp; A460 &amp; "'!" &amp; B460)</f>
        <v>v109</v>
      </c>
      <c r="G460" cm="1">
        <f t="array" aca="1" ref="G460" ca="1">INDIRECT("'" &amp; A460 &amp; "'!" &amp; ADDRESS(1, COLUMN(INDIRECT("'" &amp; A460 &amp; "'!" &amp; B460))))</f>
        <v>2009</v>
      </c>
      <c r="H460" t="e">
        <f ca="1">VLOOKUP($G460, survey_codes_dict!A:C, 2, FALSE)</f>
        <v>#N/A</v>
      </c>
      <c r="I460" s="102" t="e">
        <f ca="1">VLOOKUP($G460, survey_codes_dict!A:D, 4, FALSE)</f>
        <v>#N/A</v>
      </c>
      <c r="J460" s="102" t="e">
        <f t="shared" ca="1" si="14"/>
        <v>#N/A</v>
      </c>
      <c r="K460" s="102" t="e">
        <f t="shared" ca="1" si="15"/>
        <v>#N/A</v>
      </c>
      <c r="L460" s="102"/>
      <c r="M460" s="102"/>
      <c r="N460" s="102"/>
      <c r="O460" s="102"/>
      <c r="P460" s="102"/>
      <c r="Q460" s="102"/>
      <c r="R460" s="102"/>
      <c r="S460" s="101"/>
    </row>
    <row r="461" spans="1:19" ht="72" x14ac:dyDescent="0.3">
      <c r="A461" t="s">
        <v>4058</v>
      </c>
      <c r="B461" t="s">
        <v>3948</v>
      </c>
      <c r="C461" s="90" t="s">
        <v>4061</v>
      </c>
      <c r="D461" t="s">
        <v>5562</v>
      </c>
      <c r="E461" s="101" t="s">
        <v>5963</v>
      </c>
      <c r="F461" t="str" cm="1">
        <f t="array" aca="1" ref="F461" ca="1">INDIRECT("'" &amp; A461 &amp; "'!" &amp; B461)</f>
        <v>a78</v>
      </c>
      <c r="G461" cm="1">
        <f t="array" aca="1" ref="G461" ca="1">INDIRECT("'" &amp; A461 &amp; "'!" &amp; ADDRESS(1, COLUMN(INDIRECT("'" &amp; A461 &amp; "'!" &amp; B461))))</f>
        <v>2003</v>
      </c>
      <c r="H461" t="str">
        <f ca="1">VLOOKUP($G461, survey_codes_dict!A:C, 2, FALSE)</f>
        <v>2003</v>
      </c>
      <c r="I461" s="102" t="str">
        <f ca="1">VLOOKUP($G461, survey_codes_dict!A:D, 4, FALSE)</f>
        <v>2001</v>
      </c>
      <c r="J461" s="102" t="str">
        <f t="shared" ca="1" si="14"/>
        <v>2003__a78</v>
      </c>
      <c r="K461" s="102" t="str">
        <f t="shared" ca="1" si="15"/>
        <v>2001__a78</v>
      </c>
      <c r="L461" s="102"/>
      <c r="M461" s="102"/>
      <c r="N461" s="102"/>
      <c r="O461" s="102"/>
      <c r="P461" s="102"/>
      <c r="Q461" s="102"/>
      <c r="R461" s="102"/>
      <c r="S461" s="101"/>
    </row>
    <row r="462" spans="1:19" ht="86.4" x14ac:dyDescent="0.3">
      <c r="A462" t="s">
        <v>4058</v>
      </c>
      <c r="B462" t="s">
        <v>3564</v>
      </c>
      <c r="C462" s="90" t="s">
        <v>4062</v>
      </c>
      <c r="D462" t="s">
        <v>5562</v>
      </c>
      <c r="E462" s="101" t="s">
        <v>5964</v>
      </c>
      <c r="F462" t="str" cm="1">
        <f t="array" aca="1" ref="F462" ca="1">INDIRECT("'" &amp; A462 &amp; "'!" &amp; B462)</f>
        <v>a81</v>
      </c>
      <c r="G462" cm="1">
        <f t="array" aca="1" ref="G462" ca="1">INDIRECT("'" &amp; A462 &amp; "'!" &amp; ADDRESS(1, COLUMN(INDIRECT("'" &amp; A462 &amp; "'!" &amp; B462))))</f>
        <v>2001</v>
      </c>
      <c r="H462" t="str">
        <f ca="1">VLOOKUP($G462, survey_codes_dict!A:C, 2, FALSE)</f>
        <v>2001</v>
      </c>
      <c r="I462" s="102" t="str">
        <f ca="1">VLOOKUP($G462, survey_codes_dict!A:D, 4, FALSE)</f>
        <v>1999_1</v>
      </c>
      <c r="J462" s="102" t="str">
        <f t="shared" ca="1" si="14"/>
        <v>2001__a81</v>
      </c>
      <c r="K462" s="102" t="str">
        <f t="shared" ca="1" si="15"/>
        <v>1999_1__a81</v>
      </c>
      <c r="L462" s="102"/>
      <c r="M462" s="102"/>
      <c r="N462" s="102"/>
      <c r="O462" s="102"/>
      <c r="P462" s="102"/>
      <c r="Q462" s="102"/>
      <c r="R462" s="102"/>
      <c r="S462" s="101"/>
    </row>
    <row r="463" spans="1:19" ht="72" x14ac:dyDescent="0.3">
      <c r="A463" t="s">
        <v>4058</v>
      </c>
      <c r="B463" t="s">
        <v>3566</v>
      </c>
      <c r="C463" s="90" t="s">
        <v>4063</v>
      </c>
      <c r="D463" t="s">
        <v>5562</v>
      </c>
      <c r="E463" s="101" t="s">
        <v>5965</v>
      </c>
      <c r="F463" t="str" cm="1">
        <f t="array" aca="1" ref="F463" ca="1">INDIRECT("'" &amp; A463 &amp; "'!" &amp; B463)</f>
        <v>i60</v>
      </c>
      <c r="G463" cm="1">
        <f t="array" aca="1" ref="G463" ca="1">INDIRECT("'" &amp; A463 &amp; "'!" &amp; ADDRESS(1, COLUMN(INDIRECT("'" &amp; A463 &amp; "'!" &amp; B463))))</f>
        <v>1999</v>
      </c>
      <c r="H463" t="str">
        <f ca="1">VLOOKUP($G463, survey_codes_dict!A:C, 2, FALSE)</f>
        <v>1999_1</v>
      </c>
      <c r="I463" s="102" t="str">
        <f ca="1">VLOOKUP($G463, survey_codes_dict!A:D, 4, FALSE)</f>
        <v>1996_Jews</v>
      </c>
      <c r="J463" s="102" t="str">
        <f t="shared" ca="1" si="14"/>
        <v>1999_1__i60</v>
      </c>
      <c r="K463" s="102" t="str">
        <f t="shared" ca="1" si="15"/>
        <v>1996_Jews__i60</v>
      </c>
      <c r="L463" s="102"/>
      <c r="M463" s="102"/>
      <c r="N463" s="102"/>
      <c r="O463" s="102"/>
      <c r="P463" s="102"/>
      <c r="Q463" s="102"/>
      <c r="R463" s="102"/>
      <c r="S463" s="101"/>
    </row>
    <row r="464" spans="1:19" ht="28.8" x14ac:dyDescent="0.3">
      <c r="A464" t="s">
        <v>4058</v>
      </c>
      <c r="B464" t="s">
        <v>4064</v>
      </c>
      <c r="C464" s="90" t="s">
        <v>4065</v>
      </c>
      <c r="D464" t="s">
        <v>399</v>
      </c>
      <c r="E464" s="101" t="s">
        <v>5597</v>
      </c>
      <c r="F464" t="str" cm="1">
        <f t="array" aca="1" ref="F464" ca="1">INDIRECT("'" &amp; A464 &amp; "'!" &amp; B464)</f>
        <v>ולמי הכי פחות?</v>
      </c>
      <c r="G464" t="str" cm="1">
        <f t="array" aca="1" ref="G464" ca="1">INDIRECT("'" &amp; A464 &amp; "'!" &amp; ADDRESS(1, COLUMN(INDIRECT("'" &amp; A464 &amp; "'!" &amp; B464))))</f>
        <v>שאלה</v>
      </c>
      <c r="H464" t="e">
        <f ca="1">VLOOKUP($G464, survey_codes_dict!A:C, 2, FALSE)</f>
        <v>#N/A</v>
      </c>
      <c r="I464" s="102" t="e">
        <f ca="1">VLOOKUP($G464, survey_codes_dict!A:D, 4, FALSE)</f>
        <v>#N/A</v>
      </c>
      <c r="J464" s="102" t="e">
        <f t="shared" ca="1" si="14"/>
        <v>#N/A</v>
      </c>
      <c r="K464" s="102" t="e">
        <f t="shared" ca="1" si="15"/>
        <v>#N/A</v>
      </c>
      <c r="L464" s="102"/>
      <c r="M464" s="102"/>
      <c r="N464" s="102"/>
      <c r="O464" s="102"/>
      <c r="P464" s="102"/>
      <c r="Q464" s="102"/>
      <c r="R464" s="102"/>
      <c r="S464" s="102"/>
    </row>
    <row r="465" spans="1:19" ht="57.6" x14ac:dyDescent="0.3">
      <c r="A465" t="s">
        <v>4058</v>
      </c>
      <c r="B465" t="s">
        <v>4066</v>
      </c>
      <c r="C465" s="90" t="s">
        <v>4067</v>
      </c>
      <c r="D465" t="s">
        <v>5562</v>
      </c>
      <c r="E465" s="101" t="s">
        <v>5966</v>
      </c>
      <c r="F465" t="str" cm="1">
        <f t="array" aca="1" ref="F465" ca="1">INDIRECT("'" &amp; A465 &amp; "'!" &amp; B465)</f>
        <v>v110</v>
      </c>
      <c r="G465" cm="1">
        <f t="array" aca="1" ref="G465" ca="1">INDIRECT("'" &amp; A465 &amp; "'!" &amp; ADDRESS(1, COLUMN(INDIRECT("'" &amp; A465 &amp; "'!" &amp; B465))))</f>
        <v>2009</v>
      </c>
      <c r="H465" t="e">
        <f ca="1">VLOOKUP($G465, survey_codes_dict!A:C, 2, FALSE)</f>
        <v>#N/A</v>
      </c>
      <c r="I465" s="102" t="e">
        <f ca="1">VLOOKUP($G465, survey_codes_dict!A:D, 4, FALSE)</f>
        <v>#N/A</v>
      </c>
      <c r="J465" s="102" t="e">
        <f t="shared" ca="1" si="14"/>
        <v>#N/A</v>
      </c>
      <c r="K465" s="102" t="e">
        <f t="shared" ca="1" si="15"/>
        <v>#N/A</v>
      </c>
      <c r="L465" s="102"/>
      <c r="M465" s="102"/>
      <c r="N465" s="102"/>
      <c r="O465" s="102"/>
      <c r="P465" s="102"/>
      <c r="Q465" s="102"/>
      <c r="R465" s="102"/>
      <c r="S465" s="101"/>
    </row>
    <row r="466" spans="1:19" ht="28.8" x14ac:dyDescent="0.3">
      <c r="A466" t="s">
        <v>4058</v>
      </c>
      <c r="B466" t="s">
        <v>3314</v>
      </c>
      <c r="C466" s="90" t="s">
        <v>4065</v>
      </c>
      <c r="D466" t="s">
        <v>399</v>
      </c>
      <c r="E466" s="101" t="s">
        <v>5597</v>
      </c>
      <c r="F466" t="str" cm="1">
        <f t="array" aca="1" ref="F466" ca="1">INDIRECT("'" &amp; A466 &amp; "'!" &amp; B466)</f>
        <v>ולמי הכי פחות?</v>
      </c>
      <c r="G466" t="str" cm="1">
        <f t="array" aca="1" ref="G466" ca="1">INDIRECT("'" &amp; A466 &amp; "'!" &amp; ADDRESS(1, COLUMN(INDIRECT("'" &amp; A466 &amp; "'!" &amp; B466))))</f>
        <v>שאלה</v>
      </c>
      <c r="H466" t="e">
        <f ca="1">VLOOKUP($G466, survey_codes_dict!A:C, 2, FALSE)</f>
        <v>#N/A</v>
      </c>
      <c r="I466" s="102" t="e">
        <f ca="1">VLOOKUP($G466, survey_codes_dict!A:D, 4, FALSE)</f>
        <v>#N/A</v>
      </c>
      <c r="J466" s="102" t="e">
        <f t="shared" ca="1" si="14"/>
        <v>#N/A</v>
      </c>
      <c r="K466" s="102" t="e">
        <f t="shared" ca="1" si="15"/>
        <v>#N/A</v>
      </c>
      <c r="L466" s="102"/>
      <c r="M466" s="102"/>
      <c r="N466" s="102"/>
      <c r="O466" s="102"/>
      <c r="P466" s="102"/>
      <c r="Q466" s="102"/>
      <c r="R466" s="102"/>
      <c r="S466" s="102"/>
    </row>
    <row r="467" spans="1:19" ht="28.8" x14ac:dyDescent="0.3">
      <c r="A467" t="s">
        <v>4058</v>
      </c>
      <c r="B467" t="s">
        <v>3864</v>
      </c>
      <c r="C467" s="90" t="s">
        <v>4065</v>
      </c>
      <c r="D467" t="s">
        <v>399</v>
      </c>
      <c r="E467" s="101" t="s">
        <v>5597</v>
      </c>
      <c r="F467" t="str" cm="1">
        <f t="array" aca="1" ref="F467" ca="1">INDIRECT("'" &amp; A467 &amp; "'!" &amp; B467)</f>
        <v>ולמי הכי פחות?</v>
      </c>
      <c r="G467" t="str" cm="1">
        <f t="array" aca="1" ref="G467" ca="1">INDIRECT("'" &amp; A467 &amp; "'!" &amp; ADDRESS(1, COLUMN(INDIRECT("'" &amp; A467 &amp; "'!" &amp; B467))))</f>
        <v>שאלה</v>
      </c>
      <c r="H467" t="e">
        <f ca="1">VLOOKUP($G467, survey_codes_dict!A:C, 2, FALSE)</f>
        <v>#N/A</v>
      </c>
      <c r="I467" s="102" t="e">
        <f ca="1">VLOOKUP($G467, survey_codes_dict!A:D, 4, FALSE)</f>
        <v>#N/A</v>
      </c>
      <c r="J467" s="102" t="e">
        <f t="shared" ca="1" si="14"/>
        <v>#N/A</v>
      </c>
      <c r="K467" s="102" t="e">
        <f t="shared" ca="1" si="15"/>
        <v>#N/A</v>
      </c>
      <c r="L467" s="102"/>
      <c r="M467" s="102"/>
      <c r="N467" s="102"/>
      <c r="O467" s="102"/>
      <c r="P467" s="102"/>
      <c r="Q467" s="102"/>
      <c r="R467" s="102"/>
      <c r="S467" s="102"/>
    </row>
    <row r="468" spans="1:19" ht="43.2" x14ac:dyDescent="0.3">
      <c r="A468" t="s">
        <v>4058</v>
      </c>
      <c r="B468" t="s">
        <v>4068</v>
      </c>
      <c r="C468" s="90" t="s">
        <v>4069</v>
      </c>
      <c r="D468" t="s">
        <v>5562</v>
      </c>
      <c r="E468" s="101" t="s">
        <v>5967</v>
      </c>
      <c r="F468" t="str" cm="1">
        <f t="array" aca="1" ref="F468" ca="1">INDIRECT("'" &amp; A468 &amp; "'!" &amp; B468)</f>
        <v>a95</v>
      </c>
      <c r="G468" cm="1">
        <f t="array" aca="1" ref="G468" ca="1">INDIRECT("'" &amp; A468 &amp; "'!" &amp; ADDRESS(1, COLUMN(INDIRECT("'" &amp; A468 &amp; "'!" &amp; B468))))</f>
        <v>1992</v>
      </c>
      <c r="H468" t="str">
        <f ca="1">VLOOKUP($G468, survey_codes_dict!A:C, 2, FALSE)</f>
        <v>1992</v>
      </c>
      <c r="I468" s="102" t="str">
        <f ca="1">VLOOKUP($G468, survey_codes_dict!A:D, 4, FALSE)</f>
        <v>1988_N=873</v>
      </c>
      <c r="J468" s="102" t="str">
        <f t="shared" ca="1" si="14"/>
        <v>1992__a95</v>
      </c>
      <c r="K468" s="102" t="str">
        <f t="shared" ca="1" si="15"/>
        <v>1988_N=873__a95</v>
      </c>
      <c r="L468" s="102"/>
      <c r="M468" s="102"/>
      <c r="N468" s="102"/>
      <c r="O468" s="102"/>
      <c r="P468" s="102"/>
      <c r="Q468" s="102"/>
      <c r="R468" s="102"/>
      <c r="S468" s="101"/>
    </row>
    <row r="469" spans="1:19" ht="28.8" x14ac:dyDescent="0.3">
      <c r="A469" t="s">
        <v>4058</v>
      </c>
      <c r="B469" t="s">
        <v>4070</v>
      </c>
      <c r="C469" s="90" t="s">
        <v>4065</v>
      </c>
      <c r="D469" t="s">
        <v>399</v>
      </c>
      <c r="E469" s="101" t="s">
        <v>5597</v>
      </c>
      <c r="F469" t="str" cm="1">
        <f t="array" aca="1" ref="F469" ca="1">INDIRECT("'" &amp; A469 &amp; "'!" &amp; B469)</f>
        <v>ולמי הכי פחות?</v>
      </c>
      <c r="G469" t="str" cm="1">
        <f t="array" aca="1" ref="G469" ca="1">INDIRECT("'" &amp; A469 &amp; "'!" &amp; ADDRESS(1, COLUMN(INDIRECT("'" &amp; A469 &amp; "'!" &amp; B469))))</f>
        <v>שאלה</v>
      </c>
      <c r="H469" t="e">
        <f ca="1">VLOOKUP($G469, survey_codes_dict!A:C, 2, FALSE)</f>
        <v>#N/A</v>
      </c>
      <c r="I469" s="102" t="e">
        <f ca="1">VLOOKUP($G469, survey_codes_dict!A:D, 4, FALSE)</f>
        <v>#N/A</v>
      </c>
      <c r="J469" s="102" t="e">
        <f t="shared" ca="1" si="14"/>
        <v>#N/A</v>
      </c>
      <c r="K469" s="102" t="e">
        <f t="shared" ca="1" si="15"/>
        <v>#N/A</v>
      </c>
      <c r="L469" s="102"/>
      <c r="M469" s="102"/>
      <c r="N469" s="102"/>
      <c r="O469" s="102"/>
      <c r="P469" s="102"/>
      <c r="Q469" s="102"/>
      <c r="R469" s="102"/>
      <c r="S469" s="102"/>
    </row>
    <row r="470" spans="1:19" ht="100.8" x14ac:dyDescent="0.3">
      <c r="A470" t="s">
        <v>4058</v>
      </c>
      <c r="B470" t="s">
        <v>4071</v>
      </c>
      <c r="C470" s="90" t="s">
        <v>4072</v>
      </c>
      <c r="D470" t="s">
        <v>5562</v>
      </c>
      <c r="E470" s="101" t="s">
        <v>5968</v>
      </c>
      <c r="F470" t="str" cm="1">
        <f t="array" aca="1" ref="F470" ca="1">INDIRECT("'" &amp; A470 &amp; "'!" &amp; B470)</f>
        <v>b42</v>
      </c>
      <c r="G470" t="str" cm="1">
        <f t="array" aca="1" ref="G470" ca="1">INDIRECT("'" &amp; A470 &amp; "'!" &amp; ADDRESS(1, COLUMN(INDIRECT("'" &amp; A470 &amp; "'!" &amp; B470))))</f>
        <v>1981 - 3</v>
      </c>
      <c r="H470" t="str">
        <f ca="1">VLOOKUP($G470, survey_codes_dict!A:C, 2, FALSE)</f>
        <v>1981_3</v>
      </c>
      <c r="I470" s="102">
        <f ca="1">VLOOKUP($G470, survey_codes_dict!A:D, 4, FALSE)</f>
        <v>0</v>
      </c>
      <c r="J470" s="102" t="str">
        <f t="shared" ca="1" si="14"/>
        <v>1981_3__b42</v>
      </c>
      <c r="K470" s="102" t="str">
        <f t="shared" ca="1" si="15"/>
        <v>0__b42</v>
      </c>
      <c r="L470" s="102"/>
      <c r="M470" s="102"/>
      <c r="N470" s="102"/>
      <c r="O470" s="102"/>
      <c r="P470" s="102"/>
      <c r="Q470" s="102"/>
      <c r="R470" s="102"/>
      <c r="S470" s="101"/>
    </row>
    <row r="471" spans="1:19" ht="28.8" x14ac:dyDescent="0.3">
      <c r="A471" t="s">
        <v>4058</v>
      </c>
      <c r="B471" t="s">
        <v>4073</v>
      </c>
      <c r="C471" s="90" t="s">
        <v>4065</v>
      </c>
      <c r="D471" t="s">
        <v>399</v>
      </c>
      <c r="E471" s="101" t="s">
        <v>5597</v>
      </c>
      <c r="F471" t="str" cm="1">
        <f t="array" aca="1" ref="F471" ca="1">INDIRECT("'" &amp; A471 &amp; "'!" &amp; B471)</f>
        <v>ולמי הכי פחות?</v>
      </c>
      <c r="G471" t="str" cm="1">
        <f t="array" aca="1" ref="G471" ca="1">INDIRECT("'" &amp; A471 &amp; "'!" &amp; ADDRESS(1, COLUMN(INDIRECT("'" &amp; A471 &amp; "'!" &amp; B471))))</f>
        <v>שאלה</v>
      </c>
      <c r="H471" t="e">
        <f ca="1">VLOOKUP($G471, survey_codes_dict!A:C, 2, FALSE)</f>
        <v>#N/A</v>
      </c>
      <c r="I471" s="102" t="e">
        <f ca="1">VLOOKUP($G471, survey_codes_dict!A:D, 4, FALSE)</f>
        <v>#N/A</v>
      </c>
      <c r="J471" s="102" t="e">
        <f t="shared" ca="1" si="14"/>
        <v>#N/A</v>
      </c>
      <c r="K471" s="102" t="e">
        <f t="shared" ca="1" si="15"/>
        <v>#N/A</v>
      </c>
      <c r="L471" s="102"/>
      <c r="M471" s="102"/>
      <c r="N471" s="102"/>
      <c r="O471" s="102"/>
      <c r="P471" s="102"/>
      <c r="Q471" s="102"/>
      <c r="R471" s="102"/>
      <c r="S471" s="102"/>
    </row>
    <row r="472" spans="1:19" ht="28.8" x14ac:dyDescent="0.3">
      <c r="A472" t="s">
        <v>4058</v>
      </c>
      <c r="B472" t="s">
        <v>3965</v>
      </c>
      <c r="C472" s="90" t="s">
        <v>4065</v>
      </c>
      <c r="D472" t="s">
        <v>399</v>
      </c>
      <c r="E472" s="101" t="s">
        <v>5597</v>
      </c>
      <c r="F472" t="str" cm="1">
        <f t="array" aca="1" ref="F472" ca="1">INDIRECT("'" &amp; A472 &amp; "'!" &amp; B472)</f>
        <v>ולמי הכי פחות?</v>
      </c>
      <c r="G472" t="str" cm="1">
        <f t="array" aca="1" ref="G472" ca="1">INDIRECT("'" &amp; A472 &amp; "'!" &amp; ADDRESS(1, COLUMN(INDIRECT("'" &amp; A472 &amp; "'!" &amp; B472))))</f>
        <v>שאלה</v>
      </c>
      <c r="H472" t="e">
        <f ca="1">VLOOKUP($G472, survey_codes_dict!A:C, 2, FALSE)</f>
        <v>#N/A</v>
      </c>
      <c r="I472" s="102" t="e">
        <f ca="1">VLOOKUP($G472, survey_codes_dict!A:D, 4, FALSE)</f>
        <v>#N/A</v>
      </c>
      <c r="J472" s="102" t="e">
        <f t="shared" ca="1" si="14"/>
        <v>#N/A</v>
      </c>
      <c r="K472" s="102" t="e">
        <f t="shared" ca="1" si="15"/>
        <v>#N/A</v>
      </c>
      <c r="L472" s="102"/>
      <c r="M472" s="102"/>
      <c r="N472" s="102"/>
      <c r="O472" s="102"/>
      <c r="P472" s="102"/>
      <c r="Q472" s="102"/>
      <c r="R472" s="102"/>
      <c r="S472" s="102"/>
    </row>
    <row r="473" spans="1:19" ht="28.8" x14ac:dyDescent="0.3">
      <c r="A473" t="s">
        <v>4058</v>
      </c>
      <c r="B473" t="s">
        <v>3970</v>
      </c>
      <c r="C473" s="90" t="s">
        <v>4065</v>
      </c>
      <c r="D473" t="s">
        <v>399</v>
      </c>
      <c r="E473" s="101" t="s">
        <v>5597</v>
      </c>
      <c r="F473" t="str" cm="1">
        <f t="array" aca="1" ref="F473" ca="1">INDIRECT("'" &amp; A473 &amp; "'!" &amp; B473)</f>
        <v>ולמי הכי פחות?</v>
      </c>
      <c r="G473" t="str" cm="1">
        <f t="array" aca="1" ref="G473" ca="1">INDIRECT("'" &amp; A473 &amp; "'!" &amp; ADDRESS(1, COLUMN(INDIRECT("'" &amp; A473 &amp; "'!" &amp; B473))))</f>
        <v>שאלה</v>
      </c>
      <c r="H473" t="e">
        <f ca="1">VLOOKUP($G473, survey_codes_dict!A:C, 2, FALSE)</f>
        <v>#N/A</v>
      </c>
      <c r="I473" s="102" t="e">
        <f ca="1">VLOOKUP($G473, survey_codes_dict!A:D, 4, FALSE)</f>
        <v>#N/A</v>
      </c>
      <c r="J473" s="102" t="e">
        <f t="shared" ca="1" si="14"/>
        <v>#N/A</v>
      </c>
      <c r="K473" s="102" t="e">
        <f t="shared" ca="1" si="15"/>
        <v>#N/A</v>
      </c>
      <c r="L473" s="102"/>
      <c r="M473" s="102"/>
      <c r="N473" s="102"/>
      <c r="O473" s="102"/>
      <c r="P473" s="102"/>
      <c r="Q473" s="102"/>
      <c r="R473" s="102"/>
      <c r="S473" s="102"/>
    </row>
    <row r="474" spans="1:19" ht="72" x14ac:dyDescent="0.3">
      <c r="A474" t="s">
        <v>4058</v>
      </c>
      <c r="B474" t="s">
        <v>4074</v>
      </c>
      <c r="C474" s="90" t="s">
        <v>4075</v>
      </c>
      <c r="D474" t="s">
        <v>5562</v>
      </c>
      <c r="E474" s="101" t="s">
        <v>5969</v>
      </c>
      <c r="F474" t="str" cm="1">
        <f t="array" aca="1" ref="F474" ca="1">INDIRECT("'" &amp; A474 &amp; "'!" &amp; B474)</f>
        <v>a86</v>
      </c>
      <c r="G474" cm="1">
        <f t="array" aca="1" ref="G474" ca="1">INDIRECT("'" &amp; A474 &amp; "'!" &amp; ADDRESS(1, COLUMN(INDIRECT("'" &amp; A474 &amp; "'!" &amp; B474))))</f>
        <v>1992</v>
      </c>
      <c r="H474" t="str">
        <f ca="1">VLOOKUP($G474, survey_codes_dict!A:C, 2, FALSE)</f>
        <v>1992</v>
      </c>
      <c r="I474" s="102" t="str">
        <f ca="1">VLOOKUP($G474, survey_codes_dict!A:D, 4, FALSE)</f>
        <v>1988_N=873</v>
      </c>
      <c r="J474" s="102" t="str">
        <f t="shared" ca="1" si="14"/>
        <v>1992__a86</v>
      </c>
      <c r="K474" s="102" t="str">
        <f t="shared" ca="1" si="15"/>
        <v>1988_N=873__a86</v>
      </c>
      <c r="L474" s="102"/>
      <c r="M474" s="102"/>
      <c r="N474" s="102"/>
      <c r="O474" s="102"/>
      <c r="P474" s="102"/>
      <c r="Q474" s="102"/>
      <c r="R474" s="102"/>
      <c r="S474" s="101"/>
    </row>
    <row r="475" spans="1:19" ht="100.8" x14ac:dyDescent="0.3">
      <c r="A475" t="s">
        <v>4058</v>
      </c>
      <c r="B475" t="s">
        <v>3616</v>
      </c>
      <c r="C475" s="90" t="s">
        <v>4072</v>
      </c>
      <c r="D475" t="s">
        <v>5562</v>
      </c>
      <c r="E475" s="101" t="s">
        <v>5968</v>
      </c>
      <c r="F475" t="str" cm="1">
        <f t="array" aca="1" ref="F475" ca="1">INDIRECT("'" &amp; A475 &amp; "'!" &amp; B475)</f>
        <v>b40</v>
      </c>
      <c r="G475" t="str" cm="1">
        <f t="array" aca="1" ref="G475" ca="1">INDIRECT("'" &amp; A475 &amp; "'!" &amp; ADDRESS(1, COLUMN(INDIRECT("'" &amp; A475 &amp; "'!" &amp; B475))))</f>
        <v>1981 - 3</v>
      </c>
      <c r="H475" t="str">
        <f ca="1">VLOOKUP($G475, survey_codes_dict!A:C, 2, FALSE)</f>
        <v>1981_3</v>
      </c>
      <c r="I475" s="102">
        <f ca="1">VLOOKUP($G475, survey_codes_dict!A:D, 4, FALSE)</f>
        <v>0</v>
      </c>
      <c r="J475" s="102" t="str">
        <f t="shared" ca="1" si="14"/>
        <v>1981_3__b40</v>
      </c>
      <c r="K475" s="102" t="str">
        <f t="shared" ca="1" si="15"/>
        <v>0__b40</v>
      </c>
      <c r="L475" s="102"/>
      <c r="M475" s="102"/>
      <c r="N475" s="102"/>
      <c r="O475" s="102"/>
      <c r="P475" s="102"/>
      <c r="Q475" s="102"/>
      <c r="R475" s="102"/>
      <c r="S475" s="101"/>
    </row>
    <row r="476" spans="1:19" ht="100.8" x14ac:dyDescent="0.3">
      <c r="A476" t="s">
        <v>4058</v>
      </c>
      <c r="B476" t="s">
        <v>4076</v>
      </c>
      <c r="C476" s="90" t="s">
        <v>4072</v>
      </c>
      <c r="D476" t="s">
        <v>5562</v>
      </c>
      <c r="E476" s="101" t="s">
        <v>5968</v>
      </c>
      <c r="F476" t="str" cm="1">
        <f t="array" aca="1" ref="F476" ca="1">INDIRECT("'" &amp; A476 &amp; "'!" &amp; B476)</f>
        <v>b43</v>
      </c>
      <c r="G476" t="str" cm="1">
        <f t="array" aca="1" ref="G476" ca="1">INDIRECT("'" &amp; A476 &amp; "'!" &amp; ADDRESS(1, COLUMN(INDIRECT("'" &amp; A476 &amp; "'!" &amp; B476))))</f>
        <v>1981 - 3</v>
      </c>
      <c r="H476" t="str">
        <f ca="1">VLOOKUP($G476, survey_codes_dict!A:C, 2, FALSE)</f>
        <v>1981_3</v>
      </c>
      <c r="I476" s="102">
        <f ca="1">VLOOKUP($G476, survey_codes_dict!A:D, 4, FALSE)</f>
        <v>0</v>
      </c>
      <c r="J476" s="102" t="str">
        <f t="shared" ca="1" si="14"/>
        <v>1981_3__b43</v>
      </c>
      <c r="K476" s="102" t="str">
        <f t="shared" ca="1" si="15"/>
        <v>0__b43</v>
      </c>
      <c r="L476" s="102"/>
      <c r="M476" s="102"/>
      <c r="N476" s="102"/>
      <c r="O476" s="102"/>
      <c r="P476" s="102"/>
      <c r="Q476" s="102"/>
      <c r="R476" s="102"/>
      <c r="S476" s="101"/>
    </row>
    <row r="477" spans="1:19" ht="100.8" x14ac:dyDescent="0.3">
      <c r="A477" t="s">
        <v>4058</v>
      </c>
      <c r="B477" t="s">
        <v>4077</v>
      </c>
      <c r="C477" s="90" t="s">
        <v>4072</v>
      </c>
      <c r="D477" t="s">
        <v>5562</v>
      </c>
      <c r="E477" s="101" t="s">
        <v>5968</v>
      </c>
      <c r="F477" t="str" cm="1">
        <f t="array" aca="1" ref="F477" ca="1">INDIRECT("'" &amp; A477 &amp; "'!" &amp; B477)</f>
        <v>b41</v>
      </c>
      <c r="G477" t="str" cm="1">
        <f t="array" aca="1" ref="G477" ca="1">INDIRECT("'" &amp; A477 &amp; "'!" &amp; ADDRESS(1, COLUMN(INDIRECT("'" &amp; A477 &amp; "'!" &amp; B477))))</f>
        <v>1981 - 3</v>
      </c>
      <c r="H477" t="str">
        <f ca="1">VLOOKUP($G477, survey_codes_dict!A:C, 2, FALSE)</f>
        <v>1981_3</v>
      </c>
      <c r="I477" s="102">
        <f ca="1">VLOOKUP($G477, survey_codes_dict!A:D, 4, FALSE)</f>
        <v>0</v>
      </c>
      <c r="J477" s="102" t="str">
        <f t="shared" ca="1" si="14"/>
        <v>1981_3__b41</v>
      </c>
      <c r="K477" s="102" t="str">
        <f t="shared" ca="1" si="15"/>
        <v>0__b41</v>
      </c>
      <c r="L477" s="102"/>
      <c r="M477" s="102"/>
      <c r="N477" s="102"/>
      <c r="O477" s="102"/>
      <c r="P477" s="102"/>
      <c r="Q477" s="102"/>
      <c r="R477" s="102"/>
      <c r="S477" s="101"/>
    </row>
    <row r="478" spans="1:19" ht="100.8" x14ac:dyDescent="0.3">
      <c r="A478" t="s">
        <v>4058</v>
      </c>
      <c r="B478" t="s">
        <v>4078</v>
      </c>
      <c r="C478" s="90" t="s">
        <v>4072</v>
      </c>
      <c r="D478" t="s">
        <v>5562</v>
      </c>
      <c r="E478" s="101" t="s">
        <v>5968</v>
      </c>
      <c r="F478" t="str" cm="1">
        <f t="array" aca="1" ref="F478" ca="1">INDIRECT("'" &amp; A478 &amp; "'!" &amp; B478)</f>
        <v>b32</v>
      </c>
      <c r="G478" t="str" cm="1">
        <f t="array" aca="1" ref="G478" ca="1">INDIRECT("'" &amp; A478 &amp; "'!" &amp; ADDRESS(1, COLUMN(INDIRECT("'" &amp; A478 &amp; "'!" &amp; B478))))</f>
        <v>1981 - 3</v>
      </c>
      <c r="H478" t="str">
        <f ca="1">VLOOKUP($G478, survey_codes_dict!A:C, 2, FALSE)</f>
        <v>1981_3</v>
      </c>
      <c r="I478" s="102">
        <f ca="1">VLOOKUP($G478, survey_codes_dict!A:D, 4, FALSE)</f>
        <v>0</v>
      </c>
      <c r="J478" s="102" t="str">
        <f t="shared" ca="1" si="14"/>
        <v>1981_3__b32</v>
      </c>
      <c r="K478" s="102" t="str">
        <f t="shared" ca="1" si="15"/>
        <v>0__b32</v>
      </c>
      <c r="L478" s="102"/>
      <c r="M478" s="102"/>
      <c r="N478" s="102"/>
      <c r="O478" s="102"/>
      <c r="P478" s="102"/>
      <c r="Q478" s="102"/>
      <c r="R478" s="102"/>
      <c r="S478" s="101"/>
    </row>
    <row r="479" spans="1:19" ht="72" x14ac:dyDescent="0.3">
      <c r="A479" t="s">
        <v>4058</v>
      </c>
      <c r="B479" t="s">
        <v>4079</v>
      </c>
      <c r="C479" s="90" t="s">
        <v>4080</v>
      </c>
      <c r="D479" t="s">
        <v>5562</v>
      </c>
      <c r="E479" s="101" t="s">
        <v>5970</v>
      </c>
      <c r="F479" t="str" cm="1">
        <f t="array" aca="1" ref="F479" ca="1">INDIRECT("'" &amp; A479 &amp; "'!" &amp; B479)</f>
        <v>v70</v>
      </c>
      <c r="G479" cm="1">
        <f t="array" aca="1" ref="G479" ca="1">INDIRECT("'" &amp; A479 &amp; "'!" &amp; ADDRESS(1, COLUMN(INDIRECT("'" &amp; A479 &amp; "'!" &amp; B479))))</f>
        <v>43556</v>
      </c>
      <c r="H479" t="e">
        <f ca="1">VLOOKUP($G479, survey_codes_dict!A:C, 2, FALSE)</f>
        <v>#N/A</v>
      </c>
      <c r="I479" s="102" t="e">
        <f ca="1">VLOOKUP($G479, survey_codes_dict!A:D, 4, FALSE)</f>
        <v>#N/A</v>
      </c>
      <c r="J479" s="102" t="e">
        <f t="shared" ca="1" si="14"/>
        <v>#N/A</v>
      </c>
      <c r="K479" s="102" t="e">
        <f t="shared" ca="1" si="15"/>
        <v>#N/A</v>
      </c>
      <c r="L479" s="102"/>
      <c r="M479" s="102"/>
      <c r="N479" s="102"/>
      <c r="O479" s="102"/>
      <c r="P479" s="102"/>
      <c r="Q479" s="102"/>
      <c r="R479" s="102"/>
      <c r="S479" s="101"/>
    </row>
    <row r="480" spans="1:19" ht="72" x14ac:dyDescent="0.3">
      <c r="A480" t="s">
        <v>4058</v>
      </c>
      <c r="B480" t="s">
        <v>4081</v>
      </c>
      <c r="C480" s="90" t="s">
        <v>4082</v>
      </c>
      <c r="D480" t="s">
        <v>5562</v>
      </c>
      <c r="E480" s="101" t="s">
        <v>5971</v>
      </c>
      <c r="F480" t="str" cm="1">
        <f t="array" aca="1" ref="F480" ca="1">INDIRECT("'" &amp; A480 &amp; "'!" &amp; B480)</f>
        <v>v82</v>
      </c>
      <c r="G480" cm="1">
        <f t="array" aca="1" ref="G480" ca="1">INDIRECT("'" &amp; A480 &amp; "'!" &amp; ADDRESS(1, COLUMN(INDIRECT("'" &amp; A480 &amp; "'!" &amp; B480))))</f>
        <v>2015</v>
      </c>
      <c r="H480" t="e">
        <f ca="1">VLOOKUP($G480, survey_codes_dict!A:C, 2, FALSE)</f>
        <v>#N/A</v>
      </c>
      <c r="I480" s="102" t="e">
        <f ca="1">VLOOKUP($G480, survey_codes_dict!A:D, 4, FALSE)</f>
        <v>#N/A</v>
      </c>
      <c r="J480" s="102" t="e">
        <f t="shared" ca="1" si="14"/>
        <v>#N/A</v>
      </c>
      <c r="K480" s="102" t="e">
        <f t="shared" ca="1" si="15"/>
        <v>#N/A</v>
      </c>
      <c r="L480" s="102"/>
      <c r="M480" s="102"/>
      <c r="N480" s="102"/>
      <c r="O480" s="102"/>
      <c r="P480" s="102"/>
      <c r="Q480" s="102"/>
      <c r="R480" s="102"/>
      <c r="S480" s="101"/>
    </row>
    <row r="481" spans="1:19" ht="86.4" x14ac:dyDescent="0.3">
      <c r="A481" t="s">
        <v>4058</v>
      </c>
      <c r="B481" t="s">
        <v>4083</v>
      </c>
      <c r="C481" s="90" t="s">
        <v>4084</v>
      </c>
      <c r="D481" t="s">
        <v>5562</v>
      </c>
      <c r="E481" s="101" t="s">
        <v>5972</v>
      </c>
      <c r="F481" t="str" cm="1">
        <f t="array" aca="1" ref="F481" ca="1">INDIRECT("'" &amp; A481 &amp; "'!" &amp; B481)</f>
        <v>v84</v>
      </c>
      <c r="G481" cm="1">
        <f t="array" aca="1" ref="G481" ca="1">INDIRECT("'" &amp; A481 &amp; "'!" &amp; ADDRESS(1, COLUMN(INDIRECT("'" &amp; A481 &amp; "'!" &amp; B481))))</f>
        <v>2013</v>
      </c>
      <c r="H481" t="e">
        <f ca="1">VLOOKUP($G481, survey_codes_dict!A:C, 2, FALSE)</f>
        <v>#N/A</v>
      </c>
      <c r="I481" s="102" t="e">
        <f ca="1">VLOOKUP($G481, survey_codes_dict!A:D, 4, FALSE)</f>
        <v>#N/A</v>
      </c>
      <c r="J481" s="102" t="e">
        <f t="shared" ca="1" si="14"/>
        <v>#N/A</v>
      </c>
      <c r="K481" s="102" t="e">
        <f t="shared" ca="1" si="15"/>
        <v>#N/A</v>
      </c>
      <c r="L481" s="102"/>
      <c r="M481" s="102"/>
      <c r="N481" s="102"/>
      <c r="O481" s="102"/>
      <c r="P481" s="102"/>
      <c r="Q481" s="102"/>
      <c r="R481" s="102"/>
      <c r="S481" s="101"/>
    </row>
    <row r="482" spans="1:19" ht="86.4" x14ac:dyDescent="0.3">
      <c r="A482" t="s">
        <v>4058</v>
      </c>
      <c r="B482" t="s">
        <v>4085</v>
      </c>
      <c r="C482" s="90" t="s">
        <v>4086</v>
      </c>
      <c r="D482" t="s">
        <v>5562</v>
      </c>
      <c r="E482" s="101" t="s">
        <v>5973</v>
      </c>
      <c r="F482" t="str" cm="1">
        <f t="array" aca="1" ref="F482" ca="1">INDIRECT("'" &amp; A482 &amp; "'!" &amp; B482)</f>
        <v>v123</v>
      </c>
      <c r="G482" cm="1">
        <f t="array" aca="1" ref="G482" ca="1">INDIRECT("'" &amp; A482 &amp; "'!" &amp; ADDRESS(1, COLUMN(INDIRECT("'" &amp; A482 &amp; "'!" &amp; B482))))</f>
        <v>2009</v>
      </c>
      <c r="H482" t="e">
        <f ca="1">VLOOKUP($G482, survey_codes_dict!A:C, 2, FALSE)</f>
        <v>#N/A</v>
      </c>
      <c r="I482" s="102" t="e">
        <f ca="1">VLOOKUP($G482, survey_codes_dict!A:D, 4, FALSE)</f>
        <v>#N/A</v>
      </c>
      <c r="J482" s="102" t="e">
        <f t="shared" ca="1" si="14"/>
        <v>#N/A</v>
      </c>
      <c r="K482" s="102" t="e">
        <f t="shared" ca="1" si="15"/>
        <v>#N/A</v>
      </c>
      <c r="L482" s="102"/>
      <c r="M482" s="102"/>
      <c r="N482" s="102"/>
      <c r="O482" s="102"/>
      <c r="P482" s="102"/>
      <c r="Q482" s="102"/>
      <c r="R482" s="102"/>
      <c r="S482" s="101"/>
    </row>
    <row r="483" spans="1:19" ht="86.4" x14ac:dyDescent="0.3">
      <c r="A483" t="s">
        <v>4058</v>
      </c>
      <c r="B483" t="s">
        <v>4087</v>
      </c>
      <c r="C483" s="90" t="s">
        <v>4088</v>
      </c>
      <c r="D483" t="s">
        <v>5562</v>
      </c>
      <c r="E483" s="101" t="s">
        <v>5974</v>
      </c>
      <c r="F483" t="str" cm="1">
        <f t="array" aca="1" ref="F483" ca="1">INDIRECT("'" &amp; A483 &amp; "'!" &amp; B483)</f>
        <v>b51</v>
      </c>
      <c r="G483" cm="1">
        <f t="array" aca="1" ref="G483" ca="1">INDIRECT("'" &amp; A483 &amp; "'!" &amp; ADDRESS(1, COLUMN(INDIRECT("'" &amp; A483 &amp; "'!" &amp; B483))))</f>
        <v>2006</v>
      </c>
      <c r="H483" t="str">
        <f ca="1">VLOOKUP($G483, survey_codes_dict!A:C, 2, FALSE)</f>
        <v>2006</v>
      </c>
      <c r="I483" s="102" t="str">
        <f ca="1">VLOOKUP($G483, survey_codes_dict!A:D, 4, FALSE)</f>
        <v>2003</v>
      </c>
      <c r="J483" s="102" t="str">
        <f t="shared" ca="1" si="14"/>
        <v>2006__b51</v>
      </c>
      <c r="K483" s="102" t="str">
        <f t="shared" ca="1" si="15"/>
        <v>2003__b51</v>
      </c>
      <c r="L483" s="102"/>
      <c r="M483" s="102"/>
      <c r="N483" s="102"/>
      <c r="O483" s="102"/>
      <c r="P483" s="102"/>
      <c r="Q483" s="102"/>
      <c r="R483" s="102"/>
      <c r="S483" s="101"/>
    </row>
    <row r="484" spans="1:19" ht="72" x14ac:dyDescent="0.3">
      <c r="A484" t="s">
        <v>4058</v>
      </c>
      <c r="B484" t="s">
        <v>4089</v>
      </c>
      <c r="C484" s="90" t="s">
        <v>4090</v>
      </c>
      <c r="D484" t="s">
        <v>5562</v>
      </c>
      <c r="E484" s="101" t="s">
        <v>5975</v>
      </c>
      <c r="F484" t="str" cm="1">
        <f t="array" aca="1" ref="F484" ca="1">INDIRECT("'" &amp; A484 &amp; "'!" &amp; B484)</f>
        <v>a85</v>
      </c>
      <c r="G484" cm="1">
        <f t="array" aca="1" ref="G484" ca="1">INDIRECT("'" &amp; A484 &amp; "'!" &amp; ADDRESS(1, COLUMN(INDIRECT("'" &amp; A484 &amp; "'!" &amp; B484))))</f>
        <v>2003</v>
      </c>
      <c r="H484" t="str">
        <f ca="1">VLOOKUP($G484, survey_codes_dict!A:C, 2, FALSE)</f>
        <v>2003</v>
      </c>
      <c r="I484" s="102" t="str">
        <f ca="1">VLOOKUP($G484, survey_codes_dict!A:D, 4, FALSE)</f>
        <v>2001</v>
      </c>
      <c r="J484" s="102" t="str">
        <f t="shared" ca="1" si="14"/>
        <v>2003__a85</v>
      </c>
      <c r="K484" s="102" t="str">
        <f t="shared" ca="1" si="15"/>
        <v>2001__a85</v>
      </c>
      <c r="L484" s="102"/>
      <c r="M484" s="102"/>
      <c r="N484" s="102"/>
      <c r="O484" s="102"/>
      <c r="P484" s="102"/>
      <c r="Q484" s="102"/>
      <c r="R484" s="102"/>
      <c r="S484" s="101"/>
    </row>
    <row r="485" spans="1:19" ht="86.4" x14ac:dyDescent="0.3">
      <c r="A485" t="s">
        <v>4058</v>
      </c>
      <c r="B485" t="s">
        <v>4091</v>
      </c>
      <c r="C485" s="90" t="s">
        <v>4092</v>
      </c>
      <c r="D485" t="s">
        <v>5562</v>
      </c>
      <c r="E485" s="101" t="s">
        <v>5976</v>
      </c>
      <c r="F485" t="str" cm="1">
        <f t="array" aca="1" ref="F485" ca="1">INDIRECT("'" &amp; A485 &amp; "'!" &amp; B485)</f>
        <v>i70</v>
      </c>
      <c r="G485" cm="1">
        <f t="array" aca="1" ref="G485" ca="1">INDIRECT("'" &amp; A485 &amp; "'!" &amp; ADDRESS(1, COLUMN(INDIRECT("'" &amp; A485 &amp; "'!" &amp; B485))))</f>
        <v>1999</v>
      </c>
      <c r="H485" t="str">
        <f ca="1">VLOOKUP($G485, survey_codes_dict!A:C, 2, FALSE)</f>
        <v>1999_1</v>
      </c>
      <c r="I485" s="102" t="str">
        <f ca="1">VLOOKUP($G485, survey_codes_dict!A:D, 4, FALSE)</f>
        <v>1996_Jews</v>
      </c>
      <c r="J485" s="102" t="str">
        <f t="shared" ca="1" si="14"/>
        <v>1999_1__i70</v>
      </c>
      <c r="K485" s="102" t="str">
        <f t="shared" ca="1" si="15"/>
        <v>1996_Jews__i70</v>
      </c>
      <c r="L485" s="102"/>
      <c r="M485" s="102"/>
      <c r="N485" s="102"/>
      <c r="O485" s="102"/>
      <c r="P485" s="102"/>
      <c r="Q485" s="102"/>
      <c r="R485" s="102"/>
      <c r="S485" s="101"/>
    </row>
    <row r="486" spans="1:19" ht="72" x14ac:dyDescent="0.3">
      <c r="A486" t="s">
        <v>4058</v>
      </c>
      <c r="B486" t="s">
        <v>4093</v>
      </c>
      <c r="C486" s="90" t="s">
        <v>4094</v>
      </c>
      <c r="D486" t="s">
        <v>5562</v>
      </c>
      <c r="E486" s="101" t="s">
        <v>5977</v>
      </c>
      <c r="F486" t="str" cm="1">
        <f t="array" aca="1" ref="F486" ca="1">INDIRECT("'" &amp; A486 &amp; "'!" &amp; B486)</f>
        <v>cc64</v>
      </c>
      <c r="G486" cm="1">
        <f t="array" aca="1" ref="G486" ca="1">INDIRECT("'" &amp; A486 &amp; "'!" &amp; ADDRESS(1, COLUMN(INDIRECT("'" &amp; A486 &amp; "'!" &amp; B486))))</f>
        <v>1996</v>
      </c>
      <c r="H486" t="str">
        <f ca="1">VLOOKUP($G486, survey_codes_dict!A:C, 2, FALSE)</f>
        <v>1996_Jews</v>
      </c>
      <c r="I486" s="102" t="str">
        <f ca="1">VLOOKUP($G486, survey_codes_dict!A:D, 4, FALSE)</f>
        <v>1992</v>
      </c>
      <c r="J486" s="102" t="str">
        <f t="shared" ca="1" si="14"/>
        <v>1996_Jews__cc64</v>
      </c>
      <c r="K486" s="102" t="str">
        <f t="shared" ca="1" si="15"/>
        <v>1992__cc64</v>
      </c>
      <c r="L486" s="102"/>
      <c r="M486" s="102"/>
      <c r="N486" s="102"/>
      <c r="O486" s="102"/>
      <c r="P486" s="102"/>
      <c r="Q486" s="102"/>
      <c r="R486" s="102"/>
      <c r="S486" s="101"/>
    </row>
    <row r="487" spans="1:19" ht="72" x14ac:dyDescent="0.3">
      <c r="A487" t="s">
        <v>4058</v>
      </c>
      <c r="B487" t="s">
        <v>4095</v>
      </c>
      <c r="C487" s="90" t="s">
        <v>4096</v>
      </c>
      <c r="D487" t="s">
        <v>5562</v>
      </c>
      <c r="E487" s="101" t="s">
        <v>5978</v>
      </c>
      <c r="F487" t="str" cm="1">
        <f t="array" aca="1" ref="F487" ca="1">INDIRECT("'" &amp; A487 &amp; "'!" &amp; B487)</f>
        <v>a112</v>
      </c>
      <c r="G487" cm="1">
        <f t="array" aca="1" ref="G487" ca="1">INDIRECT("'" &amp; A487 &amp; "'!" &amp; ADDRESS(1, COLUMN(INDIRECT("'" &amp; A487 &amp; "'!" &amp; B487))))</f>
        <v>1992</v>
      </c>
      <c r="H487" t="str">
        <f ca="1">VLOOKUP($G487, survey_codes_dict!A:C, 2, FALSE)</f>
        <v>1992</v>
      </c>
      <c r="I487" s="102" t="str">
        <f ca="1">VLOOKUP($G487, survey_codes_dict!A:D, 4, FALSE)</f>
        <v>1988_N=873</v>
      </c>
      <c r="J487" s="102" t="str">
        <f t="shared" ca="1" si="14"/>
        <v>1992__a112</v>
      </c>
      <c r="K487" s="102" t="str">
        <f t="shared" ca="1" si="15"/>
        <v>1988_N=873__a112</v>
      </c>
      <c r="L487" s="102"/>
      <c r="M487" s="102"/>
      <c r="N487" s="102"/>
      <c r="O487" s="102"/>
      <c r="P487" s="102"/>
      <c r="Q487" s="102"/>
      <c r="R487" s="102"/>
      <c r="S487" s="101"/>
    </row>
    <row r="488" spans="1:19" ht="72" x14ac:dyDescent="0.3">
      <c r="A488" t="s">
        <v>4058</v>
      </c>
      <c r="B488" t="s">
        <v>4097</v>
      </c>
      <c r="C488" s="90" t="s">
        <v>4080</v>
      </c>
      <c r="D488" t="s">
        <v>5562</v>
      </c>
      <c r="E488" s="101" t="s">
        <v>5970</v>
      </c>
      <c r="F488" t="str" cm="1">
        <f t="array" aca="1" ref="F488" ca="1">INDIRECT("'" &amp; A488 &amp; "'!" &amp; B488)</f>
        <v>v71</v>
      </c>
      <c r="G488" cm="1">
        <f t="array" aca="1" ref="G488" ca="1">INDIRECT("'" &amp; A488 &amp; "'!" &amp; ADDRESS(1, COLUMN(INDIRECT("'" &amp; A488 &amp; "'!" &amp; B488))))</f>
        <v>43556</v>
      </c>
      <c r="H488" t="e">
        <f ca="1">VLOOKUP($G488, survey_codes_dict!A:C, 2, FALSE)</f>
        <v>#N/A</v>
      </c>
      <c r="I488" s="102" t="e">
        <f ca="1">VLOOKUP($G488, survey_codes_dict!A:D, 4, FALSE)</f>
        <v>#N/A</v>
      </c>
      <c r="J488" s="102" t="e">
        <f t="shared" ca="1" si="14"/>
        <v>#N/A</v>
      </c>
      <c r="K488" s="102" t="e">
        <f t="shared" ca="1" si="15"/>
        <v>#N/A</v>
      </c>
      <c r="L488" s="102"/>
      <c r="M488" s="102"/>
      <c r="N488" s="102"/>
      <c r="O488" s="102"/>
      <c r="P488" s="102"/>
      <c r="Q488" s="102"/>
      <c r="R488" s="102"/>
      <c r="S488" s="101"/>
    </row>
    <row r="489" spans="1:19" ht="72" x14ac:dyDescent="0.3">
      <c r="A489" t="s">
        <v>4058</v>
      </c>
      <c r="B489" t="s">
        <v>4098</v>
      </c>
      <c r="C489" s="90" t="s">
        <v>4082</v>
      </c>
      <c r="D489" t="s">
        <v>5562</v>
      </c>
      <c r="E489" s="101" t="s">
        <v>5971</v>
      </c>
      <c r="F489" t="str" cm="1">
        <f t="array" aca="1" ref="F489" ca="1">INDIRECT("'" &amp; A489 &amp; "'!" &amp; B489)</f>
        <v>v83</v>
      </c>
      <c r="G489" cm="1">
        <f t="array" aca="1" ref="G489" ca="1">INDIRECT("'" &amp; A489 &amp; "'!" &amp; ADDRESS(1, COLUMN(INDIRECT("'" &amp; A489 &amp; "'!" &amp; B489))))</f>
        <v>2015</v>
      </c>
      <c r="H489" t="e">
        <f ca="1">VLOOKUP($G489, survey_codes_dict!A:C, 2, FALSE)</f>
        <v>#N/A</v>
      </c>
      <c r="I489" s="102" t="e">
        <f ca="1">VLOOKUP($G489, survey_codes_dict!A:D, 4, FALSE)</f>
        <v>#N/A</v>
      </c>
      <c r="J489" s="102" t="e">
        <f t="shared" ca="1" si="14"/>
        <v>#N/A</v>
      </c>
      <c r="K489" s="102" t="e">
        <f t="shared" ca="1" si="15"/>
        <v>#N/A</v>
      </c>
      <c r="L489" s="102"/>
      <c r="M489" s="102"/>
      <c r="N489" s="102"/>
      <c r="O489" s="102"/>
      <c r="P489" s="102"/>
      <c r="Q489" s="102"/>
      <c r="R489" s="102"/>
      <c r="S489" s="101"/>
    </row>
    <row r="490" spans="1:19" ht="86.4" x14ac:dyDescent="0.3">
      <c r="A490" t="s">
        <v>4058</v>
      </c>
      <c r="B490" t="s">
        <v>4099</v>
      </c>
      <c r="C490" s="90" t="s">
        <v>4084</v>
      </c>
      <c r="D490" t="s">
        <v>5562</v>
      </c>
      <c r="E490" s="101" t="s">
        <v>5972</v>
      </c>
      <c r="F490" t="str" cm="1">
        <f t="array" aca="1" ref="F490" ca="1">INDIRECT("'" &amp; A490 &amp; "'!" &amp; B490)</f>
        <v>v86</v>
      </c>
      <c r="G490" cm="1">
        <f t="array" aca="1" ref="G490" ca="1">INDIRECT("'" &amp; A490 &amp; "'!" &amp; ADDRESS(1, COLUMN(INDIRECT("'" &amp; A490 &amp; "'!" &amp; B490))))</f>
        <v>2013</v>
      </c>
      <c r="H490" t="e">
        <f ca="1">VLOOKUP($G490, survey_codes_dict!A:C, 2, FALSE)</f>
        <v>#N/A</v>
      </c>
      <c r="I490" s="102" t="e">
        <f ca="1">VLOOKUP($G490, survey_codes_dict!A:D, 4, FALSE)</f>
        <v>#N/A</v>
      </c>
      <c r="J490" s="102" t="e">
        <f t="shared" ca="1" si="14"/>
        <v>#N/A</v>
      </c>
      <c r="K490" s="102" t="e">
        <f t="shared" ca="1" si="15"/>
        <v>#N/A</v>
      </c>
      <c r="L490" s="102"/>
      <c r="M490" s="102"/>
      <c r="N490" s="102"/>
      <c r="O490" s="102"/>
      <c r="P490" s="102"/>
      <c r="Q490" s="102"/>
      <c r="R490" s="102"/>
      <c r="S490" s="101"/>
    </row>
    <row r="491" spans="1:19" ht="72" x14ac:dyDescent="0.3">
      <c r="A491" t="s">
        <v>4058</v>
      </c>
      <c r="B491" t="s">
        <v>4100</v>
      </c>
      <c r="C491" s="90" t="s">
        <v>4080</v>
      </c>
      <c r="D491" t="s">
        <v>5562</v>
      </c>
      <c r="E491" s="101" t="s">
        <v>5970</v>
      </c>
      <c r="F491" t="str" cm="1">
        <f t="array" aca="1" ref="F491" ca="1">INDIRECT("'" &amp; A491 &amp; "'!" &amp; B491)</f>
        <v>v72</v>
      </c>
      <c r="G491" cm="1">
        <f t="array" aca="1" ref="G491" ca="1">INDIRECT("'" &amp; A491 &amp; "'!" &amp; ADDRESS(1, COLUMN(INDIRECT("'" &amp; A491 &amp; "'!" &amp; B491))))</f>
        <v>43556</v>
      </c>
      <c r="H491" t="e">
        <f ca="1">VLOOKUP($G491, survey_codes_dict!A:C, 2, FALSE)</f>
        <v>#N/A</v>
      </c>
      <c r="I491" s="102" t="e">
        <f ca="1">VLOOKUP($G491, survey_codes_dict!A:D, 4, FALSE)</f>
        <v>#N/A</v>
      </c>
      <c r="J491" s="102" t="e">
        <f t="shared" ca="1" si="14"/>
        <v>#N/A</v>
      </c>
      <c r="K491" s="102" t="e">
        <f t="shared" ca="1" si="15"/>
        <v>#N/A</v>
      </c>
      <c r="L491" s="102"/>
      <c r="M491" s="102"/>
      <c r="N491" s="102"/>
      <c r="O491" s="102"/>
      <c r="P491" s="102"/>
      <c r="Q491" s="102"/>
      <c r="R491" s="102"/>
      <c r="S491" s="101"/>
    </row>
    <row r="492" spans="1:19" ht="72" x14ac:dyDescent="0.3">
      <c r="A492" t="s">
        <v>4058</v>
      </c>
      <c r="B492" t="s">
        <v>3477</v>
      </c>
      <c r="C492" s="90" t="s">
        <v>4082</v>
      </c>
      <c r="D492" t="s">
        <v>5562</v>
      </c>
      <c r="E492" s="101" t="s">
        <v>5971</v>
      </c>
      <c r="F492" t="str" cm="1">
        <f t="array" aca="1" ref="F492" ca="1">INDIRECT("'" &amp; A492 &amp; "'!" &amp; B492)</f>
        <v>v84</v>
      </c>
      <c r="G492" cm="1">
        <f t="array" aca="1" ref="G492" ca="1">INDIRECT("'" &amp; A492 &amp; "'!" &amp; ADDRESS(1, COLUMN(INDIRECT("'" &amp; A492 &amp; "'!" &amp; B492))))</f>
        <v>2015</v>
      </c>
      <c r="H492" t="e">
        <f ca="1">VLOOKUP($G492, survey_codes_dict!A:C, 2, FALSE)</f>
        <v>#N/A</v>
      </c>
      <c r="I492" s="102" t="e">
        <f ca="1">VLOOKUP($G492, survey_codes_dict!A:D, 4, FALSE)</f>
        <v>#N/A</v>
      </c>
      <c r="J492" s="102" t="e">
        <f t="shared" ca="1" si="14"/>
        <v>#N/A</v>
      </c>
      <c r="K492" s="102" t="e">
        <f t="shared" ca="1" si="15"/>
        <v>#N/A</v>
      </c>
      <c r="L492" s="102"/>
      <c r="M492" s="102"/>
      <c r="N492" s="102"/>
      <c r="O492" s="102"/>
      <c r="P492" s="102"/>
      <c r="Q492" s="102"/>
      <c r="R492" s="102"/>
      <c r="S492" s="101"/>
    </row>
    <row r="493" spans="1:19" ht="86.4" x14ac:dyDescent="0.3">
      <c r="A493" t="s">
        <v>4058</v>
      </c>
      <c r="B493" t="s">
        <v>4101</v>
      </c>
      <c r="C493" s="90" t="s">
        <v>4084</v>
      </c>
      <c r="D493" t="s">
        <v>5562</v>
      </c>
      <c r="E493" s="101" t="s">
        <v>5972</v>
      </c>
      <c r="F493" t="str" cm="1">
        <f t="array" aca="1" ref="F493" ca="1">INDIRECT("'" &amp; A493 &amp; "'!" &amp; B493)</f>
        <v>v87</v>
      </c>
      <c r="G493" cm="1">
        <f t="array" aca="1" ref="G493" ca="1">INDIRECT("'" &amp; A493 &amp; "'!" &amp; ADDRESS(1, COLUMN(INDIRECT("'" &amp; A493 &amp; "'!" &amp; B493))))</f>
        <v>2013</v>
      </c>
      <c r="H493" t="e">
        <f ca="1">VLOOKUP($G493, survey_codes_dict!A:C, 2, FALSE)</f>
        <v>#N/A</v>
      </c>
      <c r="I493" s="102" t="e">
        <f ca="1">VLOOKUP($G493, survey_codes_dict!A:D, 4, FALSE)</f>
        <v>#N/A</v>
      </c>
      <c r="J493" s="102" t="e">
        <f t="shared" ca="1" si="14"/>
        <v>#N/A</v>
      </c>
      <c r="K493" s="102" t="e">
        <f t="shared" ca="1" si="15"/>
        <v>#N/A</v>
      </c>
      <c r="L493" s="102"/>
      <c r="M493" s="102"/>
      <c r="N493" s="102"/>
      <c r="O493" s="102"/>
      <c r="P493" s="102"/>
      <c r="Q493" s="102"/>
      <c r="R493" s="102"/>
      <c r="S493" s="101"/>
    </row>
    <row r="494" spans="1:19" ht="72" x14ac:dyDescent="0.3">
      <c r="A494" t="s">
        <v>4058</v>
      </c>
      <c r="B494" t="s">
        <v>4102</v>
      </c>
      <c r="C494" s="90" t="s">
        <v>4103</v>
      </c>
      <c r="D494" t="s">
        <v>5562</v>
      </c>
      <c r="E494" s="101" t="s">
        <v>5979</v>
      </c>
      <c r="F494" t="str" cm="1">
        <f t="array" aca="1" ref="F494" ca="1">INDIRECT("'" &amp; A494 &amp; "'!" &amp; B494)</f>
        <v>a77</v>
      </c>
      <c r="G494" cm="1">
        <f t="array" aca="1" ref="G494" ca="1">INDIRECT("'" &amp; A494 &amp; "'!" &amp; ADDRESS(1, COLUMN(INDIRECT("'" &amp; A494 &amp; "'!" &amp; B494))))</f>
        <v>2001</v>
      </c>
      <c r="H494" t="str">
        <f ca="1">VLOOKUP($G494, survey_codes_dict!A:C, 2, FALSE)</f>
        <v>2001</v>
      </c>
      <c r="I494" s="102" t="str">
        <f ca="1">VLOOKUP($G494, survey_codes_dict!A:D, 4, FALSE)</f>
        <v>1999_1</v>
      </c>
      <c r="J494" s="102" t="str">
        <f t="shared" ca="1" si="14"/>
        <v>2001__a77</v>
      </c>
      <c r="K494" s="102" t="str">
        <f t="shared" ca="1" si="15"/>
        <v>1999_1__a77</v>
      </c>
      <c r="L494" s="102"/>
      <c r="M494" s="102"/>
      <c r="N494" s="102"/>
      <c r="O494" s="102"/>
      <c r="P494" s="102"/>
      <c r="Q494" s="102"/>
      <c r="R494" s="102"/>
      <c r="S494" s="101"/>
    </row>
    <row r="495" spans="1:19" ht="43.2" x14ac:dyDescent="0.3">
      <c r="A495" t="s">
        <v>4058</v>
      </c>
      <c r="B495" t="s">
        <v>4104</v>
      </c>
      <c r="C495" s="90" t="s">
        <v>4105</v>
      </c>
      <c r="D495" t="s">
        <v>5562</v>
      </c>
      <c r="E495" s="101" t="s">
        <v>5980</v>
      </c>
      <c r="F495" t="str" cm="1">
        <f t="array" aca="1" ref="F495" ca="1">INDIRECT("'" &amp; A495 &amp; "'!" &amp; B495)</f>
        <v>v47</v>
      </c>
      <c r="G495" cm="1">
        <f t="array" aca="1" ref="G495" ca="1">INDIRECT("'" &amp; A495 &amp; "'!" &amp; ADDRESS(1, COLUMN(INDIRECT("'" &amp; A495 &amp; "'!" &amp; B495))))</f>
        <v>1984</v>
      </c>
      <c r="H495" t="str">
        <f ca="1">VLOOKUP($G495, survey_codes_dict!A:C, 2, FALSE)</f>
        <v>1984</v>
      </c>
      <c r="I495" s="102" t="str">
        <f ca="1">VLOOKUP($G495, survey_codes_dict!A:D, 4, FALSE)</f>
        <v>1981_3</v>
      </c>
      <c r="J495" s="102" t="str">
        <f t="shared" ca="1" si="14"/>
        <v>1984__v47</v>
      </c>
      <c r="K495" s="102" t="str">
        <f t="shared" ca="1" si="15"/>
        <v>1981_3__v47</v>
      </c>
      <c r="L495" s="102"/>
      <c r="M495" s="102"/>
      <c r="N495" s="102"/>
      <c r="O495" s="102"/>
      <c r="P495" s="102"/>
      <c r="Q495" s="102"/>
      <c r="R495" s="102"/>
      <c r="S495" s="101"/>
    </row>
    <row r="496" spans="1:19" ht="43.2" x14ac:dyDescent="0.3">
      <c r="A496" t="s">
        <v>4058</v>
      </c>
      <c r="B496" t="s">
        <v>4106</v>
      </c>
      <c r="C496" s="90" t="s">
        <v>4107</v>
      </c>
      <c r="D496" t="s">
        <v>5562</v>
      </c>
      <c r="E496" s="101" t="s">
        <v>5981</v>
      </c>
      <c r="F496" t="str" cm="1">
        <f t="array" aca="1" ref="F496" ca="1">INDIRECT("'" &amp; A496 &amp; "'!" &amp; B496)</f>
        <v>v48</v>
      </c>
      <c r="G496" cm="1">
        <f t="array" aca="1" ref="G496" ca="1">INDIRECT("'" &amp; A496 &amp; "'!" &amp; ADDRESS(1, COLUMN(INDIRECT("'" &amp; A496 &amp; "'!" &amp; B496))))</f>
        <v>1984</v>
      </c>
      <c r="H496" t="str">
        <f ca="1">VLOOKUP($G496, survey_codes_dict!A:C, 2, FALSE)</f>
        <v>1984</v>
      </c>
      <c r="I496" s="102" t="str">
        <f ca="1">VLOOKUP($G496, survey_codes_dict!A:D, 4, FALSE)</f>
        <v>1981_3</v>
      </c>
      <c r="J496" s="102" t="str">
        <f t="shared" ca="1" si="14"/>
        <v>1984__v48</v>
      </c>
      <c r="K496" s="102" t="str">
        <f t="shared" ca="1" si="15"/>
        <v>1981_3__v48</v>
      </c>
      <c r="L496" s="102"/>
      <c r="M496" s="102"/>
      <c r="N496" s="102"/>
      <c r="O496" s="102"/>
      <c r="P496" s="102"/>
      <c r="Q496" s="102"/>
      <c r="R496" s="102"/>
      <c r="S496" s="101"/>
    </row>
    <row r="497" spans="1:19" ht="43.2" x14ac:dyDescent="0.3">
      <c r="A497" t="s">
        <v>4058</v>
      </c>
      <c r="B497" t="s">
        <v>4108</v>
      </c>
      <c r="C497" s="90" t="s">
        <v>4107</v>
      </c>
      <c r="D497" t="s">
        <v>5562</v>
      </c>
      <c r="E497" s="101" t="s">
        <v>5981</v>
      </c>
      <c r="F497" t="str" cm="1">
        <f t="array" aca="1" ref="F497" ca="1">INDIRECT("'" &amp; A497 &amp; "'!" &amp; B497)</f>
        <v>v22</v>
      </c>
      <c r="G497" t="str" cm="1">
        <f t="array" aca="1" ref="G497" ca="1">INDIRECT("'" &amp; A497 &amp; "'!" &amp; ADDRESS(1, COLUMN(INDIRECT("'" &amp; A497 &amp; "'!" &amp; B497))))</f>
        <v>1973 - 1</v>
      </c>
      <c r="H497" t="str">
        <f ca="1">VLOOKUP($G497, survey_codes_dict!A:C, 2, FALSE)</f>
        <v>1973_1</v>
      </c>
      <c r="I497" s="102" t="str">
        <f ca="1">VLOOKUP($G497, survey_codes_dict!A:D, 4, FALSE)</f>
        <v>1969_2</v>
      </c>
      <c r="J497" s="102" t="str">
        <f t="shared" ca="1" si="14"/>
        <v>1973_1__v22</v>
      </c>
      <c r="K497" s="102" t="str">
        <f t="shared" ca="1" si="15"/>
        <v>1969_2__v22</v>
      </c>
      <c r="L497" s="102"/>
      <c r="M497" s="102"/>
      <c r="N497" s="102"/>
      <c r="O497" s="102"/>
      <c r="P497" s="102"/>
      <c r="Q497" s="102"/>
      <c r="R497" s="102"/>
      <c r="S497" s="101"/>
    </row>
    <row r="498" spans="1:19" ht="43.2" x14ac:dyDescent="0.3">
      <c r="A498" t="s">
        <v>4058</v>
      </c>
      <c r="B498" t="s">
        <v>4109</v>
      </c>
      <c r="C498" s="90" t="s">
        <v>4110</v>
      </c>
      <c r="D498" t="s">
        <v>5562</v>
      </c>
      <c r="E498" s="101" t="s">
        <v>5982</v>
      </c>
      <c r="F498" t="str" cm="1">
        <f t="array" aca="1" ref="F498" ca="1">INDIRECT("'" &amp; A498 &amp; "'!" &amp; B498)</f>
        <v>v49</v>
      </c>
      <c r="G498" cm="1">
        <f t="array" aca="1" ref="G498" ca="1">INDIRECT("'" &amp; A498 &amp; "'!" &amp; ADDRESS(1, COLUMN(INDIRECT("'" &amp; A498 &amp; "'!" &amp; B498))))</f>
        <v>1984</v>
      </c>
      <c r="H498" t="str">
        <f ca="1">VLOOKUP($G498, survey_codes_dict!A:C, 2, FALSE)</f>
        <v>1984</v>
      </c>
      <c r="I498" s="102" t="str">
        <f ca="1">VLOOKUP($G498, survey_codes_dict!A:D, 4, FALSE)</f>
        <v>1981_3</v>
      </c>
      <c r="J498" s="102" t="str">
        <f t="shared" ca="1" si="14"/>
        <v>1984__v49</v>
      </c>
      <c r="K498" s="102" t="str">
        <f t="shared" ca="1" si="15"/>
        <v>1981_3__v49</v>
      </c>
      <c r="L498" s="102"/>
      <c r="M498" s="102"/>
      <c r="N498" s="102"/>
      <c r="O498" s="102"/>
      <c r="P498" s="102"/>
      <c r="Q498" s="102"/>
      <c r="R498" s="102"/>
      <c r="S498" s="101"/>
    </row>
    <row r="499" spans="1:19" ht="43.2" x14ac:dyDescent="0.3">
      <c r="A499" t="s">
        <v>4058</v>
      </c>
      <c r="B499" t="s">
        <v>4111</v>
      </c>
      <c r="C499" s="90" t="s">
        <v>4110</v>
      </c>
      <c r="D499" t="s">
        <v>5562</v>
      </c>
      <c r="E499" s="101" t="s">
        <v>5982</v>
      </c>
      <c r="F499" t="str" cm="1">
        <f t="array" aca="1" ref="F499" ca="1">INDIRECT("'" &amp; A499 &amp; "'!" &amp; B499)</f>
        <v>v23</v>
      </c>
      <c r="G499" t="str" cm="1">
        <f t="array" aca="1" ref="G499" ca="1">INDIRECT("'" &amp; A499 &amp; "'!" &amp; ADDRESS(1, COLUMN(INDIRECT("'" &amp; A499 &amp; "'!" &amp; B499))))</f>
        <v>1973 - 1</v>
      </c>
      <c r="H499" t="str">
        <f ca="1">VLOOKUP($G499, survey_codes_dict!A:C, 2, FALSE)</f>
        <v>1973_1</v>
      </c>
      <c r="I499" s="102" t="str">
        <f ca="1">VLOOKUP($G499, survey_codes_dict!A:D, 4, FALSE)</f>
        <v>1969_2</v>
      </c>
      <c r="J499" s="102" t="str">
        <f t="shared" ca="1" si="14"/>
        <v>1973_1__v23</v>
      </c>
      <c r="K499" s="102" t="str">
        <f t="shared" ca="1" si="15"/>
        <v>1969_2__v23</v>
      </c>
      <c r="L499" s="102"/>
      <c r="M499" s="102"/>
      <c r="N499" s="102"/>
      <c r="O499" s="102"/>
      <c r="P499" s="102"/>
      <c r="Q499" s="102"/>
      <c r="R499" s="102"/>
      <c r="S499" s="101"/>
    </row>
    <row r="500" spans="1:19" ht="43.2" x14ac:dyDescent="0.3">
      <c r="A500" t="s">
        <v>4058</v>
      </c>
      <c r="B500" t="s">
        <v>4112</v>
      </c>
      <c r="C500" s="90" t="s">
        <v>4113</v>
      </c>
      <c r="D500" t="s">
        <v>5562</v>
      </c>
      <c r="E500" s="101" t="s">
        <v>5983</v>
      </c>
      <c r="F500" t="str" cm="1">
        <f t="array" aca="1" ref="F500" ca="1">INDIRECT("'" &amp; A500 &amp; "'!" &amp; B500)</f>
        <v>v50</v>
      </c>
      <c r="G500" cm="1">
        <f t="array" aca="1" ref="G500" ca="1">INDIRECT("'" &amp; A500 &amp; "'!" &amp; ADDRESS(1, COLUMN(INDIRECT("'" &amp; A500 &amp; "'!" &amp; B500))))</f>
        <v>1984</v>
      </c>
      <c r="H500" t="str">
        <f ca="1">VLOOKUP($G500, survey_codes_dict!A:C, 2, FALSE)</f>
        <v>1984</v>
      </c>
      <c r="I500" s="102" t="str">
        <f ca="1">VLOOKUP($G500, survey_codes_dict!A:D, 4, FALSE)</f>
        <v>1981_3</v>
      </c>
      <c r="J500" s="102" t="str">
        <f t="shared" ca="1" si="14"/>
        <v>1984__v50</v>
      </c>
      <c r="K500" s="102" t="str">
        <f t="shared" ca="1" si="15"/>
        <v>1981_3__v50</v>
      </c>
      <c r="L500" s="102"/>
      <c r="M500" s="102"/>
      <c r="N500" s="102"/>
      <c r="O500" s="102"/>
      <c r="P500" s="102"/>
      <c r="Q500" s="102"/>
      <c r="R500" s="102"/>
      <c r="S500" s="101"/>
    </row>
    <row r="501" spans="1:19" ht="43.2" x14ac:dyDescent="0.3">
      <c r="A501" t="s">
        <v>4058</v>
      </c>
      <c r="B501" t="s">
        <v>4114</v>
      </c>
      <c r="C501" s="90" t="s">
        <v>4113</v>
      </c>
      <c r="D501" t="s">
        <v>5562</v>
      </c>
      <c r="E501" s="101" t="s">
        <v>5983</v>
      </c>
      <c r="F501" t="str" cm="1">
        <f t="array" aca="1" ref="F501" ca="1">INDIRECT("'" &amp; A501 &amp; "'!" &amp; B501)</f>
        <v>v24</v>
      </c>
      <c r="G501" t="str" cm="1">
        <f t="array" aca="1" ref="G501" ca="1">INDIRECT("'" &amp; A501 &amp; "'!" &amp; ADDRESS(1, COLUMN(INDIRECT("'" &amp; A501 &amp; "'!" &amp; B501))))</f>
        <v>1973 - 1</v>
      </c>
      <c r="H501" t="str">
        <f ca="1">VLOOKUP($G501, survey_codes_dict!A:C, 2, FALSE)</f>
        <v>1973_1</v>
      </c>
      <c r="I501" s="102" t="str">
        <f ca="1">VLOOKUP($G501, survey_codes_dict!A:D, 4, FALSE)</f>
        <v>1969_2</v>
      </c>
      <c r="J501" s="102" t="str">
        <f t="shared" ca="1" si="14"/>
        <v>1973_1__v24</v>
      </c>
      <c r="K501" s="102" t="str">
        <f t="shared" ca="1" si="15"/>
        <v>1969_2__v24</v>
      </c>
      <c r="L501" s="102"/>
      <c r="M501" s="102"/>
      <c r="N501" s="102"/>
      <c r="O501" s="102"/>
      <c r="P501" s="102"/>
      <c r="Q501" s="102"/>
      <c r="R501" s="102"/>
      <c r="S501" s="101"/>
    </row>
    <row r="502" spans="1:19" ht="43.2" x14ac:dyDescent="0.3">
      <c r="A502" t="s">
        <v>4058</v>
      </c>
      <c r="B502" t="s">
        <v>4115</v>
      </c>
      <c r="C502" s="90" t="s">
        <v>4116</v>
      </c>
      <c r="D502" t="s">
        <v>5562</v>
      </c>
      <c r="E502" s="101" t="s">
        <v>5984</v>
      </c>
      <c r="F502" t="str" cm="1">
        <f t="array" aca="1" ref="F502" ca="1">INDIRECT("'" &amp; A502 &amp; "'!" &amp; B502)</f>
        <v>v51</v>
      </c>
      <c r="G502" cm="1">
        <f t="array" aca="1" ref="G502" ca="1">INDIRECT("'" &amp; A502 &amp; "'!" &amp; ADDRESS(1, COLUMN(INDIRECT("'" &amp; A502 &amp; "'!" &amp; B502))))</f>
        <v>1984</v>
      </c>
      <c r="H502" t="str">
        <f ca="1">VLOOKUP($G502, survey_codes_dict!A:C, 2, FALSE)</f>
        <v>1984</v>
      </c>
      <c r="I502" s="102" t="str">
        <f ca="1">VLOOKUP($G502, survey_codes_dict!A:D, 4, FALSE)</f>
        <v>1981_3</v>
      </c>
      <c r="J502" s="102" t="str">
        <f t="shared" ca="1" si="14"/>
        <v>1984__v51</v>
      </c>
      <c r="K502" s="102" t="str">
        <f t="shared" ca="1" si="15"/>
        <v>1981_3__v51</v>
      </c>
      <c r="L502" s="102"/>
      <c r="M502" s="102"/>
      <c r="N502" s="102"/>
      <c r="O502" s="102"/>
      <c r="P502" s="102"/>
      <c r="Q502" s="102"/>
      <c r="R502" s="102"/>
      <c r="S502" s="101"/>
    </row>
    <row r="503" spans="1:19" ht="43.2" x14ac:dyDescent="0.3">
      <c r="A503" t="s">
        <v>4058</v>
      </c>
      <c r="B503" t="s">
        <v>4117</v>
      </c>
      <c r="C503" s="90" t="s">
        <v>4118</v>
      </c>
      <c r="D503" t="s">
        <v>5562</v>
      </c>
      <c r="E503" s="101" t="s">
        <v>5985</v>
      </c>
      <c r="F503" t="str" cm="1">
        <f t="array" aca="1" ref="F503" ca="1">INDIRECT("'" &amp; A503 &amp; "'!" &amp; B503)</f>
        <v>v25</v>
      </c>
      <c r="G503" t="str" cm="1">
        <f t="array" aca="1" ref="G503" ca="1">INDIRECT("'" &amp; A503 &amp; "'!" &amp; ADDRESS(1, COLUMN(INDIRECT("'" &amp; A503 &amp; "'!" &amp; B503))))</f>
        <v>1973 - 1</v>
      </c>
      <c r="H503" t="str">
        <f ca="1">VLOOKUP($G503, survey_codes_dict!A:C, 2, FALSE)</f>
        <v>1973_1</v>
      </c>
      <c r="I503" s="102" t="str">
        <f ca="1">VLOOKUP($G503, survey_codes_dict!A:D, 4, FALSE)</f>
        <v>1969_2</v>
      </c>
      <c r="J503" s="102" t="str">
        <f t="shared" ca="1" si="14"/>
        <v>1973_1__v25</v>
      </c>
      <c r="K503" s="102" t="str">
        <f t="shared" ca="1" si="15"/>
        <v>1969_2__v25</v>
      </c>
      <c r="L503" s="102"/>
      <c r="M503" s="102"/>
      <c r="N503" s="102"/>
      <c r="O503" s="102"/>
      <c r="P503" s="102"/>
      <c r="Q503" s="102"/>
      <c r="R503" s="102"/>
      <c r="S503" s="101"/>
    </row>
    <row r="504" spans="1:19" ht="43.2" x14ac:dyDescent="0.3">
      <c r="A504" t="s">
        <v>4058</v>
      </c>
      <c r="B504" t="s">
        <v>4119</v>
      </c>
      <c r="C504" s="90" t="s">
        <v>4120</v>
      </c>
      <c r="D504" t="s">
        <v>5562</v>
      </c>
      <c r="E504" s="101" t="s">
        <v>5986</v>
      </c>
      <c r="F504" t="str" cm="1">
        <f t="array" aca="1" ref="F504" ca="1">INDIRECT("'" &amp; A504 &amp; "'!" &amp; B504)</f>
        <v>v52</v>
      </c>
      <c r="G504" cm="1">
        <f t="array" aca="1" ref="G504" ca="1">INDIRECT("'" &amp; A504 &amp; "'!" &amp; ADDRESS(1, COLUMN(INDIRECT("'" &amp; A504 &amp; "'!" &amp; B504))))</f>
        <v>1984</v>
      </c>
      <c r="H504" t="str">
        <f ca="1">VLOOKUP($G504, survey_codes_dict!A:C, 2, FALSE)</f>
        <v>1984</v>
      </c>
      <c r="I504" s="102" t="str">
        <f ca="1">VLOOKUP($G504, survey_codes_dict!A:D, 4, FALSE)</f>
        <v>1981_3</v>
      </c>
      <c r="J504" s="102" t="str">
        <f t="shared" ca="1" si="14"/>
        <v>1984__v52</v>
      </c>
      <c r="K504" s="102" t="str">
        <f t="shared" ca="1" si="15"/>
        <v>1981_3__v52</v>
      </c>
      <c r="L504" s="102"/>
      <c r="M504" s="102"/>
      <c r="N504" s="102"/>
      <c r="O504" s="102"/>
      <c r="P504" s="102"/>
      <c r="Q504" s="102"/>
      <c r="R504" s="102"/>
      <c r="S504" s="101"/>
    </row>
    <row r="505" spans="1:19" ht="43.2" x14ac:dyDescent="0.3">
      <c r="A505" t="s">
        <v>4058</v>
      </c>
      <c r="B505" t="s">
        <v>4121</v>
      </c>
      <c r="C505" s="90" t="s">
        <v>4122</v>
      </c>
      <c r="D505" t="s">
        <v>5562</v>
      </c>
      <c r="E505" s="101" t="s">
        <v>5987</v>
      </c>
      <c r="F505" t="str" cm="1">
        <f t="array" aca="1" ref="F505" ca="1">INDIRECT("'" &amp; A505 &amp; "'!" &amp; B505)</f>
        <v>v53</v>
      </c>
      <c r="G505" cm="1">
        <f t="array" aca="1" ref="G505" ca="1">INDIRECT("'" &amp; A505 &amp; "'!" &amp; ADDRESS(1, COLUMN(INDIRECT("'" &amp; A505 &amp; "'!" &amp; B505))))</f>
        <v>1984</v>
      </c>
      <c r="H505" t="str">
        <f ca="1">VLOOKUP($G505, survey_codes_dict!A:C, 2, FALSE)</f>
        <v>1984</v>
      </c>
      <c r="I505" s="102" t="str">
        <f ca="1">VLOOKUP($G505, survey_codes_dict!A:D, 4, FALSE)</f>
        <v>1981_3</v>
      </c>
      <c r="J505" s="102" t="str">
        <f t="shared" ca="1" si="14"/>
        <v>1984__v53</v>
      </c>
      <c r="K505" s="102" t="str">
        <f t="shared" ca="1" si="15"/>
        <v>1981_3__v53</v>
      </c>
      <c r="L505" s="102"/>
      <c r="M505" s="102"/>
      <c r="N505" s="102"/>
      <c r="O505" s="102"/>
      <c r="P505" s="102"/>
      <c r="Q505" s="102"/>
      <c r="R505" s="102"/>
      <c r="S505" s="101"/>
    </row>
    <row r="506" spans="1:19" ht="43.2" x14ac:dyDescent="0.3">
      <c r="A506" t="s">
        <v>4058</v>
      </c>
      <c r="B506" t="s">
        <v>4123</v>
      </c>
      <c r="C506" s="90" t="s">
        <v>4124</v>
      </c>
      <c r="D506" t="s">
        <v>5562</v>
      </c>
      <c r="E506" s="101" t="s">
        <v>5988</v>
      </c>
      <c r="F506" t="str" cm="1">
        <f t="array" aca="1" ref="F506" ca="1">INDIRECT("'" &amp; A506 &amp; "'!" &amp; B506)</f>
        <v>v54</v>
      </c>
      <c r="G506" cm="1">
        <f t="array" aca="1" ref="G506" ca="1">INDIRECT("'" &amp; A506 &amp; "'!" &amp; ADDRESS(1, COLUMN(INDIRECT("'" &amp; A506 &amp; "'!" &amp; B506))))</f>
        <v>1984</v>
      </c>
      <c r="H506" t="str">
        <f ca="1">VLOOKUP($G506, survey_codes_dict!A:C, 2, FALSE)</f>
        <v>1984</v>
      </c>
      <c r="I506" s="102" t="str">
        <f ca="1">VLOOKUP($G506, survey_codes_dict!A:D, 4, FALSE)</f>
        <v>1981_3</v>
      </c>
      <c r="J506" s="102" t="str">
        <f t="shared" ca="1" si="14"/>
        <v>1984__v54</v>
      </c>
      <c r="K506" s="102" t="str">
        <f t="shared" ca="1" si="15"/>
        <v>1981_3__v54</v>
      </c>
      <c r="L506" s="102"/>
      <c r="M506" s="102"/>
      <c r="N506" s="102"/>
      <c r="O506" s="102"/>
      <c r="P506" s="102"/>
      <c r="Q506" s="102"/>
      <c r="R506" s="102"/>
      <c r="S506" s="101"/>
    </row>
    <row r="507" spans="1:19" ht="43.2" x14ac:dyDescent="0.3">
      <c r="A507" t="s">
        <v>4058</v>
      </c>
      <c r="B507" t="s">
        <v>4125</v>
      </c>
      <c r="C507" s="90" t="s">
        <v>4124</v>
      </c>
      <c r="D507" t="s">
        <v>5562</v>
      </c>
      <c r="E507" s="101" t="s">
        <v>5988</v>
      </c>
      <c r="F507" t="str" cm="1">
        <f t="array" aca="1" ref="F507" ca="1">INDIRECT("'" &amp; A507 &amp; "'!" &amp; B507)</f>
        <v>v26</v>
      </c>
      <c r="G507" t="str" cm="1">
        <f t="array" aca="1" ref="G507" ca="1">INDIRECT("'" &amp; A507 &amp; "'!" &amp; ADDRESS(1, COLUMN(INDIRECT("'" &amp; A507 &amp; "'!" &amp; B507))))</f>
        <v>1973 - 1</v>
      </c>
      <c r="H507" t="str">
        <f ca="1">VLOOKUP($G507, survey_codes_dict!A:C, 2, FALSE)</f>
        <v>1973_1</v>
      </c>
      <c r="I507" s="102" t="str">
        <f ca="1">VLOOKUP($G507, survey_codes_dict!A:D, 4, FALSE)</f>
        <v>1969_2</v>
      </c>
      <c r="J507" s="102" t="str">
        <f t="shared" ca="1" si="14"/>
        <v>1973_1__v26</v>
      </c>
      <c r="K507" s="102" t="str">
        <f t="shared" ca="1" si="15"/>
        <v>1969_2__v26</v>
      </c>
      <c r="L507" s="102"/>
      <c r="M507" s="102"/>
      <c r="N507" s="102"/>
      <c r="O507" s="102"/>
      <c r="P507" s="102"/>
      <c r="Q507" s="102"/>
      <c r="R507" s="102"/>
      <c r="S507" s="101"/>
    </row>
    <row r="508" spans="1:19" ht="43.2" x14ac:dyDescent="0.3">
      <c r="A508" t="s">
        <v>4058</v>
      </c>
      <c r="B508" t="s">
        <v>4126</v>
      </c>
      <c r="C508" s="90" t="s">
        <v>4127</v>
      </c>
      <c r="D508" t="s">
        <v>5562</v>
      </c>
      <c r="E508" s="101" t="s">
        <v>5989</v>
      </c>
      <c r="F508" t="str" cm="1">
        <f t="array" aca="1" ref="F508" ca="1">INDIRECT("'" &amp; A508 &amp; "'!" &amp; B508)</f>
        <v>v55</v>
      </c>
      <c r="G508" cm="1">
        <f t="array" aca="1" ref="G508" ca="1">INDIRECT("'" &amp; A508 &amp; "'!" &amp; ADDRESS(1, COLUMN(INDIRECT("'" &amp; A508 &amp; "'!" &amp; B508))))</f>
        <v>1984</v>
      </c>
      <c r="H508" t="str">
        <f ca="1">VLOOKUP($G508, survey_codes_dict!A:C, 2, FALSE)</f>
        <v>1984</v>
      </c>
      <c r="I508" s="102" t="str">
        <f ca="1">VLOOKUP($G508, survey_codes_dict!A:D, 4, FALSE)</f>
        <v>1981_3</v>
      </c>
      <c r="J508" s="102" t="str">
        <f t="shared" ca="1" si="14"/>
        <v>1984__v55</v>
      </c>
      <c r="K508" s="102" t="str">
        <f t="shared" ca="1" si="15"/>
        <v>1981_3__v55</v>
      </c>
      <c r="L508" s="102"/>
      <c r="M508" s="102"/>
      <c r="N508" s="102"/>
      <c r="O508" s="102"/>
      <c r="P508" s="102"/>
      <c r="Q508" s="102"/>
      <c r="R508" s="102"/>
      <c r="S508" s="101"/>
    </row>
    <row r="509" spans="1:19" ht="43.2" x14ac:dyDescent="0.3">
      <c r="A509" t="s">
        <v>4058</v>
      </c>
      <c r="B509" t="s">
        <v>4128</v>
      </c>
      <c r="C509" s="90" t="s">
        <v>4105</v>
      </c>
      <c r="D509" t="s">
        <v>5562</v>
      </c>
      <c r="E509" s="101" t="s">
        <v>5980</v>
      </c>
      <c r="F509" t="str" cm="1">
        <f t="array" aca="1" ref="F509" ca="1">INDIRECT("'" &amp; A509 &amp; "'!" &amp; B509)</f>
        <v>v57</v>
      </c>
      <c r="G509" cm="1">
        <f t="array" aca="1" ref="G509" ca="1">INDIRECT("'" &amp; A509 &amp; "'!" &amp; ADDRESS(1, COLUMN(INDIRECT("'" &amp; A509 &amp; "'!" &amp; B509))))</f>
        <v>1984</v>
      </c>
      <c r="H509" t="str">
        <f ca="1">VLOOKUP($G509, survey_codes_dict!A:C, 2, FALSE)</f>
        <v>1984</v>
      </c>
      <c r="I509" s="102" t="str">
        <f ca="1">VLOOKUP($G509, survey_codes_dict!A:D, 4, FALSE)</f>
        <v>1981_3</v>
      </c>
      <c r="J509" s="102" t="str">
        <f t="shared" ca="1" si="14"/>
        <v>1984__v57</v>
      </c>
      <c r="K509" s="102" t="str">
        <f t="shared" ca="1" si="15"/>
        <v>1981_3__v57</v>
      </c>
      <c r="L509" s="102"/>
      <c r="M509" s="102"/>
      <c r="N509" s="102"/>
      <c r="O509" s="102"/>
      <c r="P509" s="102"/>
      <c r="Q509" s="102"/>
      <c r="R509" s="102"/>
      <c r="S509" s="101"/>
    </row>
    <row r="510" spans="1:19" ht="43.2" x14ac:dyDescent="0.3">
      <c r="A510" t="s">
        <v>4058</v>
      </c>
      <c r="B510" t="s">
        <v>4129</v>
      </c>
      <c r="C510" s="90" t="s">
        <v>4107</v>
      </c>
      <c r="D510" t="s">
        <v>5562</v>
      </c>
      <c r="E510" s="101" t="s">
        <v>5981</v>
      </c>
      <c r="F510" t="str" cm="1">
        <f t="array" aca="1" ref="F510" ca="1">INDIRECT("'" &amp; A510 &amp; "'!" &amp; B510)</f>
        <v>v58</v>
      </c>
      <c r="G510" cm="1">
        <f t="array" aca="1" ref="G510" ca="1">INDIRECT("'" &amp; A510 &amp; "'!" &amp; ADDRESS(1, COLUMN(INDIRECT("'" &amp; A510 &amp; "'!" &amp; B510))))</f>
        <v>1984</v>
      </c>
      <c r="H510" t="str">
        <f ca="1">VLOOKUP($G510, survey_codes_dict!A:C, 2, FALSE)</f>
        <v>1984</v>
      </c>
      <c r="I510" s="102" t="str">
        <f ca="1">VLOOKUP($G510, survey_codes_dict!A:D, 4, FALSE)</f>
        <v>1981_3</v>
      </c>
      <c r="J510" s="102" t="str">
        <f t="shared" ca="1" si="14"/>
        <v>1984__v58</v>
      </c>
      <c r="K510" s="102" t="str">
        <f t="shared" ca="1" si="15"/>
        <v>1981_3__v58</v>
      </c>
      <c r="L510" s="102"/>
      <c r="M510" s="102"/>
      <c r="N510" s="102"/>
      <c r="O510" s="102"/>
      <c r="P510" s="102"/>
      <c r="Q510" s="102"/>
      <c r="R510" s="102"/>
      <c r="S510" s="101"/>
    </row>
    <row r="511" spans="1:19" ht="43.2" x14ac:dyDescent="0.3">
      <c r="A511" t="s">
        <v>4058</v>
      </c>
      <c r="B511" t="s">
        <v>4130</v>
      </c>
      <c r="C511" s="90" t="s">
        <v>4110</v>
      </c>
      <c r="D511" t="s">
        <v>5562</v>
      </c>
      <c r="E511" s="101" t="s">
        <v>5982</v>
      </c>
      <c r="F511" t="str" cm="1">
        <f t="array" aca="1" ref="F511" ca="1">INDIRECT("'" &amp; A511 &amp; "'!" &amp; B511)</f>
        <v>v59</v>
      </c>
      <c r="G511" cm="1">
        <f t="array" aca="1" ref="G511" ca="1">INDIRECT("'" &amp; A511 &amp; "'!" &amp; ADDRESS(1, COLUMN(INDIRECT("'" &amp; A511 &amp; "'!" &amp; B511))))</f>
        <v>1984</v>
      </c>
      <c r="H511" t="str">
        <f ca="1">VLOOKUP($G511, survey_codes_dict!A:C, 2, FALSE)</f>
        <v>1984</v>
      </c>
      <c r="I511" s="102" t="str">
        <f ca="1">VLOOKUP($G511, survey_codes_dict!A:D, 4, FALSE)</f>
        <v>1981_3</v>
      </c>
      <c r="J511" s="102" t="str">
        <f t="shared" ca="1" si="14"/>
        <v>1984__v59</v>
      </c>
      <c r="K511" s="102" t="str">
        <f t="shared" ca="1" si="15"/>
        <v>1981_3__v59</v>
      </c>
      <c r="L511" s="102"/>
      <c r="M511" s="102"/>
      <c r="N511" s="102"/>
      <c r="O511" s="102"/>
      <c r="P511" s="102"/>
      <c r="Q511" s="102"/>
      <c r="R511" s="102"/>
      <c r="S511" s="101"/>
    </row>
    <row r="512" spans="1:19" ht="43.2" x14ac:dyDescent="0.3">
      <c r="A512" t="s">
        <v>4058</v>
      </c>
      <c r="B512" t="s">
        <v>4131</v>
      </c>
      <c r="C512" s="90" t="s">
        <v>4113</v>
      </c>
      <c r="D512" t="s">
        <v>5562</v>
      </c>
      <c r="E512" s="101" t="s">
        <v>5983</v>
      </c>
      <c r="F512" t="str" cm="1">
        <f t="array" aca="1" ref="F512" ca="1">INDIRECT("'" &amp; A512 &amp; "'!" &amp; B512)</f>
        <v>v60</v>
      </c>
      <c r="G512" cm="1">
        <f t="array" aca="1" ref="G512" ca="1">INDIRECT("'" &amp; A512 &amp; "'!" &amp; ADDRESS(1, COLUMN(INDIRECT("'" &amp; A512 &amp; "'!" &amp; B512))))</f>
        <v>1984</v>
      </c>
      <c r="H512" t="str">
        <f ca="1">VLOOKUP($G512, survey_codes_dict!A:C, 2, FALSE)</f>
        <v>1984</v>
      </c>
      <c r="I512" s="102" t="str">
        <f ca="1">VLOOKUP($G512, survey_codes_dict!A:D, 4, FALSE)</f>
        <v>1981_3</v>
      </c>
      <c r="J512" s="102" t="str">
        <f t="shared" ca="1" si="14"/>
        <v>1984__v60</v>
      </c>
      <c r="K512" s="102" t="str">
        <f t="shared" ca="1" si="15"/>
        <v>1981_3__v60</v>
      </c>
      <c r="L512" s="102"/>
      <c r="M512" s="102"/>
      <c r="N512" s="102"/>
      <c r="O512" s="102"/>
      <c r="P512" s="102"/>
      <c r="Q512" s="102"/>
      <c r="R512" s="102"/>
      <c r="S512" s="101"/>
    </row>
    <row r="513" spans="1:19" ht="43.2" x14ac:dyDescent="0.3">
      <c r="A513" t="s">
        <v>4058</v>
      </c>
      <c r="B513" t="s">
        <v>4132</v>
      </c>
      <c r="C513" s="90" t="s">
        <v>4133</v>
      </c>
      <c r="D513" t="s">
        <v>5562</v>
      </c>
      <c r="E513" s="101" t="s">
        <v>5990</v>
      </c>
      <c r="F513" t="str" cm="1">
        <f t="array" aca="1" ref="F513" ca="1">INDIRECT("'" &amp; A513 &amp; "'!" &amp; B513)</f>
        <v>v61</v>
      </c>
      <c r="G513" cm="1">
        <f t="array" aca="1" ref="G513" ca="1">INDIRECT("'" &amp; A513 &amp; "'!" &amp; ADDRESS(1, COLUMN(INDIRECT("'" &amp; A513 &amp; "'!" &amp; B513))))</f>
        <v>1984</v>
      </c>
      <c r="H513" t="str">
        <f ca="1">VLOOKUP($G513, survey_codes_dict!A:C, 2, FALSE)</f>
        <v>1984</v>
      </c>
      <c r="I513" s="102" t="str">
        <f ca="1">VLOOKUP($G513, survey_codes_dict!A:D, 4, FALSE)</f>
        <v>1981_3</v>
      </c>
      <c r="J513" s="102" t="str">
        <f t="shared" ca="1" si="14"/>
        <v>1984__v61</v>
      </c>
      <c r="K513" s="102" t="str">
        <f t="shared" ca="1" si="15"/>
        <v>1981_3__v61</v>
      </c>
      <c r="L513" s="102"/>
      <c r="M513" s="102"/>
      <c r="N513" s="102"/>
      <c r="O513" s="102"/>
      <c r="P513" s="102"/>
      <c r="Q513" s="102"/>
      <c r="R513" s="102"/>
      <c r="S513" s="101"/>
    </row>
    <row r="514" spans="1:19" ht="43.2" x14ac:dyDescent="0.3">
      <c r="A514" t="s">
        <v>4058</v>
      </c>
      <c r="B514" t="s">
        <v>4134</v>
      </c>
      <c r="C514" s="90" t="s">
        <v>4120</v>
      </c>
      <c r="D514" t="s">
        <v>5562</v>
      </c>
      <c r="E514" s="101" t="s">
        <v>5986</v>
      </c>
      <c r="F514" t="str" cm="1">
        <f t="array" aca="1" ref="F514" ca="1">INDIRECT("'" &amp; A514 &amp; "'!" &amp; B514)</f>
        <v>v62</v>
      </c>
      <c r="G514" cm="1">
        <f t="array" aca="1" ref="G514" ca="1">INDIRECT("'" &amp; A514 &amp; "'!" &amp; ADDRESS(1, COLUMN(INDIRECT("'" &amp; A514 &amp; "'!" &amp; B514))))</f>
        <v>1984</v>
      </c>
      <c r="H514" t="str">
        <f ca="1">VLOOKUP($G514, survey_codes_dict!A:C, 2, FALSE)</f>
        <v>1984</v>
      </c>
      <c r="I514" s="102" t="str">
        <f ca="1">VLOOKUP($G514, survey_codes_dict!A:D, 4, FALSE)</f>
        <v>1981_3</v>
      </c>
      <c r="J514" s="102" t="str">
        <f t="shared" ref="J514:J577" ca="1" si="16">_xlfn.CONCAT($H514, "__", F514)</f>
        <v>1984__v62</v>
      </c>
      <c r="K514" s="102" t="str">
        <f t="shared" ref="K514:K577" ca="1" si="17">_xlfn.CONCAT($I514, "__", F514)</f>
        <v>1981_3__v62</v>
      </c>
      <c r="L514" s="102"/>
      <c r="M514" s="102"/>
      <c r="N514" s="102"/>
      <c r="O514" s="102"/>
      <c r="P514" s="102"/>
      <c r="Q514" s="102"/>
      <c r="R514" s="102"/>
      <c r="S514" s="101"/>
    </row>
    <row r="515" spans="1:19" ht="43.2" x14ac:dyDescent="0.3">
      <c r="A515" t="s">
        <v>4058</v>
      </c>
      <c r="B515" t="s">
        <v>4135</v>
      </c>
      <c r="C515" s="90" t="s">
        <v>4136</v>
      </c>
      <c r="D515" t="s">
        <v>5562</v>
      </c>
      <c r="E515" s="101" t="s">
        <v>5991</v>
      </c>
      <c r="F515" t="str" cm="1">
        <f t="array" aca="1" ref="F515" ca="1">INDIRECT("'" &amp; A515 &amp; "'!" &amp; B515)</f>
        <v>v63</v>
      </c>
      <c r="G515" cm="1">
        <f t="array" aca="1" ref="G515" ca="1">INDIRECT("'" &amp; A515 &amp; "'!" &amp; ADDRESS(1, COLUMN(INDIRECT("'" &amp; A515 &amp; "'!" &amp; B515))))</f>
        <v>1984</v>
      </c>
      <c r="H515" t="str">
        <f ca="1">VLOOKUP($G515, survey_codes_dict!A:C, 2, FALSE)</f>
        <v>1984</v>
      </c>
      <c r="I515" s="102" t="str">
        <f ca="1">VLOOKUP($G515, survey_codes_dict!A:D, 4, FALSE)</f>
        <v>1981_3</v>
      </c>
      <c r="J515" s="102" t="str">
        <f t="shared" ca="1" si="16"/>
        <v>1984__v63</v>
      </c>
      <c r="K515" s="102" t="str">
        <f t="shared" ca="1" si="17"/>
        <v>1981_3__v63</v>
      </c>
      <c r="L515" s="102"/>
      <c r="M515" s="102"/>
      <c r="N515" s="102"/>
      <c r="O515" s="102"/>
      <c r="P515" s="102"/>
      <c r="Q515" s="102"/>
      <c r="R515" s="102"/>
      <c r="S515" s="101"/>
    </row>
    <row r="516" spans="1:19" ht="43.2" x14ac:dyDescent="0.3">
      <c r="A516" t="s">
        <v>4058</v>
      </c>
      <c r="B516" t="s">
        <v>4137</v>
      </c>
      <c r="C516" s="90" t="s">
        <v>4138</v>
      </c>
      <c r="D516" t="s">
        <v>5562</v>
      </c>
      <c r="E516" s="101" t="s">
        <v>5992</v>
      </c>
      <c r="F516" t="str" cm="1">
        <f t="array" aca="1" ref="F516" ca="1">INDIRECT("'" &amp; A516 &amp; "'!" &amp; B516)</f>
        <v>v64</v>
      </c>
      <c r="G516" cm="1">
        <f t="array" aca="1" ref="G516" ca="1">INDIRECT("'" &amp; A516 &amp; "'!" &amp; ADDRESS(1, COLUMN(INDIRECT("'" &amp; A516 &amp; "'!" &amp; B516))))</f>
        <v>1984</v>
      </c>
      <c r="H516" t="str">
        <f ca="1">VLOOKUP($G516, survey_codes_dict!A:C, 2, FALSE)</f>
        <v>1984</v>
      </c>
      <c r="I516" s="102" t="str">
        <f ca="1">VLOOKUP($G516, survey_codes_dict!A:D, 4, FALSE)</f>
        <v>1981_3</v>
      </c>
      <c r="J516" s="102" t="str">
        <f t="shared" ca="1" si="16"/>
        <v>1984__v64</v>
      </c>
      <c r="K516" s="102" t="str">
        <f t="shared" ca="1" si="17"/>
        <v>1981_3__v64</v>
      </c>
      <c r="L516" s="102"/>
      <c r="M516" s="102"/>
      <c r="N516" s="102"/>
      <c r="O516" s="102"/>
      <c r="P516" s="102"/>
      <c r="Q516" s="102"/>
      <c r="R516" s="102"/>
      <c r="S516" s="101"/>
    </row>
    <row r="517" spans="1:19" ht="43.2" x14ac:dyDescent="0.3">
      <c r="A517" t="s">
        <v>4058</v>
      </c>
      <c r="B517" t="s">
        <v>4139</v>
      </c>
      <c r="C517" s="90" t="s">
        <v>4124</v>
      </c>
      <c r="D517" t="s">
        <v>5562</v>
      </c>
      <c r="E517" s="101" t="s">
        <v>5988</v>
      </c>
      <c r="F517" t="str" cm="1">
        <f t="array" aca="1" ref="F517" ca="1">INDIRECT("'" &amp; A517 &amp; "'!" &amp; B517)</f>
        <v>v65</v>
      </c>
      <c r="G517" cm="1">
        <f t="array" aca="1" ref="G517" ca="1">INDIRECT("'" &amp; A517 &amp; "'!" &amp; ADDRESS(1, COLUMN(INDIRECT("'" &amp; A517 &amp; "'!" &amp; B517))))</f>
        <v>1984</v>
      </c>
      <c r="H517" t="str">
        <f ca="1">VLOOKUP($G517, survey_codes_dict!A:C, 2, FALSE)</f>
        <v>1984</v>
      </c>
      <c r="I517" s="102" t="str">
        <f ca="1">VLOOKUP($G517, survey_codes_dict!A:D, 4, FALSE)</f>
        <v>1981_3</v>
      </c>
      <c r="J517" s="102" t="str">
        <f t="shared" ca="1" si="16"/>
        <v>1984__v65</v>
      </c>
      <c r="K517" s="102" t="str">
        <f t="shared" ca="1" si="17"/>
        <v>1981_3__v65</v>
      </c>
      <c r="L517" s="102"/>
      <c r="M517" s="102"/>
      <c r="N517" s="102"/>
      <c r="O517" s="102"/>
      <c r="P517" s="102"/>
      <c r="Q517" s="102"/>
      <c r="R517" s="102"/>
      <c r="S517" s="101"/>
    </row>
    <row r="518" spans="1:19" ht="43.2" x14ac:dyDescent="0.3">
      <c r="A518" t="s">
        <v>4058</v>
      </c>
      <c r="B518" t="s">
        <v>4140</v>
      </c>
      <c r="C518" s="90" t="s">
        <v>4141</v>
      </c>
      <c r="D518" t="s">
        <v>5562</v>
      </c>
      <c r="E518" s="101" t="s">
        <v>5993</v>
      </c>
      <c r="F518" t="str" cm="1">
        <f t="array" aca="1" ref="F518" ca="1">INDIRECT("'" &amp; A518 &amp; "'!" &amp; B518)</f>
        <v>v66</v>
      </c>
      <c r="G518" cm="1">
        <f t="array" aca="1" ref="G518" ca="1">INDIRECT("'" &amp; A518 &amp; "'!" &amp; ADDRESS(1, COLUMN(INDIRECT("'" &amp; A518 &amp; "'!" &amp; B518))))</f>
        <v>1984</v>
      </c>
      <c r="H518" t="str">
        <f ca="1">VLOOKUP($G518, survey_codes_dict!A:C, 2, FALSE)</f>
        <v>1984</v>
      </c>
      <c r="I518" s="102" t="str">
        <f ca="1">VLOOKUP($G518, survey_codes_dict!A:D, 4, FALSE)</f>
        <v>1981_3</v>
      </c>
      <c r="J518" s="102" t="str">
        <f t="shared" ca="1" si="16"/>
        <v>1984__v66</v>
      </c>
      <c r="K518" s="102" t="str">
        <f t="shared" ca="1" si="17"/>
        <v>1981_3__v66</v>
      </c>
      <c r="L518" s="102"/>
      <c r="M518" s="102"/>
      <c r="N518" s="102"/>
      <c r="O518" s="102"/>
      <c r="P518" s="102"/>
      <c r="Q518" s="102"/>
      <c r="R518" s="102"/>
      <c r="S518" s="101"/>
    </row>
    <row r="519" spans="1:19" ht="43.2" x14ac:dyDescent="0.3">
      <c r="A519" t="s">
        <v>4058</v>
      </c>
      <c r="B519" t="s">
        <v>4142</v>
      </c>
      <c r="C519" s="90" t="s">
        <v>4127</v>
      </c>
      <c r="D519" t="s">
        <v>5562</v>
      </c>
      <c r="E519" s="101" t="s">
        <v>5989</v>
      </c>
      <c r="F519" t="str" cm="1">
        <f t="array" aca="1" ref="F519" ca="1">INDIRECT("'" &amp; A519 &amp; "'!" &amp; B519)</f>
        <v>v67</v>
      </c>
      <c r="G519" cm="1">
        <f t="array" aca="1" ref="G519" ca="1">INDIRECT("'" &amp; A519 &amp; "'!" &amp; ADDRESS(1, COLUMN(INDIRECT("'" &amp; A519 &amp; "'!" &amp; B519))))</f>
        <v>1984</v>
      </c>
      <c r="H519" t="str">
        <f ca="1">VLOOKUP($G519, survey_codes_dict!A:C, 2, FALSE)</f>
        <v>1984</v>
      </c>
      <c r="I519" s="102" t="str">
        <f ca="1">VLOOKUP($G519, survey_codes_dict!A:D, 4, FALSE)</f>
        <v>1981_3</v>
      </c>
      <c r="J519" s="102" t="str">
        <f t="shared" ca="1" si="16"/>
        <v>1984__v67</v>
      </c>
      <c r="K519" s="102" t="str">
        <f t="shared" ca="1" si="17"/>
        <v>1981_3__v67</v>
      </c>
      <c r="L519" s="102"/>
      <c r="M519" s="102"/>
      <c r="N519" s="102"/>
      <c r="O519" s="102"/>
      <c r="P519" s="102"/>
      <c r="Q519" s="102"/>
      <c r="R519" s="102"/>
      <c r="S519" s="101"/>
    </row>
    <row r="520" spans="1:19" ht="57.6" x14ac:dyDescent="0.3">
      <c r="A520" t="s">
        <v>4058</v>
      </c>
      <c r="B520" t="s">
        <v>4143</v>
      </c>
      <c r="C520" s="90" t="s">
        <v>4144</v>
      </c>
      <c r="D520" t="s">
        <v>5562</v>
      </c>
      <c r="E520" s="101" t="s">
        <v>5994</v>
      </c>
      <c r="F520" t="str" cm="1">
        <f t="array" aca="1" ref="F520" ca="1">INDIRECT("'" &amp; A520 &amp; "'!" &amp; B520)</f>
        <v>b110</v>
      </c>
      <c r="G520" t="str" cm="1">
        <f t="array" aca="1" ref="G520" ca="1">INDIRECT("'" &amp; A520 &amp; "'!" &amp; ADDRESS(1, COLUMN(INDIRECT("'" &amp; A520 &amp; "'!" &amp; B520))))</f>
        <v>1981 - 3</v>
      </c>
      <c r="H520" t="str">
        <f ca="1">VLOOKUP($G520, survey_codes_dict!A:C, 2, FALSE)</f>
        <v>1981_3</v>
      </c>
      <c r="I520" s="102">
        <f ca="1">VLOOKUP($G520, survey_codes_dict!A:D, 4, FALSE)</f>
        <v>0</v>
      </c>
      <c r="J520" s="102" t="str">
        <f t="shared" ca="1" si="16"/>
        <v>1981_3__b110</v>
      </c>
      <c r="K520" s="102" t="str">
        <f t="shared" ca="1" si="17"/>
        <v>0__b110</v>
      </c>
      <c r="L520" s="102"/>
      <c r="M520" s="102"/>
      <c r="N520" s="102"/>
      <c r="O520" s="102"/>
      <c r="P520" s="102"/>
      <c r="Q520" s="102"/>
      <c r="R520" s="102"/>
      <c r="S520" s="101"/>
    </row>
    <row r="521" spans="1:19" ht="57.6" x14ac:dyDescent="0.3">
      <c r="A521" t="s">
        <v>4058</v>
      </c>
      <c r="B521" t="s">
        <v>4145</v>
      </c>
      <c r="C521" s="90" t="s">
        <v>4146</v>
      </c>
      <c r="D521" t="s">
        <v>5562</v>
      </c>
      <c r="E521" s="101" t="s">
        <v>5995</v>
      </c>
      <c r="F521" t="str" cm="1">
        <f t="array" aca="1" ref="F521" ca="1">INDIRECT("'" &amp; A521 &amp; "'!" &amp; B521)</f>
        <v>b111</v>
      </c>
      <c r="G521" t="str" cm="1">
        <f t="array" aca="1" ref="G521" ca="1">INDIRECT("'" &amp; A521 &amp; "'!" &amp; ADDRESS(1, COLUMN(INDIRECT("'" &amp; A521 &amp; "'!" &amp; B521))))</f>
        <v>1981 - 3</v>
      </c>
      <c r="H521" t="str">
        <f ca="1">VLOOKUP($G521, survey_codes_dict!A:C, 2, FALSE)</f>
        <v>1981_3</v>
      </c>
      <c r="I521" s="102">
        <f ca="1">VLOOKUP($G521, survey_codes_dict!A:D, 4, FALSE)</f>
        <v>0</v>
      </c>
      <c r="J521" s="102" t="str">
        <f t="shared" ca="1" si="16"/>
        <v>1981_3__b111</v>
      </c>
      <c r="K521" s="102" t="str">
        <f t="shared" ca="1" si="17"/>
        <v>0__b111</v>
      </c>
      <c r="L521" s="102"/>
      <c r="M521" s="102"/>
      <c r="N521" s="102"/>
      <c r="O521" s="102"/>
      <c r="P521" s="102"/>
      <c r="Q521" s="102"/>
      <c r="R521" s="102"/>
      <c r="S521" s="101"/>
    </row>
    <row r="522" spans="1:19" ht="57.6" x14ac:dyDescent="0.3">
      <c r="A522" t="s">
        <v>4058</v>
      </c>
      <c r="B522" t="s">
        <v>4147</v>
      </c>
      <c r="C522" s="90" t="s">
        <v>4148</v>
      </c>
      <c r="D522" t="s">
        <v>5562</v>
      </c>
      <c r="E522" s="101" t="s">
        <v>5996</v>
      </c>
      <c r="F522" t="str" cm="1">
        <f t="array" aca="1" ref="F522" ca="1">INDIRECT("'" &amp; A522 &amp; "'!" &amp; B522)</f>
        <v>b112</v>
      </c>
      <c r="G522" t="str" cm="1">
        <f t="array" aca="1" ref="G522" ca="1">INDIRECT("'" &amp; A522 &amp; "'!" &amp; ADDRESS(1, COLUMN(INDIRECT("'" &amp; A522 &amp; "'!" &amp; B522))))</f>
        <v>1981 - 3</v>
      </c>
      <c r="H522" t="str">
        <f ca="1">VLOOKUP($G522, survey_codes_dict!A:C, 2, FALSE)</f>
        <v>1981_3</v>
      </c>
      <c r="I522" s="102">
        <f ca="1">VLOOKUP($G522, survey_codes_dict!A:D, 4, FALSE)</f>
        <v>0</v>
      </c>
      <c r="J522" s="102" t="str">
        <f t="shared" ca="1" si="16"/>
        <v>1981_3__b112</v>
      </c>
      <c r="K522" s="102" t="str">
        <f t="shared" ca="1" si="17"/>
        <v>0__b112</v>
      </c>
      <c r="L522" s="102"/>
      <c r="M522" s="102"/>
      <c r="N522" s="102"/>
      <c r="O522" s="102"/>
      <c r="P522" s="102"/>
      <c r="Q522" s="102"/>
      <c r="R522" s="102"/>
      <c r="S522" s="101"/>
    </row>
    <row r="523" spans="1:19" ht="57.6" x14ac:dyDescent="0.3">
      <c r="A523" t="s">
        <v>4058</v>
      </c>
      <c r="B523" t="s">
        <v>4149</v>
      </c>
      <c r="C523" s="90" t="s">
        <v>4150</v>
      </c>
      <c r="D523" t="s">
        <v>5562</v>
      </c>
      <c r="E523" s="101" t="s">
        <v>5997</v>
      </c>
      <c r="F523" t="str" cm="1">
        <f t="array" aca="1" ref="F523" ca="1">INDIRECT("'" &amp; A523 &amp; "'!" &amp; B523)</f>
        <v>b113</v>
      </c>
      <c r="G523" t="str" cm="1">
        <f t="array" aca="1" ref="G523" ca="1">INDIRECT("'" &amp; A523 &amp; "'!" &amp; ADDRESS(1, COLUMN(INDIRECT("'" &amp; A523 &amp; "'!" &amp; B523))))</f>
        <v>1981 - 3</v>
      </c>
      <c r="H523" t="str">
        <f ca="1">VLOOKUP($G523, survey_codes_dict!A:C, 2, FALSE)</f>
        <v>1981_3</v>
      </c>
      <c r="I523" s="102">
        <f ca="1">VLOOKUP($G523, survey_codes_dict!A:D, 4, FALSE)</f>
        <v>0</v>
      </c>
      <c r="J523" s="102" t="str">
        <f t="shared" ca="1" si="16"/>
        <v>1981_3__b113</v>
      </c>
      <c r="K523" s="102" t="str">
        <f t="shared" ca="1" si="17"/>
        <v>0__b113</v>
      </c>
      <c r="L523" s="102"/>
      <c r="M523" s="102"/>
      <c r="N523" s="102"/>
      <c r="O523" s="102"/>
      <c r="P523" s="102"/>
      <c r="Q523" s="102"/>
      <c r="R523" s="102"/>
      <c r="S523" s="101"/>
    </row>
    <row r="524" spans="1:19" ht="57.6" x14ac:dyDescent="0.3">
      <c r="A524" t="s">
        <v>4058</v>
      </c>
      <c r="B524" t="s">
        <v>4151</v>
      </c>
      <c r="C524" s="90" t="s">
        <v>4152</v>
      </c>
      <c r="D524" t="s">
        <v>5562</v>
      </c>
      <c r="E524" s="101" t="s">
        <v>5998</v>
      </c>
      <c r="F524" t="str" cm="1">
        <f t="array" aca="1" ref="F524" ca="1">INDIRECT("'" &amp; A524 &amp; "'!" &amp; B524)</f>
        <v>b114</v>
      </c>
      <c r="G524" t="str" cm="1">
        <f t="array" aca="1" ref="G524" ca="1">INDIRECT("'" &amp; A524 &amp; "'!" &amp; ADDRESS(1, COLUMN(INDIRECT("'" &amp; A524 &amp; "'!" &amp; B524))))</f>
        <v>1981 - 3</v>
      </c>
      <c r="H524" t="str">
        <f ca="1">VLOOKUP($G524, survey_codes_dict!A:C, 2, FALSE)</f>
        <v>1981_3</v>
      </c>
      <c r="I524" s="102">
        <f ca="1">VLOOKUP($G524, survey_codes_dict!A:D, 4, FALSE)</f>
        <v>0</v>
      </c>
      <c r="J524" s="102" t="str">
        <f t="shared" ca="1" si="16"/>
        <v>1981_3__b114</v>
      </c>
      <c r="K524" s="102" t="str">
        <f t="shared" ca="1" si="17"/>
        <v>0__b114</v>
      </c>
      <c r="L524" s="102"/>
      <c r="M524" s="102"/>
      <c r="N524" s="102"/>
      <c r="O524" s="102"/>
      <c r="P524" s="102"/>
      <c r="Q524" s="102"/>
      <c r="R524" s="102"/>
      <c r="S524" s="101"/>
    </row>
    <row r="525" spans="1:19" ht="57.6" x14ac:dyDescent="0.3">
      <c r="A525" t="s">
        <v>4058</v>
      </c>
      <c r="B525" t="s">
        <v>4153</v>
      </c>
      <c r="C525" s="90" t="s">
        <v>4154</v>
      </c>
      <c r="D525" t="s">
        <v>5562</v>
      </c>
      <c r="E525" s="101" t="s">
        <v>5999</v>
      </c>
      <c r="F525" t="str" cm="1">
        <f t="array" aca="1" ref="F525" ca="1">INDIRECT("'" &amp; A525 &amp; "'!" &amp; B525)</f>
        <v>b115</v>
      </c>
      <c r="G525" t="str" cm="1">
        <f t="array" aca="1" ref="G525" ca="1">INDIRECT("'" &amp; A525 &amp; "'!" &amp; ADDRESS(1, COLUMN(INDIRECT("'" &amp; A525 &amp; "'!" &amp; B525))))</f>
        <v>1981 - 3</v>
      </c>
      <c r="H525" t="str">
        <f ca="1">VLOOKUP($G525, survey_codes_dict!A:C, 2, FALSE)</f>
        <v>1981_3</v>
      </c>
      <c r="I525" s="102">
        <f ca="1">VLOOKUP($G525, survey_codes_dict!A:D, 4, FALSE)</f>
        <v>0</v>
      </c>
      <c r="J525" s="102" t="str">
        <f t="shared" ca="1" si="16"/>
        <v>1981_3__b115</v>
      </c>
      <c r="K525" s="102" t="str">
        <f t="shared" ca="1" si="17"/>
        <v>0__b115</v>
      </c>
      <c r="L525" s="102"/>
      <c r="M525" s="102"/>
      <c r="N525" s="102"/>
      <c r="O525" s="102"/>
      <c r="P525" s="102"/>
      <c r="Q525" s="102"/>
      <c r="R525" s="102"/>
      <c r="S525" s="101"/>
    </row>
    <row r="526" spans="1:19" ht="57.6" x14ac:dyDescent="0.3">
      <c r="A526" t="s">
        <v>4058</v>
      </c>
      <c r="B526" t="s">
        <v>4155</v>
      </c>
      <c r="C526" s="90" t="s">
        <v>4156</v>
      </c>
      <c r="D526" t="s">
        <v>5562</v>
      </c>
      <c r="E526" s="101" t="s">
        <v>6000</v>
      </c>
      <c r="F526" t="str" cm="1">
        <f t="array" aca="1" ref="F526" ca="1">INDIRECT("'" &amp; A526 &amp; "'!" &amp; B526)</f>
        <v>b116</v>
      </c>
      <c r="G526" t="str" cm="1">
        <f t="array" aca="1" ref="G526" ca="1">INDIRECT("'" &amp; A526 &amp; "'!" &amp; ADDRESS(1, COLUMN(INDIRECT("'" &amp; A526 &amp; "'!" &amp; B526))))</f>
        <v>1981 - 3</v>
      </c>
      <c r="H526" t="str">
        <f ca="1">VLOOKUP($G526, survey_codes_dict!A:C, 2, FALSE)</f>
        <v>1981_3</v>
      </c>
      <c r="I526" s="102">
        <f ca="1">VLOOKUP($G526, survey_codes_dict!A:D, 4, FALSE)</f>
        <v>0</v>
      </c>
      <c r="J526" s="102" t="str">
        <f t="shared" ca="1" si="16"/>
        <v>1981_3__b116</v>
      </c>
      <c r="K526" s="102" t="str">
        <f t="shared" ca="1" si="17"/>
        <v>0__b116</v>
      </c>
      <c r="L526" s="102"/>
      <c r="M526" s="102"/>
      <c r="N526" s="102"/>
      <c r="O526" s="102"/>
      <c r="P526" s="102"/>
      <c r="Q526" s="102"/>
      <c r="R526" s="102"/>
      <c r="S526" s="101"/>
    </row>
    <row r="527" spans="1:19" ht="57.6" x14ac:dyDescent="0.3">
      <c r="A527" t="s">
        <v>4058</v>
      </c>
      <c r="B527" t="s">
        <v>4157</v>
      </c>
      <c r="C527" s="90" t="s">
        <v>4154</v>
      </c>
      <c r="D527" t="s">
        <v>5562</v>
      </c>
      <c r="E527" s="101" t="s">
        <v>5999</v>
      </c>
      <c r="F527" t="str" cm="1">
        <f t="array" aca="1" ref="F527" ca="1">INDIRECT("'" &amp; A527 &amp; "'!" &amp; B527)</f>
        <v>b117</v>
      </c>
      <c r="G527" t="str" cm="1">
        <f t="array" aca="1" ref="G527" ca="1">INDIRECT("'" &amp; A527 &amp; "'!" &amp; ADDRESS(1, COLUMN(INDIRECT("'" &amp; A527 &amp; "'!" &amp; B527))))</f>
        <v>1981 - 3</v>
      </c>
      <c r="H527" t="str">
        <f ca="1">VLOOKUP($G527, survey_codes_dict!A:C, 2, FALSE)</f>
        <v>1981_3</v>
      </c>
      <c r="I527" s="102">
        <f ca="1">VLOOKUP($G527, survey_codes_dict!A:D, 4, FALSE)</f>
        <v>0</v>
      </c>
      <c r="J527" s="102" t="str">
        <f t="shared" ca="1" si="16"/>
        <v>1981_3__b117</v>
      </c>
      <c r="K527" s="102" t="str">
        <f t="shared" ca="1" si="17"/>
        <v>0__b117</v>
      </c>
      <c r="L527" s="102"/>
      <c r="M527" s="102"/>
      <c r="N527" s="102"/>
      <c r="O527" s="102"/>
      <c r="P527" s="102"/>
      <c r="Q527" s="102"/>
      <c r="R527" s="102"/>
      <c r="S527" s="101"/>
    </row>
    <row r="528" spans="1:19" ht="57.6" x14ac:dyDescent="0.3">
      <c r="A528" t="s">
        <v>4058</v>
      </c>
      <c r="B528" t="s">
        <v>4158</v>
      </c>
      <c r="C528" s="90" t="s">
        <v>4159</v>
      </c>
      <c r="D528" t="s">
        <v>5562</v>
      </c>
      <c r="E528" s="101" t="s">
        <v>6001</v>
      </c>
      <c r="F528" t="str" cm="1">
        <f t="array" aca="1" ref="F528" ca="1">INDIRECT("'" &amp; A528 &amp; "'!" &amp; B528)</f>
        <v>b118</v>
      </c>
      <c r="G528" t="str" cm="1">
        <f t="array" aca="1" ref="G528" ca="1">INDIRECT("'" &amp; A528 &amp; "'!" &amp; ADDRESS(1, COLUMN(INDIRECT("'" &amp; A528 &amp; "'!" &amp; B528))))</f>
        <v>1981 - 3</v>
      </c>
      <c r="H528" t="str">
        <f ca="1">VLOOKUP($G528, survey_codes_dict!A:C, 2, FALSE)</f>
        <v>1981_3</v>
      </c>
      <c r="I528" s="102">
        <f ca="1">VLOOKUP($G528, survey_codes_dict!A:D, 4, FALSE)</f>
        <v>0</v>
      </c>
      <c r="J528" s="102" t="str">
        <f t="shared" ca="1" si="16"/>
        <v>1981_3__b118</v>
      </c>
      <c r="K528" s="102" t="str">
        <f t="shared" ca="1" si="17"/>
        <v>0__b118</v>
      </c>
      <c r="L528" s="102"/>
      <c r="M528" s="102"/>
      <c r="N528" s="102"/>
      <c r="O528" s="102"/>
      <c r="P528" s="102"/>
      <c r="Q528" s="102"/>
      <c r="R528" s="102"/>
      <c r="S528" s="101"/>
    </row>
    <row r="529" spans="1:19" ht="57.6" x14ac:dyDescent="0.3">
      <c r="A529" t="s">
        <v>4058</v>
      </c>
      <c r="B529" t="s">
        <v>4160</v>
      </c>
      <c r="C529" s="90" t="s">
        <v>4161</v>
      </c>
      <c r="D529" t="s">
        <v>5562</v>
      </c>
      <c r="E529" s="101" t="s">
        <v>6002</v>
      </c>
      <c r="F529" t="str" cm="1">
        <f t="array" aca="1" ref="F529" ca="1">INDIRECT("'" &amp; A529 &amp; "'!" &amp; B529)</f>
        <v>b119</v>
      </c>
      <c r="G529" t="str" cm="1">
        <f t="array" aca="1" ref="G529" ca="1">INDIRECT("'" &amp; A529 &amp; "'!" &amp; ADDRESS(1, COLUMN(INDIRECT("'" &amp; A529 &amp; "'!" &amp; B529))))</f>
        <v>1981 - 3</v>
      </c>
      <c r="H529" t="str">
        <f ca="1">VLOOKUP($G529, survey_codes_dict!A:C, 2, FALSE)</f>
        <v>1981_3</v>
      </c>
      <c r="I529" s="102">
        <f ca="1">VLOOKUP($G529, survey_codes_dict!A:D, 4, FALSE)</f>
        <v>0</v>
      </c>
      <c r="J529" s="102" t="str">
        <f t="shared" ca="1" si="16"/>
        <v>1981_3__b119</v>
      </c>
      <c r="K529" s="102" t="str">
        <f t="shared" ca="1" si="17"/>
        <v>0__b119</v>
      </c>
      <c r="L529" s="102"/>
      <c r="M529" s="102"/>
      <c r="N529" s="102"/>
      <c r="O529" s="102"/>
      <c r="P529" s="102"/>
      <c r="Q529" s="102"/>
      <c r="R529" s="102"/>
      <c r="S529" s="101"/>
    </row>
    <row r="530" spans="1:19" ht="57.6" x14ac:dyDescent="0.3">
      <c r="A530" t="s">
        <v>4058</v>
      </c>
      <c r="B530" t="s">
        <v>4162</v>
      </c>
      <c r="C530" s="90" t="s">
        <v>4163</v>
      </c>
      <c r="D530" t="s">
        <v>5562</v>
      </c>
      <c r="E530" s="101" t="s">
        <v>6003</v>
      </c>
      <c r="F530" t="str" cm="1">
        <f t="array" aca="1" ref="F530" ca="1">INDIRECT("'" &amp; A530 &amp; "'!" &amp; B530)</f>
        <v>b120</v>
      </c>
      <c r="G530" t="str" cm="1">
        <f t="array" aca="1" ref="G530" ca="1">INDIRECT("'" &amp; A530 &amp; "'!" &amp; ADDRESS(1, COLUMN(INDIRECT("'" &amp; A530 &amp; "'!" &amp; B530))))</f>
        <v>1981 - 3</v>
      </c>
      <c r="H530" t="str">
        <f ca="1">VLOOKUP($G530, survey_codes_dict!A:C, 2, FALSE)</f>
        <v>1981_3</v>
      </c>
      <c r="I530" s="102">
        <f ca="1">VLOOKUP($G530, survey_codes_dict!A:D, 4, FALSE)</f>
        <v>0</v>
      </c>
      <c r="J530" s="102" t="str">
        <f t="shared" ca="1" si="16"/>
        <v>1981_3__b120</v>
      </c>
      <c r="K530" s="102" t="str">
        <f t="shared" ca="1" si="17"/>
        <v>0__b120</v>
      </c>
      <c r="L530" s="102"/>
      <c r="M530" s="102"/>
      <c r="N530" s="102"/>
      <c r="O530" s="102"/>
      <c r="P530" s="102"/>
      <c r="Q530" s="102"/>
      <c r="R530" s="102"/>
      <c r="S530" s="101"/>
    </row>
    <row r="531" spans="1:19" ht="57.6" x14ac:dyDescent="0.3">
      <c r="A531" t="s">
        <v>4058</v>
      </c>
      <c r="B531" t="s">
        <v>4164</v>
      </c>
      <c r="C531" s="90" t="s">
        <v>4165</v>
      </c>
      <c r="D531" t="s">
        <v>5562</v>
      </c>
      <c r="E531" s="101" t="s">
        <v>6004</v>
      </c>
      <c r="F531" t="str" cm="1">
        <f t="array" aca="1" ref="F531" ca="1">INDIRECT("'" &amp; A531 &amp; "'!" &amp; B531)</f>
        <v>b121</v>
      </c>
      <c r="G531" t="str" cm="1">
        <f t="array" aca="1" ref="G531" ca="1">INDIRECT("'" &amp; A531 &amp; "'!" &amp; ADDRESS(1, COLUMN(INDIRECT("'" &amp; A531 &amp; "'!" &amp; B531))))</f>
        <v>1981 - 3</v>
      </c>
      <c r="H531" t="str">
        <f ca="1">VLOOKUP($G531, survey_codes_dict!A:C, 2, FALSE)</f>
        <v>1981_3</v>
      </c>
      <c r="I531" s="102">
        <f ca="1">VLOOKUP($G531, survey_codes_dict!A:D, 4, FALSE)</f>
        <v>0</v>
      </c>
      <c r="J531" s="102" t="str">
        <f t="shared" ca="1" si="16"/>
        <v>1981_3__b121</v>
      </c>
      <c r="K531" s="102" t="str">
        <f t="shared" ca="1" si="17"/>
        <v>0__b121</v>
      </c>
      <c r="L531" s="102"/>
      <c r="M531" s="102"/>
      <c r="N531" s="102"/>
      <c r="O531" s="102"/>
      <c r="P531" s="102"/>
      <c r="Q531" s="102"/>
      <c r="R531" s="102"/>
      <c r="S531" s="101"/>
    </row>
    <row r="532" spans="1:19" ht="57.6" x14ac:dyDescent="0.3">
      <c r="A532" t="s">
        <v>4058</v>
      </c>
      <c r="B532" t="s">
        <v>4166</v>
      </c>
      <c r="C532" s="90" t="s">
        <v>4167</v>
      </c>
      <c r="D532" t="s">
        <v>5562</v>
      </c>
      <c r="E532" s="101" t="s">
        <v>6005</v>
      </c>
      <c r="F532" t="str" cm="1">
        <f t="array" aca="1" ref="F532" ca="1">INDIRECT("'" &amp; A532 &amp; "'!" &amp; B532)</f>
        <v>b126</v>
      </c>
      <c r="G532" t="str" cm="1">
        <f t="array" aca="1" ref="G532" ca="1">INDIRECT("'" &amp; A532 &amp; "'!" &amp; ADDRESS(1, COLUMN(INDIRECT("'" &amp; A532 &amp; "'!" &amp; B532))))</f>
        <v>1981 - 3</v>
      </c>
      <c r="H532" t="str">
        <f ca="1">VLOOKUP($G532, survey_codes_dict!A:C, 2, FALSE)</f>
        <v>1981_3</v>
      </c>
      <c r="I532" s="102">
        <f ca="1">VLOOKUP($G532, survey_codes_dict!A:D, 4, FALSE)</f>
        <v>0</v>
      </c>
      <c r="J532" s="102" t="str">
        <f t="shared" ca="1" si="16"/>
        <v>1981_3__b126</v>
      </c>
      <c r="K532" s="102" t="str">
        <f t="shared" ca="1" si="17"/>
        <v>0__b126</v>
      </c>
      <c r="L532" s="102"/>
      <c r="M532" s="102"/>
      <c r="N532" s="102"/>
      <c r="O532" s="102"/>
      <c r="P532" s="102"/>
      <c r="Q532" s="102"/>
      <c r="R532" s="102"/>
      <c r="S532" s="101"/>
    </row>
    <row r="533" spans="1:19" ht="57.6" x14ac:dyDescent="0.3">
      <c r="A533" t="s">
        <v>4058</v>
      </c>
      <c r="B533" t="s">
        <v>4168</v>
      </c>
      <c r="C533" s="90" t="s">
        <v>4169</v>
      </c>
      <c r="D533" t="s">
        <v>5562</v>
      </c>
      <c r="E533" s="101" t="s">
        <v>6006</v>
      </c>
      <c r="F533" t="str" cm="1">
        <f t="array" aca="1" ref="F533" ca="1">INDIRECT("'" &amp; A533 &amp; "'!" &amp; B533)</f>
        <v>b127</v>
      </c>
      <c r="G533" t="str" cm="1">
        <f t="array" aca="1" ref="G533" ca="1">INDIRECT("'" &amp; A533 &amp; "'!" &amp; ADDRESS(1, COLUMN(INDIRECT("'" &amp; A533 &amp; "'!" &amp; B533))))</f>
        <v>1981 - 3</v>
      </c>
      <c r="H533" t="str">
        <f ca="1">VLOOKUP($G533, survey_codes_dict!A:C, 2, FALSE)</f>
        <v>1981_3</v>
      </c>
      <c r="I533" s="102">
        <f ca="1">VLOOKUP($G533, survey_codes_dict!A:D, 4, FALSE)</f>
        <v>0</v>
      </c>
      <c r="J533" s="102" t="str">
        <f t="shared" ca="1" si="16"/>
        <v>1981_3__b127</v>
      </c>
      <c r="K533" s="102" t="str">
        <f t="shared" ca="1" si="17"/>
        <v>0__b127</v>
      </c>
      <c r="L533" s="102"/>
      <c r="M533" s="102"/>
      <c r="N533" s="102"/>
      <c r="O533" s="102"/>
      <c r="P533" s="102"/>
      <c r="Q533" s="102"/>
      <c r="R533" s="102"/>
      <c r="S533" s="101"/>
    </row>
    <row r="534" spans="1:19" ht="57.6" x14ac:dyDescent="0.3">
      <c r="A534" t="s">
        <v>4058</v>
      </c>
      <c r="B534" t="s">
        <v>4170</v>
      </c>
      <c r="C534" s="90" t="s">
        <v>4171</v>
      </c>
      <c r="D534" t="s">
        <v>5562</v>
      </c>
      <c r="E534" s="101" t="s">
        <v>6007</v>
      </c>
      <c r="F534" t="str" cm="1">
        <f t="array" aca="1" ref="F534" ca="1">INDIRECT("'" &amp; A534 &amp; "'!" &amp; B534)</f>
        <v>b128</v>
      </c>
      <c r="G534" t="str" cm="1">
        <f t="array" aca="1" ref="G534" ca="1">INDIRECT("'" &amp; A534 &amp; "'!" &amp; ADDRESS(1, COLUMN(INDIRECT("'" &amp; A534 &amp; "'!" &amp; B534))))</f>
        <v>1981 - 3</v>
      </c>
      <c r="H534" t="str">
        <f ca="1">VLOOKUP($G534, survey_codes_dict!A:C, 2, FALSE)</f>
        <v>1981_3</v>
      </c>
      <c r="I534" s="102">
        <f ca="1">VLOOKUP($G534, survey_codes_dict!A:D, 4, FALSE)</f>
        <v>0</v>
      </c>
      <c r="J534" s="102" t="str">
        <f t="shared" ca="1" si="16"/>
        <v>1981_3__b128</v>
      </c>
      <c r="K534" s="102" t="str">
        <f t="shared" ca="1" si="17"/>
        <v>0__b128</v>
      </c>
      <c r="L534" s="102"/>
      <c r="M534" s="102"/>
      <c r="N534" s="102"/>
      <c r="O534" s="102"/>
      <c r="P534" s="102"/>
      <c r="Q534" s="102"/>
      <c r="R534" s="102"/>
      <c r="S534" s="101"/>
    </row>
    <row r="535" spans="1:19" ht="57.6" x14ac:dyDescent="0.3">
      <c r="A535" t="s">
        <v>4058</v>
      </c>
      <c r="B535" t="s">
        <v>4172</v>
      </c>
      <c r="C535" s="90" t="s">
        <v>4173</v>
      </c>
      <c r="D535" t="s">
        <v>5562</v>
      </c>
      <c r="E535" s="101" t="s">
        <v>6008</v>
      </c>
      <c r="F535" t="str" cm="1">
        <f t="array" aca="1" ref="F535" ca="1">INDIRECT("'" &amp; A535 &amp; "'!" &amp; B535)</f>
        <v>b129</v>
      </c>
      <c r="G535" t="str" cm="1">
        <f t="array" aca="1" ref="G535" ca="1">INDIRECT("'" &amp; A535 &amp; "'!" &amp; ADDRESS(1, COLUMN(INDIRECT("'" &amp; A535 &amp; "'!" &amp; B535))))</f>
        <v>1981 - 3</v>
      </c>
      <c r="H535" t="str">
        <f ca="1">VLOOKUP($G535, survey_codes_dict!A:C, 2, FALSE)</f>
        <v>1981_3</v>
      </c>
      <c r="I535" s="102">
        <f ca="1">VLOOKUP($G535, survey_codes_dict!A:D, 4, FALSE)</f>
        <v>0</v>
      </c>
      <c r="J535" s="102" t="str">
        <f t="shared" ca="1" si="16"/>
        <v>1981_3__b129</v>
      </c>
      <c r="K535" s="102" t="str">
        <f t="shared" ca="1" si="17"/>
        <v>0__b129</v>
      </c>
      <c r="L535" s="102"/>
      <c r="M535" s="102"/>
      <c r="N535" s="102"/>
      <c r="O535" s="102"/>
      <c r="P535" s="102"/>
      <c r="Q535" s="102"/>
      <c r="R535" s="102"/>
      <c r="S535" s="101"/>
    </row>
    <row r="536" spans="1:19" ht="57.6" x14ac:dyDescent="0.3">
      <c r="A536" t="s">
        <v>4058</v>
      </c>
      <c r="B536" t="s">
        <v>4174</v>
      </c>
      <c r="C536" s="90" t="s">
        <v>4175</v>
      </c>
      <c r="D536" t="s">
        <v>5562</v>
      </c>
      <c r="E536" s="101" t="s">
        <v>6009</v>
      </c>
      <c r="F536" t="str" cm="1">
        <f t="array" aca="1" ref="F536" ca="1">INDIRECT("'" &amp; A536 &amp; "'!" &amp; B536)</f>
        <v>b130</v>
      </c>
      <c r="G536" t="str" cm="1">
        <f t="array" aca="1" ref="G536" ca="1">INDIRECT("'" &amp; A536 &amp; "'!" &amp; ADDRESS(1, COLUMN(INDIRECT("'" &amp; A536 &amp; "'!" &amp; B536))))</f>
        <v>1981 - 3</v>
      </c>
      <c r="H536" t="str">
        <f ca="1">VLOOKUP($G536, survey_codes_dict!A:C, 2, FALSE)</f>
        <v>1981_3</v>
      </c>
      <c r="I536" s="102">
        <f ca="1">VLOOKUP($G536, survey_codes_dict!A:D, 4, FALSE)</f>
        <v>0</v>
      </c>
      <c r="J536" s="102" t="str">
        <f t="shared" ca="1" si="16"/>
        <v>1981_3__b130</v>
      </c>
      <c r="K536" s="102" t="str">
        <f t="shared" ca="1" si="17"/>
        <v>0__b130</v>
      </c>
      <c r="L536" s="102"/>
      <c r="M536" s="102"/>
      <c r="N536" s="102"/>
      <c r="O536" s="102"/>
      <c r="P536" s="102"/>
      <c r="Q536" s="102"/>
      <c r="R536" s="102"/>
      <c r="S536" s="101"/>
    </row>
    <row r="537" spans="1:19" ht="57.6" x14ac:dyDescent="0.3">
      <c r="A537" t="s">
        <v>4058</v>
      </c>
      <c r="B537" t="s">
        <v>4176</v>
      </c>
      <c r="C537" s="90" t="s">
        <v>4177</v>
      </c>
      <c r="D537" t="s">
        <v>5562</v>
      </c>
      <c r="E537" s="101" t="s">
        <v>6010</v>
      </c>
      <c r="F537" t="str" cm="1">
        <f t="array" aca="1" ref="F537" ca="1">INDIRECT("'" &amp; A537 &amp; "'!" &amp; B537)</f>
        <v>b131</v>
      </c>
      <c r="G537" t="str" cm="1">
        <f t="array" aca="1" ref="G537" ca="1">INDIRECT("'" &amp; A537 &amp; "'!" &amp; ADDRESS(1, COLUMN(INDIRECT("'" &amp; A537 &amp; "'!" &amp; B537))))</f>
        <v>1981 - 3</v>
      </c>
      <c r="H537" t="str">
        <f ca="1">VLOOKUP($G537, survey_codes_dict!A:C, 2, FALSE)</f>
        <v>1981_3</v>
      </c>
      <c r="I537" s="102">
        <f ca="1">VLOOKUP($G537, survey_codes_dict!A:D, 4, FALSE)</f>
        <v>0</v>
      </c>
      <c r="J537" s="102" t="str">
        <f t="shared" ca="1" si="16"/>
        <v>1981_3__b131</v>
      </c>
      <c r="K537" s="102" t="str">
        <f t="shared" ca="1" si="17"/>
        <v>0__b131</v>
      </c>
      <c r="L537" s="102"/>
      <c r="M537" s="102"/>
      <c r="N537" s="102"/>
      <c r="O537" s="102"/>
      <c r="P537" s="102"/>
      <c r="Q537" s="102"/>
      <c r="R537" s="102"/>
      <c r="S537" s="101"/>
    </row>
    <row r="538" spans="1:19" ht="57.6" x14ac:dyDescent="0.3">
      <c r="A538" t="s">
        <v>4058</v>
      </c>
      <c r="B538" t="s">
        <v>4178</v>
      </c>
      <c r="C538" s="90" t="s">
        <v>4179</v>
      </c>
      <c r="D538" t="s">
        <v>5562</v>
      </c>
      <c r="E538" s="101" t="s">
        <v>6011</v>
      </c>
      <c r="F538" t="str" cm="1">
        <f t="array" aca="1" ref="F538" ca="1">INDIRECT("'" &amp; A538 &amp; "'!" &amp; B538)</f>
        <v>b132</v>
      </c>
      <c r="G538" t="str" cm="1">
        <f t="array" aca="1" ref="G538" ca="1">INDIRECT("'" &amp; A538 &amp; "'!" &amp; ADDRESS(1, COLUMN(INDIRECT("'" &amp; A538 &amp; "'!" &amp; B538))))</f>
        <v>1981 - 3</v>
      </c>
      <c r="H538" t="str">
        <f ca="1">VLOOKUP($G538, survey_codes_dict!A:C, 2, FALSE)</f>
        <v>1981_3</v>
      </c>
      <c r="I538" s="102">
        <f ca="1">VLOOKUP($G538, survey_codes_dict!A:D, 4, FALSE)</f>
        <v>0</v>
      </c>
      <c r="J538" s="102" t="str">
        <f t="shared" ca="1" si="16"/>
        <v>1981_3__b132</v>
      </c>
      <c r="K538" s="102" t="str">
        <f t="shared" ca="1" si="17"/>
        <v>0__b132</v>
      </c>
      <c r="L538" s="102"/>
      <c r="M538" s="102"/>
      <c r="N538" s="102"/>
      <c r="O538" s="102"/>
      <c r="P538" s="102"/>
      <c r="Q538" s="102"/>
      <c r="R538" s="102"/>
      <c r="S538" s="101"/>
    </row>
    <row r="539" spans="1:19" ht="57.6" x14ac:dyDescent="0.3">
      <c r="A539" t="s">
        <v>4058</v>
      </c>
      <c r="B539" t="s">
        <v>4180</v>
      </c>
      <c r="C539" s="90" t="s">
        <v>4181</v>
      </c>
      <c r="D539" t="s">
        <v>5562</v>
      </c>
      <c r="E539" s="101" t="s">
        <v>6012</v>
      </c>
      <c r="F539" t="str" cm="1">
        <f t="array" aca="1" ref="F539" ca="1">INDIRECT("'" &amp; A539 &amp; "'!" &amp; B539)</f>
        <v>b133</v>
      </c>
      <c r="G539" t="str" cm="1">
        <f t="array" aca="1" ref="G539" ca="1">INDIRECT("'" &amp; A539 &amp; "'!" &amp; ADDRESS(1, COLUMN(INDIRECT("'" &amp; A539 &amp; "'!" &amp; B539))))</f>
        <v>1981 - 3</v>
      </c>
      <c r="H539" t="str">
        <f ca="1">VLOOKUP($G539, survey_codes_dict!A:C, 2, FALSE)</f>
        <v>1981_3</v>
      </c>
      <c r="I539" s="102">
        <f ca="1">VLOOKUP($G539, survey_codes_dict!A:D, 4, FALSE)</f>
        <v>0</v>
      </c>
      <c r="J539" s="102" t="str">
        <f t="shared" ca="1" si="16"/>
        <v>1981_3__b133</v>
      </c>
      <c r="K539" s="102" t="str">
        <f t="shared" ca="1" si="17"/>
        <v>0__b133</v>
      </c>
      <c r="L539" s="102"/>
      <c r="M539" s="102"/>
      <c r="N539" s="102"/>
      <c r="O539" s="102"/>
      <c r="P539" s="102"/>
      <c r="Q539" s="102"/>
      <c r="R539" s="102"/>
      <c r="S539" s="101"/>
    </row>
    <row r="540" spans="1:19" ht="57.6" x14ac:dyDescent="0.3">
      <c r="A540" t="s">
        <v>4058</v>
      </c>
      <c r="B540" t="s">
        <v>4182</v>
      </c>
      <c r="C540" s="90" t="s">
        <v>4183</v>
      </c>
      <c r="D540" t="s">
        <v>5562</v>
      </c>
      <c r="E540" s="101" t="s">
        <v>6013</v>
      </c>
      <c r="F540" t="str" cm="1">
        <f t="array" aca="1" ref="F540" ca="1">INDIRECT("'" &amp; A540 &amp; "'!" &amp; B540)</f>
        <v>b134</v>
      </c>
      <c r="G540" t="str" cm="1">
        <f t="array" aca="1" ref="G540" ca="1">INDIRECT("'" &amp; A540 &amp; "'!" &amp; ADDRESS(1, COLUMN(INDIRECT("'" &amp; A540 &amp; "'!" &amp; B540))))</f>
        <v>1981 - 3</v>
      </c>
      <c r="H540" t="str">
        <f ca="1">VLOOKUP($G540, survey_codes_dict!A:C, 2, FALSE)</f>
        <v>1981_3</v>
      </c>
      <c r="I540" s="102">
        <f ca="1">VLOOKUP($G540, survey_codes_dict!A:D, 4, FALSE)</f>
        <v>0</v>
      </c>
      <c r="J540" s="102" t="str">
        <f t="shared" ca="1" si="16"/>
        <v>1981_3__b134</v>
      </c>
      <c r="K540" s="102" t="str">
        <f t="shared" ca="1" si="17"/>
        <v>0__b134</v>
      </c>
      <c r="L540" s="102"/>
      <c r="M540" s="102"/>
      <c r="N540" s="102"/>
      <c r="O540" s="102"/>
      <c r="P540" s="102"/>
      <c r="Q540" s="102"/>
      <c r="R540" s="102"/>
      <c r="S540" s="101"/>
    </row>
    <row r="541" spans="1:19" ht="57.6" x14ac:dyDescent="0.3">
      <c r="A541" t="s">
        <v>4058</v>
      </c>
      <c r="B541" t="s">
        <v>4184</v>
      </c>
      <c r="C541" s="90" t="s">
        <v>4185</v>
      </c>
      <c r="D541" t="s">
        <v>5562</v>
      </c>
      <c r="E541" s="101" t="s">
        <v>6014</v>
      </c>
      <c r="F541" t="str" cm="1">
        <f t="array" aca="1" ref="F541" ca="1">INDIRECT("'" &amp; A541 &amp; "'!" &amp; B541)</f>
        <v>b135</v>
      </c>
      <c r="G541" t="str" cm="1">
        <f t="array" aca="1" ref="G541" ca="1">INDIRECT("'" &amp; A541 &amp; "'!" &amp; ADDRESS(1, COLUMN(INDIRECT("'" &amp; A541 &amp; "'!" &amp; B541))))</f>
        <v>1981 - 3</v>
      </c>
      <c r="H541" t="str">
        <f ca="1">VLOOKUP($G541, survey_codes_dict!A:C, 2, FALSE)</f>
        <v>1981_3</v>
      </c>
      <c r="I541" s="102">
        <f ca="1">VLOOKUP($G541, survey_codes_dict!A:D, 4, FALSE)</f>
        <v>0</v>
      </c>
      <c r="J541" s="102" t="str">
        <f t="shared" ca="1" si="16"/>
        <v>1981_3__b135</v>
      </c>
      <c r="K541" s="102" t="str">
        <f t="shared" ca="1" si="17"/>
        <v>0__b135</v>
      </c>
      <c r="L541" s="102"/>
      <c r="M541" s="102"/>
      <c r="N541" s="102"/>
      <c r="O541" s="102"/>
      <c r="P541" s="102"/>
      <c r="Q541" s="102"/>
      <c r="R541" s="102"/>
      <c r="S541" s="101"/>
    </row>
    <row r="542" spans="1:19" ht="72" x14ac:dyDescent="0.3">
      <c r="A542" t="s">
        <v>4058</v>
      </c>
      <c r="B542" t="s">
        <v>4186</v>
      </c>
      <c r="C542" s="90" t="s">
        <v>4187</v>
      </c>
      <c r="D542" t="s">
        <v>5562</v>
      </c>
      <c r="E542" s="101" t="s">
        <v>6015</v>
      </c>
      <c r="F542" t="str" cm="1">
        <f t="array" aca="1" ref="F542" ca="1">INDIRECT("'" &amp; A542 &amp; "'!" &amp; B542)</f>
        <v>a39</v>
      </c>
      <c r="G542" t="str" cm="1">
        <f t="array" aca="1" ref="G542" ca="1">INDIRECT("'" &amp; A542 &amp; "'!" &amp; ADDRESS(1, COLUMN(INDIRECT("'" &amp; A542 &amp; "'!" &amp; B542))))</f>
        <v>1981 - 2</v>
      </c>
      <c r="H542">
        <f ca="1">VLOOKUP($G542, survey_codes_dict!A:C, 2, FALSE)</f>
        <v>0</v>
      </c>
      <c r="I542" s="102" t="str">
        <f ca="1">VLOOKUP($G542, survey_codes_dict!A:D, 4, FALSE)</f>
        <v>1981_1</v>
      </c>
      <c r="J542" s="102" t="str">
        <f t="shared" ca="1" si="16"/>
        <v>0__a39</v>
      </c>
      <c r="K542" s="102" t="str">
        <f t="shared" ca="1" si="17"/>
        <v>1981_1__a39</v>
      </c>
      <c r="L542" s="102"/>
      <c r="M542" s="102"/>
      <c r="N542" s="102"/>
      <c r="O542" s="102"/>
      <c r="P542" s="102"/>
      <c r="Q542" s="102"/>
      <c r="R542" s="102"/>
      <c r="S542" s="101"/>
    </row>
    <row r="543" spans="1:19" ht="72" x14ac:dyDescent="0.3">
      <c r="A543" t="s">
        <v>4058</v>
      </c>
      <c r="B543" t="s">
        <v>4188</v>
      </c>
      <c r="C543" s="90" t="s">
        <v>4187</v>
      </c>
      <c r="D543" t="s">
        <v>5562</v>
      </c>
      <c r="E543" s="101" t="s">
        <v>6015</v>
      </c>
      <c r="F543" t="str" cm="1">
        <f t="array" aca="1" ref="F543" ca="1">INDIRECT("'" &amp; A543 &amp; "'!" &amp; B543)</f>
        <v>v40</v>
      </c>
      <c r="G543" t="str" cm="1">
        <f t="array" aca="1" ref="G543" ca="1">INDIRECT("'" &amp; A543 &amp; "'!" &amp; ADDRESS(1, COLUMN(INDIRECT("'" &amp; A543 &amp; "'!" &amp; B543))))</f>
        <v>1981 - 1</v>
      </c>
      <c r="H543" t="str">
        <f ca="1">VLOOKUP($G543, survey_codes_dict!A:C, 2, FALSE)</f>
        <v>1981_1</v>
      </c>
      <c r="I543" s="102" t="str">
        <f ca="1">VLOOKUP($G543, survey_codes_dict!A:D, 4, FALSE)</f>
        <v>1977_4</v>
      </c>
      <c r="J543" s="102" t="str">
        <f t="shared" ca="1" si="16"/>
        <v>1981_1__v40</v>
      </c>
      <c r="K543" s="102" t="str">
        <f t="shared" ca="1" si="17"/>
        <v>1977_4__v40</v>
      </c>
      <c r="L543" s="102"/>
      <c r="M543" s="102"/>
      <c r="N543" s="102"/>
      <c r="O543" s="102"/>
      <c r="P543" s="102"/>
      <c r="Q543" s="102"/>
      <c r="R543" s="102"/>
      <c r="S543" s="101"/>
    </row>
    <row r="544" spans="1:19" ht="28.8" x14ac:dyDescent="0.3">
      <c r="A544" t="s">
        <v>4058</v>
      </c>
      <c r="B544" t="s">
        <v>4189</v>
      </c>
      <c r="C544" s="90" t="s">
        <v>4190</v>
      </c>
      <c r="D544" t="s">
        <v>5562</v>
      </c>
      <c r="E544" s="101" t="s">
        <v>5598</v>
      </c>
      <c r="F544" t="str" cm="1">
        <f t="array" aca="1" ref="F544" ca="1">INDIRECT("'" &amp; A544 &amp; "'!" &amp; B544)</f>
        <v>v50</v>
      </c>
      <c r="G544" t="str" cm="1">
        <f t="array" aca="1" ref="G544" ca="1">INDIRECT("'" &amp; A544 &amp; "'!" &amp; ADDRESS(1, COLUMN(INDIRECT("'" &amp; A544 &amp; "'!" &amp; B544))))</f>
        <v>1977 - 1</v>
      </c>
      <c r="H544" t="str">
        <f ca="1">VLOOKUP($G544, survey_codes_dict!A:C, 2, FALSE)</f>
        <v>1977_1</v>
      </c>
      <c r="I544" s="102" t="str">
        <f ca="1">VLOOKUP($G544, survey_codes_dict!A:D, 4, FALSE)</f>
        <v>1973_5</v>
      </c>
      <c r="J544" s="102" t="str">
        <f t="shared" ca="1" si="16"/>
        <v>1977_1__v50</v>
      </c>
      <c r="K544" s="102" t="str">
        <f t="shared" ca="1" si="17"/>
        <v>1973_5__v50</v>
      </c>
      <c r="L544" s="102"/>
      <c r="M544" s="102"/>
      <c r="N544" s="102"/>
      <c r="O544" s="102"/>
      <c r="P544" s="102"/>
      <c r="Q544" s="102"/>
      <c r="R544" s="102"/>
      <c r="S544" s="101"/>
    </row>
    <row r="545" spans="1:19" ht="100.8" x14ac:dyDescent="0.3">
      <c r="A545" t="s">
        <v>4058</v>
      </c>
      <c r="B545" t="s">
        <v>4036</v>
      </c>
      <c r="C545" s="90" t="s">
        <v>4191</v>
      </c>
      <c r="D545" t="s">
        <v>5562</v>
      </c>
      <c r="E545" s="101" t="s">
        <v>6016</v>
      </c>
      <c r="F545" t="str" cm="1">
        <f t="array" aca="1" ref="F545" ca="1">INDIRECT("'" &amp; A545 &amp; "'!" &amp; B545)</f>
        <v>h3</v>
      </c>
      <c r="G545" t="str" cm="1">
        <f t="array" aca="1" ref="G545" ca="1">INDIRECT("'" &amp; A545 &amp; "'!" &amp; ADDRESS(1, COLUMN(INDIRECT("'" &amp; A545 &amp; "'!" &amp; B545))))</f>
        <v>1973 - 5</v>
      </c>
      <c r="H545" t="str">
        <f ca="1">VLOOKUP($G545, survey_codes_dict!A:C, 2, FALSE)</f>
        <v>1973_5</v>
      </c>
      <c r="I545" s="102" t="str">
        <f ca="1">VLOOKUP($G545, survey_codes_dict!A:D, 4, FALSE)</f>
        <v>1973_4</v>
      </c>
      <c r="J545" s="102" t="str">
        <f t="shared" ca="1" si="16"/>
        <v>1973_5__h3</v>
      </c>
      <c r="K545" s="102" t="str">
        <f t="shared" ca="1" si="17"/>
        <v>1973_4__h3</v>
      </c>
      <c r="L545" s="102"/>
      <c r="M545" s="102"/>
      <c r="N545" s="102"/>
      <c r="O545" s="102"/>
      <c r="P545" s="102"/>
      <c r="Q545" s="102"/>
      <c r="R545" s="102"/>
      <c r="S545" s="101"/>
    </row>
    <row r="546" spans="1:19" ht="72" x14ac:dyDescent="0.3">
      <c r="A546" t="s">
        <v>4058</v>
      </c>
      <c r="B546" t="s">
        <v>4192</v>
      </c>
      <c r="C546" s="90" t="s">
        <v>4193</v>
      </c>
      <c r="D546" t="s">
        <v>5562</v>
      </c>
      <c r="E546" s="101" t="s">
        <v>6017</v>
      </c>
      <c r="F546" t="str" cm="1">
        <f t="array" aca="1" ref="F546" ca="1">INDIRECT("'" &amp; A546 &amp; "'!" &amp; B546)</f>
        <v>v70</v>
      </c>
      <c r="G546" t="str" cm="1">
        <f t="array" aca="1" ref="G546" ca="1">INDIRECT("'" &amp; A546 &amp; "'!" &amp; ADDRESS(1, COLUMN(INDIRECT("'" &amp; A546 &amp; "'!" &amp; B546))))</f>
        <v>1977 - 1</v>
      </c>
      <c r="H546" t="str">
        <f ca="1">VLOOKUP($G546, survey_codes_dict!A:C, 2, FALSE)</f>
        <v>1977_1</v>
      </c>
      <c r="I546" s="102" t="str">
        <f ca="1">VLOOKUP($G546, survey_codes_dict!A:D, 4, FALSE)</f>
        <v>1973_5</v>
      </c>
      <c r="J546" s="102" t="str">
        <f t="shared" ca="1" si="16"/>
        <v>1977_1__v70</v>
      </c>
      <c r="K546" s="102" t="str">
        <f t="shared" ca="1" si="17"/>
        <v>1973_5__v70</v>
      </c>
      <c r="L546" s="102"/>
      <c r="M546" s="102"/>
      <c r="N546" s="102"/>
      <c r="O546" s="102"/>
      <c r="P546" s="102"/>
      <c r="Q546" s="102"/>
      <c r="R546" s="102"/>
      <c r="S546" s="101"/>
    </row>
    <row r="547" spans="1:19" ht="57.6" x14ac:dyDescent="0.3">
      <c r="A547" t="s">
        <v>4058</v>
      </c>
      <c r="B547" t="s">
        <v>4194</v>
      </c>
      <c r="C547" s="90" t="s">
        <v>4195</v>
      </c>
      <c r="D547" t="s">
        <v>5562</v>
      </c>
      <c r="E547" s="101" t="s">
        <v>6018</v>
      </c>
      <c r="F547" t="str" cm="1">
        <f t="array" aca="1" ref="F547" ca="1">INDIRECT("'" &amp; A547 &amp; "'!" &amp; B547)</f>
        <v>b47</v>
      </c>
      <c r="G547" t="str" cm="1">
        <f t="array" aca="1" ref="G547" ca="1">INDIRECT("'" &amp; A547 &amp; "'!" &amp; ADDRESS(1, COLUMN(INDIRECT("'" &amp; A547 &amp; "'!" &amp; B547))))</f>
        <v>1981 - 3</v>
      </c>
      <c r="H547" t="str">
        <f ca="1">VLOOKUP($G547, survey_codes_dict!A:C, 2, FALSE)</f>
        <v>1981_3</v>
      </c>
      <c r="I547" s="102">
        <f ca="1">VLOOKUP($G547, survey_codes_dict!A:D, 4, FALSE)</f>
        <v>0</v>
      </c>
      <c r="J547" s="102" t="str">
        <f t="shared" ca="1" si="16"/>
        <v>1981_3__b47</v>
      </c>
      <c r="K547" s="102" t="str">
        <f t="shared" ca="1" si="17"/>
        <v>0__b47</v>
      </c>
      <c r="L547" s="102"/>
      <c r="M547" s="102"/>
      <c r="N547" s="102"/>
      <c r="O547" s="102"/>
      <c r="P547" s="102"/>
      <c r="Q547" s="102"/>
      <c r="R547" s="102"/>
      <c r="S547" s="101"/>
    </row>
    <row r="548" spans="1:19" ht="57.6" x14ac:dyDescent="0.3">
      <c r="A548" t="s">
        <v>4058</v>
      </c>
      <c r="B548" t="s">
        <v>4196</v>
      </c>
      <c r="C548" s="90" t="s">
        <v>4197</v>
      </c>
      <c r="D548" t="s">
        <v>5562</v>
      </c>
      <c r="E548" s="101" t="s">
        <v>6019</v>
      </c>
      <c r="F548" t="str" cm="1">
        <f t="array" aca="1" ref="F548" ca="1">INDIRECT("'" &amp; A548 &amp; "'!" &amp; B548)</f>
        <v>b48</v>
      </c>
      <c r="G548" t="str" cm="1">
        <f t="array" aca="1" ref="G548" ca="1">INDIRECT("'" &amp; A548 &amp; "'!" &amp; ADDRESS(1, COLUMN(INDIRECT("'" &amp; A548 &amp; "'!" &amp; B548))))</f>
        <v>1981 - 3</v>
      </c>
      <c r="H548" t="str">
        <f ca="1">VLOOKUP($G548, survey_codes_dict!A:C, 2, FALSE)</f>
        <v>1981_3</v>
      </c>
      <c r="I548" s="102">
        <f ca="1">VLOOKUP($G548, survey_codes_dict!A:D, 4, FALSE)</f>
        <v>0</v>
      </c>
      <c r="J548" s="102" t="str">
        <f t="shared" ca="1" si="16"/>
        <v>1981_3__b48</v>
      </c>
      <c r="K548" s="102" t="str">
        <f t="shared" ca="1" si="17"/>
        <v>0__b48</v>
      </c>
      <c r="L548" s="102"/>
      <c r="M548" s="102"/>
      <c r="N548" s="102"/>
      <c r="O548" s="102"/>
      <c r="P548" s="102"/>
      <c r="Q548" s="102"/>
      <c r="R548" s="102"/>
      <c r="S548" s="101"/>
    </row>
    <row r="549" spans="1:19" ht="57.6" x14ac:dyDescent="0.3">
      <c r="A549" t="s">
        <v>4058</v>
      </c>
      <c r="B549" t="s">
        <v>4198</v>
      </c>
      <c r="C549" s="90" t="s">
        <v>4199</v>
      </c>
      <c r="D549" t="s">
        <v>5562</v>
      </c>
      <c r="E549" s="101" t="s">
        <v>6020</v>
      </c>
      <c r="F549" t="str" cm="1">
        <f t="array" aca="1" ref="F549" ca="1">INDIRECT("'" &amp; A549 &amp; "'!" &amp; B549)</f>
        <v>b49</v>
      </c>
      <c r="G549" t="str" cm="1">
        <f t="array" aca="1" ref="G549" ca="1">INDIRECT("'" &amp; A549 &amp; "'!" &amp; ADDRESS(1, COLUMN(INDIRECT("'" &amp; A549 &amp; "'!" &amp; B549))))</f>
        <v>1981 - 3</v>
      </c>
      <c r="H549" t="str">
        <f ca="1">VLOOKUP($G549, survey_codes_dict!A:C, 2, FALSE)</f>
        <v>1981_3</v>
      </c>
      <c r="I549" s="102">
        <f ca="1">VLOOKUP($G549, survey_codes_dict!A:D, 4, FALSE)</f>
        <v>0</v>
      </c>
      <c r="J549" s="102" t="str">
        <f t="shared" ca="1" si="16"/>
        <v>1981_3__b49</v>
      </c>
      <c r="K549" s="102" t="str">
        <f t="shared" ca="1" si="17"/>
        <v>0__b49</v>
      </c>
      <c r="L549" s="102"/>
      <c r="M549" s="102"/>
      <c r="N549" s="102"/>
      <c r="O549" s="102"/>
      <c r="P549" s="102"/>
      <c r="Q549" s="102"/>
      <c r="R549" s="102"/>
      <c r="S549" s="101"/>
    </row>
    <row r="550" spans="1:19" ht="57.6" x14ac:dyDescent="0.3">
      <c r="A550" t="s">
        <v>4058</v>
      </c>
      <c r="B550" t="s">
        <v>4200</v>
      </c>
      <c r="C550" s="90" t="s">
        <v>4201</v>
      </c>
      <c r="D550" t="s">
        <v>5562</v>
      </c>
      <c r="E550" s="101" t="s">
        <v>6021</v>
      </c>
      <c r="F550" t="str" cm="1">
        <f t="array" aca="1" ref="F550" ca="1">INDIRECT("'" &amp; A550 &amp; "'!" &amp; B550)</f>
        <v>b50</v>
      </c>
      <c r="G550" t="str" cm="1">
        <f t="array" aca="1" ref="G550" ca="1">INDIRECT("'" &amp; A550 &amp; "'!" &amp; ADDRESS(1, COLUMN(INDIRECT("'" &amp; A550 &amp; "'!" &amp; B550))))</f>
        <v>1981 - 3</v>
      </c>
      <c r="H550" t="str">
        <f ca="1">VLOOKUP($G550, survey_codes_dict!A:C, 2, FALSE)</f>
        <v>1981_3</v>
      </c>
      <c r="I550" s="102">
        <f ca="1">VLOOKUP($G550, survey_codes_dict!A:D, 4, FALSE)</f>
        <v>0</v>
      </c>
      <c r="J550" s="102" t="str">
        <f t="shared" ca="1" si="16"/>
        <v>1981_3__b50</v>
      </c>
      <c r="K550" s="102" t="str">
        <f t="shared" ca="1" si="17"/>
        <v>0__b50</v>
      </c>
      <c r="L550" s="102"/>
      <c r="M550" s="102"/>
      <c r="N550" s="102"/>
      <c r="O550" s="102"/>
      <c r="P550" s="102"/>
      <c r="Q550" s="102"/>
      <c r="R550" s="102"/>
      <c r="S550" s="101"/>
    </row>
    <row r="551" spans="1:19" ht="57.6" x14ac:dyDescent="0.3">
      <c r="A551" t="s">
        <v>4058</v>
      </c>
      <c r="B551" t="s">
        <v>4202</v>
      </c>
      <c r="C551" s="90" t="s">
        <v>4203</v>
      </c>
      <c r="D551" t="s">
        <v>5562</v>
      </c>
      <c r="E551" s="101" t="s">
        <v>6022</v>
      </c>
      <c r="F551" t="str" cm="1">
        <f t="array" aca="1" ref="F551" ca="1">INDIRECT("'" &amp; A551 &amp; "'!" &amp; B551)</f>
        <v>b51</v>
      </c>
      <c r="G551" t="str" cm="1">
        <f t="array" aca="1" ref="G551" ca="1">INDIRECT("'" &amp; A551 &amp; "'!" &amp; ADDRESS(1, COLUMN(INDIRECT("'" &amp; A551 &amp; "'!" &amp; B551))))</f>
        <v>1981 - 3</v>
      </c>
      <c r="H551" t="str">
        <f ca="1">VLOOKUP($G551, survey_codes_dict!A:C, 2, FALSE)</f>
        <v>1981_3</v>
      </c>
      <c r="I551" s="102">
        <f ca="1">VLOOKUP($G551, survey_codes_dict!A:D, 4, FALSE)</f>
        <v>0</v>
      </c>
      <c r="J551" s="102" t="str">
        <f t="shared" ca="1" si="16"/>
        <v>1981_3__b51</v>
      </c>
      <c r="K551" s="102" t="str">
        <f t="shared" ca="1" si="17"/>
        <v>0__b51</v>
      </c>
      <c r="L551" s="102"/>
      <c r="M551" s="102"/>
      <c r="N551" s="102"/>
      <c r="O551" s="102"/>
      <c r="P551" s="102"/>
      <c r="Q551" s="102"/>
      <c r="R551" s="102"/>
      <c r="S551" s="101"/>
    </row>
    <row r="552" spans="1:19" ht="57.6" x14ac:dyDescent="0.3">
      <c r="A552" t="s">
        <v>4058</v>
      </c>
      <c r="B552" t="s">
        <v>4204</v>
      </c>
      <c r="C552" s="90" t="s">
        <v>4203</v>
      </c>
      <c r="D552" t="s">
        <v>5562</v>
      </c>
      <c r="E552" s="101" t="s">
        <v>6022</v>
      </c>
      <c r="F552" t="str" cm="1">
        <f t="array" aca="1" ref="F552" ca="1">INDIRECT("'" &amp; A552 &amp; "'!" &amp; B552)</f>
        <v>b52</v>
      </c>
      <c r="G552" t="str" cm="1">
        <f t="array" aca="1" ref="G552" ca="1">INDIRECT("'" &amp; A552 &amp; "'!" &amp; ADDRESS(1, COLUMN(INDIRECT("'" &amp; A552 &amp; "'!" &amp; B552))))</f>
        <v>1981 - 3</v>
      </c>
      <c r="H552" t="str">
        <f ca="1">VLOOKUP($G552, survey_codes_dict!A:C, 2, FALSE)</f>
        <v>1981_3</v>
      </c>
      <c r="I552" s="102">
        <f ca="1">VLOOKUP($G552, survey_codes_dict!A:D, 4, FALSE)</f>
        <v>0</v>
      </c>
      <c r="J552" s="102" t="str">
        <f t="shared" ca="1" si="16"/>
        <v>1981_3__b52</v>
      </c>
      <c r="K552" s="102" t="str">
        <f t="shared" ca="1" si="17"/>
        <v>0__b52</v>
      </c>
      <c r="L552" s="102"/>
      <c r="M552" s="102"/>
      <c r="N552" s="102"/>
      <c r="O552" s="102"/>
      <c r="P552" s="102"/>
      <c r="Q552" s="102"/>
      <c r="R552" s="102"/>
      <c r="S552" s="101"/>
    </row>
    <row r="553" spans="1:19" ht="57.6" x14ac:dyDescent="0.3">
      <c r="A553" t="s">
        <v>4058</v>
      </c>
      <c r="B553" t="s">
        <v>4205</v>
      </c>
      <c r="C553" s="90" t="s">
        <v>4206</v>
      </c>
      <c r="D553" t="s">
        <v>5562</v>
      </c>
      <c r="E553" s="101" t="s">
        <v>6023</v>
      </c>
      <c r="F553" t="str" cm="1">
        <f t="array" aca="1" ref="F553" ca="1">INDIRECT("'" &amp; A553 &amp; "'!" &amp; B553)</f>
        <v>b53</v>
      </c>
      <c r="G553" t="str" cm="1">
        <f t="array" aca="1" ref="G553" ca="1">INDIRECT("'" &amp; A553 &amp; "'!" &amp; ADDRESS(1, COLUMN(INDIRECT("'" &amp; A553 &amp; "'!" &amp; B553))))</f>
        <v>1981 - 3</v>
      </c>
      <c r="H553" t="str">
        <f ca="1">VLOOKUP($G553, survey_codes_dict!A:C, 2, FALSE)</f>
        <v>1981_3</v>
      </c>
      <c r="I553" s="102">
        <f ca="1">VLOOKUP($G553, survey_codes_dict!A:D, 4, FALSE)</f>
        <v>0</v>
      </c>
      <c r="J553" s="102" t="str">
        <f t="shared" ca="1" si="16"/>
        <v>1981_3__b53</v>
      </c>
      <c r="K553" s="102" t="str">
        <f t="shared" ca="1" si="17"/>
        <v>0__b53</v>
      </c>
      <c r="L553" s="102"/>
      <c r="M553" s="102"/>
      <c r="N553" s="102"/>
      <c r="O553" s="102"/>
      <c r="P553" s="102"/>
      <c r="Q553" s="102"/>
      <c r="R553" s="102"/>
      <c r="S553" s="101"/>
    </row>
    <row r="554" spans="1:19" ht="57.6" x14ac:dyDescent="0.3">
      <c r="A554" t="s">
        <v>4058</v>
      </c>
      <c r="B554" t="s">
        <v>4207</v>
      </c>
      <c r="C554" s="90" t="s">
        <v>4208</v>
      </c>
      <c r="D554" t="s">
        <v>5562</v>
      </c>
      <c r="E554" s="101" t="s">
        <v>6024</v>
      </c>
      <c r="F554" t="str" cm="1">
        <f t="array" aca="1" ref="F554" ca="1">INDIRECT("'" &amp; A554 &amp; "'!" &amp; B554)</f>
        <v>b54</v>
      </c>
      <c r="G554" t="str" cm="1">
        <f t="array" aca="1" ref="G554" ca="1">INDIRECT("'" &amp; A554 &amp; "'!" &amp; ADDRESS(1, COLUMN(INDIRECT("'" &amp; A554 &amp; "'!" &amp; B554))))</f>
        <v>1981 - 3</v>
      </c>
      <c r="H554" t="str">
        <f ca="1">VLOOKUP($G554, survey_codes_dict!A:C, 2, FALSE)</f>
        <v>1981_3</v>
      </c>
      <c r="I554" s="102">
        <f ca="1">VLOOKUP($G554, survey_codes_dict!A:D, 4, FALSE)</f>
        <v>0</v>
      </c>
      <c r="J554" s="102" t="str">
        <f t="shared" ca="1" si="16"/>
        <v>1981_3__b54</v>
      </c>
      <c r="K554" s="102" t="str">
        <f t="shared" ca="1" si="17"/>
        <v>0__b54</v>
      </c>
      <c r="L554" s="102"/>
      <c r="M554" s="102"/>
      <c r="N554" s="102"/>
      <c r="O554" s="102"/>
      <c r="P554" s="102"/>
      <c r="Q554" s="102"/>
      <c r="R554" s="102"/>
      <c r="S554" s="101"/>
    </row>
    <row r="555" spans="1:19" ht="57.6" x14ac:dyDescent="0.3">
      <c r="A555" t="s">
        <v>4058</v>
      </c>
      <c r="B555" t="s">
        <v>4209</v>
      </c>
      <c r="C555" s="90" t="s">
        <v>4210</v>
      </c>
      <c r="D555" t="s">
        <v>5562</v>
      </c>
      <c r="E555" s="101" t="s">
        <v>6025</v>
      </c>
      <c r="F555" t="str" cm="1">
        <f t="array" aca="1" ref="F555" ca="1">INDIRECT("'" &amp; A555 &amp; "'!" &amp; B555)</f>
        <v>b55</v>
      </c>
      <c r="G555" t="str" cm="1">
        <f t="array" aca="1" ref="G555" ca="1">INDIRECT("'" &amp; A555 &amp; "'!" &amp; ADDRESS(1, COLUMN(INDIRECT("'" &amp; A555 &amp; "'!" &amp; B555))))</f>
        <v>1981 - 3</v>
      </c>
      <c r="H555" t="str">
        <f ca="1">VLOOKUP($G555, survey_codes_dict!A:C, 2, FALSE)</f>
        <v>1981_3</v>
      </c>
      <c r="I555" s="102">
        <f ca="1">VLOOKUP($G555, survey_codes_dict!A:D, 4, FALSE)</f>
        <v>0</v>
      </c>
      <c r="J555" s="102" t="str">
        <f t="shared" ca="1" si="16"/>
        <v>1981_3__b55</v>
      </c>
      <c r="K555" s="102" t="str">
        <f t="shared" ca="1" si="17"/>
        <v>0__b55</v>
      </c>
      <c r="L555" s="102"/>
      <c r="M555" s="102"/>
      <c r="N555" s="102"/>
      <c r="O555" s="102"/>
      <c r="P555" s="102"/>
      <c r="Q555" s="102"/>
      <c r="R555" s="102"/>
      <c r="S555" s="101"/>
    </row>
    <row r="556" spans="1:19" ht="57.6" x14ac:dyDescent="0.3">
      <c r="A556" t="s">
        <v>4058</v>
      </c>
      <c r="B556" t="s">
        <v>4211</v>
      </c>
      <c r="C556" s="90" t="s">
        <v>4212</v>
      </c>
      <c r="D556" t="s">
        <v>5562</v>
      </c>
      <c r="E556" s="101" t="s">
        <v>6026</v>
      </c>
      <c r="F556" t="str" cm="1">
        <f t="array" aca="1" ref="F556" ca="1">INDIRECT("'" &amp; A556 &amp; "'!" &amp; B556)</f>
        <v>b56</v>
      </c>
      <c r="G556" t="str" cm="1">
        <f t="array" aca="1" ref="G556" ca="1">INDIRECT("'" &amp; A556 &amp; "'!" &amp; ADDRESS(1, COLUMN(INDIRECT("'" &amp; A556 &amp; "'!" &amp; B556))))</f>
        <v>1981 - 3</v>
      </c>
      <c r="H556" t="str">
        <f ca="1">VLOOKUP($G556, survey_codes_dict!A:C, 2, FALSE)</f>
        <v>1981_3</v>
      </c>
      <c r="I556" s="102">
        <f ca="1">VLOOKUP($G556, survey_codes_dict!A:D, 4, FALSE)</f>
        <v>0</v>
      </c>
      <c r="J556" s="102" t="str">
        <f t="shared" ca="1" si="16"/>
        <v>1981_3__b56</v>
      </c>
      <c r="K556" s="102" t="str">
        <f t="shared" ca="1" si="17"/>
        <v>0__b56</v>
      </c>
      <c r="L556" s="102"/>
      <c r="M556" s="102"/>
      <c r="N556" s="102"/>
      <c r="O556" s="102"/>
      <c r="P556" s="102"/>
      <c r="Q556" s="102"/>
      <c r="R556" s="102"/>
      <c r="S556" s="101"/>
    </row>
    <row r="557" spans="1:19" ht="57.6" x14ac:dyDescent="0.3">
      <c r="A557" t="s">
        <v>4058</v>
      </c>
      <c r="B557" t="s">
        <v>4213</v>
      </c>
      <c r="C557" s="90" t="s">
        <v>4214</v>
      </c>
      <c r="D557" t="s">
        <v>5562</v>
      </c>
      <c r="E557" s="101" t="s">
        <v>6027</v>
      </c>
      <c r="F557" t="str" cm="1">
        <f t="array" aca="1" ref="F557" ca="1">INDIRECT("'" &amp; A557 &amp; "'!" &amp; B557)</f>
        <v>a95</v>
      </c>
      <c r="G557" t="str" cm="1">
        <f t="array" aca="1" ref="G557" ca="1">INDIRECT("'" &amp; A557 &amp; "'!" &amp; ADDRESS(1, COLUMN(INDIRECT("'" &amp; A557 &amp; "'!" &amp; B557))))</f>
        <v>1981 - 2</v>
      </c>
      <c r="H557">
        <f ca="1">VLOOKUP($G557, survey_codes_dict!A:C, 2, FALSE)</f>
        <v>0</v>
      </c>
      <c r="I557" s="102" t="str">
        <f ca="1">VLOOKUP($G557, survey_codes_dict!A:D, 4, FALSE)</f>
        <v>1981_1</v>
      </c>
      <c r="J557" s="102" t="str">
        <f t="shared" ca="1" si="16"/>
        <v>0__a95</v>
      </c>
      <c r="K557" s="102" t="str">
        <f t="shared" ca="1" si="17"/>
        <v>1981_1__a95</v>
      </c>
      <c r="L557" s="102"/>
      <c r="M557" s="102"/>
      <c r="N557" s="102"/>
      <c r="O557" s="102"/>
      <c r="P557" s="102"/>
      <c r="Q557" s="102"/>
      <c r="R557" s="102"/>
      <c r="S557" s="101"/>
    </row>
    <row r="558" spans="1:19" ht="28.8" x14ac:dyDescent="0.3">
      <c r="A558" t="s">
        <v>4058</v>
      </c>
      <c r="B558" t="s">
        <v>4215</v>
      </c>
      <c r="C558" s="90" t="s">
        <v>4216</v>
      </c>
      <c r="D558" t="s">
        <v>5661</v>
      </c>
      <c r="E558" s="101" t="s">
        <v>5599</v>
      </c>
      <c r="F558" t="str" cm="1">
        <f t="array" aca="1" ref="F558" ca="1">INDIRECT("'" &amp; A558 &amp; "'!" &amp; B558)</f>
        <v>v81</v>
      </c>
      <c r="G558" t="str" cm="1">
        <f t="array" aca="1" ref="G558" ca="1">INDIRECT("'" &amp; A558 &amp; "'!" &amp; ADDRESS(1, COLUMN(INDIRECT("'" &amp; A558 &amp; "'!" &amp; B558))))</f>
        <v>1981 - 1</v>
      </c>
      <c r="H558" t="str">
        <f ca="1">VLOOKUP($G558, survey_codes_dict!A:C, 2, FALSE)</f>
        <v>1981_1</v>
      </c>
      <c r="I558" s="102" t="str">
        <f ca="1">VLOOKUP($G558, survey_codes_dict!A:D, 4, FALSE)</f>
        <v>1977_4</v>
      </c>
      <c r="J558" s="102" t="str">
        <f t="shared" ca="1" si="16"/>
        <v>1981_1__v81</v>
      </c>
      <c r="K558" s="102" t="str">
        <f t="shared" ca="1" si="17"/>
        <v>1977_4__v81</v>
      </c>
      <c r="L558" s="102"/>
      <c r="M558" s="102"/>
      <c r="N558" s="102"/>
      <c r="O558" s="102"/>
      <c r="P558" s="102"/>
      <c r="Q558" s="102"/>
      <c r="R558" s="102"/>
      <c r="S558" s="101"/>
    </row>
    <row r="559" spans="1:19" ht="57.6" x14ac:dyDescent="0.3">
      <c r="A559" t="s">
        <v>4058</v>
      </c>
      <c r="B559" t="s">
        <v>4217</v>
      </c>
      <c r="C559" s="90" t="s">
        <v>4218</v>
      </c>
      <c r="D559" t="s">
        <v>5562</v>
      </c>
      <c r="E559" s="101" t="s">
        <v>6028</v>
      </c>
      <c r="F559" t="str" cm="1">
        <f t="array" aca="1" ref="F559" ca="1">INDIRECT("'" &amp; A559 &amp; "'!" &amp; B559)</f>
        <v>a96</v>
      </c>
      <c r="G559" t="str" cm="1">
        <f t="array" aca="1" ref="G559" ca="1">INDIRECT("'" &amp; A559 &amp; "'!" &amp; ADDRESS(1, COLUMN(INDIRECT("'" &amp; A559 &amp; "'!" &amp; B559))))</f>
        <v>1981 - 2</v>
      </c>
      <c r="H559">
        <f ca="1">VLOOKUP($G559, survey_codes_dict!A:C, 2, FALSE)</f>
        <v>0</v>
      </c>
      <c r="I559" s="102" t="str">
        <f ca="1">VLOOKUP($G559, survey_codes_dict!A:D, 4, FALSE)</f>
        <v>1981_1</v>
      </c>
      <c r="J559" s="102" t="str">
        <f t="shared" ca="1" si="16"/>
        <v>0__a96</v>
      </c>
      <c r="K559" s="102" t="str">
        <f t="shared" ca="1" si="17"/>
        <v>1981_1__a96</v>
      </c>
      <c r="L559" s="102"/>
      <c r="M559" s="102"/>
      <c r="N559" s="102"/>
      <c r="O559" s="102"/>
      <c r="P559" s="102"/>
      <c r="Q559" s="102"/>
      <c r="R559" s="102"/>
      <c r="S559" s="101"/>
    </row>
    <row r="560" spans="1:19" ht="57.6" x14ac:dyDescent="0.3">
      <c r="A560" t="s">
        <v>4058</v>
      </c>
      <c r="B560" t="s">
        <v>4219</v>
      </c>
      <c r="C560" s="90" t="s">
        <v>4220</v>
      </c>
      <c r="D560" t="s">
        <v>5562</v>
      </c>
      <c r="E560" s="101" t="s">
        <v>6029</v>
      </c>
      <c r="F560" t="str" cm="1">
        <f t="array" aca="1" ref="F560" ca="1">INDIRECT("'" &amp; A560 &amp; "'!" &amp; B560)</f>
        <v>a97</v>
      </c>
      <c r="G560" t="str" cm="1">
        <f t="array" aca="1" ref="G560" ca="1">INDIRECT("'" &amp; A560 &amp; "'!" &amp; ADDRESS(1, COLUMN(INDIRECT("'" &amp; A560 &amp; "'!" &amp; B560))))</f>
        <v>1981 - 2</v>
      </c>
      <c r="H560">
        <f ca="1">VLOOKUP($G560, survey_codes_dict!A:C, 2, FALSE)</f>
        <v>0</v>
      </c>
      <c r="I560" s="102" t="str">
        <f ca="1">VLOOKUP($G560, survey_codes_dict!A:D, 4, FALSE)</f>
        <v>1981_1</v>
      </c>
      <c r="J560" s="102" t="str">
        <f t="shared" ca="1" si="16"/>
        <v>0__a97</v>
      </c>
      <c r="K560" s="102" t="str">
        <f t="shared" ca="1" si="17"/>
        <v>1981_1__a97</v>
      </c>
      <c r="L560" s="102"/>
      <c r="M560" s="102"/>
      <c r="N560" s="102"/>
      <c r="O560" s="102"/>
      <c r="P560" s="102"/>
      <c r="Q560" s="102"/>
      <c r="R560" s="102"/>
      <c r="S560" s="101"/>
    </row>
    <row r="561" spans="1:19" ht="57.6" x14ac:dyDescent="0.3">
      <c r="A561" t="s">
        <v>4058</v>
      </c>
      <c r="B561" t="s">
        <v>4221</v>
      </c>
      <c r="C561" s="90" t="s">
        <v>4222</v>
      </c>
      <c r="D561" t="s">
        <v>5562</v>
      </c>
      <c r="E561" s="101" t="s">
        <v>6030</v>
      </c>
      <c r="F561" t="str" cm="1">
        <f t="array" aca="1" ref="F561" ca="1">INDIRECT("'" &amp; A561 &amp; "'!" &amp; B561)</f>
        <v>a98</v>
      </c>
      <c r="G561" t="str" cm="1">
        <f t="array" aca="1" ref="G561" ca="1">INDIRECT("'" &amp; A561 &amp; "'!" &amp; ADDRESS(1, COLUMN(INDIRECT("'" &amp; A561 &amp; "'!" &amp; B561))))</f>
        <v>1981 - 2</v>
      </c>
      <c r="H561">
        <f ca="1">VLOOKUP($G561, survey_codes_dict!A:C, 2, FALSE)</f>
        <v>0</v>
      </c>
      <c r="I561" s="102" t="str">
        <f ca="1">VLOOKUP($G561, survey_codes_dict!A:D, 4, FALSE)</f>
        <v>1981_1</v>
      </c>
      <c r="J561" s="102" t="str">
        <f t="shared" ca="1" si="16"/>
        <v>0__a98</v>
      </c>
      <c r="K561" s="102" t="str">
        <f t="shared" ca="1" si="17"/>
        <v>1981_1__a98</v>
      </c>
      <c r="L561" s="102"/>
      <c r="M561" s="102"/>
      <c r="N561" s="102"/>
      <c r="O561" s="102"/>
      <c r="P561" s="102"/>
      <c r="Q561" s="102"/>
      <c r="R561" s="102"/>
      <c r="S561" s="101"/>
    </row>
    <row r="562" spans="1:19" ht="57.6" x14ac:dyDescent="0.3">
      <c r="A562" t="s">
        <v>4058</v>
      </c>
      <c r="B562" t="s">
        <v>4223</v>
      </c>
      <c r="C562" s="90" t="s">
        <v>4224</v>
      </c>
      <c r="D562" t="s">
        <v>5562</v>
      </c>
      <c r="E562" s="101" t="s">
        <v>6031</v>
      </c>
      <c r="F562" t="str" cm="1">
        <f t="array" aca="1" ref="F562" ca="1">INDIRECT("'" &amp; A562 &amp; "'!" &amp; B562)</f>
        <v>a99</v>
      </c>
      <c r="G562" t="str" cm="1">
        <f t="array" aca="1" ref="G562" ca="1">INDIRECT("'" &amp; A562 &amp; "'!" &amp; ADDRESS(1, COLUMN(INDIRECT("'" &amp; A562 &amp; "'!" &amp; B562))))</f>
        <v>1981 - 2</v>
      </c>
      <c r="H562">
        <f ca="1">VLOOKUP($G562, survey_codes_dict!A:C, 2, FALSE)</f>
        <v>0</v>
      </c>
      <c r="I562" s="102" t="str">
        <f ca="1">VLOOKUP($G562, survey_codes_dict!A:D, 4, FALSE)</f>
        <v>1981_1</v>
      </c>
      <c r="J562" s="102" t="str">
        <f t="shared" ca="1" si="16"/>
        <v>0__a99</v>
      </c>
      <c r="K562" s="102" t="str">
        <f t="shared" ca="1" si="17"/>
        <v>1981_1__a99</v>
      </c>
      <c r="L562" s="102"/>
      <c r="M562" s="102"/>
      <c r="N562" s="102"/>
      <c r="O562" s="102"/>
      <c r="P562" s="102"/>
      <c r="Q562" s="102"/>
      <c r="R562" s="102"/>
      <c r="S562" s="101"/>
    </row>
    <row r="563" spans="1:19" ht="28.8" x14ac:dyDescent="0.3">
      <c r="A563" t="s">
        <v>4058</v>
      </c>
      <c r="B563" t="s">
        <v>4225</v>
      </c>
      <c r="C563" s="90" t="s">
        <v>4216</v>
      </c>
      <c r="D563" t="s">
        <v>5661</v>
      </c>
      <c r="E563" s="101" t="s">
        <v>5599</v>
      </c>
      <c r="F563" t="str" cm="1">
        <f t="array" aca="1" ref="F563" ca="1">INDIRECT("'" &amp; A563 &amp; "'!" &amp; B563)</f>
        <v>v75</v>
      </c>
      <c r="G563" t="str" cm="1">
        <f t="array" aca="1" ref="G563" ca="1">INDIRECT("'" &amp; A563 &amp; "'!" &amp; ADDRESS(1, COLUMN(INDIRECT("'" &amp; A563 &amp; "'!" &amp; B563))))</f>
        <v>1981 - 1</v>
      </c>
      <c r="H563" t="str">
        <f ca="1">VLOOKUP($G563, survey_codes_dict!A:C, 2, FALSE)</f>
        <v>1981_1</v>
      </c>
      <c r="I563" s="102" t="str">
        <f ca="1">VLOOKUP($G563, survey_codes_dict!A:D, 4, FALSE)</f>
        <v>1977_4</v>
      </c>
      <c r="J563" s="102" t="str">
        <f t="shared" ca="1" si="16"/>
        <v>1981_1__v75</v>
      </c>
      <c r="K563" s="102" t="str">
        <f t="shared" ca="1" si="17"/>
        <v>1977_4__v75</v>
      </c>
      <c r="L563" s="102"/>
      <c r="M563" s="102"/>
      <c r="N563" s="102"/>
      <c r="O563" s="102"/>
      <c r="P563" s="102"/>
      <c r="Q563" s="102"/>
      <c r="R563" s="102"/>
      <c r="S563" s="101"/>
    </row>
    <row r="564" spans="1:19" ht="57.6" x14ac:dyDescent="0.3">
      <c r="A564" t="s">
        <v>4058</v>
      </c>
      <c r="B564" t="s">
        <v>4226</v>
      </c>
      <c r="C564" s="90" t="s">
        <v>4227</v>
      </c>
      <c r="D564" t="s">
        <v>5562</v>
      </c>
      <c r="E564" s="101" t="s">
        <v>6032</v>
      </c>
      <c r="F564" t="str" cm="1">
        <f t="array" aca="1" ref="F564" ca="1">INDIRECT("'" &amp; A564 &amp; "'!" &amp; B564)</f>
        <v>a106</v>
      </c>
      <c r="G564" t="str" cm="1">
        <f t="array" aca="1" ref="G564" ca="1">INDIRECT("'" &amp; A564 &amp; "'!" &amp; ADDRESS(1, COLUMN(INDIRECT("'" &amp; A564 &amp; "'!" &amp; B564))))</f>
        <v>1981 - 2</v>
      </c>
      <c r="H564">
        <f ca="1">VLOOKUP($G564, survey_codes_dict!A:C, 2, FALSE)</f>
        <v>0</v>
      </c>
      <c r="I564" s="102" t="str">
        <f ca="1">VLOOKUP($G564, survey_codes_dict!A:D, 4, FALSE)</f>
        <v>1981_1</v>
      </c>
      <c r="J564" s="102" t="str">
        <f t="shared" ca="1" si="16"/>
        <v>0__a106</v>
      </c>
      <c r="K564" s="102" t="str">
        <f t="shared" ca="1" si="17"/>
        <v>1981_1__a106</v>
      </c>
      <c r="L564" s="102"/>
      <c r="M564" s="102"/>
      <c r="N564" s="102"/>
      <c r="O564" s="102"/>
      <c r="P564" s="102"/>
      <c r="Q564" s="102"/>
      <c r="R564" s="102"/>
      <c r="S564" s="101"/>
    </row>
    <row r="565" spans="1:19" ht="57.6" x14ac:dyDescent="0.3">
      <c r="A565" t="s">
        <v>4058</v>
      </c>
      <c r="B565" t="s">
        <v>4228</v>
      </c>
      <c r="C565" s="90" t="s">
        <v>4229</v>
      </c>
      <c r="D565" t="s">
        <v>5562</v>
      </c>
      <c r="E565" s="101" t="s">
        <v>6033</v>
      </c>
      <c r="F565" t="str" cm="1">
        <f t="array" aca="1" ref="F565" ca="1">INDIRECT("'" &amp; A565 &amp; "'!" &amp; B565)</f>
        <v>a107</v>
      </c>
      <c r="G565" t="str" cm="1">
        <f t="array" aca="1" ref="G565" ca="1">INDIRECT("'" &amp; A565 &amp; "'!" &amp; ADDRESS(1, COLUMN(INDIRECT("'" &amp; A565 &amp; "'!" &amp; B565))))</f>
        <v>1981 - 2</v>
      </c>
      <c r="H565">
        <f ca="1">VLOOKUP($G565, survey_codes_dict!A:C, 2, FALSE)</f>
        <v>0</v>
      </c>
      <c r="I565" s="102" t="str">
        <f ca="1">VLOOKUP($G565, survey_codes_dict!A:D, 4, FALSE)</f>
        <v>1981_1</v>
      </c>
      <c r="J565" s="102" t="str">
        <f t="shared" ca="1" si="16"/>
        <v>0__a107</v>
      </c>
      <c r="K565" s="102" t="str">
        <f t="shared" ca="1" si="17"/>
        <v>1981_1__a107</v>
      </c>
      <c r="L565" s="102"/>
      <c r="M565" s="102"/>
      <c r="N565" s="102"/>
      <c r="O565" s="102"/>
      <c r="P565" s="102"/>
      <c r="Q565" s="102"/>
      <c r="R565" s="102"/>
      <c r="S565" s="101"/>
    </row>
    <row r="566" spans="1:19" ht="57.6" x14ac:dyDescent="0.3">
      <c r="A566" t="s">
        <v>4058</v>
      </c>
      <c r="B566" t="s">
        <v>4230</v>
      </c>
      <c r="C566" s="90" t="s">
        <v>4231</v>
      </c>
      <c r="D566" t="s">
        <v>5562</v>
      </c>
      <c r="E566" s="101" t="s">
        <v>6034</v>
      </c>
      <c r="F566" t="str" cm="1">
        <f t="array" aca="1" ref="F566" ca="1">INDIRECT("'" &amp; A566 &amp; "'!" &amp; B566)</f>
        <v>a108</v>
      </c>
      <c r="G566" t="str" cm="1">
        <f t="array" aca="1" ref="G566" ca="1">INDIRECT("'" &amp; A566 &amp; "'!" &amp; ADDRESS(1, COLUMN(INDIRECT("'" &amp; A566 &amp; "'!" &amp; B566))))</f>
        <v>1981 - 2</v>
      </c>
      <c r="H566">
        <f ca="1">VLOOKUP($G566, survey_codes_dict!A:C, 2, FALSE)</f>
        <v>0</v>
      </c>
      <c r="I566" s="102" t="str">
        <f ca="1">VLOOKUP($G566, survey_codes_dict!A:D, 4, FALSE)</f>
        <v>1981_1</v>
      </c>
      <c r="J566" s="102" t="str">
        <f t="shared" ca="1" si="16"/>
        <v>0__a108</v>
      </c>
      <c r="K566" s="102" t="str">
        <f t="shared" ca="1" si="17"/>
        <v>1981_1__a108</v>
      </c>
      <c r="L566" s="102"/>
      <c r="M566" s="102"/>
      <c r="N566" s="102"/>
      <c r="O566" s="102"/>
      <c r="P566" s="102"/>
      <c r="Q566" s="102"/>
      <c r="R566" s="102"/>
      <c r="S566" s="101"/>
    </row>
    <row r="567" spans="1:19" ht="28.8" x14ac:dyDescent="0.3">
      <c r="A567" t="s">
        <v>4058</v>
      </c>
      <c r="B567" t="s">
        <v>4232</v>
      </c>
      <c r="C567" s="90" t="s">
        <v>4216</v>
      </c>
      <c r="D567" t="s">
        <v>5661</v>
      </c>
      <c r="E567" s="101" t="s">
        <v>5599</v>
      </c>
      <c r="F567" t="str" cm="1">
        <f t="array" aca="1" ref="F567" ca="1">INDIRECT("'" &amp; A567 &amp; "'!" &amp; B567)</f>
        <v>v87</v>
      </c>
      <c r="G567" t="str" cm="1">
        <f t="array" aca="1" ref="G567" ca="1">INDIRECT("'" &amp; A567 &amp; "'!" &amp; ADDRESS(1, COLUMN(INDIRECT("'" &amp; A567 &amp; "'!" &amp; B567))))</f>
        <v>1981 - 1</v>
      </c>
      <c r="H567" t="str">
        <f ca="1">VLOOKUP($G567, survey_codes_dict!A:C, 2, FALSE)</f>
        <v>1981_1</v>
      </c>
      <c r="I567" s="102" t="str">
        <f ca="1">VLOOKUP($G567, survey_codes_dict!A:D, 4, FALSE)</f>
        <v>1977_4</v>
      </c>
      <c r="J567" s="102" t="str">
        <f t="shared" ca="1" si="16"/>
        <v>1981_1__v87</v>
      </c>
      <c r="K567" s="102" t="str">
        <f t="shared" ca="1" si="17"/>
        <v>1977_4__v87</v>
      </c>
      <c r="L567" s="102"/>
      <c r="M567" s="102"/>
      <c r="N567" s="102"/>
      <c r="O567" s="102"/>
      <c r="P567" s="102"/>
      <c r="Q567" s="102"/>
      <c r="R567" s="102"/>
      <c r="S567" s="101"/>
    </row>
    <row r="568" spans="1:19" ht="144" x14ac:dyDescent="0.3">
      <c r="A568" t="s">
        <v>4058</v>
      </c>
      <c r="B568" t="s">
        <v>4233</v>
      </c>
      <c r="C568" s="90" t="s">
        <v>4234</v>
      </c>
      <c r="D568" t="s">
        <v>5562</v>
      </c>
      <c r="E568" s="101" t="s">
        <v>6035</v>
      </c>
      <c r="F568" t="str" cm="1">
        <f t="array" aca="1" ref="F568" ca="1">INDIRECT("'" &amp; A568 &amp; "'!" &amp; B568)</f>
        <v>f38</v>
      </c>
      <c r="G568" t="str" cm="1">
        <f t="array" aca="1" ref="G568" ca="1">INDIRECT("'" &amp; A568 &amp; "'!" &amp; ADDRESS(1, COLUMN(INDIRECT("'" &amp; A568 &amp; "'!" &amp; B568))))</f>
        <v>1973 - 3</v>
      </c>
      <c r="H568" t="str">
        <f ca="1">VLOOKUP($G568, survey_codes_dict!A:C, 2, FALSE)</f>
        <v>1973_3</v>
      </c>
      <c r="I568" s="102" t="str">
        <f ca="1">VLOOKUP($G568, survey_codes_dict!A:D, 4, FALSE)</f>
        <v>1973_2</v>
      </c>
      <c r="J568" s="102" t="str">
        <f t="shared" ca="1" si="16"/>
        <v>1973_3__f38</v>
      </c>
      <c r="K568" s="102" t="str">
        <f t="shared" ca="1" si="17"/>
        <v>1973_2__f38</v>
      </c>
      <c r="L568" s="102"/>
      <c r="M568" s="102"/>
      <c r="N568" s="102"/>
      <c r="O568" s="102"/>
      <c r="P568" s="102"/>
      <c r="Q568" s="102"/>
      <c r="R568" s="102"/>
      <c r="S568" s="101"/>
    </row>
    <row r="569" spans="1:19" ht="144" x14ac:dyDescent="0.3">
      <c r="A569" t="s">
        <v>4058</v>
      </c>
      <c r="B569" t="s">
        <v>4235</v>
      </c>
      <c r="C569" s="90" t="s">
        <v>4236</v>
      </c>
      <c r="D569" t="s">
        <v>5562</v>
      </c>
      <c r="E569" s="101" t="s">
        <v>6036</v>
      </c>
      <c r="F569" t="str" cm="1">
        <f t="array" aca="1" ref="F569" ca="1">INDIRECT("'" &amp; A569 &amp; "'!" &amp; B569)</f>
        <v>f39</v>
      </c>
      <c r="G569" t="str" cm="1">
        <f t="array" aca="1" ref="G569" ca="1">INDIRECT("'" &amp; A569 &amp; "'!" &amp; ADDRESS(1, COLUMN(INDIRECT("'" &amp; A569 &amp; "'!" &amp; B569))))</f>
        <v>1973 - 3</v>
      </c>
      <c r="H569" t="str">
        <f ca="1">VLOOKUP($G569, survey_codes_dict!A:C, 2, FALSE)</f>
        <v>1973_3</v>
      </c>
      <c r="I569" s="102" t="str">
        <f ca="1">VLOOKUP($G569, survey_codes_dict!A:D, 4, FALSE)</f>
        <v>1973_2</v>
      </c>
      <c r="J569" s="102" t="str">
        <f t="shared" ca="1" si="16"/>
        <v>1973_3__f39</v>
      </c>
      <c r="K569" s="102" t="str">
        <f t="shared" ca="1" si="17"/>
        <v>1973_2__f39</v>
      </c>
      <c r="L569" s="102"/>
      <c r="M569" s="102"/>
      <c r="N569" s="102"/>
      <c r="O569" s="102"/>
      <c r="P569" s="102"/>
      <c r="Q569" s="102"/>
      <c r="R569" s="102"/>
      <c r="S569" s="101"/>
    </row>
    <row r="570" spans="1:19" ht="129.6" x14ac:dyDescent="0.3">
      <c r="A570" t="s">
        <v>4058</v>
      </c>
      <c r="B570" t="s">
        <v>4237</v>
      </c>
      <c r="C570" s="90" t="s">
        <v>4238</v>
      </c>
      <c r="D570" t="s">
        <v>5562</v>
      </c>
      <c r="E570" s="101" t="s">
        <v>6037</v>
      </c>
      <c r="F570" t="str" cm="1">
        <f t="array" aca="1" ref="F570" ca="1">INDIRECT("'" &amp; A570 &amp; "'!" &amp; B570)</f>
        <v>f40</v>
      </c>
      <c r="G570" t="str" cm="1">
        <f t="array" aca="1" ref="G570" ca="1">INDIRECT("'" &amp; A570 &amp; "'!" &amp; ADDRESS(1, COLUMN(INDIRECT("'" &amp; A570 &amp; "'!" &amp; B570))))</f>
        <v>1973 - 3</v>
      </c>
      <c r="H570" t="str">
        <f ca="1">VLOOKUP($G570, survey_codes_dict!A:C, 2, FALSE)</f>
        <v>1973_3</v>
      </c>
      <c r="I570" s="102" t="str">
        <f ca="1">VLOOKUP($G570, survey_codes_dict!A:D, 4, FALSE)</f>
        <v>1973_2</v>
      </c>
      <c r="J570" s="102" t="str">
        <f t="shared" ca="1" si="16"/>
        <v>1973_3__f40</v>
      </c>
      <c r="K570" s="102" t="str">
        <f t="shared" ca="1" si="17"/>
        <v>1973_2__f40</v>
      </c>
      <c r="L570" s="102"/>
      <c r="M570" s="102"/>
      <c r="N570" s="102"/>
      <c r="O570" s="102"/>
      <c r="P570" s="102"/>
      <c r="Q570" s="102"/>
      <c r="R570" s="102"/>
      <c r="S570" s="101"/>
    </row>
    <row r="571" spans="1:19" ht="100.8" x14ac:dyDescent="0.3">
      <c r="A571" t="s">
        <v>4239</v>
      </c>
      <c r="B571" t="s">
        <v>3562</v>
      </c>
      <c r="C571" s="90" t="s">
        <v>4240</v>
      </c>
      <c r="D571" t="s">
        <v>5562</v>
      </c>
      <c r="E571" s="101" t="s">
        <v>6038</v>
      </c>
      <c r="F571" t="str" cm="1">
        <f t="array" aca="1" ref="F571" ca="1">INDIRECT("'" &amp; A571 &amp; "'!" &amp; B571)</f>
        <v>v63</v>
      </c>
      <c r="G571" cm="1">
        <f t="array" aca="1" ref="G571" ca="1">INDIRECT("'" &amp; A571 &amp; "'!" &amp; ADDRESS(1, COLUMN(INDIRECT("'" &amp; A571 &amp; "'!" &amp; B571))))</f>
        <v>2020</v>
      </c>
      <c r="H571" t="e">
        <f ca="1">VLOOKUP($G571, survey_codes_dict!A:C, 2, FALSE)</f>
        <v>#N/A</v>
      </c>
      <c r="I571" s="102" t="e">
        <f ca="1">VLOOKUP($G571, survey_codes_dict!A:D, 4, FALSE)</f>
        <v>#N/A</v>
      </c>
      <c r="J571" s="102" t="e">
        <f t="shared" ca="1" si="16"/>
        <v>#N/A</v>
      </c>
      <c r="K571" s="102" t="e">
        <f t="shared" ca="1" si="17"/>
        <v>#N/A</v>
      </c>
      <c r="L571" s="102"/>
      <c r="M571" s="102"/>
      <c r="N571" s="102"/>
      <c r="O571" s="102"/>
      <c r="P571" s="102"/>
      <c r="Q571" s="102"/>
      <c r="R571" s="102"/>
      <c r="S571" s="101"/>
    </row>
    <row r="572" spans="1:19" ht="86.4" x14ac:dyDescent="0.3">
      <c r="A572" t="s">
        <v>4239</v>
      </c>
      <c r="B572" t="s">
        <v>4059</v>
      </c>
      <c r="C572" s="90" t="s">
        <v>4241</v>
      </c>
      <c r="D572" t="s">
        <v>5562</v>
      </c>
      <c r="E572" s="101" t="s">
        <v>6039</v>
      </c>
      <c r="F572" t="str" cm="1">
        <f t="array" aca="1" ref="F572" ca="1">INDIRECT("'" &amp; A572 &amp; "'!" &amp; B572)</f>
        <v>v81</v>
      </c>
      <c r="G572" cm="1">
        <f t="array" aca="1" ref="G572" ca="1">INDIRECT("'" &amp; A572 &amp; "'!" &amp; ADDRESS(1, COLUMN(INDIRECT("'" &amp; A572 &amp; "'!" &amp; B572))))</f>
        <v>2009</v>
      </c>
      <c r="H572" t="e">
        <f ca="1">VLOOKUP($G572, survey_codes_dict!A:C, 2, FALSE)</f>
        <v>#N/A</v>
      </c>
      <c r="I572" s="102" t="e">
        <f ca="1">VLOOKUP($G572, survey_codes_dict!A:D, 4, FALSE)</f>
        <v>#N/A</v>
      </c>
      <c r="J572" s="102" t="e">
        <f t="shared" ca="1" si="16"/>
        <v>#N/A</v>
      </c>
      <c r="K572" s="102" t="e">
        <f t="shared" ca="1" si="17"/>
        <v>#N/A</v>
      </c>
      <c r="L572" s="102"/>
      <c r="M572" s="102"/>
      <c r="N572" s="102"/>
      <c r="O572" s="102"/>
      <c r="P572" s="102"/>
      <c r="Q572" s="102"/>
      <c r="R572" s="102"/>
      <c r="S572" s="101"/>
    </row>
    <row r="573" spans="1:19" ht="86.4" x14ac:dyDescent="0.3">
      <c r="A573" t="s">
        <v>4239</v>
      </c>
      <c r="B573" t="s">
        <v>4242</v>
      </c>
      <c r="C573" s="90" t="s">
        <v>4243</v>
      </c>
      <c r="D573" t="s">
        <v>5562</v>
      </c>
      <c r="E573" s="101" t="s">
        <v>6040</v>
      </c>
      <c r="F573" t="str" cm="1">
        <f t="array" aca="1" ref="F573" ca="1">INDIRECT("'" &amp; A573 &amp; "'!" &amp; B573)</f>
        <v>v38</v>
      </c>
      <c r="G573" t="str" cm="1">
        <f t="array" aca="1" ref="G573" ca="1">INDIRECT("'" &amp; A573 &amp; "'!" &amp; ADDRESS(1, COLUMN(INDIRECT("'" &amp; A573 &amp; "'!" &amp; B573))))</f>
        <v>1981 - 1</v>
      </c>
      <c r="H573" t="str">
        <f ca="1">VLOOKUP($G573, survey_codes_dict!A:C, 2, FALSE)</f>
        <v>1981_1</v>
      </c>
      <c r="I573" s="102" t="str">
        <f ca="1">VLOOKUP($G573, survey_codes_dict!A:D, 4, FALSE)</f>
        <v>1977_4</v>
      </c>
      <c r="J573" s="102" t="str">
        <f t="shared" ca="1" si="16"/>
        <v>1981_1__v38</v>
      </c>
      <c r="K573" s="102" t="str">
        <f t="shared" ca="1" si="17"/>
        <v>1977_4__v38</v>
      </c>
      <c r="L573" s="102"/>
      <c r="M573" s="102"/>
      <c r="N573" s="102"/>
      <c r="O573" s="102"/>
      <c r="P573" s="102"/>
      <c r="Q573" s="102"/>
      <c r="R573" s="102"/>
      <c r="S573" s="101"/>
    </row>
    <row r="574" spans="1:19" ht="144" x14ac:dyDescent="0.3">
      <c r="A574" t="s">
        <v>4239</v>
      </c>
      <c r="B574" t="s">
        <v>4244</v>
      </c>
      <c r="C574" s="90" t="s">
        <v>4245</v>
      </c>
      <c r="D574" t="s">
        <v>5562</v>
      </c>
      <c r="E574" s="101" t="s">
        <v>6041</v>
      </c>
      <c r="F574" t="str" cm="1">
        <f t="array" aca="1" ref="F574" ca="1">INDIRECT("'" &amp; A574 &amp; "'!" &amp; B574)</f>
        <v>c2</v>
      </c>
      <c r="G574" t="str" cm="1">
        <f t="array" aca="1" ref="G574" ca="1">INDIRECT("'" &amp; A574 &amp; "'!" &amp; ADDRESS(1, COLUMN(INDIRECT("'" &amp; A574 &amp; "'!" &amp; B574))))</f>
        <v>1977 - 4</v>
      </c>
      <c r="H574" t="str">
        <f ca="1">VLOOKUP($G574, survey_codes_dict!A:C, 2, FALSE)</f>
        <v>1977_4</v>
      </c>
      <c r="I574" s="102" t="str">
        <f ca="1">VLOOKUP($G574, survey_codes_dict!A:D, 4, FALSE)</f>
        <v>1977_3</v>
      </c>
      <c r="J574" s="102" t="str">
        <f t="shared" ca="1" si="16"/>
        <v>1977_4__c2</v>
      </c>
      <c r="K574" s="102" t="str">
        <f t="shared" ca="1" si="17"/>
        <v>1977_3__c2</v>
      </c>
      <c r="L574" s="102"/>
      <c r="M574" s="102"/>
      <c r="N574" s="102"/>
      <c r="O574" s="102"/>
      <c r="P574" s="102"/>
      <c r="Q574" s="102"/>
      <c r="R574" s="102"/>
      <c r="S574" s="101"/>
    </row>
    <row r="575" spans="1:19" ht="100.8" x14ac:dyDescent="0.3">
      <c r="A575" t="s">
        <v>4239</v>
      </c>
      <c r="B575" t="s">
        <v>3773</v>
      </c>
      <c r="C575" s="90" t="s">
        <v>4246</v>
      </c>
      <c r="D575" t="s">
        <v>5562</v>
      </c>
      <c r="E575" s="101" t="s">
        <v>6042</v>
      </c>
      <c r="F575" t="str" cm="1">
        <f t="array" aca="1" ref="F575" ca="1">INDIRECT("'" &amp; A575 &amp; "'!" &amp; B575)</f>
        <v>v37</v>
      </c>
      <c r="G575" t="str" cm="1">
        <f t="array" aca="1" ref="G575" ca="1">INDIRECT("'" &amp; A575 &amp; "'!" &amp; ADDRESS(1, COLUMN(INDIRECT("'" &amp; A575 &amp; "'!" &amp; B575))))</f>
        <v>1977 - 1</v>
      </c>
      <c r="H575" t="str">
        <f ca="1">VLOOKUP($G575, survey_codes_dict!A:C, 2, FALSE)</f>
        <v>1977_1</v>
      </c>
      <c r="I575" s="102" t="str">
        <f ca="1">VLOOKUP($G575, survey_codes_dict!A:D, 4, FALSE)</f>
        <v>1973_5</v>
      </c>
      <c r="J575" s="102" t="str">
        <f t="shared" ca="1" si="16"/>
        <v>1977_1__v37</v>
      </c>
      <c r="K575" s="102" t="str">
        <f t="shared" ca="1" si="17"/>
        <v>1973_5__v37</v>
      </c>
      <c r="L575" s="102"/>
      <c r="M575" s="102"/>
      <c r="N575" s="102"/>
      <c r="O575" s="102"/>
      <c r="P575" s="102"/>
      <c r="Q575" s="102"/>
      <c r="R575" s="102"/>
      <c r="S575" s="101"/>
    </row>
    <row r="576" spans="1:19" ht="28.8" x14ac:dyDescent="0.3">
      <c r="A576" t="s">
        <v>4239</v>
      </c>
      <c r="B576" t="s">
        <v>4247</v>
      </c>
      <c r="C576" s="90" t="s">
        <v>3348</v>
      </c>
      <c r="D576" t="s">
        <v>5675</v>
      </c>
      <c r="E576" s="101" t="s">
        <v>5566</v>
      </c>
      <c r="F576" t="str" cm="1">
        <f t="array" aca="1" ref="F576" ca="1">INDIRECT("'" &amp; A576 &amp; "'!" &amp; B576)</f>
        <v>f17</v>
      </c>
      <c r="G576" t="str" cm="1">
        <f t="array" aca="1" ref="G576" ca="1">INDIRECT("'" &amp; A576 &amp; "'!" &amp; ADDRESS(1, COLUMN(INDIRECT("'" &amp; A576 &amp; "'!" &amp; B576))))</f>
        <v>1973 - 3</v>
      </c>
      <c r="H576" t="str">
        <f ca="1">VLOOKUP($G576, survey_codes_dict!A:C, 2, FALSE)</f>
        <v>1973_3</v>
      </c>
      <c r="I576" s="102" t="str">
        <f ca="1">VLOOKUP($G576, survey_codes_dict!A:D, 4, FALSE)</f>
        <v>1973_2</v>
      </c>
      <c r="J576" s="102" t="str">
        <f t="shared" ca="1" si="16"/>
        <v>1973_3__f17</v>
      </c>
      <c r="K576" s="102" t="str">
        <f t="shared" ca="1" si="17"/>
        <v>1973_2__f17</v>
      </c>
      <c r="L576" s="102"/>
      <c r="M576" s="102"/>
      <c r="N576" s="102"/>
      <c r="O576" s="102"/>
      <c r="P576" s="102"/>
      <c r="Q576" s="102"/>
      <c r="R576" s="102"/>
      <c r="S576" s="101"/>
    </row>
    <row r="577" spans="1:19" ht="100.8" x14ac:dyDescent="0.3">
      <c r="A577" t="s">
        <v>4239</v>
      </c>
      <c r="B577" t="s">
        <v>3312</v>
      </c>
      <c r="C577" s="90" t="s">
        <v>4248</v>
      </c>
      <c r="D577" t="s">
        <v>5562</v>
      </c>
      <c r="E577" s="101" t="s">
        <v>6043</v>
      </c>
      <c r="F577" t="str" cm="1">
        <f t="array" aca="1" ref="F577" ca="1">INDIRECT("'" &amp; A577 &amp; "'!" &amp; B577)</f>
        <v>a57</v>
      </c>
      <c r="G577" cm="1">
        <f t="array" aca="1" ref="G577" ca="1">INDIRECT("'" &amp; A577 &amp; "'!" &amp; ADDRESS(1, COLUMN(INDIRECT("'" &amp; A577 &amp; "'!" &amp; B577))))</f>
        <v>2001</v>
      </c>
      <c r="H577" t="str">
        <f ca="1">VLOOKUP($G577, survey_codes_dict!A:C, 2, FALSE)</f>
        <v>2001</v>
      </c>
      <c r="I577" s="102" t="str">
        <f ca="1">VLOOKUP($G577, survey_codes_dict!A:D, 4, FALSE)</f>
        <v>1999_1</v>
      </c>
      <c r="J577" s="102" t="str">
        <f t="shared" ca="1" si="16"/>
        <v>2001__a57</v>
      </c>
      <c r="K577" s="102" t="str">
        <f t="shared" ca="1" si="17"/>
        <v>1999_1__a57</v>
      </c>
      <c r="L577" s="102"/>
      <c r="M577" s="102"/>
      <c r="N577" s="102"/>
      <c r="O577" s="102"/>
      <c r="P577" s="102"/>
      <c r="Q577" s="102"/>
      <c r="R577" s="102"/>
      <c r="S577" s="101"/>
    </row>
    <row r="578" spans="1:19" ht="86.4" x14ac:dyDescent="0.3">
      <c r="A578" t="s">
        <v>4239</v>
      </c>
      <c r="B578" t="s">
        <v>4249</v>
      </c>
      <c r="C578" s="90" t="s">
        <v>4250</v>
      </c>
      <c r="D578" t="s">
        <v>5562</v>
      </c>
      <c r="E578" s="101" t="s">
        <v>6044</v>
      </c>
      <c r="F578" t="str" cm="1">
        <f t="array" aca="1" ref="F578" ca="1">INDIRECT("'" &amp; A578 &amp; "'!" &amp; B578)</f>
        <v>c72</v>
      </c>
      <c r="G578" cm="1">
        <f t="array" aca="1" ref="G578" ca="1">INDIRECT("'" &amp; A578 &amp; "'!" &amp; ADDRESS(1, COLUMN(INDIRECT("'" &amp; A578 &amp; "'!" &amp; B578))))</f>
        <v>1996</v>
      </c>
      <c r="H578" t="str">
        <f ca="1">VLOOKUP($G578, survey_codes_dict!A:C, 2, FALSE)</f>
        <v>1996_Jews</v>
      </c>
      <c r="I578" s="102" t="str">
        <f ca="1">VLOOKUP($G578, survey_codes_dict!A:D, 4, FALSE)</f>
        <v>1992</v>
      </c>
      <c r="J578" s="102" t="str">
        <f t="shared" ref="J578:J641" ca="1" si="18">_xlfn.CONCAT($H578, "__", F578)</f>
        <v>1996_Jews__c72</v>
      </c>
      <c r="K578" s="102" t="str">
        <f t="shared" ref="K578:K641" ca="1" si="19">_xlfn.CONCAT($I578, "__", F578)</f>
        <v>1992__c72</v>
      </c>
      <c r="L578" s="102"/>
      <c r="M578" s="102"/>
      <c r="N578" s="102"/>
      <c r="O578" s="102"/>
      <c r="P578" s="102"/>
      <c r="Q578" s="102"/>
      <c r="R578" s="102"/>
      <c r="S578" s="101"/>
    </row>
    <row r="579" spans="1:19" ht="115.2" x14ac:dyDescent="0.3">
      <c r="A579" t="s">
        <v>4239</v>
      </c>
      <c r="B579" t="s">
        <v>4251</v>
      </c>
      <c r="C579" s="90" t="s">
        <v>4252</v>
      </c>
      <c r="D579" t="s">
        <v>5562</v>
      </c>
      <c r="E579" s="101" t="s">
        <v>6045</v>
      </c>
      <c r="F579" t="str" cm="1">
        <f t="array" aca="1" ref="F579" ca="1">INDIRECT("'" &amp; A579 &amp; "'!" &amp; B579)</f>
        <v>b50</v>
      </c>
      <c r="G579" t="str" cm="1">
        <f t="array" aca="1" ref="G579" ca="1">INDIRECT("'" &amp; A579 &amp; "'!" &amp; ADDRESS(1, COLUMN(INDIRECT("'" &amp; A579 &amp; "'!" &amp; B579))))</f>
        <v>1969 - 3</v>
      </c>
      <c r="H579" t="e">
        <f ca="1">VLOOKUP($G579, survey_codes_dict!A:C, 2, FALSE)</f>
        <v>#N/A</v>
      </c>
      <c r="I579" s="102" t="e">
        <f ca="1">VLOOKUP($G579, survey_codes_dict!A:D, 4, FALSE)</f>
        <v>#N/A</v>
      </c>
      <c r="J579" s="102" t="e">
        <f t="shared" ca="1" si="18"/>
        <v>#N/A</v>
      </c>
      <c r="K579" s="102" t="e">
        <f t="shared" ca="1" si="19"/>
        <v>#N/A</v>
      </c>
      <c r="L579" s="102"/>
      <c r="M579" s="102"/>
      <c r="N579" s="102"/>
      <c r="O579" s="102"/>
      <c r="P579" s="102"/>
      <c r="Q579" s="102"/>
      <c r="R579" s="102"/>
      <c r="S579" s="101"/>
    </row>
    <row r="580" spans="1:19" ht="72" x14ac:dyDescent="0.3">
      <c r="A580" t="s">
        <v>4239</v>
      </c>
      <c r="B580" t="s">
        <v>3858</v>
      </c>
      <c r="C580" s="90" t="s">
        <v>4253</v>
      </c>
      <c r="D580" t="s">
        <v>5562</v>
      </c>
      <c r="E580" s="101" t="s">
        <v>6046</v>
      </c>
      <c r="F580" t="str" cm="1">
        <f t="array" aca="1" ref="F580" ca="1">INDIRECT("'" &amp; A580 &amp; "'!" &amp; B580)</f>
        <v>v64</v>
      </c>
      <c r="G580" cm="1">
        <f t="array" aca="1" ref="G580" ca="1">INDIRECT("'" &amp; A580 &amp; "'!" &amp; ADDRESS(1, COLUMN(INDIRECT("'" &amp; A580 &amp; "'!" &amp; B580))))</f>
        <v>2020</v>
      </c>
      <c r="H580" t="e">
        <f ca="1">VLOOKUP($G580, survey_codes_dict!A:C, 2, FALSE)</f>
        <v>#N/A</v>
      </c>
      <c r="I580" s="102" t="e">
        <f ca="1">VLOOKUP($G580, survey_codes_dict!A:D, 4, FALSE)</f>
        <v>#N/A</v>
      </c>
      <c r="J580" s="102" t="e">
        <f t="shared" ca="1" si="18"/>
        <v>#N/A</v>
      </c>
      <c r="K580" s="102" t="e">
        <f t="shared" ca="1" si="19"/>
        <v>#N/A</v>
      </c>
      <c r="L580" s="102"/>
      <c r="M580" s="102"/>
      <c r="N580" s="102"/>
      <c r="O580" s="102"/>
      <c r="P580" s="102"/>
      <c r="Q580" s="102"/>
      <c r="R580" s="102"/>
      <c r="S580" s="101"/>
    </row>
    <row r="581" spans="1:19" ht="72" x14ac:dyDescent="0.3">
      <c r="A581" t="s">
        <v>4239</v>
      </c>
      <c r="B581" t="s">
        <v>4254</v>
      </c>
      <c r="C581" s="90" t="s">
        <v>4255</v>
      </c>
      <c r="D581" t="s">
        <v>5562</v>
      </c>
      <c r="E581" s="101" t="s">
        <v>6047</v>
      </c>
      <c r="F581" t="str" cm="1">
        <f t="array" aca="1" ref="F581" ca="1">INDIRECT("'" &amp; A581 &amp; "'!" &amp; B581)</f>
        <v>c60</v>
      </c>
      <c r="G581" t="str" cm="1">
        <f t="array" aca="1" ref="G581" ca="1">INDIRECT("'" &amp; A581 &amp; "'!" &amp; ADDRESS(1, COLUMN(INDIRECT("'" &amp; A581 &amp; "'!" &amp; B581))))</f>
        <v>1973 - 2</v>
      </c>
      <c r="H581" t="str">
        <f ca="1">VLOOKUP($G581, survey_codes_dict!A:C, 2, FALSE)</f>
        <v>1973_2</v>
      </c>
      <c r="I581" s="102" t="str">
        <f ca="1">VLOOKUP($G581, survey_codes_dict!A:D, 4, FALSE)</f>
        <v>1973_1</v>
      </c>
      <c r="J581" s="102" t="str">
        <f t="shared" ca="1" si="18"/>
        <v>1973_2__c60</v>
      </c>
      <c r="K581" s="102" t="str">
        <f t="shared" ca="1" si="19"/>
        <v>1973_1__c60</v>
      </c>
      <c r="L581" s="102"/>
      <c r="M581" s="102"/>
      <c r="N581" s="102"/>
      <c r="O581" s="102"/>
      <c r="P581" s="102"/>
      <c r="Q581" s="102"/>
      <c r="R581" s="102"/>
      <c r="S581" s="101"/>
    </row>
    <row r="582" spans="1:19" ht="72" x14ac:dyDescent="0.3">
      <c r="A582" t="s">
        <v>4239</v>
      </c>
      <c r="B582" t="s">
        <v>4256</v>
      </c>
      <c r="C582" s="90" t="s">
        <v>4257</v>
      </c>
      <c r="D582" t="s">
        <v>5562</v>
      </c>
      <c r="E582" s="101" t="s">
        <v>6048</v>
      </c>
      <c r="F582" t="str" cm="1">
        <f t="array" aca="1" ref="F582" ca="1">INDIRECT("'" &amp; A582 &amp; "'!" &amp; B582)</f>
        <v>v59</v>
      </c>
      <c r="G582" cm="1">
        <f t="array" aca="1" ref="G582" ca="1">INDIRECT("'" &amp; A582 &amp; "'!" &amp; ADDRESS(1, COLUMN(INDIRECT("'" &amp; A582 &amp; "'!" &amp; B582))))</f>
        <v>2013</v>
      </c>
      <c r="H582" t="e">
        <f ca="1">VLOOKUP($G582, survey_codes_dict!A:C, 2, FALSE)</f>
        <v>#N/A</v>
      </c>
      <c r="I582" s="102" t="e">
        <f ca="1">VLOOKUP($G582, survey_codes_dict!A:D, 4, FALSE)</f>
        <v>#N/A</v>
      </c>
      <c r="J582" s="102" t="e">
        <f t="shared" ca="1" si="18"/>
        <v>#N/A</v>
      </c>
      <c r="K582" s="102" t="e">
        <f t="shared" ca="1" si="19"/>
        <v>#N/A</v>
      </c>
      <c r="L582" s="102"/>
      <c r="M582" s="102"/>
      <c r="N582" s="102"/>
      <c r="O582" s="102"/>
      <c r="P582" s="102"/>
      <c r="Q582" s="102"/>
      <c r="R582" s="102"/>
      <c r="S582" s="101"/>
    </row>
    <row r="583" spans="1:19" ht="72" x14ac:dyDescent="0.3">
      <c r="A583" t="s">
        <v>4239</v>
      </c>
      <c r="B583" t="s">
        <v>3862</v>
      </c>
      <c r="C583" s="90" t="s">
        <v>4258</v>
      </c>
      <c r="D583" t="s">
        <v>5562</v>
      </c>
      <c r="E583" s="101" t="s">
        <v>6049</v>
      </c>
      <c r="F583" t="str" cm="1">
        <f t="array" aca="1" ref="F583" ca="1">INDIRECT("'" &amp; A583 &amp; "'!" &amp; B583)</f>
        <v>i24</v>
      </c>
      <c r="G583" cm="1">
        <f t="array" aca="1" ref="G583" ca="1">INDIRECT("'" &amp; A583 &amp; "'!" &amp; ADDRESS(1, COLUMN(INDIRECT("'" &amp; A583 &amp; "'!" &amp; B583))))</f>
        <v>1999</v>
      </c>
      <c r="H583" t="str">
        <f ca="1">VLOOKUP($G583, survey_codes_dict!A:C, 2, FALSE)</f>
        <v>1999_1</v>
      </c>
      <c r="I583" s="102" t="str">
        <f ca="1">VLOOKUP($G583, survey_codes_dict!A:D, 4, FALSE)</f>
        <v>1996_Jews</v>
      </c>
      <c r="J583" s="102" t="str">
        <f t="shared" ca="1" si="18"/>
        <v>1999_1__i24</v>
      </c>
      <c r="K583" s="102" t="str">
        <f t="shared" ca="1" si="19"/>
        <v>1996_Jews__i24</v>
      </c>
      <c r="L583" s="102"/>
      <c r="M583" s="102"/>
      <c r="N583" s="102"/>
      <c r="O583" s="102"/>
      <c r="P583" s="102"/>
      <c r="Q583" s="102"/>
      <c r="R583" s="102"/>
      <c r="S583" s="101"/>
    </row>
    <row r="584" spans="1:19" ht="72" x14ac:dyDescent="0.3">
      <c r="A584" t="s">
        <v>4239</v>
      </c>
      <c r="B584" t="s">
        <v>4259</v>
      </c>
      <c r="C584" s="90" t="s">
        <v>4260</v>
      </c>
      <c r="D584" t="s">
        <v>5562</v>
      </c>
      <c r="E584" s="101" t="s">
        <v>6050</v>
      </c>
      <c r="F584" t="str" cm="1">
        <f t="array" aca="1" ref="F584" ca="1">INDIRECT("'" &amp; A584 &amp; "'!" &amp; B584)</f>
        <v>cc13</v>
      </c>
      <c r="G584" cm="1">
        <f t="array" aca="1" ref="G584" ca="1">INDIRECT("'" &amp; A584 &amp; "'!" &amp; ADDRESS(1, COLUMN(INDIRECT("'" &amp; A584 &amp; "'!" &amp; B584))))</f>
        <v>1996</v>
      </c>
      <c r="H584" t="str">
        <f ca="1">VLOOKUP($G584, survey_codes_dict!A:C, 2, FALSE)</f>
        <v>1996_Jews</v>
      </c>
      <c r="I584" s="102" t="str">
        <f ca="1">VLOOKUP($G584, survey_codes_dict!A:D, 4, FALSE)</f>
        <v>1992</v>
      </c>
      <c r="J584" s="102" t="str">
        <f t="shared" ca="1" si="18"/>
        <v>1996_Jews__cc13</v>
      </c>
      <c r="K584" s="102" t="str">
        <f t="shared" ca="1" si="19"/>
        <v>1992__cc13</v>
      </c>
      <c r="L584" s="102"/>
      <c r="M584" s="102"/>
      <c r="N584" s="102"/>
      <c r="O584" s="102"/>
      <c r="P584" s="102"/>
      <c r="Q584" s="102"/>
      <c r="R584" s="102"/>
      <c r="S584" s="101"/>
    </row>
    <row r="585" spans="1:19" ht="72" x14ac:dyDescent="0.3">
      <c r="A585" t="s">
        <v>4239</v>
      </c>
      <c r="B585" t="s">
        <v>4261</v>
      </c>
      <c r="C585" s="90" t="s">
        <v>4262</v>
      </c>
      <c r="D585" t="s">
        <v>5562</v>
      </c>
      <c r="E585" s="101" t="s">
        <v>6051</v>
      </c>
      <c r="F585" t="str" cm="1">
        <f t="array" aca="1" ref="F585" ca="1">INDIRECT("'" &amp; A585 &amp; "'!" &amp; B585)</f>
        <v>a54</v>
      </c>
      <c r="G585" cm="1">
        <f t="array" aca="1" ref="G585" ca="1">INDIRECT("'" &amp; A585 &amp; "'!" &amp; ADDRESS(1, COLUMN(INDIRECT("'" &amp; A585 &amp; "'!" &amp; B585))))</f>
        <v>1992</v>
      </c>
      <c r="H585" t="str">
        <f ca="1">VLOOKUP($G585, survey_codes_dict!A:C, 2, FALSE)</f>
        <v>1992</v>
      </c>
      <c r="I585" s="102" t="str">
        <f ca="1">VLOOKUP($G585, survey_codes_dict!A:D, 4, FALSE)</f>
        <v>1988_N=873</v>
      </c>
      <c r="J585" s="102" t="str">
        <f t="shared" ca="1" si="18"/>
        <v>1992__a54</v>
      </c>
      <c r="K585" s="102" t="str">
        <f t="shared" ca="1" si="19"/>
        <v>1988_N=873__a54</v>
      </c>
      <c r="L585" s="102"/>
      <c r="M585" s="102"/>
      <c r="N585" s="102"/>
      <c r="O585" s="102"/>
      <c r="P585" s="102"/>
      <c r="Q585" s="102"/>
      <c r="R585" s="102"/>
      <c r="S585" s="101"/>
    </row>
    <row r="586" spans="1:19" ht="72" x14ac:dyDescent="0.3">
      <c r="A586" t="s">
        <v>4239</v>
      </c>
      <c r="B586" t="s">
        <v>4263</v>
      </c>
      <c r="C586" s="90" t="s">
        <v>3778</v>
      </c>
      <c r="D586" t="s">
        <v>5562</v>
      </c>
      <c r="E586" s="101" t="s">
        <v>5869</v>
      </c>
      <c r="F586" t="str" cm="1">
        <f t="array" aca="1" ref="F586" ca="1">INDIRECT("'" &amp; A586 &amp; "'!" &amp; B586)</f>
        <v>v24</v>
      </c>
      <c r="G586" t="str" cm="1">
        <f t="array" aca="1" ref="G586" ca="1">INDIRECT("'" &amp; A586 &amp; "'!" &amp; ADDRESS(1, COLUMN(INDIRECT("'" &amp; A586 &amp; "'!" &amp; B586))))</f>
        <v>1977 - 1</v>
      </c>
      <c r="H586" t="str">
        <f ca="1">VLOOKUP($G586, survey_codes_dict!A:C, 2, FALSE)</f>
        <v>1977_1</v>
      </c>
      <c r="I586" s="102" t="str">
        <f ca="1">VLOOKUP($G586, survey_codes_dict!A:D, 4, FALSE)</f>
        <v>1973_5</v>
      </c>
      <c r="J586" s="102" t="str">
        <f t="shared" ca="1" si="18"/>
        <v>1977_1__v24</v>
      </c>
      <c r="K586" s="102" t="str">
        <f t="shared" ca="1" si="19"/>
        <v>1973_5__v24</v>
      </c>
      <c r="L586" s="102"/>
      <c r="M586" s="102"/>
      <c r="N586" s="102"/>
      <c r="O586" s="102"/>
      <c r="P586" s="102"/>
      <c r="Q586" s="102"/>
      <c r="R586" s="102"/>
      <c r="S586" s="101"/>
    </row>
    <row r="587" spans="1:19" ht="72" x14ac:dyDescent="0.3">
      <c r="A587" t="s">
        <v>4239</v>
      </c>
      <c r="B587" t="s">
        <v>4264</v>
      </c>
      <c r="C587" s="90" t="s">
        <v>4257</v>
      </c>
      <c r="D587" t="s">
        <v>5562</v>
      </c>
      <c r="E587" s="101" t="s">
        <v>6048</v>
      </c>
      <c r="F587" t="str" cm="1">
        <f t="array" aca="1" ref="F587" ca="1">INDIRECT("'" &amp; A587 &amp; "'!" &amp; B587)</f>
        <v>v60</v>
      </c>
      <c r="G587" cm="1">
        <f t="array" aca="1" ref="G587" ca="1">INDIRECT("'" &amp; A587 &amp; "'!" &amp; ADDRESS(1, COLUMN(INDIRECT("'" &amp; A587 &amp; "'!" &amp; B587))))</f>
        <v>2013</v>
      </c>
      <c r="H587" t="e">
        <f ca="1">VLOOKUP($G587, survey_codes_dict!A:C, 2, FALSE)</f>
        <v>#N/A</v>
      </c>
      <c r="I587" s="102" t="e">
        <f ca="1">VLOOKUP($G587, survey_codes_dict!A:D, 4, FALSE)</f>
        <v>#N/A</v>
      </c>
      <c r="J587" s="102" t="e">
        <f t="shared" ca="1" si="18"/>
        <v>#N/A</v>
      </c>
      <c r="K587" s="102" t="e">
        <f t="shared" ca="1" si="19"/>
        <v>#N/A</v>
      </c>
      <c r="L587" s="102"/>
      <c r="M587" s="102"/>
      <c r="N587" s="102"/>
      <c r="O587" s="102"/>
      <c r="P587" s="102"/>
      <c r="Q587" s="102"/>
      <c r="R587" s="102"/>
      <c r="S587" s="101"/>
    </row>
    <row r="588" spans="1:19" ht="72" x14ac:dyDescent="0.3">
      <c r="A588" t="s">
        <v>4239</v>
      </c>
      <c r="B588" t="s">
        <v>4265</v>
      </c>
      <c r="C588" s="90" t="s">
        <v>4257</v>
      </c>
      <c r="D588" t="s">
        <v>5562</v>
      </c>
      <c r="E588" s="101" t="s">
        <v>6048</v>
      </c>
      <c r="F588" t="str" cm="1">
        <f t="array" aca="1" ref="F588" ca="1">INDIRECT("'" &amp; A588 &amp; "'!" &amp; B588)</f>
        <v>v61</v>
      </c>
      <c r="G588" cm="1">
        <f t="array" aca="1" ref="G588" ca="1">INDIRECT("'" &amp; A588 &amp; "'!" &amp; ADDRESS(1, COLUMN(INDIRECT("'" &amp; A588 &amp; "'!" &amp; B588))))</f>
        <v>2013</v>
      </c>
      <c r="H588" t="e">
        <f ca="1">VLOOKUP($G588, survey_codes_dict!A:C, 2, FALSE)</f>
        <v>#N/A</v>
      </c>
      <c r="I588" s="102" t="e">
        <f ca="1">VLOOKUP($G588, survey_codes_dict!A:D, 4, FALSE)</f>
        <v>#N/A</v>
      </c>
      <c r="J588" s="102" t="e">
        <f t="shared" ca="1" si="18"/>
        <v>#N/A</v>
      </c>
      <c r="K588" s="102" t="e">
        <f t="shared" ca="1" si="19"/>
        <v>#N/A</v>
      </c>
      <c r="L588" s="102"/>
      <c r="M588" s="102"/>
      <c r="N588" s="102"/>
      <c r="O588" s="102"/>
      <c r="P588" s="102"/>
      <c r="Q588" s="102"/>
      <c r="R588" s="102"/>
      <c r="S588" s="101"/>
    </row>
    <row r="589" spans="1:19" ht="28.8" x14ac:dyDescent="0.3">
      <c r="A589" t="s">
        <v>4239</v>
      </c>
      <c r="B589" t="s">
        <v>4266</v>
      </c>
      <c r="C589" s="90" t="s">
        <v>4267</v>
      </c>
      <c r="D589" t="s">
        <v>5660</v>
      </c>
      <c r="E589" s="101" t="s">
        <v>5600</v>
      </c>
      <c r="F589" t="str" cm="1">
        <f t="array" aca="1" ref="F589" ca="1">INDIRECT("'" &amp; A589 &amp; "'!" &amp; B589)</f>
        <v>v66</v>
      </c>
      <c r="G589" cm="1">
        <f t="array" aca="1" ref="G589" ca="1">INDIRECT("'" &amp; A589 &amp; "'!" &amp; ADDRESS(1, COLUMN(INDIRECT("'" &amp; A589 &amp; "'!" &amp; B589))))</f>
        <v>2021</v>
      </c>
      <c r="H589" t="e">
        <f ca="1">VLOOKUP($G589, survey_codes_dict!A:C, 2, FALSE)</f>
        <v>#N/A</v>
      </c>
      <c r="I589" s="102" t="e">
        <f ca="1">VLOOKUP($G589, survey_codes_dict!A:D, 4, FALSE)</f>
        <v>#N/A</v>
      </c>
      <c r="J589" s="102" t="e">
        <f t="shared" ca="1" si="18"/>
        <v>#N/A</v>
      </c>
      <c r="K589" s="102" t="e">
        <f t="shared" ca="1" si="19"/>
        <v>#N/A</v>
      </c>
      <c r="L589" s="102"/>
      <c r="M589" s="102"/>
      <c r="N589" s="102"/>
      <c r="O589" s="102"/>
      <c r="P589" s="102"/>
      <c r="Q589" s="102"/>
      <c r="R589" s="102"/>
      <c r="S589" s="101"/>
    </row>
    <row r="590" spans="1:19" ht="72" x14ac:dyDescent="0.3">
      <c r="A590" t="s">
        <v>4239</v>
      </c>
      <c r="B590" t="s">
        <v>4268</v>
      </c>
      <c r="C590" s="90" t="s">
        <v>4262</v>
      </c>
      <c r="D590" t="s">
        <v>5562</v>
      </c>
      <c r="E590" s="101" t="s">
        <v>6051</v>
      </c>
      <c r="F590" t="str" cm="1">
        <f t="array" aca="1" ref="F590" ca="1">INDIRECT("'" &amp; A590 &amp; "'!" &amp; B590)</f>
        <v>b55</v>
      </c>
      <c r="G590" t="str" cm="1">
        <f t="array" aca="1" ref="G590" ca="1">INDIRECT("'" &amp; A590 &amp; "'!" &amp; ADDRESS(1, COLUMN(INDIRECT("'" &amp; A590 &amp; "'!" &amp; B590))))</f>
        <v>1988*</v>
      </c>
      <c r="H590" t="str">
        <f ca="1">VLOOKUP($G590, survey_codes_dict!A:C, 2, FALSE)</f>
        <v>1988_N=873</v>
      </c>
      <c r="I590" s="102" t="str">
        <f ca="1">VLOOKUP($G590, survey_codes_dict!A:D, 4, FALSE)</f>
        <v>1988_Panel_N=416</v>
      </c>
      <c r="J590" s="102" t="str">
        <f t="shared" ca="1" si="18"/>
        <v>1988_N=873__b55</v>
      </c>
      <c r="K590" s="102" t="str">
        <f t="shared" ca="1" si="19"/>
        <v>1988_Panel_N=416__b55</v>
      </c>
      <c r="L590" s="102"/>
      <c r="M590" s="102"/>
      <c r="N590" s="102"/>
      <c r="O590" s="102"/>
      <c r="P590" s="102"/>
      <c r="Q590" s="102"/>
      <c r="R590" s="102"/>
      <c r="S590" s="101"/>
    </row>
    <row r="591" spans="1:19" ht="72" x14ac:dyDescent="0.3">
      <c r="A591" t="s">
        <v>4239</v>
      </c>
      <c r="B591" t="s">
        <v>4269</v>
      </c>
      <c r="C591" s="90" t="s">
        <v>3778</v>
      </c>
      <c r="D591" t="s">
        <v>5562</v>
      </c>
      <c r="E591" s="101" t="s">
        <v>5869</v>
      </c>
      <c r="F591" t="str" cm="1">
        <f t="array" aca="1" ref="F591" ca="1">INDIRECT("'" &amp; A591 &amp; "'!" &amp; B591)</f>
        <v>v15</v>
      </c>
      <c r="G591" t="str" cm="1">
        <f t="array" aca="1" ref="G591" ca="1">INDIRECT("'" &amp; A591 &amp; "'!" &amp; ADDRESS(1, COLUMN(INDIRECT("'" &amp; A591 &amp; "'!" &amp; B591))))</f>
        <v>1977 - 1</v>
      </c>
      <c r="H591" t="str">
        <f ca="1">VLOOKUP($G591, survey_codes_dict!A:C, 2, FALSE)</f>
        <v>1977_1</v>
      </c>
      <c r="I591" s="102" t="str">
        <f ca="1">VLOOKUP($G591, survey_codes_dict!A:D, 4, FALSE)</f>
        <v>1973_5</v>
      </c>
      <c r="J591" s="102" t="str">
        <f t="shared" ca="1" si="18"/>
        <v>1977_1__v15</v>
      </c>
      <c r="K591" s="102" t="str">
        <f t="shared" ca="1" si="19"/>
        <v>1973_5__v15</v>
      </c>
      <c r="L591" s="102"/>
      <c r="M591" s="102"/>
      <c r="N591" s="102"/>
      <c r="O591" s="102"/>
      <c r="P591" s="102"/>
      <c r="Q591" s="102"/>
      <c r="R591" s="102"/>
      <c r="S591" s="101"/>
    </row>
    <row r="592" spans="1:19" ht="72" x14ac:dyDescent="0.3">
      <c r="A592" t="s">
        <v>4239</v>
      </c>
      <c r="B592" t="s">
        <v>4270</v>
      </c>
      <c r="C592" s="90" t="s">
        <v>3712</v>
      </c>
      <c r="D592" t="s">
        <v>5562</v>
      </c>
      <c r="E592" s="101" t="s">
        <v>5848</v>
      </c>
      <c r="F592" t="str" cm="1">
        <f t="array" aca="1" ref="F592" ca="1">INDIRECT("'" &amp; A592 &amp; "'!" &amp; B592)</f>
        <v>c63</v>
      </c>
      <c r="G592" t="str" cm="1">
        <f t="array" aca="1" ref="G592" ca="1">INDIRECT("'" &amp; A592 &amp; "'!" &amp; ADDRESS(1, COLUMN(INDIRECT("'" &amp; A592 &amp; "'!" &amp; B592))))</f>
        <v>1973 - 2</v>
      </c>
      <c r="H592" t="str">
        <f ca="1">VLOOKUP($G592, survey_codes_dict!A:C, 2, FALSE)</f>
        <v>1973_2</v>
      </c>
      <c r="I592" s="102" t="str">
        <f ca="1">VLOOKUP($G592, survey_codes_dict!A:D, 4, FALSE)</f>
        <v>1973_1</v>
      </c>
      <c r="J592" s="102" t="str">
        <f t="shared" ca="1" si="18"/>
        <v>1973_2__c63</v>
      </c>
      <c r="K592" s="102" t="str">
        <f t="shared" ca="1" si="19"/>
        <v>1973_1__c63</v>
      </c>
      <c r="L592" s="102"/>
      <c r="M592" s="102"/>
      <c r="N592" s="102"/>
      <c r="O592" s="102"/>
      <c r="P592" s="102"/>
      <c r="Q592" s="102"/>
      <c r="R592" s="102"/>
      <c r="S592" s="101"/>
    </row>
    <row r="593" spans="1:19" ht="57.6" x14ac:dyDescent="0.3">
      <c r="A593" t="s">
        <v>4239</v>
      </c>
      <c r="B593" t="s">
        <v>4271</v>
      </c>
      <c r="C593" s="90" t="s">
        <v>4272</v>
      </c>
      <c r="D593" t="s">
        <v>5562</v>
      </c>
      <c r="E593" s="101" t="s">
        <v>6052</v>
      </c>
      <c r="F593" t="str" cm="1">
        <f t="array" aca="1" ref="F593" ca="1">INDIRECT("'" &amp; A593 &amp; "'!" &amp; B593)</f>
        <v>i25</v>
      </c>
      <c r="G593" cm="1">
        <f t="array" aca="1" ref="G593" ca="1">INDIRECT("'" &amp; A593 &amp; "'!" &amp; ADDRESS(1, COLUMN(INDIRECT("'" &amp; A593 &amp; "'!" &amp; B593))))</f>
        <v>1999</v>
      </c>
      <c r="H593" t="str">
        <f ca="1">VLOOKUP($G593, survey_codes_dict!A:C, 2, FALSE)</f>
        <v>1999_1</v>
      </c>
      <c r="I593" s="102" t="str">
        <f ca="1">VLOOKUP($G593, survey_codes_dict!A:D, 4, FALSE)</f>
        <v>1996_Jews</v>
      </c>
      <c r="J593" s="102" t="str">
        <f t="shared" ca="1" si="18"/>
        <v>1999_1__i25</v>
      </c>
      <c r="K593" s="102" t="str">
        <f t="shared" ca="1" si="19"/>
        <v>1996_Jews__i25</v>
      </c>
      <c r="L593" s="102"/>
      <c r="M593" s="102"/>
      <c r="N593" s="102"/>
      <c r="O593" s="102"/>
      <c r="P593" s="102"/>
      <c r="Q593" s="102"/>
      <c r="R593" s="102"/>
      <c r="S593" s="101"/>
    </row>
    <row r="594" spans="1:19" ht="72" x14ac:dyDescent="0.3">
      <c r="A594" t="s">
        <v>4239</v>
      </c>
      <c r="B594" t="s">
        <v>3790</v>
      </c>
      <c r="C594" s="90" t="s">
        <v>4262</v>
      </c>
      <c r="D594" t="s">
        <v>5562</v>
      </c>
      <c r="E594" s="101" t="s">
        <v>6051</v>
      </c>
      <c r="F594" t="str" cm="1">
        <f t="array" aca="1" ref="F594" ca="1">INDIRECT("'" &amp; A594 &amp; "'!" &amp; B594)</f>
        <v>a61</v>
      </c>
      <c r="G594" t="str" cm="1">
        <f t="array" aca="1" ref="G594" ca="1">INDIRECT("'" &amp; A594 &amp; "'!" &amp; ADDRESS(1, COLUMN(INDIRECT("'" &amp; A594 &amp; "'!" &amp; B594))))</f>
        <v>1987*</v>
      </c>
      <c r="H594" t="e">
        <f ca="1">VLOOKUP($G594, survey_codes_dict!A:C, 2, FALSE)</f>
        <v>#N/A</v>
      </c>
      <c r="I594" s="102" t="e">
        <f ca="1">VLOOKUP($G594, survey_codes_dict!A:D, 4, FALSE)</f>
        <v>#N/A</v>
      </c>
      <c r="J594" s="102" t="e">
        <f t="shared" ca="1" si="18"/>
        <v>#N/A</v>
      </c>
      <c r="K594" s="102" t="e">
        <f t="shared" ca="1" si="19"/>
        <v>#N/A</v>
      </c>
      <c r="L594" s="102"/>
      <c r="M594" s="102"/>
      <c r="N594" s="102"/>
      <c r="O594" s="102"/>
      <c r="P594" s="102"/>
      <c r="Q594" s="102"/>
      <c r="R594" s="102"/>
      <c r="S594" s="101"/>
    </row>
    <row r="595" spans="1:19" ht="72" x14ac:dyDescent="0.3">
      <c r="A595" t="s">
        <v>4239</v>
      </c>
      <c r="B595" t="s">
        <v>4071</v>
      </c>
      <c r="C595" s="90" t="s">
        <v>4273</v>
      </c>
      <c r="D595" t="s">
        <v>5562</v>
      </c>
      <c r="E595" s="101" t="s">
        <v>6053</v>
      </c>
      <c r="F595" t="str" cm="1">
        <f t="array" aca="1" ref="F595" ca="1">INDIRECT("'" &amp; A595 &amp; "'!" &amp; B595)</f>
        <v>b12</v>
      </c>
      <c r="G595" t="str" cm="1">
        <f t="array" aca="1" ref="G595" ca="1">INDIRECT("'" &amp; A595 &amp; "'!" &amp; ADDRESS(1, COLUMN(INDIRECT("'" &amp; A595 &amp; "'!" &amp; B595))))</f>
        <v>1981 - 3</v>
      </c>
      <c r="H595" t="str">
        <f ca="1">VLOOKUP($G595, survey_codes_dict!A:C, 2, FALSE)</f>
        <v>1981_3</v>
      </c>
      <c r="I595" s="102">
        <f ca="1">VLOOKUP($G595, survey_codes_dict!A:D, 4, FALSE)</f>
        <v>0</v>
      </c>
      <c r="J595" s="102" t="str">
        <f t="shared" ca="1" si="18"/>
        <v>1981_3__b12</v>
      </c>
      <c r="K595" s="102" t="str">
        <f t="shared" ca="1" si="19"/>
        <v>0__b12</v>
      </c>
      <c r="L595" s="102"/>
      <c r="M595" s="102"/>
      <c r="N595" s="102"/>
      <c r="O595" s="102"/>
      <c r="P595" s="102"/>
      <c r="Q595" s="102"/>
      <c r="R595" s="102"/>
      <c r="S595" s="101"/>
    </row>
    <row r="596" spans="1:19" ht="72" x14ac:dyDescent="0.3">
      <c r="A596" t="s">
        <v>4239</v>
      </c>
      <c r="B596" t="s">
        <v>4274</v>
      </c>
      <c r="C596" s="90" t="s">
        <v>4275</v>
      </c>
      <c r="D596" t="s">
        <v>5562</v>
      </c>
      <c r="E596" s="101" t="s">
        <v>6054</v>
      </c>
      <c r="F596" t="str" cm="1">
        <f t="array" aca="1" ref="F596" ca="1">INDIRECT("'" &amp; A596 &amp; "'!" &amp; B596)</f>
        <v>v19</v>
      </c>
      <c r="G596" t="str" cm="1">
        <f t="array" aca="1" ref="G596" ca="1">INDIRECT("'" &amp; A596 &amp; "'!" &amp; ADDRESS(1, COLUMN(INDIRECT("'" &amp; A596 &amp; "'!" &amp; B596))))</f>
        <v>1977 - 1</v>
      </c>
      <c r="H596" t="str">
        <f ca="1">VLOOKUP($G596, survey_codes_dict!A:C, 2, FALSE)</f>
        <v>1977_1</v>
      </c>
      <c r="I596" s="102" t="str">
        <f ca="1">VLOOKUP($G596, survey_codes_dict!A:D, 4, FALSE)</f>
        <v>1973_5</v>
      </c>
      <c r="J596" s="102" t="str">
        <f t="shared" ca="1" si="18"/>
        <v>1977_1__v19</v>
      </c>
      <c r="K596" s="102" t="str">
        <f t="shared" ca="1" si="19"/>
        <v>1973_5__v19</v>
      </c>
      <c r="L596" s="102"/>
      <c r="M596" s="102"/>
      <c r="N596" s="102"/>
      <c r="O596" s="102"/>
      <c r="P596" s="102"/>
      <c r="Q596" s="102"/>
      <c r="R596" s="102"/>
      <c r="S596" s="101"/>
    </row>
    <row r="597" spans="1:19" ht="72" x14ac:dyDescent="0.3">
      <c r="A597" t="s">
        <v>4239</v>
      </c>
      <c r="B597" t="s">
        <v>4276</v>
      </c>
      <c r="C597" s="90" t="s">
        <v>4277</v>
      </c>
      <c r="D597" t="s">
        <v>5562</v>
      </c>
      <c r="E597" s="101" t="s">
        <v>6055</v>
      </c>
      <c r="F597" t="str" cm="1">
        <f t="array" aca="1" ref="F597" ca="1">INDIRECT("'" &amp; A597 &amp; "'!" &amp; B597)</f>
        <v>v82</v>
      </c>
      <c r="G597" cm="1">
        <f t="array" aca="1" ref="G597" ca="1">INDIRECT("'" &amp; A597 &amp; "'!" &amp; ADDRESS(1, COLUMN(INDIRECT("'" &amp; A597 &amp; "'!" &amp; B597))))</f>
        <v>2009</v>
      </c>
      <c r="H597" t="e">
        <f ca="1">VLOOKUP($G597, survey_codes_dict!A:C, 2, FALSE)</f>
        <v>#N/A</v>
      </c>
      <c r="I597" s="102" t="e">
        <f ca="1">VLOOKUP($G597, survey_codes_dict!A:D, 4, FALSE)</f>
        <v>#N/A</v>
      </c>
      <c r="J597" s="102" t="e">
        <f t="shared" ca="1" si="18"/>
        <v>#N/A</v>
      </c>
      <c r="K597" s="102" t="e">
        <f t="shared" ca="1" si="19"/>
        <v>#N/A</v>
      </c>
      <c r="L597" s="102"/>
      <c r="M597" s="102"/>
      <c r="N597" s="102"/>
      <c r="O597" s="102"/>
      <c r="P597" s="102"/>
      <c r="Q597" s="102"/>
      <c r="R597" s="102"/>
      <c r="S597" s="101"/>
    </row>
    <row r="598" spans="1:19" ht="28.8" x14ac:dyDescent="0.3">
      <c r="A598" t="s">
        <v>4239</v>
      </c>
      <c r="B598" t="s">
        <v>4278</v>
      </c>
      <c r="C598" s="90" t="s">
        <v>4279</v>
      </c>
      <c r="D598" t="s">
        <v>5660</v>
      </c>
      <c r="E598" s="101" t="s">
        <v>5601</v>
      </c>
      <c r="F598" t="str" cm="1">
        <f t="array" aca="1" ref="F598" ca="1">INDIRECT("'" &amp; A598 &amp; "'!" &amp; B598)</f>
        <v>cc17</v>
      </c>
      <c r="G598" cm="1">
        <f t="array" aca="1" ref="G598" ca="1">INDIRECT("'" &amp; A598 &amp; "'!" &amp; ADDRESS(1, COLUMN(INDIRECT("'" &amp; A598 &amp; "'!" &amp; B598))))</f>
        <v>1996</v>
      </c>
      <c r="H598" t="str">
        <f ca="1">VLOOKUP($G598, survey_codes_dict!A:C, 2, FALSE)</f>
        <v>1996_Jews</v>
      </c>
      <c r="I598" s="102" t="str">
        <f ca="1">VLOOKUP($G598, survey_codes_dict!A:D, 4, FALSE)</f>
        <v>1992</v>
      </c>
      <c r="J598" s="102" t="str">
        <f t="shared" ca="1" si="18"/>
        <v>1996_Jews__cc17</v>
      </c>
      <c r="K598" s="102" t="str">
        <f t="shared" ca="1" si="19"/>
        <v>1992__cc17</v>
      </c>
      <c r="L598" s="102"/>
      <c r="M598" s="102"/>
      <c r="N598" s="102"/>
      <c r="O598" s="102"/>
      <c r="P598" s="102"/>
      <c r="Q598" s="102"/>
      <c r="R598" s="102"/>
      <c r="S598" s="101"/>
    </row>
    <row r="599" spans="1:19" ht="129.6" x14ac:dyDescent="0.3">
      <c r="A599" t="s">
        <v>4239</v>
      </c>
      <c r="B599" t="s">
        <v>4280</v>
      </c>
      <c r="C599" s="90" t="s">
        <v>4281</v>
      </c>
      <c r="D599" t="s">
        <v>5562</v>
      </c>
      <c r="E599" s="101" t="s">
        <v>6056</v>
      </c>
      <c r="F599" t="str" cm="1">
        <f t="array" aca="1" ref="F599" ca="1">INDIRECT("'" &amp; A599 &amp; "'!" &amp; B599)</f>
        <v>v89</v>
      </c>
      <c r="G599" cm="1">
        <f t="array" aca="1" ref="G599" ca="1">INDIRECT("'" &amp; A599 &amp; "'!" &amp; ADDRESS(1, COLUMN(INDIRECT("'" &amp; A599 &amp; "'!" &amp; B599))))</f>
        <v>2009</v>
      </c>
      <c r="H599" t="e">
        <f ca="1">VLOOKUP($G599, survey_codes_dict!A:C, 2, FALSE)</f>
        <v>#N/A</v>
      </c>
      <c r="I599" s="102" t="e">
        <f ca="1">VLOOKUP($G599, survey_codes_dict!A:D, 4, FALSE)</f>
        <v>#N/A</v>
      </c>
      <c r="J599" s="102" t="e">
        <f t="shared" ca="1" si="18"/>
        <v>#N/A</v>
      </c>
      <c r="K599" s="102" t="e">
        <f t="shared" ca="1" si="19"/>
        <v>#N/A</v>
      </c>
      <c r="L599" s="102"/>
      <c r="M599" s="102"/>
      <c r="N599" s="102"/>
      <c r="O599" s="102"/>
      <c r="P599" s="102"/>
      <c r="Q599" s="102"/>
      <c r="R599" s="102"/>
      <c r="S599" s="101"/>
    </row>
    <row r="600" spans="1:19" ht="273.60000000000002" x14ac:dyDescent="0.3">
      <c r="A600" t="s">
        <v>4239</v>
      </c>
      <c r="B600" t="s">
        <v>4282</v>
      </c>
      <c r="C600" s="90" t="s">
        <v>4283</v>
      </c>
      <c r="D600" t="s">
        <v>5562</v>
      </c>
      <c r="E600" s="101" t="s">
        <v>6057</v>
      </c>
      <c r="F600" t="str" cm="1">
        <f t="array" aca="1" ref="F600" ca="1">INDIRECT("'" &amp; A600 &amp; "'!" &amp; B600)</f>
        <v>v104E</v>
      </c>
      <c r="G600" cm="1">
        <f t="array" aca="1" ref="G600" ca="1">INDIRECT("'" &amp; A600 &amp; "'!" &amp; ADDRESS(1, COLUMN(INDIRECT("'" &amp; A600 &amp; "'!" &amp; B600))))</f>
        <v>2020</v>
      </c>
      <c r="H600" t="e">
        <f ca="1">VLOOKUP($G600, survey_codes_dict!A:C, 2, FALSE)</f>
        <v>#N/A</v>
      </c>
      <c r="I600" s="102" t="e">
        <f ca="1">VLOOKUP($G600, survey_codes_dict!A:D, 4, FALSE)</f>
        <v>#N/A</v>
      </c>
      <c r="J600" s="102" t="e">
        <f t="shared" ca="1" si="18"/>
        <v>#N/A</v>
      </c>
      <c r="K600" s="102" t="e">
        <f t="shared" ca="1" si="19"/>
        <v>#N/A</v>
      </c>
      <c r="L600" s="102"/>
      <c r="M600" s="102"/>
      <c r="N600" s="102"/>
      <c r="O600" s="102"/>
      <c r="P600" s="102"/>
      <c r="Q600" s="102"/>
      <c r="R600" s="102"/>
      <c r="S600" s="102"/>
    </row>
    <row r="601" spans="1:19" ht="244.8" x14ac:dyDescent="0.3">
      <c r="A601" t="s">
        <v>4239</v>
      </c>
      <c r="B601" t="s">
        <v>4284</v>
      </c>
      <c r="C601" s="90" t="s">
        <v>4285</v>
      </c>
      <c r="D601" t="s">
        <v>5562</v>
      </c>
      <c r="E601" s="101" t="s">
        <v>6058</v>
      </c>
      <c r="F601" t="str" cm="1">
        <f t="array" aca="1" ref="F601" ca="1">INDIRECT("'" &amp; A601 &amp; "'!" &amp; B601)</f>
        <v>c104</v>
      </c>
      <c r="G601" cm="1">
        <f t="array" aca="1" ref="G601" ca="1">INDIRECT("'" &amp; A601 &amp; "'!" &amp; ADDRESS(1, COLUMN(INDIRECT("'" &amp; A601 &amp; "'!" &amp; B601))))</f>
        <v>43709</v>
      </c>
      <c r="H601" t="e">
        <f ca="1">VLOOKUP($G601, survey_codes_dict!A:C, 2, FALSE)</f>
        <v>#N/A</v>
      </c>
      <c r="I601" s="102" t="e">
        <f ca="1">VLOOKUP($G601, survey_codes_dict!A:D, 4, FALSE)</f>
        <v>#N/A</v>
      </c>
      <c r="J601" s="102" t="e">
        <f t="shared" ca="1" si="18"/>
        <v>#N/A</v>
      </c>
      <c r="K601" s="102" t="e">
        <f t="shared" ca="1" si="19"/>
        <v>#N/A</v>
      </c>
      <c r="L601" s="102"/>
      <c r="M601" s="102"/>
      <c r="N601" s="102"/>
      <c r="O601" s="102"/>
      <c r="P601" s="102"/>
      <c r="Q601" s="102"/>
      <c r="R601" s="102"/>
      <c r="S601" s="102"/>
    </row>
    <row r="602" spans="1:19" ht="388.8" x14ac:dyDescent="0.3">
      <c r="A602" t="s">
        <v>4239</v>
      </c>
      <c r="B602" t="s">
        <v>3977</v>
      </c>
      <c r="C602" s="90" t="s">
        <v>4286</v>
      </c>
      <c r="D602" t="s">
        <v>5562</v>
      </c>
      <c r="E602" s="101" t="s">
        <v>6059</v>
      </c>
      <c r="F602" t="str" cm="1">
        <f t="array" aca="1" ref="F602" ca="1">INDIRECT("'" &amp; A602 &amp; "'!" &amp; B602)</f>
        <v>v104</v>
      </c>
      <c r="G602" cm="1">
        <f t="array" aca="1" ref="G602" ca="1">INDIRECT("'" &amp; A602 &amp; "'!" &amp; ADDRESS(1, COLUMN(INDIRECT("'" &amp; A602 &amp; "'!" &amp; B602))))</f>
        <v>43556</v>
      </c>
      <c r="H602" t="e">
        <f ca="1">VLOOKUP($G602, survey_codes_dict!A:C, 2, FALSE)</f>
        <v>#N/A</v>
      </c>
      <c r="I602" s="102" t="e">
        <f ca="1">VLOOKUP($G602, survey_codes_dict!A:D, 4, FALSE)</f>
        <v>#N/A</v>
      </c>
      <c r="J602" s="102" t="e">
        <f t="shared" ca="1" si="18"/>
        <v>#N/A</v>
      </c>
      <c r="K602" s="102" t="e">
        <f t="shared" ca="1" si="19"/>
        <v>#N/A</v>
      </c>
      <c r="L602" s="102"/>
      <c r="M602" s="102"/>
      <c r="N602" s="102"/>
      <c r="O602" s="102"/>
      <c r="P602" s="102"/>
      <c r="Q602" s="102"/>
      <c r="R602" s="102"/>
      <c r="S602" s="101"/>
    </row>
    <row r="603" spans="1:19" ht="86.4" x14ac:dyDescent="0.3">
      <c r="A603" t="s">
        <v>4239</v>
      </c>
      <c r="B603" t="s">
        <v>3384</v>
      </c>
      <c r="C603" s="90" t="s">
        <v>4287</v>
      </c>
      <c r="D603" t="s">
        <v>5562</v>
      </c>
      <c r="E603" s="101" t="s">
        <v>6060</v>
      </c>
      <c r="F603" t="str" cm="1">
        <f t="array" aca="1" ref="F603" ca="1">INDIRECT("'" &amp; A603 &amp; "'!" &amp; B603)</f>
        <v>v104a</v>
      </c>
      <c r="G603" cm="1">
        <f t="array" aca="1" ref="G603" ca="1">INDIRECT("'" &amp; A603 &amp; "'!" &amp; ADDRESS(1, COLUMN(INDIRECT("'" &amp; A603 &amp; "'!" &amp; B603))))</f>
        <v>2022</v>
      </c>
      <c r="H603" t="e">
        <f ca="1">VLOOKUP($G603, survey_codes_dict!A:C, 2, FALSE)</f>
        <v>#N/A</v>
      </c>
      <c r="I603" s="102" t="e">
        <f ca="1">VLOOKUP($G603, survey_codes_dict!A:D, 4, FALSE)</f>
        <v>#N/A</v>
      </c>
      <c r="J603" s="102" t="e">
        <f t="shared" ca="1" si="18"/>
        <v>#N/A</v>
      </c>
      <c r="K603" s="102" t="e">
        <f t="shared" ca="1" si="19"/>
        <v>#N/A</v>
      </c>
      <c r="L603" s="102"/>
      <c r="M603" s="102"/>
      <c r="N603" s="102"/>
      <c r="O603" s="102"/>
      <c r="P603" s="102"/>
      <c r="Q603" s="102"/>
      <c r="R603" s="102"/>
      <c r="S603" s="102"/>
    </row>
    <row r="604" spans="1:19" ht="43.2" x14ac:dyDescent="0.3">
      <c r="A604" t="s">
        <v>4239</v>
      </c>
      <c r="B604" t="s">
        <v>4288</v>
      </c>
      <c r="C604" s="90" t="s">
        <v>4289</v>
      </c>
      <c r="D604" t="s">
        <v>5562</v>
      </c>
      <c r="E604" s="101" t="s">
        <v>6061</v>
      </c>
      <c r="F604" t="str" cm="1">
        <f t="array" aca="1" ref="F604" ca="1">INDIRECT("'" &amp; A604 &amp; "'!" &amp; B604)</f>
        <v>v507</v>
      </c>
      <c r="G604" cm="1">
        <f t="array" aca="1" ref="G604" ca="1">INDIRECT("'" &amp; A604 &amp; "'!" &amp; ADDRESS(1, COLUMN(INDIRECT("'" &amp; A604 &amp; "'!" &amp; B604))))</f>
        <v>2020</v>
      </c>
      <c r="H604" t="e">
        <f ca="1">VLOOKUP($G604, survey_codes_dict!A:C, 2, FALSE)</f>
        <v>#N/A</v>
      </c>
      <c r="I604" s="102" t="e">
        <f ca="1">VLOOKUP($G604, survey_codes_dict!A:D, 4, FALSE)</f>
        <v>#N/A</v>
      </c>
      <c r="J604" s="102" t="e">
        <f t="shared" ca="1" si="18"/>
        <v>#N/A</v>
      </c>
      <c r="K604" s="102" t="e">
        <f t="shared" ca="1" si="19"/>
        <v>#N/A</v>
      </c>
      <c r="L604" s="102"/>
      <c r="M604" s="102"/>
      <c r="N604" s="102"/>
      <c r="O604" s="102"/>
      <c r="P604" s="102"/>
      <c r="Q604" s="102"/>
      <c r="R604" s="102"/>
      <c r="S604" s="102"/>
    </row>
    <row r="605" spans="1:19" ht="28.8" x14ac:dyDescent="0.3">
      <c r="A605" t="s">
        <v>4239</v>
      </c>
      <c r="B605" t="s">
        <v>4290</v>
      </c>
      <c r="C605" s="90" t="s">
        <v>4291</v>
      </c>
      <c r="D605" t="s">
        <v>5660</v>
      </c>
      <c r="E605" s="101" t="s">
        <v>5602</v>
      </c>
      <c r="F605" t="str" cm="1">
        <f t="array" aca="1" ref="F605" ca="1">INDIRECT("'" &amp; A605 &amp; "'!" &amp; B605)</f>
        <v>v108</v>
      </c>
      <c r="G605" cm="1">
        <f t="array" aca="1" ref="G605" ca="1">INDIRECT("'" &amp; A605 &amp; "'!" &amp; ADDRESS(1, COLUMN(INDIRECT("'" &amp; A605 &amp; "'!" &amp; B605))))</f>
        <v>43556</v>
      </c>
      <c r="H605" t="e">
        <f ca="1">VLOOKUP($G605, survey_codes_dict!A:C, 2, FALSE)</f>
        <v>#N/A</v>
      </c>
      <c r="I605" s="102" t="e">
        <f ca="1">VLOOKUP($G605, survey_codes_dict!A:D, 4, FALSE)</f>
        <v>#N/A</v>
      </c>
      <c r="J605" s="102" t="e">
        <f t="shared" ca="1" si="18"/>
        <v>#N/A</v>
      </c>
      <c r="K605" s="102" t="e">
        <f t="shared" ca="1" si="19"/>
        <v>#N/A</v>
      </c>
      <c r="L605" s="102"/>
      <c r="M605" s="102"/>
      <c r="N605" s="102"/>
      <c r="O605" s="102"/>
      <c r="P605" s="102"/>
      <c r="Q605" s="102"/>
      <c r="R605" s="102"/>
      <c r="S605" s="101"/>
    </row>
    <row r="606" spans="1:19" ht="28.8" x14ac:dyDescent="0.3">
      <c r="A606" t="s">
        <v>4239</v>
      </c>
      <c r="B606" t="s">
        <v>4292</v>
      </c>
      <c r="C606" s="90" t="s">
        <v>4293</v>
      </c>
      <c r="D606" t="s">
        <v>5660</v>
      </c>
      <c r="E606" s="101" t="s">
        <v>5603</v>
      </c>
      <c r="F606" t="str" cm="1">
        <f t="array" aca="1" ref="F606" ca="1">INDIRECT("'" &amp; A606 &amp; "'!" &amp; B606)</f>
        <v>v101</v>
      </c>
      <c r="G606" cm="1">
        <f t="array" aca="1" ref="G606" ca="1">INDIRECT("'" &amp; A606 &amp; "'!" &amp; ADDRESS(1, COLUMN(INDIRECT("'" &amp; A606 &amp; "'!" &amp; B606))))</f>
        <v>2015</v>
      </c>
      <c r="H606" t="e">
        <f ca="1">VLOOKUP($G606, survey_codes_dict!A:C, 2, FALSE)</f>
        <v>#N/A</v>
      </c>
      <c r="I606" s="102" t="e">
        <f ca="1">VLOOKUP($G606, survey_codes_dict!A:D, 4, FALSE)</f>
        <v>#N/A</v>
      </c>
      <c r="J606" s="102" t="e">
        <f t="shared" ca="1" si="18"/>
        <v>#N/A</v>
      </c>
      <c r="K606" s="102" t="e">
        <f t="shared" ca="1" si="19"/>
        <v>#N/A</v>
      </c>
      <c r="L606" s="102"/>
      <c r="M606" s="102"/>
      <c r="N606" s="102"/>
      <c r="O606" s="102"/>
      <c r="P606" s="102"/>
      <c r="Q606" s="102"/>
      <c r="R606" s="102"/>
      <c r="S606" s="101"/>
    </row>
    <row r="607" spans="1:19" ht="28.8" x14ac:dyDescent="0.3">
      <c r="A607" t="s">
        <v>4239</v>
      </c>
      <c r="B607" t="s">
        <v>4294</v>
      </c>
      <c r="C607" s="90" t="s">
        <v>4295</v>
      </c>
      <c r="D607" t="s">
        <v>5660</v>
      </c>
      <c r="E607" s="101" t="s">
        <v>5604</v>
      </c>
      <c r="F607" t="str" cm="1">
        <f t="array" aca="1" ref="F607" ca="1">INDIRECT("'" &amp; A607 &amp; "'!" &amp; B607)</f>
        <v>v102</v>
      </c>
      <c r="G607" cm="1">
        <f t="array" aca="1" ref="G607" ca="1">INDIRECT("'" &amp; A607 &amp; "'!" &amp; ADDRESS(1, COLUMN(INDIRECT("'" &amp; A607 &amp; "'!" &amp; B607))))</f>
        <v>2013</v>
      </c>
      <c r="H607" t="e">
        <f ca="1">VLOOKUP($G607, survey_codes_dict!A:C, 2, FALSE)</f>
        <v>#N/A</v>
      </c>
      <c r="I607" s="102" t="e">
        <f ca="1">VLOOKUP($G607, survey_codes_dict!A:D, 4, FALSE)</f>
        <v>#N/A</v>
      </c>
      <c r="J607" s="102" t="e">
        <f t="shared" ca="1" si="18"/>
        <v>#N/A</v>
      </c>
      <c r="K607" s="102" t="e">
        <f t="shared" ca="1" si="19"/>
        <v>#N/A</v>
      </c>
      <c r="L607" s="102"/>
      <c r="M607" s="102"/>
      <c r="N607" s="102"/>
      <c r="O607" s="102"/>
      <c r="P607" s="102"/>
      <c r="Q607" s="102"/>
      <c r="R607" s="102"/>
      <c r="S607" s="101"/>
    </row>
    <row r="608" spans="1:19" ht="28.8" x14ac:dyDescent="0.3">
      <c r="A608" t="s">
        <v>4239</v>
      </c>
      <c r="B608" t="s">
        <v>4296</v>
      </c>
      <c r="C608" s="90" t="s">
        <v>4297</v>
      </c>
      <c r="D608" t="s">
        <v>5660</v>
      </c>
      <c r="E608" s="101" t="s">
        <v>5605</v>
      </c>
      <c r="F608" t="str" cm="1">
        <f t="array" aca="1" ref="F608" ca="1">INDIRECT("'" &amp; A608 &amp; "'!" &amp; B608)</f>
        <v>v162</v>
      </c>
      <c r="G608" cm="1">
        <f t="array" aca="1" ref="G608" ca="1">INDIRECT("'" &amp; A608 &amp; "'!" &amp; ADDRESS(1, COLUMN(INDIRECT("'" &amp; A608 &amp; "'!" &amp; B608))))</f>
        <v>2009</v>
      </c>
      <c r="H608" t="e">
        <f ca="1">VLOOKUP($G608, survey_codes_dict!A:C, 2, FALSE)</f>
        <v>#N/A</v>
      </c>
      <c r="I608" s="102" t="e">
        <f ca="1">VLOOKUP($G608, survey_codes_dict!A:D, 4, FALSE)</f>
        <v>#N/A</v>
      </c>
      <c r="J608" s="102" t="e">
        <f t="shared" ca="1" si="18"/>
        <v>#N/A</v>
      </c>
      <c r="K608" s="102" t="e">
        <f t="shared" ca="1" si="19"/>
        <v>#N/A</v>
      </c>
      <c r="L608" s="102"/>
      <c r="M608" s="102"/>
      <c r="N608" s="102"/>
      <c r="O608" s="102"/>
      <c r="P608" s="102"/>
      <c r="Q608" s="102"/>
      <c r="R608" s="102"/>
      <c r="S608" s="102"/>
    </row>
    <row r="609" spans="1:19" ht="28.8" x14ac:dyDescent="0.3">
      <c r="A609" t="s">
        <v>4239</v>
      </c>
      <c r="B609" t="s">
        <v>4298</v>
      </c>
      <c r="C609" s="90" t="s">
        <v>4299</v>
      </c>
      <c r="D609" t="s">
        <v>5660</v>
      </c>
      <c r="E609" s="101" t="s">
        <v>5606</v>
      </c>
      <c r="F609" t="str" cm="1">
        <f t="array" aca="1" ref="F609" ca="1">INDIRECT("'" &amp; A609 &amp; "'!" &amp; B609)</f>
        <v>c40</v>
      </c>
      <c r="G609" cm="1">
        <f t="array" aca="1" ref="G609" ca="1">INDIRECT("'" &amp; A609 &amp; "'!" &amp; ADDRESS(1, COLUMN(INDIRECT("'" &amp; A609 &amp; "'!" &amp; B609))))</f>
        <v>2006</v>
      </c>
      <c r="H609" t="str">
        <f ca="1">VLOOKUP($G609, survey_codes_dict!A:C, 2, FALSE)</f>
        <v>2006</v>
      </c>
      <c r="I609" s="102" t="str">
        <f ca="1">VLOOKUP($G609, survey_codes_dict!A:D, 4, FALSE)</f>
        <v>2003</v>
      </c>
      <c r="J609" s="102" t="str">
        <f t="shared" ca="1" si="18"/>
        <v>2006__c40</v>
      </c>
      <c r="K609" s="102" t="str">
        <f t="shared" ca="1" si="19"/>
        <v>2003__c40</v>
      </c>
      <c r="L609" s="102"/>
      <c r="M609" s="102"/>
      <c r="N609" s="102"/>
      <c r="O609" s="102"/>
      <c r="P609" s="102"/>
      <c r="Q609" s="102"/>
      <c r="R609" s="102"/>
      <c r="S609" s="101"/>
    </row>
    <row r="610" spans="1:19" ht="28.8" x14ac:dyDescent="0.3">
      <c r="A610" t="s">
        <v>4239</v>
      </c>
      <c r="B610" t="s">
        <v>4300</v>
      </c>
      <c r="C610" s="90" t="s">
        <v>4301</v>
      </c>
      <c r="D610" t="s">
        <v>5660</v>
      </c>
      <c r="E610" s="101" t="s">
        <v>5607</v>
      </c>
      <c r="F610" t="str" cm="1">
        <f t="array" aca="1" ref="F610" ca="1">INDIRECT("'" &amp; A610 &amp; "'!" &amp; B610)</f>
        <v>b70</v>
      </c>
      <c r="G610" cm="1">
        <f t="array" aca="1" ref="G610" ca="1">INDIRECT("'" &amp; A610 &amp; "'!" &amp; ADDRESS(1, COLUMN(INDIRECT("'" &amp; A610 &amp; "'!" &amp; B610))))</f>
        <v>2003</v>
      </c>
      <c r="H610" t="str">
        <f ca="1">VLOOKUP($G610, survey_codes_dict!A:C, 2, FALSE)</f>
        <v>2003</v>
      </c>
      <c r="I610" s="102" t="str">
        <f ca="1">VLOOKUP($G610, survey_codes_dict!A:D, 4, FALSE)</f>
        <v>2001</v>
      </c>
      <c r="J610" s="102" t="str">
        <f t="shared" ca="1" si="18"/>
        <v>2003__b70</v>
      </c>
      <c r="K610" s="102" t="str">
        <f t="shared" ca="1" si="19"/>
        <v>2001__b70</v>
      </c>
      <c r="L610" s="102"/>
      <c r="M610" s="102"/>
      <c r="N610" s="102"/>
      <c r="O610" s="102"/>
      <c r="P610" s="102"/>
      <c r="Q610" s="102"/>
      <c r="R610" s="102"/>
      <c r="S610" s="101"/>
    </row>
    <row r="611" spans="1:19" ht="28.8" x14ac:dyDescent="0.3">
      <c r="A611" t="s">
        <v>4239</v>
      </c>
      <c r="B611" t="s">
        <v>3902</v>
      </c>
      <c r="C611" s="90" t="s">
        <v>4301</v>
      </c>
      <c r="D611" t="s">
        <v>5660</v>
      </c>
      <c r="E611" s="101" t="s">
        <v>5607</v>
      </c>
      <c r="F611" t="str" cm="1">
        <f t="array" aca="1" ref="F611" ca="1">INDIRECT("'" &amp; A611 &amp; "'!" &amp; B611)</f>
        <v>b21</v>
      </c>
      <c r="G611" cm="1">
        <f t="array" aca="1" ref="G611" ca="1">INDIRECT("'" &amp; A611 &amp; "'!" &amp; ADDRESS(1, COLUMN(INDIRECT("'" &amp; A611 &amp; "'!" &amp; B611))))</f>
        <v>2001</v>
      </c>
      <c r="H611" t="str">
        <f ca="1">VLOOKUP($G611, survey_codes_dict!A:C, 2, FALSE)</f>
        <v>2001</v>
      </c>
      <c r="I611" s="102" t="str">
        <f ca="1">VLOOKUP($G611, survey_codes_dict!A:D, 4, FALSE)</f>
        <v>1999_1</v>
      </c>
      <c r="J611" s="102" t="str">
        <f t="shared" ca="1" si="18"/>
        <v>2001__b21</v>
      </c>
      <c r="K611" s="102" t="str">
        <f t="shared" ca="1" si="19"/>
        <v>1999_1__b21</v>
      </c>
      <c r="L611" s="102"/>
      <c r="M611" s="102"/>
      <c r="N611" s="102"/>
      <c r="O611" s="102"/>
      <c r="P611" s="102"/>
      <c r="Q611" s="102"/>
      <c r="R611" s="102"/>
      <c r="S611" s="101"/>
    </row>
    <row r="612" spans="1:19" ht="28.8" x14ac:dyDescent="0.3">
      <c r="A612" t="s">
        <v>4239</v>
      </c>
      <c r="B612" t="s">
        <v>4302</v>
      </c>
      <c r="C612" s="90" t="s">
        <v>4303</v>
      </c>
      <c r="D612" t="s">
        <v>5660</v>
      </c>
      <c r="E612" s="101" t="s">
        <v>5608</v>
      </c>
      <c r="F612" t="str" cm="1">
        <f t="array" aca="1" ref="F612" ca="1">INDIRECT("'" &amp; A612 &amp; "'!" &amp; B612)</f>
        <v>c17</v>
      </c>
      <c r="G612" cm="1">
        <f t="array" aca="1" ref="G612" ca="1">INDIRECT("'" &amp; A612 &amp; "'!" &amp; ADDRESS(1, COLUMN(INDIRECT("'" &amp; A612 &amp; "'!" &amp; B612))))</f>
        <v>1999</v>
      </c>
      <c r="H612" t="str">
        <f ca="1">VLOOKUP($G612, survey_codes_dict!A:C, 2, FALSE)</f>
        <v>1999_1</v>
      </c>
      <c r="I612" s="102" t="str">
        <f ca="1">VLOOKUP($G612, survey_codes_dict!A:D, 4, FALSE)</f>
        <v>1996_Jews</v>
      </c>
      <c r="J612" s="102" t="str">
        <f t="shared" ca="1" si="18"/>
        <v>1999_1__c17</v>
      </c>
      <c r="K612" s="102" t="str">
        <f t="shared" ca="1" si="19"/>
        <v>1996_Jews__c17</v>
      </c>
      <c r="L612" s="102"/>
      <c r="M612" s="102"/>
      <c r="N612" s="102"/>
      <c r="O612" s="102"/>
      <c r="P612" s="102"/>
      <c r="Q612" s="102"/>
      <c r="R612" s="102"/>
      <c r="S612" s="101"/>
    </row>
    <row r="613" spans="1:19" ht="28.8" x14ac:dyDescent="0.3">
      <c r="A613" t="s">
        <v>4239</v>
      </c>
      <c r="B613" t="s">
        <v>4304</v>
      </c>
      <c r="C613" s="90" t="s">
        <v>4305</v>
      </c>
      <c r="D613" t="s">
        <v>5660</v>
      </c>
      <c r="E613" s="101" t="s">
        <v>5609</v>
      </c>
      <c r="F613" t="str" cm="1">
        <f t="array" aca="1" ref="F613" ca="1">INDIRECT("'" &amp; A613 &amp; "'!" &amp; B613)</f>
        <v>ccc37</v>
      </c>
      <c r="G613" cm="1">
        <f t="array" aca="1" ref="G613" ca="1">INDIRECT("'" &amp; A613 &amp; "'!" &amp; ADDRESS(1, COLUMN(INDIRECT("'" &amp; A613 &amp; "'!" &amp; B613))))</f>
        <v>1996</v>
      </c>
      <c r="H613" t="str">
        <f ca="1">VLOOKUP($G613, survey_codes_dict!A:C, 2, FALSE)</f>
        <v>1996_Jews</v>
      </c>
      <c r="I613" s="102" t="str">
        <f ca="1">VLOOKUP($G613, survey_codes_dict!A:D, 4, FALSE)</f>
        <v>1992</v>
      </c>
      <c r="J613" s="102" t="str">
        <f t="shared" ca="1" si="18"/>
        <v>1996_Jews__ccc37</v>
      </c>
      <c r="K613" s="102" t="str">
        <f t="shared" ca="1" si="19"/>
        <v>1992__ccc37</v>
      </c>
      <c r="L613" s="102"/>
      <c r="M613" s="102"/>
      <c r="N613" s="102"/>
      <c r="O613" s="102"/>
      <c r="P613" s="102"/>
      <c r="Q613" s="102"/>
      <c r="R613" s="102"/>
      <c r="S613" s="101"/>
    </row>
    <row r="614" spans="1:19" ht="28.8" x14ac:dyDescent="0.3">
      <c r="A614" t="s">
        <v>4239</v>
      </c>
      <c r="B614" t="s">
        <v>4306</v>
      </c>
      <c r="C614" s="90" t="s">
        <v>4307</v>
      </c>
      <c r="D614" t="s">
        <v>5660</v>
      </c>
      <c r="E614" s="101" t="s">
        <v>5610</v>
      </c>
      <c r="F614" t="str" cm="1">
        <f t="array" aca="1" ref="F614" ca="1">INDIRECT("'" &amp; A614 &amp; "'!" &amp; B614)</f>
        <v>i42</v>
      </c>
      <c r="G614" cm="1">
        <f t="array" aca="1" ref="G614" ca="1">INDIRECT("'" &amp; A614 &amp; "'!" &amp; ADDRESS(1, COLUMN(INDIRECT("'" &amp; A614 &amp; "'!" &amp; B614))))</f>
        <v>1992</v>
      </c>
      <c r="H614" t="str">
        <f ca="1">VLOOKUP($G614, survey_codes_dict!A:C, 2, FALSE)</f>
        <v>1992</v>
      </c>
      <c r="I614" s="102" t="str">
        <f ca="1">VLOOKUP($G614, survey_codes_dict!A:D, 4, FALSE)</f>
        <v>1988_N=873</v>
      </c>
      <c r="J614" s="102" t="str">
        <f t="shared" ca="1" si="18"/>
        <v>1992__i42</v>
      </c>
      <c r="K614" s="102" t="str">
        <f t="shared" ca="1" si="19"/>
        <v>1988_N=873__i42</v>
      </c>
      <c r="L614" s="102"/>
      <c r="M614" s="102"/>
      <c r="N614" s="102"/>
      <c r="O614" s="102"/>
      <c r="P614" s="102"/>
      <c r="Q614" s="102"/>
      <c r="R614" s="102"/>
      <c r="S614" s="101"/>
    </row>
    <row r="615" spans="1:19" ht="28.8" x14ac:dyDescent="0.3">
      <c r="A615" t="s">
        <v>4239</v>
      </c>
      <c r="B615" t="s">
        <v>4308</v>
      </c>
      <c r="C615" s="90" t="s">
        <v>4309</v>
      </c>
      <c r="D615" t="s">
        <v>5660</v>
      </c>
      <c r="E615" s="101" t="s">
        <v>5611</v>
      </c>
      <c r="F615" t="str" cm="1">
        <f t="array" aca="1" ref="F615" ca="1">INDIRECT("'" &amp; A615 &amp; "'!" &amp; B615)</f>
        <v>a64</v>
      </c>
      <c r="G615" t="str" cm="1">
        <f t="array" aca="1" ref="G615" ca="1">INDIRECT("'" &amp; A615 &amp; "'!" &amp; ADDRESS(1, COLUMN(INDIRECT("'" &amp; A615 &amp; "'!" &amp; B615))))</f>
        <v>1987*</v>
      </c>
      <c r="H615" t="e">
        <f ca="1">VLOOKUP($G615, survey_codes_dict!A:C, 2, FALSE)</f>
        <v>#N/A</v>
      </c>
      <c r="I615" s="102" t="e">
        <f ca="1">VLOOKUP($G615, survey_codes_dict!A:D, 4, FALSE)</f>
        <v>#N/A</v>
      </c>
      <c r="J615" s="102" t="e">
        <f t="shared" ca="1" si="18"/>
        <v>#N/A</v>
      </c>
      <c r="K615" s="102" t="e">
        <f t="shared" ca="1" si="19"/>
        <v>#N/A</v>
      </c>
      <c r="L615" s="102"/>
      <c r="M615" s="102"/>
      <c r="N615" s="102"/>
      <c r="O615" s="102"/>
      <c r="P615" s="102"/>
      <c r="Q615" s="102"/>
      <c r="R615" s="102"/>
      <c r="S615" s="101"/>
    </row>
    <row r="616" spans="1:19" ht="28.8" x14ac:dyDescent="0.3">
      <c r="A616" t="s">
        <v>4239</v>
      </c>
      <c r="B616" t="s">
        <v>4310</v>
      </c>
      <c r="C616" s="90" t="s">
        <v>4309</v>
      </c>
      <c r="D616" t="s">
        <v>5660</v>
      </c>
      <c r="E616" s="101" t="s">
        <v>5611</v>
      </c>
      <c r="F616" t="str" cm="1">
        <f t="array" aca="1" ref="F616" ca="1">INDIRECT("'" &amp; A616 &amp; "'!" &amp; B616)</f>
        <v>c18</v>
      </c>
      <c r="G616" t="str" cm="1">
        <f t="array" aca="1" ref="G616" ca="1">INDIRECT("'" &amp; A616 &amp; "'!" &amp; ADDRESS(1, COLUMN(INDIRECT("'" &amp; A616 &amp; "'!" &amp; B616))))</f>
        <v>1988*</v>
      </c>
      <c r="H616" t="str">
        <f ca="1">VLOOKUP($G616, survey_codes_dict!A:C, 2, FALSE)</f>
        <v>1988_N=873</v>
      </c>
      <c r="I616" s="102" t="str">
        <f ca="1">VLOOKUP($G616, survey_codes_dict!A:D, 4, FALSE)</f>
        <v>1988_Panel_N=416</v>
      </c>
      <c r="J616" s="102" t="str">
        <f t="shared" ca="1" si="18"/>
        <v>1988_N=873__c18</v>
      </c>
      <c r="K616" s="102" t="str">
        <f t="shared" ca="1" si="19"/>
        <v>1988_Panel_N=416__c18</v>
      </c>
      <c r="L616" s="102"/>
      <c r="M616" s="102"/>
      <c r="N616" s="102"/>
      <c r="O616" s="102"/>
      <c r="P616" s="102"/>
      <c r="Q616" s="102"/>
      <c r="R616" s="102"/>
      <c r="S616" s="101"/>
    </row>
    <row r="617" spans="1:19" ht="28.8" x14ac:dyDescent="0.3">
      <c r="A617" t="s">
        <v>4239</v>
      </c>
      <c r="B617" t="s">
        <v>4311</v>
      </c>
      <c r="C617" s="90" t="s">
        <v>4309</v>
      </c>
      <c r="D617" t="s">
        <v>5660</v>
      </c>
      <c r="E617" s="101" t="s">
        <v>5611</v>
      </c>
      <c r="F617" t="str" cm="1">
        <f t="array" aca="1" ref="F617" ca="1">INDIRECT("'" &amp; A617 &amp; "'!" &amp; B617)</f>
        <v>g24</v>
      </c>
      <c r="G617" cm="1">
        <f t="array" aca="1" ref="G617" ca="1">INDIRECT("'" &amp; A617 &amp; "'!" &amp; ADDRESS(1, COLUMN(INDIRECT("'" &amp; A617 &amp; "'!" &amp; B617))))</f>
        <v>1988</v>
      </c>
      <c r="H617" t="str">
        <f ca="1">VLOOKUP($G617, survey_codes_dict!A:C, 2, FALSE)</f>
        <v>1988_Panel_N=416</v>
      </c>
      <c r="I617" s="102" t="str">
        <f ca="1">VLOOKUP($G617, survey_codes_dict!A:D, 4, FALSE)</f>
        <v>1984</v>
      </c>
      <c r="J617" s="102" t="str">
        <f t="shared" ca="1" si="18"/>
        <v>1988_Panel_N=416__g24</v>
      </c>
      <c r="K617" s="102" t="str">
        <f t="shared" ca="1" si="19"/>
        <v>1984__g24</v>
      </c>
      <c r="L617" s="102"/>
      <c r="M617" s="102"/>
      <c r="N617" s="102"/>
      <c r="O617" s="102"/>
      <c r="P617" s="102"/>
      <c r="Q617" s="102"/>
      <c r="R617" s="102"/>
      <c r="S617" s="101"/>
    </row>
    <row r="618" spans="1:19" ht="28.8" x14ac:dyDescent="0.3">
      <c r="A618" t="s">
        <v>4239</v>
      </c>
      <c r="B618" t="s">
        <v>3904</v>
      </c>
      <c r="C618" s="90" t="s">
        <v>4312</v>
      </c>
      <c r="D618" t="s">
        <v>5660</v>
      </c>
      <c r="E618" s="101" t="s">
        <v>5612</v>
      </c>
      <c r="F618" t="str" cm="1">
        <f t="array" aca="1" ref="F618" ca="1">INDIRECT("'" &amp; A618 &amp; "'!" &amp; B618)</f>
        <v>a45</v>
      </c>
      <c r="G618" cm="1">
        <f t="array" aca="1" ref="G618" ca="1">INDIRECT("'" &amp; A618 &amp; "'!" &amp; ADDRESS(1, COLUMN(INDIRECT("'" &amp; A618 &amp; "'!" &amp; B618))))</f>
        <v>1984</v>
      </c>
      <c r="H618" t="str">
        <f ca="1">VLOOKUP($G618, survey_codes_dict!A:C, 2, FALSE)</f>
        <v>1984</v>
      </c>
      <c r="I618" s="102" t="str">
        <f ca="1">VLOOKUP($G618, survey_codes_dict!A:D, 4, FALSE)</f>
        <v>1981_3</v>
      </c>
      <c r="J618" s="102" t="str">
        <f t="shared" ca="1" si="18"/>
        <v>1984__a45</v>
      </c>
      <c r="K618" s="102" t="str">
        <f t="shared" ca="1" si="19"/>
        <v>1981_3__a45</v>
      </c>
      <c r="L618" s="102"/>
      <c r="M618" s="102"/>
      <c r="N618" s="102"/>
      <c r="O618" s="102"/>
      <c r="P618" s="102"/>
      <c r="Q618" s="102"/>
      <c r="R618" s="102"/>
      <c r="S618" s="101"/>
    </row>
    <row r="619" spans="1:19" ht="28.8" x14ac:dyDescent="0.3">
      <c r="A619" t="s">
        <v>4239</v>
      </c>
      <c r="B619" t="s">
        <v>4076</v>
      </c>
      <c r="C619" s="90" t="s">
        <v>4313</v>
      </c>
      <c r="D619" t="s">
        <v>5660</v>
      </c>
      <c r="E619" s="101" t="s">
        <v>5613</v>
      </c>
      <c r="F619" t="str" cm="1">
        <f t="array" aca="1" ref="F619" ca="1">INDIRECT("'" &amp; A619 &amp; "'!" &amp; B619)</f>
        <v>b97</v>
      </c>
      <c r="G619" t="str" cm="1">
        <f t="array" aca="1" ref="G619" ca="1">INDIRECT("'" &amp; A619 &amp; "'!" &amp; ADDRESS(1, COLUMN(INDIRECT("'" &amp; A619 &amp; "'!" &amp; B619))))</f>
        <v>1981 - 3</v>
      </c>
      <c r="H619" t="str">
        <f ca="1">VLOOKUP($G619, survey_codes_dict!A:C, 2, FALSE)</f>
        <v>1981_3</v>
      </c>
      <c r="I619" s="102">
        <f ca="1">VLOOKUP($G619, survey_codes_dict!A:D, 4, FALSE)</f>
        <v>0</v>
      </c>
      <c r="J619" s="102" t="str">
        <f t="shared" ca="1" si="18"/>
        <v>1981_3__b97</v>
      </c>
      <c r="K619" s="102" t="str">
        <f t="shared" ca="1" si="19"/>
        <v>0__b97</v>
      </c>
      <c r="L619" s="102"/>
      <c r="M619" s="102"/>
      <c r="N619" s="102"/>
      <c r="O619" s="102"/>
      <c r="P619" s="102"/>
      <c r="Q619" s="102"/>
      <c r="R619" s="102"/>
      <c r="S619" s="101"/>
    </row>
    <row r="620" spans="1:19" ht="28.8" x14ac:dyDescent="0.3">
      <c r="A620" t="s">
        <v>4239</v>
      </c>
      <c r="B620" t="s">
        <v>4314</v>
      </c>
      <c r="C620" s="90" t="s">
        <v>4313</v>
      </c>
      <c r="D620" t="s">
        <v>5660</v>
      </c>
      <c r="E620" s="101" t="s">
        <v>5613</v>
      </c>
      <c r="F620" t="str" cm="1">
        <f t="array" aca="1" ref="F620" ca="1">INDIRECT("'" &amp; A620 &amp; "'!" &amp; B620)</f>
        <v>a140</v>
      </c>
      <c r="G620" t="str" cm="1">
        <f t="array" aca="1" ref="G620" ca="1">INDIRECT("'" &amp; A620 &amp; "'!" &amp; ADDRESS(1, COLUMN(INDIRECT("'" &amp; A620 &amp; "'!" &amp; B620))))</f>
        <v>1981 - 2</v>
      </c>
      <c r="H620">
        <f ca="1">VLOOKUP($G620, survey_codes_dict!A:C, 2, FALSE)</f>
        <v>0</v>
      </c>
      <c r="I620" s="102" t="str">
        <f ca="1">VLOOKUP($G620, survey_codes_dict!A:D, 4, FALSE)</f>
        <v>1981_1</v>
      </c>
      <c r="J620" s="102" t="str">
        <f t="shared" ca="1" si="18"/>
        <v>0__a140</v>
      </c>
      <c r="K620" s="102" t="str">
        <f t="shared" ca="1" si="19"/>
        <v>1981_1__a140</v>
      </c>
      <c r="L620" s="102"/>
      <c r="M620" s="102"/>
      <c r="N620" s="102"/>
      <c r="O620" s="102"/>
      <c r="P620" s="102"/>
      <c r="Q620" s="102"/>
      <c r="R620" s="102"/>
      <c r="S620" s="102"/>
    </row>
    <row r="621" spans="1:19" ht="28.8" x14ac:dyDescent="0.3">
      <c r="A621" t="s">
        <v>4239</v>
      </c>
      <c r="B621" t="s">
        <v>3905</v>
      </c>
      <c r="C621" s="90" t="s">
        <v>4313</v>
      </c>
      <c r="D621" t="s">
        <v>5660</v>
      </c>
      <c r="E621" s="101" t="s">
        <v>5613</v>
      </c>
      <c r="F621" t="str" cm="1">
        <f t="array" aca="1" ref="F621" ca="1">INDIRECT("'" &amp; A621 &amp; "'!" &amp; B621)</f>
        <v>v126</v>
      </c>
      <c r="G621" t="str" cm="1">
        <f t="array" aca="1" ref="G621" ca="1">INDIRECT("'" &amp; A621 &amp; "'!" &amp; ADDRESS(1, COLUMN(INDIRECT("'" &amp; A621 &amp; "'!" &amp; B621))))</f>
        <v>1981 - 1</v>
      </c>
      <c r="H621" t="str">
        <f ca="1">VLOOKUP($G621, survey_codes_dict!A:C, 2, FALSE)</f>
        <v>1981_1</v>
      </c>
      <c r="I621" s="102" t="str">
        <f ca="1">VLOOKUP($G621, survey_codes_dict!A:D, 4, FALSE)</f>
        <v>1977_4</v>
      </c>
      <c r="J621" s="102" t="str">
        <f t="shared" ca="1" si="18"/>
        <v>1981_1__v126</v>
      </c>
      <c r="K621" s="102" t="str">
        <f t="shared" ca="1" si="19"/>
        <v>1977_4__v126</v>
      </c>
      <c r="L621" s="102"/>
      <c r="M621" s="102"/>
      <c r="N621" s="102"/>
      <c r="O621" s="102"/>
      <c r="P621" s="102"/>
      <c r="Q621" s="102"/>
      <c r="R621" s="102"/>
      <c r="S621" s="101"/>
    </row>
    <row r="622" spans="1:19" ht="28.8" x14ac:dyDescent="0.3">
      <c r="A622" t="s">
        <v>4239</v>
      </c>
      <c r="B622" t="s">
        <v>4315</v>
      </c>
      <c r="C622" s="90" t="s">
        <v>4316</v>
      </c>
      <c r="D622" t="s">
        <v>5660</v>
      </c>
      <c r="E622" s="101" t="s">
        <v>5614</v>
      </c>
      <c r="F622" t="str" cm="1">
        <f t="array" aca="1" ref="F622" ca="1">INDIRECT("'" &amp; A622 &amp; "'!" &amp; B622)</f>
        <v>c14</v>
      </c>
      <c r="G622" t="str" cm="1">
        <f t="array" aca="1" ref="G622" ca="1">INDIRECT("'" &amp; A622 &amp; "'!" &amp; ADDRESS(1, COLUMN(INDIRECT("'" &amp; A622 &amp; "'!" &amp; B622))))</f>
        <v>1977 - 4</v>
      </c>
      <c r="H622" t="str">
        <f ca="1">VLOOKUP($G622, survey_codes_dict!A:C, 2, FALSE)</f>
        <v>1977_4</v>
      </c>
      <c r="I622" s="102" t="str">
        <f ca="1">VLOOKUP($G622, survey_codes_dict!A:D, 4, FALSE)</f>
        <v>1977_3</v>
      </c>
      <c r="J622" s="102" t="str">
        <f t="shared" ca="1" si="18"/>
        <v>1977_4__c14</v>
      </c>
      <c r="K622" s="102" t="str">
        <f t="shared" ca="1" si="19"/>
        <v>1977_3__c14</v>
      </c>
      <c r="L622" s="102"/>
      <c r="M622" s="102"/>
      <c r="N622" s="102"/>
      <c r="O622" s="102"/>
      <c r="P622" s="102"/>
      <c r="Q622" s="102"/>
      <c r="R622" s="102"/>
      <c r="S622" s="101"/>
    </row>
    <row r="623" spans="1:19" ht="28.8" x14ac:dyDescent="0.3">
      <c r="A623" t="s">
        <v>4239</v>
      </c>
      <c r="B623" t="s">
        <v>4317</v>
      </c>
      <c r="C623" s="90" t="s">
        <v>4316</v>
      </c>
      <c r="D623" t="s">
        <v>5660</v>
      </c>
      <c r="E623" s="101" t="s">
        <v>5614</v>
      </c>
      <c r="F623" t="str" cm="1">
        <f t="array" aca="1" ref="F623" ca="1">INDIRECT("'" &amp; A623 &amp; "'!" &amp; B623)</f>
        <v>b9</v>
      </c>
      <c r="G623" t="str" cm="1">
        <f t="array" aca="1" ref="G623" ca="1">INDIRECT("'" &amp; A623 &amp; "'!" &amp; ADDRESS(1, COLUMN(INDIRECT("'" &amp; A623 &amp; "'!" &amp; B623))))</f>
        <v>1977 - 3</v>
      </c>
      <c r="H623" t="str">
        <f ca="1">VLOOKUP($G623, survey_codes_dict!A:C, 2, FALSE)</f>
        <v>1977_3</v>
      </c>
      <c r="I623" s="102" t="str">
        <f ca="1">VLOOKUP($G623, survey_codes_dict!A:D, 4, FALSE)</f>
        <v>1977_2</v>
      </c>
      <c r="J623" s="102" t="str">
        <f t="shared" ca="1" si="18"/>
        <v>1977_3__b9</v>
      </c>
      <c r="K623" s="102" t="str">
        <f t="shared" ca="1" si="19"/>
        <v>1977_2__b9</v>
      </c>
      <c r="L623" s="102"/>
      <c r="M623" s="102"/>
      <c r="N623" s="102"/>
      <c r="O623" s="102"/>
      <c r="P623" s="102"/>
      <c r="Q623" s="102"/>
      <c r="R623" s="102"/>
      <c r="S623" s="101"/>
    </row>
    <row r="624" spans="1:19" ht="28.8" x14ac:dyDescent="0.3">
      <c r="A624" t="s">
        <v>4239</v>
      </c>
      <c r="B624" t="s">
        <v>4318</v>
      </c>
      <c r="C624" s="90" t="s">
        <v>4316</v>
      </c>
      <c r="D624" t="s">
        <v>5660</v>
      </c>
      <c r="E624" s="101" t="s">
        <v>5614</v>
      </c>
      <c r="F624" t="str" cm="1">
        <f t="array" aca="1" ref="F624" ca="1">INDIRECT("'" &amp; A624 &amp; "'!" &amp; B624)</f>
        <v>a8</v>
      </c>
      <c r="G624" t="str" cm="1">
        <f t="array" aca="1" ref="G624" ca="1">INDIRECT("'" &amp; A624 &amp; "'!" &amp; ADDRESS(1, COLUMN(INDIRECT("'" &amp; A624 &amp; "'!" &amp; B624))))</f>
        <v>1977 - 2</v>
      </c>
      <c r="H624" t="str">
        <f ca="1">VLOOKUP($G624, survey_codes_dict!A:C, 2, FALSE)</f>
        <v>1977_2</v>
      </c>
      <c r="I624" s="102" t="str">
        <f ca="1">VLOOKUP($G624, survey_codes_dict!A:D, 4, FALSE)</f>
        <v>1977_1</v>
      </c>
      <c r="J624" s="102" t="str">
        <f t="shared" ca="1" si="18"/>
        <v>1977_2__a8</v>
      </c>
      <c r="K624" s="102" t="str">
        <f t="shared" ca="1" si="19"/>
        <v>1977_1__a8</v>
      </c>
      <c r="L624" s="102"/>
      <c r="M624" s="102"/>
      <c r="N624" s="102"/>
      <c r="O624" s="102"/>
      <c r="P624" s="102"/>
      <c r="Q624" s="102"/>
      <c r="R624" s="102"/>
      <c r="S624" s="101"/>
    </row>
    <row r="625" spans="1:19" ht="28.8" x14ac:dyDescent="0.3">
      <c r="A625" t="s">
        <v>4239</v>
      </c>
      <c r="B625" t="s">
        <v>4319</v>
      </c>
      <c r="C625" s="90" t="s">
        <v>4316</v>
      </c>
      <c r="D625" t="s">
        <v>5660</v>
      </c>
      <c r="E625" s="101" t="s">
        <v>5614</v>
      </c>
      <c r="F625" t="str" cm="1">
        <f t="array" aca="1" ref="F625" ca="1">INDIRECT("'" &amp; A625 &amp; "'!" &amp; B625)</f>
        <v>v105</v>
      </c>
      <c r="G625" t="str" cm="1">
        <f t="array" aca="1" ref="G625" ca="1">INDIRECT("'" &amp; A625 &amp; "'!" &amp; ADDRESS(1, COLUMN(INDIRECT("'" &amp; A625 &amp; "'!" &amp; B625))))</f>
        <v>1977 - 1</v>
      </c>
      <c r="H625" t="str">
        <f ca="1">VLOOKUP($G625, survey_codes_dict!A:C, 2, FALSE)</f>
        <v>1977_1</v>
      </c>
      <c r="I625" s="102" t="str">
        <f ca="1">VLOOKUP($G625, survey_codes_dict!A:D, 4, FALSE)</f>
        <v>1973_5</v>
      </c>
      <c r="J625" s="102" t="str">
        <f t="shared" ca="1" si="18"/>
        <v>1977_1__v105</v>
      </c>
      <c r="K625" s="102" t="str">
        <f t="shared" ca="1" si="19"/>
        <v>1973_5__v105</v>
      </c>
      <c r="L625" s="102"/>
      <c r="M625" s="102"/>
      <c r="N625" s="102"/>
      <c r="O625" s="102"/>
      <c r="P625" s="102"/>
      <c r="Q625" s="102"/>
      <c r="R625" s="102"/>
      <c r="S625" s="101"/>
    </row>
    <row r="626" spans="1:19" ht="28.8" x14ac:dyDescent="0.3">
      <c r="A626" t="s">
        <v>4239</v>
      </c>
      <c r="B626" t="s">
        <v>4320</v>
      </c>
      <c r="C626" s="90" t="s">
        <v>4321</v>
      </c>
      <c r="D626" t="s">
        <v>5660</v>
      </c>
      <c r="E626" s="101" t="s">
        <v>5615</v>
      </c>
      <c r="F626" t="str" cm="1">
        <f t="array" aca="1" ref="F626" ca="1">INDIRECT("'" &amp; A626 &amp; "'!" &amp; B626)</f>
        <v>h53</v>
      </c>
      <c r="G626" t="str" cm="1">
        <f t="array" aca="1" ref="G626" ca="1">INDIRECT("'" &amp; A626 &amp; "'!" &amp; ADDRESS(1, COLUMN(INDIRECT("'" &amp; A626 &amp; "'!" &amp; B626))))</f>
        <v>1973 - 5</v>
      </c>
      <c r="H626" t="str">
        <f ca="1">VLOOKUP($G626, survey_codes_dict!A:C, 2, FALSE)</f>
        <v>1973_5</v>
      </c>
      <c r="I626" s="102" t="str">
        <f ca="1">VLOOKUP($G626, survey_codes_dict!A:D, 4, FALSE)</f>
        <v>1973_4</v>
      </c>
      <c r="J626" s="102" t="str">
        <f t="shared" ca="1" si="18"/>
        <v>1973_5__h53</v>
      </c>
      <c r="K626" s="102" t="str">
        <f t="shared" ca="1" si="19"/>
        <v>1973_4__h53</v>
      </c>
      <c r="L626" s="102"/>
      <c r="M626" s="102"/>
      <c r="N626" s="102"/>
      <c r="O626" s="102"/>
      <c r="P626" s="102"/>
      <c r="Q626" s="102"/>
      <c r="R626" s="102"/>
      <c r="S626" s="101"/>
    </row>
    <row r="627" spans="1:19" ht="28.8" x14ac:dyDescent="0.3">
      <c r="A627" t="s">
        <v>4239</v>
      </c>
      <c r="B627" t="s">
        <v>4322</v>
      </c>
      <c r="C627" s="90" t="s">
        <v>4321</v>
      </c>
      <c r="D627" t="s">
        <v>5660</v>
      </c>
      <c r="E627" s="101" t="s">
        <v>5615</v>
      </c>
      <c r="F627" t="str" cm="1">
        <f t="array" aca="1" ref="F627" ca="1">INDIRECT("'" &amp; A627 &amp; "'!" &amp; B627)</f>
        <v>g55</v>
      </c>
      <c r="G627" t="str" cm="1">
        <f t="array" aca="1" ref="G627" ca="1">INDIRECT("'" &amp; A627 &amp; "'!" &amp; ADDRESS(1, COLUMN(INDIRECT("'" &amp; A627 &amp; "'!" &amp; B627))))</f>
        <v>1973 - 4</v>
      </c>
      <c r="H627" t="str">
        <f ca="1">VLOOKUP($G627, survey_codes_dict!A:C, 2, FALSE)</f>
        <v>1973_4</v>
      </c>
      <c r="I627" s="102" t="str">
        <f ca="1">VLOOKUP($G627, survey_codes_dict!A:D, 4, FALSE)</f>
        <v>1973_3</v>
      </c>
      <c r="J627" s="102" t="str">
        <f t="shared" ca="1" si="18"/>
        <v>1973_4__g55</v>
      </c>
      <c r="K627" s="102" t="str">
        <f t="shared" ca="1" si="19"/>
        <v>1973_3__g55</v>
      </c>
      <c r="L627" s="102"/>
      <c r="M627" s="102"/>
      <c r="N627" s="102"/>
      <c r="O627" s="102"/>
      <c r="P627" s="102"/>
      <c r="Q627" s="102"/>
      <c r="R627" s="102"/>
      <c r="S627" s="101"/>
    </row>
    <row r="628" spans="1:19" ht="28.8" x14ac:dyDescent="0.3">
      <c r="A628" t="s">
        <v>4239</v>
      </c>
      <c r="B628" t="s">
        <v>4323</v>
      </c>
      <c r="C628" s="90" t="s">
        <v>4321</v>
      </c>
      <c r="D628" t="s">
        <v>5660</v>
      </c>
      <c r="E628" s="101" t="s">
        <v>5615</v>
      </c>
      <c r="F628" t="str" cm="1">
        <f t="array" aca="1" ref="F628" ca="1">INDIRECT("'" &amp; A628 &amp; "'!" &amp; B628)</f>
        <v>f49</v>
      </c>
      <c r="G628" t="str" cm="1">
        <f t="array" aca="1" ref="G628" ca="1">INDIRECT("'" &amp; A628 &amp; "'!" &amp; ADDRESS(1, COLUMN(INDIRECT("'" &amp; A628 &amp; "'!" &amp; B628))))</f>
        <v>1973 - 3</v>
      </c>
      <c r="H628" t="str">
        <f ca="1">VLOOKUP($G628, survey_codes_dict!A:C, 2, FALSE)</f>
        <v>1973_3</v>
      </c>
      <c r="I628" s="102" t="str">
        <f ca="1">VLOOKUP($G628, survey_codes_dict!A:D, 4, FALSE)</f>
        <v>1973_2</v>
      </c>
      <c r="J628" s="102" t="str">
        <f t="shared" ca="1" si="18"/>
        <v>1973_3__f49</v>
      </c>
      <c r="K628" s="102" t="str">
        <f t="shared" ca="1" si="19"/>
        <v>1973_2__f49</v>
      </c>
      <c r="L628" s="102"/>
      <c r="M628" s="102"/>
      <c r="N628" s="102"/>
      <c r="O628" s="102"/>
      <c r="P628" s="102"/>
      <c r="Q628" s="102"/>
      <c r="R628" s="102"/>
      <c r="S628" s="101"/>
    </row>
    <row r="629" spans="1:19" ht="28.8" x14ac:dyDescent="0.3">
      <c r="A629" t="s">
        <v>4239</v>
      </c>
      <c r="B629" t="s">
        <v>4324</v>
      </c>
      <c r="C629" s="90" t="s">
        <v>4325</v>
      </c>
      <c r="D629" t="s">
        <v>5660</v>
      </c>
      <c r="E629" s="101" t="s">
        <v>5616</v>
      </c>
      <c r="F629" t="str" cm="1">
        <f t="array" aca="1" ref="F629" ca="1">INDIRECT("'" &amp; A629 &amp; "'!" &amp; B629)</f>
        <v>c7</v>
      </c>
      <c r="G629" t="str" cm="1">
        <f t="array" aca="1" ref="G629" ca="1">INDIRECT("'" &amp; A629 &amp; "'!" &amp; ADDRESS(1, COLUMN(INDIRECT("'" &amp; A629 &amp; "'!" &amp; B629))))</f>
        <v>1969 - 3</v>
      </c>
      <c r="H629" t="e">
        <f ca="1">VLOOKUP($G629, survey_codes_dict!A:C, 2, FALSE)</f>
        <v>#N/A</v>
      </c>
      <c r="I629" s="102" t="e">
        <f ca="1">VLOOKUP($G629, survey_codes_dict!A:D, 4, FALSE)</f>
        <v>#N/A</v>
      </c>
      <c r="J629" s="102" t="e">
        <f t="shared" ca="1" si="18"/>
        <v>#N/A</v>
      </c>
      <c r="K629" s="102" t="e">
        <f t="shared" ca="1" si="19"/>
        <v>#N/A</v>
      </c>
      <c r="L629" s="102"/>
      <c r="M629" s="102"/>
      <c r="N629" s="102"/>
      <c r="O629" s="102"/>
      <c r="P629" s="102"/>
      <c r="Q629" s="102"/>
      <c r="R629" s="102"/>
      <c r="S629" s="101"/>
    </row>
    <row r="630" spans="1:19" ht="28.8" x14ac:dyDescent="0.3">
      <c r="A630" t="s">
        <v>4239</v>
      </c>
      <c r="B630" t="s">
        <v>4326</v>
      </c>
      <c r="C630" s="90" t="s">
        <v>4325</v>
      </c>
      <c r="D630" t="s">
        <v>5660</v>
      </c>
      <c r="E630" s="101" t="s">
        <v>5616</v>
      </c>
      <c r="F630" t="str" cm="1">
        <f t="array" aca="1" ref="F630" ca="1">INDIRECT("'" &amp; A630 &amp; "'!" &amp; B630)</f>
        <v>b56</v>
      </c>
      <c r="G630" t="str" cm="1">
        <f t="array" aca="1" ref="G630" ca="1">INDIRECT("'" &amp; A630 &amp; "'!" &amp; ADDRESS(1, COLUMN(INDIRECT("'" &amp; A630 &amp; "'!" &amp; B630))))</f>
        <v>1969 - 2</v>
      </c>
      <c r="H630" t="str">
        <f ca="1">VLOOKUP($G630, survey_codes_dict!A:C, 2, FALSE)</f>
        <v>1969_2</v>
      </c>
      <c r="I630" s="102" t="str">
        <f ca="1">VLOOKUP($G630, survey_codes_dict!A:D, 4, FALSE)</f>
        <v>1969_1</v>
      </c>
      <c r="J630" s="102" t="str">
        <f t="shared" ca="1" si="18"/>
        <v>1969_2__b56</v>
      </c>
      <c r="K630" s="102" t="str">
        <f t="shared" ca="1" si="19"/>
        <v>1969_1__b56</v>
      </c>
      <c r="L630" s="102"/>
      <c r="M630" s="102"/>
      <c r="N630" s="102"/>
      <c r="O630" s="102"/>
      <c r="P630" s="102"/>
      <c r="Q630" s="102"/>
      <c r="R630" s="102"/>
      <c r="S630" s="101"/>
    </row>
    <row r="631" spans="1:19" ht="28.8" x14ac:dyDescent="0.3">
      <c r="A631" t="s">
        <v>4239</v>
      </c>
      <c r="B631" t="s">
        <v>4327</v>
      </c>
      <c r="C631" s="90" t="s">
        <v>4325</v>
      </c>
      <c r="D631" t="s">
        <v>5660</v>
      </c>
      <c r="E631" s="101" t="s">
        <v>5616</v>
      </c>
      <c r="F631" t="str" cm="1">
        <f t="array" aca="1" ref="F631" ca="1">INDIRECT("'" &amp; A631 &amp; "'!" &amp; B631)</f>
        <v>b61</v>
      </c>
      <c r="G631" t="str" cm="1">
        <f t="array" aca="1" ref="G631" ca="1">INDIRECT("'" &amp; A631 &amp; "'!" &amp; ADDRESS(1, COLUMN(INDIRECT("'" &amp; A631 &amp; "'!" &amp; B631))))</f>
        <v>1969 - 1</v>
      </c>
      <c r="H631" t="str">
        <f ca="1">VLOOKUP($G631, survey_codes_dict!A:C, 2, FALSE)</f>
        <v>1969_1</v>
      </c>
      <c r="I631" s="102">
        <f ca="1">VLOOKUP($G631, survey_codes_dict!A:D, 4, FALSE)</f>
        <v>0</v>
      </c>
      <c r="J631" s="102" t="str">
        <f t="shared" ca="1" si="18"/>
        <v>1969_1__b61</v>
      </c>
      <c r="K631" s="102" t="str">
        <f t="shared" ca="1" si="19"/>
        <v>0__b61</v>
      </c>
      <c r="L631" s="102"/>
      <c r="M631" s="102"/>
      <c r="N631" s="102"/>
      <c r="O631" s="102"/>
      <c r="P631" s="102"/>
      <c r="Q631" s="102"/>
      <c r="R631" s="102"/>
      <c r="S631" s="101"/>
    </row>
    <row r="632" spans="1:19" ht="86.4" x14ac:dyDescent="0.3">
      <c r="A632" t="s">
        <v>4239</v>
      </c>
      <c r="B632" t="s">
        <v>4328</v>
      </c>
      <c r="C632" s="90" t="s">
        <v>4329</v>
      </c>
      <c r="D632" t="s">
        <v>5562</v>
      </c>
      <c r="E632" s="101" t="s">
        <v>6062</v>
      </c>
      <c r="F632" t="str" cm="1">
        <f t="array" aca="1" ref="F632" ca="1">INDIRECT("'" &amp; A632 &amp; "'!" &amp; B632)</f>
        <v>b16</v>
      </c>
      <c r="G632" cm="1">
        <f t="array" aca="1" ref="G632" ca="1">INDIRECT("'" &amp; A632 &amp; "'!" &amp; ADDRESS(1, COLUMN(INDIRECT("'" &amp; A632 &amp; "'!" &amp; B632))))</f>
        <v>2001</v>
      </c>
      <c r="H632" t="str">
        <f ca="1">VLOOKUP($G632, survey_codes_dict!A:C, 2, FALSE)</f>
        <v>2001</v>
      </c>
      <c r="I632" s="102" t="str">
        <f ca="1">VLOOKUP($G632, survey_codes_dict!A:D, 4, FALSE)</f>
        <v>1999_1</v>
      </c>
      <c r="J632" s="102" t="str">
        <f t="shared" ca="1" si="18"/>
        <v>2001__b16</v>
      </c>
      <c r="K632" s="102" t="str">
        <f t="shared" ca="1" si="19"/>
        <v>1999_1__b16</v>
      </c>
      <c r="L632" s="102"/>
      <c r="M632" s="102"/>
      <c r="N632" s="102"/>
      <c r="O632" s="102"/>
      <c r="P632" s="102"/>
      <c r="Q632" s="102"/>
      <c r="R632" s="102"/>
      <c r="S632" s="101"/>
    </row>
    <row r="633" spans="1:19" ht="144" x14ac:dyDescent="0.3">
      <c r="A633" t="s">
        <v>4239</v>
      </c>
      <c r="B633" t="s">
        <v>4330</v>
      </c>
      <c r="C633" s="90" t="s">
        <v>4331</v>
      </c>
      <c r="D633" t="s">
        <v>5562</v>
      </c>
      <c r="E633" s="101" t="s">
        <v>6063</v>
      </c>
      <c r="F633" t="str" cm="1">
        <f t="array" aca="1" ref="F633" ca="1">INDIRECT("'" &amp; A633 &amp; "'!" &amp; B633)</f>
        <v>c13</v>
      </c>
      <c r="G633" cm="1">
        <f t="array" aca="1" ref="G633" ca="1">INDIRECT("'" &amp; A633 &amp; "'!" &amp; ADDRESS(1, COLUMN(INDIRECT("'" &amp; A633 &amp; "'!" &amp; B633))))</f>
        <v>1999</v>
      </c>
      <c r="H633" t="str">
        <f ca="1">VLOOKUP($G633, survey_codes_dict!A:C, 2, FALSE)</f>
        <v>1999_1</v>
      </c>
      <c r="I633" s="102" t="str">
        <f ca="1">VLOOKUP($G633, survey_codes_dict!A:D, 4, FALSE)</f>
        <v>1996_Jews</v>
      </c>
      <c r="J633" s="102" t="str">
        <f t="shared" ca="1" si="18"/>
        <v>1999_1__c13</v>
      </c>
      <c r="K633" s="102" t="str">
        <f t="shared" ca="1" si="19"/>
        <v>1996_Jews__c13</v>
      </c>
      <c r="L633" s="102"/>
      <c r="M633" s="102"/>
      <c r="N633" s="102"/>
      <c r="O633" s="102"/>
      <c r="P633" s="102"/>
      <c r="Q633" s="102"/>
      <c r="R633" s="102"/>
      <c r="S633" s="101"/>
    </row>
    <row r="634" spans="1:19" ht="43.2" x14ac:dyDescent="0.3">
      <c r="A634" t="s">
        <v>4239</v>
      </c>
      <c r="B634" t="s">
        <v>4332</v>
      </c>
      <c r="C634" s="90" t="s">
        <v>4333</v>
      </c>
      <c r="D634" t="s">
        <v>5562</v>
      </c>
      <c r="E634" s="101" t="s">
        <v>6064</v>
      </c>
      <c r="F634" t="str" cm="1">
        <f t="array" aca="1" ref="F634" ca="1">INDIRECT("'" &amp; A634 &amp; "'!" &amp; B634)</f>
        <v>ccc28</v>
      </c>
      <c r="G634" cm="1">
        <f t="array" aca="1" ref="G634" ca="1">INDIRECT("'" &amp; A634 &amp; "'!" &amp; ADDRESS(1, COLUMN(INDIRECT("'" &amp; A634 &amp; "'!" &amp; B634))))</f>
        <v>1996</v>
      </c>
      <c r="H634" t="str">
        <f ca="1">VLOOKUP($G634, survey_codes_dict!A:C, 2, FALSE)</f>
        <v>1996_Jews</v>
      </c>
      <c r="I634" s="102" t="str">
        <f ca="1">VLOOKUP($G634, survey_codes_dict!A:D, 4, FALSE)</f>
        <v>1992</v>
      </c>
      <c r="J634" s="102" t="str">
        <f t="shared" ca="1" si="18"/>
        <v>1996_Jews__ccc28</v>
      </c>
      <c r="K634" s="102" t="str">
        <f t="shared" ca="1" si="19"/>
        <v>1992__ccc28</v>
      </c>
      <c r="L634" s="102"/>
      <c r="M634" s="102"/>
      <c r="N634" s="102"/>
      <c r="O634" s="102"/>
      <c r="P634" s="102"/>
      <c r="Q634" s="102"/>
      <c r="R634" s="102"/>
      <c r="S634" s="101"/>
    </row>
    <row r="635" spans="1:19" ht="86.4" x14ac:dyDescent="0.3">
      <c r="A635" t="s">
        <v>4239</v>
      </c>
      <c r="B635" t="s">
        <v>4334</v>
      </c>
      <c r="C635" s="90" t="s">
        <v>4335</v>
      </c>
      <c r="D635" t="s">
        <v>5562</v>
      </c>
      <c r="E635" s="101" t="s">
        <v>6065</v>
      </c>
      <c r="F635" t="str" cm="1">
        <f t="array" aca="1" ref="F635" ca="1">INDIRECT("'" &amp; A635 &amp; "'!" &amp; B635)</f>
        <v>b68</v>
      </c>
      <c r="G635" cm="1">
        <f t="array" aca="1" ref="G635" ca="1">INDIRECT("'" &amp; A635 &amp; "'!" &amp; ADDRESS(1, COLUMN(INDIRECT("'" &amp; A635 &amp; "'!" &amp; B635))))</f>
        <v>2003</v>
      </c>
      <c r="H635" t="str">
        <f ca="1">VLOOKUP($G635, survey_codes_dict!A:C, 2, FALSE)</f>
        <v>2003</v>
      </c>
      <c r="I635" s="102" t="str">
        <f ca="1">VLOOKUP($G635, survey_codes_dict!A:D, 4, FALSE)</f>
        <v>2001</v>
      </c>
      <c r="J635" s="102" t="str">
        <f t="shared" ca="1" si="18"/>
        <v>2003__b68</v>
      </c>
      <c r="K635" s="102" t="str">
        <f t="shared" ca="1" si="19"/>
        <v>2001__b68</v>
      </c>
      <c r="L635" s="102"/>
      <c r="M635" s="102"/>
      <c r="N635" s="102"/>
      <c r="O635" s="102"/>
      <c r="P635" s="102"/>
      <c r="Q635" s="102"/>
      <c r="R635" s="102"/>
      <c r="S635" s="101"/>
    </row>
    <row r="636" spans="1:19" ht="86.4" x14ac:dyDescent="0.3">
      <c r="A636" t="s">
        <v>4239</v>
      </c>
      <c r="B636" t="s">
        <v>3625</v>
      </c>
      <c r="C636" s="90" t="s">
        <v>4336</v>
      </c>
      <c r="D636" t="s">
        <v>5562</v>
      </c>
      <c r="E636" s="101" t="s">
        <v>6066</v>
      </c>
      <c r="F636" t="str" cm="1">
        <f t="array" aca="1" ref="F636" ca="1">INDIRECT("'" &amp; A636 &amp; "'!" &amp; B636)</f>
        <v>b20</v>
      </c>
      <c r="G636" cm="1">
        <f t="array" aca="1" ref="G636" ca="1">INDIRECT("'" &amp; A636 &amp; "'!" &amp; ADDRESS(1, COLUMN(INDIRECT("'" &amp; A636 &amp; "'!" &amp; B636))))</f>
        <v>2001</v>
      </c>
      <c r="H636" t="str">
        <f ca="1">VLOOKUP($G636, survey_codes_dict!A:C, 2, FALSE)</f>
        <v>2001</v>
      </c>
      <c r="I636" s="102" t="str">
        <f ca="1">VLOOKUP($G636, survey_codes_dict!A:D, 4, FALSE)</f>
        <v>1999_1</v>
      </c>
      <c r="J636" s="102" t="str">
        <f t="shared" ca="1" si="18"/>
        <v>2001__b20</v>
      </c>
      <c r="K636" s="102" t="str">
        <f t="shared" ca="1" si="19"/>
        <v>1999_1__b20</v>
      </c>
      <c r="L636" s="102"/>
      <c r="M636" s="102"/>
      <c r="N636" s="102"/>
      <c r="O636" s="102"/>
      <c r="P636" s="102"/>
      <c r="Q636" s="102"/>
      <c r="R636" s="102"/>
      <c r="S636" s="101"/>
    </row>
    <row r="637" spans="1:19" ht="86.4" x14ac:dyDescent="0.3">
      <c r="A637" t="s">
        <v>4239</v>
      </c>
      <c r="B637" t="s">
        <v>3627</v>
      </c>
      <c r="C637" s="90" t="s">
        <v>4337</v>
      </c>
      <c r="D637" t="s">
        <v>5562</v>
      </c>
      <c r="E637" s="101" t="s">
        <v>6067</v>
      </c>
      <c r="F637" t="str" cm="1">
        <f t="array" aca="1" ref="F637" ca="1">INDIRECT("'" &amp; A637 &amp; "'!" &amp; B637)</f>
        <v>c16</v>
      </c>
      <c r="G637" cm="1">
        <f t="array" aca="1" ref="G637" ca="1">INDIRECT("'" &amp; A637 &amp; "'!" &amp; ADDRESS(1, COLUMN(INDIRECT("'" &amp; A637 &amp; "'!" &amp; B637))))</f>
        <v>1999</v>
      </c>
      <c r="H637" t="str">
        <f ca="1">VLOOKUP($G637, survey_codes_dict!A:C, 2, FALSE)</f>
        <v>1999_1</v>
      </c>
      <c r="I637" s="102" t="str">
        <f ca="1">VLOOKUP($G637, survey_codes_dict!A:D, 4, FALSE)</f>
        <v>1996_Jews</v>
      </c>
      <c r="J637" s="102" t="str">
        <f t="shared" ca="1" si="18"/>
        <v>1999_1__c16</v>
      </c>
      <c r="K637" s="102" t="str">
        <f t="shared" ca="1" si="19"/>
        <v>1996_Jews__c16</v>
      </c>
      <c r="L637" s="102"/>
      <c r="M637" s="102"/>
      <c r="N637" s="102"/>
      <c r="O637" s="102"/>
      <c r="P637" s="102"/>
      <c r="Q637" s="102"/>
      <c r="R637" s="102"/>
      <c r="S637" s="101"/>
    </row>
    <row r="638" spans="1:19" ht="86.4" x14ac:dyDescent="0.3">
      <c r="A638" t="s">
        <v>4239</v>
      </c>
      <c r="B638" t="s">
        <v>3629</v>
      </c>
      <c r="C638" s="90" t="s">
        <v>4338</v>
      </c>
      <c r="D638" t="s">
        <v>5562</v>
      </c>
      <c r="E638" s="101" t="s">
        <v>6068</v>
      </c>
      <c r="F638" t="str" cm="1">
        <f t="array" aca="1" ref="F638" ca="1">INDIRECT("'" &amp; A638 &amp; "'!" &amp; B638)</f>
        <v>c14</v>
      </c>
      <c r="G638" cm="1">
        <f t="array" aca="1" ref="G638" ca="1">INDIRECT("'" &amp; A638 &amp; "'!" &amp; ADDRESS(1, COLUMN(INDIRECT("'" &amp; A638 &amp; "'!" &amp; B638))))</f>
        <v>1999</v>
      </c>
      <c r="H638" t="str">
        <f ca="1">VLOOKUP($G638, survey_codes_dict!A:C, 2, FALSE)</f>
        <v>1999_1</v>
      </c>
      <c r="I638" s="102" t="str">
        <f ca="1">VLOOKUP($G638, survey_codes_dict!A:D, 4, FALSE)</f>
        <v>1996_Jews</v>
      </c>
      <c r="J638" s="102" t="str">
        <f t="shared" ca="1" si="18"/>
        <v>1999_1__c14</v>
      </c>
      <c r="K638" s="102" t="str">
        <f t="shared" ca="1" si="19"/>
        <v>1996_Jews__c14</v>
      </c>
      <c r="L638" s="102"/>
      <c r="M638" s="102"/>
      <c r="N638" s="102"/>
      <c r="O638" s="102"/>
      <c r="P638" s="102"/>
      <c r="Q638" s="102"/>
      <c r="R638" s="102"/>
      <c r="S638" s="101"/>
    </row>
    <row r="639" spans="1:19" ht="28.8" x14ac:dyDescent="0.3">
      <c r="A639" t="s">
        <v>4239</v>
      </c>
      <c r="B639" t="s">
        <v>3397</v>
      </c>
      <c r="C639" s="90" t="s">
        <v>4339</v>
      </c>
      <c r="D639" t="s">
        <v>5660</v>
      </c>
      <c r="E639" s="101" t="s">
        <v>5617</v>
      </c>
      <c r="F639" t="str" cm="1">
        <f t="array" aca="1" ref="F639" ca="1">INDIRECT("'" &amp; A639 &amp; "'!" &amp; B639)</f>
        <v>v508</v>
      </c>
      <c r="G639" cm="1">
        <f t="array" aca="1" ref="G639" ca="1">INDIRECT("'" &amp; A639 &amp; "'!" &amp; ADDRESS(1, COLUMN(INDIRECT("'" &amp; A639 &amp; "'!" &amp; B639))))</f>
        <v>2020</v>
      </c>
      <c r="H639" t="e">
        <f ca="1">VLOOKUP($G639, survey_codes_dict!A:C, 2, FALSE)</f>
        <v>#N/A</v>
      </c>
      <c r="I639" s="102" t="e">
        <f ca="1">VLOOKUP($G639, survey_codes_dict!A:D, 4, FALSE)</f>
        <v>#N/A</v>
      </c>
      <c r="J639" s="102" t="e">
        <f t="shared" ca="1" si="18"/>
        <v>#N/A</v>
      </c>
      <c r="K639" s="102" t="e">
        <f t="shared" ca="1" si="19"/>
        <v>#N/A</v>
      </c>
      <c r="L639" s="102"/>
      <c r="M639" s="102"/>
      <c r="N639" s="102"/>
      <c r="O639" s="102"/>
      <c r="P639" s="102"/>
      <c r="Q639" s="102"/>
      <c r="R639" s="102"/>
      <c r="S639" s="102"/>
    </row>
    <row r="640" spans="1:19" ht="28.8" x14ac:dyDescent="0.3">
      <c r="A640" t="s">
        <v>4239</v>
      </c>
      <c r="B640" t="s">
        <v>3635</v>
      </c>
      <c r="C640" s="90" t="s">
        <v>4307</v>
      </c>
      <c r="D640" t="s">
        <v>5660</v>
      </c>
      <c r="E640" s="101" t="s">
        <v>5610</v>
      </c>
      <c r="F640" t="str" cm="1">
        <f t="array" aca="1" ref="F640" ca="1">INDIRECT("'" &amp; A640 &amp; "'!" &amp; B640)</f>
        <v>ccc39</v>
      </c>
      <c r="G640" cm="1">
        <f t="array" aca="1" ref="G640" ca="1">INDIRECT("'" &amp; A640 &amp; "'!" &amp; ADDRESS(1, COLUMN(INDIRECT("'" &amp; A640 &amp; "'!" &amp; B640))))</f>
        <v>1996</v>
      </c>
      <c r="H640" t="str">
        <f ca="1">VLOOKUP($G640, survey_codes_dict!A:C, 2, FALSE)</f>
        <v>1996_Jews</v>
      </c>
      <c r="I640" s="102" t="str">
        <f ca="1">VLOOKUP($G640, survey_codes_dict!A:D, 4, FALSE)</f>
        <v>1992</v>
      </c>
      <c r="J640" s="102" t="str">
        <f t="shared" ca="1" si="18"/>
        <v>1996_Jews__ccc39</v>
      </c>
      <c r="K640" s="102" t="str">
        <f t="shared" ca="1" si="19"/>
        <v>1992__ccc39</v>
      </c>
      <c r="L640" s="102"/>
      <c r="M640" s="102"/>
      <c r="N640" s="102"/>
      <c r="O640" s="102"/>
      <c r="P640" s="102"/>
      <c r="Q640" s="102"/>
      <c r="R640" s="102"/>
      <c r="S640" s="101"/>
    </row>
    <row r="641" spans="1:19" ht="28.8" x14ac:dyDescent="0.3">
      <c r="A641" t="s">
        <v>4239</v>
      </c>
      <c r="B641" t="s">
        <v>4077</v>
      </c>
      <c r="C641" s="90" t="s">
        <v>4316</v>
      </c>
      <c r="D641" t="s">
        <v>5660</v>
      </c>
      <c r="E641" s="101" t="s">
        <v>5614</v>
      </c>
      <c r="F641" t="str" cm="1">
        <f t="array" aca="1" ref="F641" ca="1">INDIRECT("'" &amp; A641 &amp; "'!" &amp; B641)</f>
        <v>b98</v>
      </c>
      <c r="G641" t="str" cm="1">
        <f t="array" aca="1" ref="G641" ca="1">INDIRECT("'" &amp; A641 &amp; "'!" &amp; ADDRESS(1, COLUMN(INDIRECT("'" &amp; A641 &amp; "'!" &amp; B641))))</f>
        <v>1981 - 3</v>
      </c>
      <c r="H641" t="str">
        <f ca="1">VLOOKUP($G641, survey_codes_dict!A:C, 2, FALSE)</f>
        <v>1981_3</v>
      </c>
      <c r="I641" s="102">
        <f ca="1">VLOOKUP($G641, survey_codes_dict!A:D, 4, FALSE)</f>
        <v>0</v>
      </c>
      <c r="J641" s="102" t="str">
        <f t="shared" ca="1" si="18"/>
        <v>1981_3__b98</v>
      </c>
      <c r="K641" s="102" t="str">
        <f t="shared" ca="1" si="19"/>
        <v>0__b98</v>
      </c>
      <c r="L641" s="102"/>
      <c r="M641" s="102"/>
      <c r="N641" s="102"/>
      <c r="O641" s="102"/>
      <c r="P641" s="102"/>
      <c r="Q641" s="102"/>
      <c r="R641" s="102"/>
      <c r="S641" s="101"/>
    </row>
    <row r="642" spans="1:19" ht="28.8" x14ac:dyDescent="0.3">
      <c r="A642" t="s">
        <v>4239</v>
      </c>
      <c r="B642" t="s">
        <v>4340</v>
      </c>
      <c r="C642" s="90" t="s">
        <v>4316</v>
      </c>
      <c r="D642" t="s">
        <v>5660</v>
      </c>
      <c r="E642" s="101" t="s">
        <v>5614</v>
      </c>
      <c r="F642" t="str" cm="1">
        <f t="array" aca="1" ref="F642" ca="1">INDIRECT("'" &amp; A642 &amp; "'!" &amp; B642)</f>
        <v>a141</v>
      </c>
      <c r="G642" t="str" cm="1">
        <f t="array" aca="1" ref="G642" ca="1">INDIRECT("'" &amp; A642 &amp; "'!" &amp; ADDRESS(1, COLUMN(INDIRECT("'" &amp; A642 &amp; "'!" &amp; B642))))</f>
        <v>1981 - 2</v>
      </c>
      <c r="H642">
        <f ca="1">VLOOKUP($G642, survey_codes_dict!A:C, 2, FALSE)</f>
        <v>0</v>
      </c>
      <c r="I642" s="102" t="str">
        <f ca="1">VLOOKUP($G642, survey_codes_dict!A:D, 4, FALSE)</f>
        <v>1981_1</v>
      </c>
      <c r="J642" s="102" t="str">
        <f t="shared" ref="J642:J705" ca="1" si="20">_xlfn.CONCAT($H642, "__", F642)</f>
        <v>0__a141</v>
      </c>
      <c r="K642" s="102" t="str">
        <f t="shared" ref="K642:K705" ca="1" si="21">_xlfn.CONCAT($I642, "__", F642)</f>
        <v>1981_1__a141</v>
      </c>
      <c r="L642" s="102"/>
      <c r="M642" s="102"/>
      <c r="N642" s="102"/>
      <c r="O642" s="102"/>
      <c r="P642" s="102"/>
      <c r="Q642" s="102"/>
      <c r="R642" s="102"/>
      <c r="S642" s="102"/>
    </row>
    <row r="643" spans="1:19" ht="28.8" x14ac:dyDescent="0.3">
      <c r="A643" t="s">
        <v>4239</v>
      </c>
      <c r="B643" t="s">
        <v>4341</v>
      </c>
      <c r="C643" s="90" t="s">
        <v>4316</v>
      </c>
      <c r="D643" t="s">
        <v>5660</v>
      </c>
      <c r="E643" s="101" t="s">
        <v>5614</v>
      </c>
      <c r="F643" t="str" cm="1">
        <f t="array" aca="1" ref="F643" ca="1">INDIRECT("'" &amp; A643 &amp; "'!" &amp; B643)</f>
        <v>v127</v>
      </c>
      <c r="G643" t="str" cm="1">
        <f t="array" aca="1" ref="G643" ca="1">INDIRECT("'" &amp; A643 &amp; "'!" &amp; ADDRESS(1, COLUMN(INDIRECT("'" &amp; A643 &amp; "'!" &amp; B643))))</f>
        <v>1981 - 1</v>
      </c>
      <c r="H643" t="str">
        <f ca="1">VLOOKUP($G643, survey_codes_dict!A:C, 2, FALSE)</f>
        <v>1981_1</v>
      </c>
      <c r="I643" s="102" t="str">
        <f ca="1">VLOOKUP($G643, survey_codes_dict!A:D, 4, FALSE)</f>
        <v>1977_4</v>
      </c>
      <c r="J643" s="102" t="str">
        <f t="shared" ca="1" si="20"/>
        <v>1981_1__v127</v>
      </c>
      <c r="K643" s="102" t="str">
        <f t="shared" ca="1" si="21"/>
        <v>1977_4__v127</v>
      </c>
      <c r="L643" s="102"/>
      <c r="M643" s="102"/>
      <c r="N643" s="102"/>
      <c r="O643" s="102"/>
      <c r="P643" s="102"/>
      <c r="Q643" s="102"/>
      <c r="R643" s="102"/>
      <c r="S643" s="101"/>
    </row>
    <row r="644" spans="1:19" ht="28.8" x14ac:dyDescent="0.3">
      <c r="A644" t="s">
        <v>4239</v>
      </c>
      <c r="B644" t="s">
        <v>4342</v>
      </c>
      <c r="C644" s="90" t="s">
        <v>4321</v>
      </c>
      <c r="D644" t="s">
        <v>5660</v>
      </c>
      <c r="E644" s="101" t="s">
        <v>5615</v>
      </c>
      <c r="F644" t="str" cm="1">
        <f t="array" aca="1" ref="F644" ca="1">INDIRECT("'" &amp; A644 &amp; "'!" &amp; B644)</f>
        <v>v106</v>
      </c>
      <c r="G644" t="str" cm="1">
        <f t="array" aca="1" ref="G644" ca="1">INDIRECT("'" &amp; A644 &amp; "'!" &amp; ADDRESS(1, COLUMN(INDIRECT("'" &amp; A644 &amp; "'!" &amp; B644))))</f>
        <v>1977 - 1</v>
      </c>
      <c r="H644" t="str">
        <f ca="1">VLOOKUP($G644, survey_codes_dict!A:C, 2, FALSE)</f>
        <v>1977_1</v>
      </c>
      <c r="I644" s="102" t="str">
        <f ca="1">VLOOKUP($G644, survey_codes_dict!A:D, 4, FALSE)</f>
        <v>1973_5</v>
      </c>
      <c r="J644" s="102" t="str">
        <f t="shared" ca="1" si="20"/>
        <v>1977_1__v106</v>
      </c>
      <c r="K644" s="102" t="str">
        <f t="shared" ca="1" si="21"/>
        <v>1973_5__v106</v>
      </c>
      <c r="L644" s="102"/>
      <c r="M644" s="102"/>
      <c r="N644" s="102"/>
      <c r="O644" s="102"/>
      <c r="P644" s="102"/>
      <c r="Q644" s="102"/>
      <c r="R644" s="102"/>
      <c r="S644" s="101"/>
    </row>
    <row r="645" spans="1:19" ht="28.8" x14ac:dyDescent="0.3">
      <c r="A645" t="s">
        <v>4239</v>
      </c>
      <c r="B645" t="s">
        <v>4343</v>
      </c>
      <c r="C645" s="90" t="s">
        <v>4291</v>
      </c>
      <c r="D645" t="s">
        <v>5660</v>
      </c>
      <c r="E645" s="101" t="s">
        <v>5602</v>
      </c>
      <c r="F645" t="str" cm="1">
        <f t="array" aca="1" ref="F645" ca="1">INDIRECT("'" &amp; A645 &amp; "'!" &amp; B645)</f>
        <v>v509</v>
      </c>
      <c r="G645" cm="1">
        <f t="array" aca="1" ref="G645" ca="1">INDIRECT("'" &amp; A645 &amp; "'!" &amp; ADDRESS(1, COLUMN(INDIRECT("'" &amp; A645 &amp; "'!" &amp; B645))))</f>
        <v>2020</v>
      </c>
      <c r="H645" t="e">
        <f ca="1">VLOOKUP($G645, survey_codes_dict!A:C, 2, FALSE)</f>
        <v>#N/A</v>
      </c>
      <c r="I645" s="102" t="e">
        <f ca="1">VLOOKUP($G645, survey_codes_dict!A:D, 4, FALSE)</f>
        <v>#N/A</v>
      </c>
      <c r="J645" s="102" t="e">
        <f t="shared" ca="1" si="20"/>
        <v>#N/A</v>
      </c>
      <c r="K645" s="102" t="e">
        <f t="shared" ca="1" si="21"/>
        <v>#N/A</v>
      </c>
      <c r="L645" s="102"/>
      <c r="M645" s="102"/>
      <c r="N645" s="102"/>
      <c r="O645" s="102"/>
      <c r="P645" s="102"/>
      <c r="Q645" s="102"/>
      <c r="R645" s="102"/>
      <c r="S645" s="102"/>
    </row>
    <row r="646" spans="1:19" ht="28.8" x14ac:dyDescent="0.3">
      <c r="A646" t="s">
        <v>4239</v>
      </c>
      <c r="B646" t="s">
        <v>3402</v>
      </c>
      <c r="C646" s="90" t="s">
        <v>4321</v>
      </c>
      <c r="D646" t="s">
        <v>5660</v>
      </c>
      <c r="E646" s="101" t="s">
        <v>5615</v>
      </c>
      <c r="F646" t="str" cm="1">
        <f t="array" aca="1" ref="F646" ca="1">INDIRECT("'" &amp; A646 &amp; "'!" &amp; B646)</f>
        <v>b99</v>
      </c>
      <c r="G646" t="str" cm="1">
        <f t="array" aca="1" ref="G646" ca="1">INDIRECT("'" &amp; A646 &amp; "'!" &amp; ADDRESS(1, COLUMN(INDIRECT("'" &amp; A646 &amp; "'!" &amp; B646))))</f>
        <v>1981 - 3</v>
      </c>
      <c r="H646" t="str">
        <f ca="1">VLOOKUP($G646, survey_codes_dict!A:C, 2, FALSE)</f>
        <v>1981_3</v>
      </c>
      <c r="I646" s="102">
        <f ca="1">VLOOKUP($G646, survey_codes_dict!A:D, 4, FALSE)</f>
        <v>0</v>
      </c>
      <c r="J646" s="102" t="str">
        <f t="shared" ca="1" si="20"/>
        <v>1981_3__b99</v>
      </c>
      <c r="K646" s="102" t="str">
        <f t="shared" ca="1" si="21"/>
        <v>0__b99</v>
      </c>
      <c r="L646" s="102"/>
      <c r="M646" s="102"/>
      <c r="N646" s="102"/>
      <c r="O646" s="102"/>
      <c r="P646" s="102"/>
      <c r="Q646" s="102"/>
      <c r="R646" s="102"/>
      <c r="S646" s="101"/>
    </row>
    <row r="647" spans="1:19" ht="144" x14ac:dyDescent="0.3">
      <c r="A647" t="s">
        <v>4239</v>
      </c>
      <c r="B647" t="s">
        <v>4344</v>
      </c>
      <c r="C647" s="90" t="s">
        <v>4345</v>
      </c>
      <c r="D647" t="s">
        <v>5562</v>
      </c>
      <c r="E647" s="101" t="s">
        <v>6069</v>
      </c>
      <c r="F647" t="str" cm="1">
        <f t="array" aca="1" ref="F647" ca="1">INDIRECT("'" &amp; A647 &amp; "'!" &amp; B647)</f>
        <v>c42</v>
      </c>
      <c r="G647" cm="1">
        <f t="array" aca="1" ref="G647" ca="1">INDIRECT("'" &amp; A647 &amp; "'!" &amp; ADDRESS(1, COLUMN(INDIRECT("'" &amp; A647 &amp; "'!" &amp; B647))))</f>
        <v>2006</v>
      </c>
      <c r="H647" t="str">
        <f ca="1">VLOOKUP($G647, survey_codes_dict!A:C, 2, FALSE)</f>
        <v>2006</v>
      </c>
      <c r="I647" s="102" t="str">
        <f ca="1">VLOOKUP($G647, survey_codes_dict!A:D, 4, FALSE)</f>
        <v>2003</v>
      </c>
      <c r="J647" s="102" t="str">
        <f t="shared" ca="1" si="20"/>
        <v>2006__c42</v>
      </c>
      <c r="K647" s="102" t="str">
        <f t="shared" ca="1" si="21"/>
        <v>2003__c42</v>
      </c>
      <c r="L647" s="102"/>
      <c r="M647" s="102"/>
      <c r="N647" s="102"/>
      <c r="O647" s="102"/>
      <c r="P647" s="102"/>
      <c r="Q647" s="102"/>
      <c r="R647" s="102"/>
      <c r="S647" s="101"/>
    </row>
    <row r="648" spans="1:19" ht="86.4" x14ac:dyDescent="0.3">
      <c r="A648" t="s">
        <v>4239</v>
      </c>
      <c r="B648" t="s">
        <v>4346</v>
      </c>
      <c r="C648" s="90" t="s">
        <v>4347</v>
      </c>
      <c r="D648" t="s">
        <v>5562</v>
      </c>
      <c r="E648" s="101" t="s">
        <v>6070</v>
      </c>
      <c r="F648" t="str" cm="1">
        <f t="array" aca="1" ref="F648" ca="1">INDIRECT("'" &amp; A648 &amp; "'!" &amp; B648)</f>
        <v>b69</v>
      </c>
      <c r="G648" cm="1">
        <f t="array" aca="1" ref="G648" ca="1">INDIRECT("'" &amp; A648 &amp; "'!" &amp; ADDRESS(1, COLUMN(INDIRECT("'" &amp; A648 &amp; "'!" &amp; B648))))</f>
        <v>2003</v>
      </c>
      <c r="H648" t="str">
        <f ca="1">VLOOKUP($G648, survey_codes_dict!A:C, 2, FALSE)</f>
        <v>2003</v>
      </c>
      <c r="I648" s="102" t="str">
        <f ca="1">VLOOKUP($G648, survey_codes_dict!A:D, 4, FALSE)</f>
        <v>2001</v>
      </c>
      <c r="J648" s="102" t="str">
        <f t="shared" ca="1" si="20"/>
        <v>2003__b69</v>
      </c>
      <c r="K648" s="102" t="str">
        <f t="shared" ca="1" si="21"/>
        <v>2001__b69</v>
      </c>
      <c r="L648" s="102"/>
      <c r="M648" s="102"/>
      <c r="N648" s="102"/>
      <c r="O648" s="102"/>
      <c r="P648" s="102"/>
      <c r="Q648" s="102"/>
      <c r="R648" s="102"/>
      <c r="S648" s="101"/>
    </row>
    <row r="649" spans="1:19" ht="57.6" x14ac:dyDescent="0.3">
      <c r="A649" t="s">
        <v>4239</v>
      </c>
      <c r="B649" t="s">
        <v>4348</v>
      </c>
      <c r="C649" s="90" t="s">
        <v>4349</v>
      </c>
      <c r="D649" t="s">
        <v>5562</v>
      </c>
      <c r="E649" s="101" t="s">
        <v>6071</v>
      </c>
      <c r="F649" t="str" cm="1">
        <f t="array" aca="1" ref="F649" ca="1">INDIRECT("'" &amp; A649 &amp; "'!" &amp; B649)</f>
        <v>E1_after</v>
      </c>
      <c r="G649" cm="1">
        <f t="array" aca="1" ref="G649" ca="1">INDIRECT("'" &amp; A649 &amp; "'!" &amp; ADDRESS(1, COLUMN(INDIRECT("'" &amp; A649 &amp; "'!" &amp; B649))))</f>
        <v>2020</v>
      </c>
      <c r="H649" t="e">
        <f ca="1">VLOOKUP($G649, survey_codes_dict!A:C, 2, FALSE)</f>
        <v>#N/A</v>
      </c>
      <c r="I649" s="102" t="e">
        <f ca="1">VLOOKUP($G649, survey_codes_dict!A:D, 4, FALSE)</f>
        <v>#N/A</v>
      </c>
      <c r="J649" s="102" t="e">
        <f t="shared" ca="1" si="20"/>
        <v>#N/A</v>
      </c>
      <c r="K649" s="102" t="e">
        <f t="shared" ca="1" si="21"/>
        <v>#N/A</v>
      </c>
      <c r="L649" s="102"/>
      <c r="M649" s="102"/>
      <c r="N649" s="102"/>
      <c r="O649" s="102"/>
      <c r="P649" s="102"/>
      <c r="Q649" s="102"/>
      <c r="R649" s="102"/>
      <c r="S649" s="102"/>
    </row>
    <row r="650" spans="1:19" ht="230.4" x14ac:dyDescent="0.3">
      <c r="A650" t="s">
        <v>4239</v>
      </c>
      <c r="B650" t="s">
        <v>4350</v>
      </c>
      <c r="C650" s="90" t="s">
        <v>4351</v>
      </c>
      <c r="D650" t="s">
        <v>5562</v>
      </c>
      <c r="E650" s="101" t="s">
        <v>6072</v>
      </c>
      <c r="F650" t="str" cm="1">
        <f t="array" aca="1" ref="F650" ca="1">INDIRECT("'" &amp; A650 &amp; "'!" &amp; B650)</f>
        <v>E2_after</v>
      </c>
      <c r="G650" cm="1">
        <f t="array" aca="1" ref="G650" ca="1">INDIRECT("'" &amp; A650 &amp; "'!" &amp; ADDRESS(1, COLUMN(INDIRECT("'" &amp; A650 &amp; "'!" &amp; B650))))</f>
        <v>2020</v>
      </c>
      <c r="H650" t="e">
        <f ca="1">VLOOKUP($G650, survey_codes_dict!A:C, 2, FALSE)</f>
        <v>#N/A</v>
      </c>
      <c r="I650" s="102" t="e">
        <f ca="1">VLOOKUP($G650, survey_codes_dict!A:D, 4, FALSE)</f>
        <v>#N/A</v>
      </c>
      <c r="J650" s="102" t="e">
        <f t="shared" ca="1" si="20"/>
        <v>#N/A</v>
      </c>
      <c r="K650" s="102" t="e">
        <f t="shared" ca="1" si="21"/>
        <v>#N/A</v>
      </c>
      <c r="L650" s="102"/>
      <c r="M650" s="102"/>
      <c r="N650" s="102"/>
      <c r="O650" s="102"/>
      <c r="P650" s="102"/>
      <c r="Q650" s="102"/>
      <c r="R650" s="102"/>
      <c r="S650" s="102"/>
    </row>
    <row r="651" spans="1:19" ht="388.8" x14ac:dyDescent="0.3">
      <c r="A651" t="s">
        <v>4239</v>
      </c>
      <c r="B651" t="s">
        <v>4352</v>
      </c>
      <c r="C651" s="90" t="s">
        <v>4286</v>
      </c>
      <c r="D651" t="s">
        <v>5562</v>
      </c>
      <c r="E651" s="101" t="s">
        <v>6059</v>
      </c>
      <c r="F651" t="str" cm="1">
        <f t="array" aca="1" ref="F651" ca="1">INDIRECT("'" &amp; A651 &amp; "'!" &amp; B651)</f>
        <v>v2_after</v>
      </c>
      <c r="G651" cm="1">
        <f t="array" aca="1" ref="G651" ca="1">INDIRECT("'" &amp; A651 &amp; "'!" &amp; ADDRESS(1, COLUMN(INDIRECT("'" &amp; A651 &amp; "'!" &amp; B651))))</f>
        <v>43556</v>
      </c>
      <c r="H651" t="e">
        <f ca="1">VLOOKUP($G651, survey_codes_dict!A:C, 2, FALSE)</f>
        <v>#N/A</v>
      </c>
      <c r="I651" s="102" t="e">
        <f ca="1">VLOOKUP($G651, survey_codes_dict!A:D, 4, FALSE)</f>
        <v>#N/A</v>
      </c>
      <c r="J651" s="102" t="e">
        <f t="shared" ca="1" si="20"/>
        <v>#N/A</v>
      </c>
      <c r="K651" s="102" t="e">
        <f t="shared" ca="1" si="21"/>
        <v>#N/A</v>
      </c>
      <c r="L651" s="102"/>
      <c r="M651" s="102"/>
      <c r="N651" s="102"/>
      <c r="O651" s="102"/>
      <c r="P651" s="102"/>
      <c r="Q651" s="102"/>
      <c r="R651" s="102"/>
      <c r="S651" s="102"/>
    </row>
    <row r="652" spans="1:19" ht="43.2" x14ac:dyDescent="0.3">
      <c r="A652" t="s">
        <v>4239</v>
      </c>
      <c r="B652" t="s">
        <v>4353</v>
      </c>
      <c r="C652" s="90" t="s">
        <v>3383</v>
      </c>
      <c r="D652" t="s">
        <v>5562</v>
      </c>
      <c r="E652" s="101" t="s">
        <v>5706</v>
      </c>
      <c r="F652" t="str" cm="1">
        <f t="array" aca="1" ref="F652" ca="1">INDIRECT("'" &amp; A652 &amp; "'!" &amp; B652)</f>
        <v>d10</v>
      </c>
      <c r="G652" cm="1">
        <f t="array" aca="1" ref="G652" ca="1">INDIRECT("'" &amp; A652 &amp; "'!" &amp; ADDRESS(1, COLUMN(INDIRECT("'" &amp; A652 &amp; "'!" &amp; B652))))</f>
        <v>1999</v>
      </c>
      <c r="H652" t="str">
        <f ca="1">VLOOKUP($G652, survey_codes_dict!A:C, 2, FALSE)</f>
        <v>1999_1</v>
      </c>
      <c r="I652" s="102" t="str">
        <f ca="1">VLOOKUP($G652, survey_codes_dict!A:D, 4, FALSE)</f>
        <v>1996_Jews</v>
      </c>
      <c r="J652" s="102" t="str">
        <f t="shared" ca="1" si="20"/>
        <v>1999_1__d10</v>
      </c>
      <c r="K652" s="102" t="str">
        <f t="shared" ca="1" si="21"/>
        <v>1996_Jews__d10</v>
      </c>
      <c r="L652" s="102"/>
      <c r="M652" s="102"/>
      <c r="N652" s="102"/>
      <c r="O652" s="102"/>
      <c r="P652" s="102"/>
      <c r="Q652" s="102"/>
      <c r="R652" s="102"/>
      <c r="S652" s="101"/>
    </row>
    <row r="653" spans="1:19" ht="57.6" x14ac:dyDescent="0.3">
      <c r="A653" t="s">
        <v>4239</v>
      </c>
      <c r="B653" t="s">
        <v>4354</v>
      </c>
      <c r="C653" s="90" t="s">
        <v>4355</v>
      </c>
      <c r="D653" t="s">
        <v>5562</v>
      </c>
      <c r="E653" s="101" t="s">
        <v>6073</v>
      </c>
      <c r="F653" t="str" cm="1">
        <f t="array" aca="1" ref="F653" ca="1">INDIRECT("'" &amp; A653 &amp; "'!" &amp; B653)</f>
        <v>d11</v>
      </c>
      <c r="G653" cm="1">
        <f t="array" aca="1" ref="G653" ca="1">INDIRECT("'" &amp; A653 &amp; "'!" &amp; ADDRESS(1, COLUMN(INDIRECT("'" &amp; A653 &amp; "'!" &amp; B653))))</f>
        <v>1999</v>
      </c>
      <c r="H653" t="str">
        <f ca="1">VLOOKUP($G653, survey_codes_dict!A:C, 2, FALSE)</f>
        <v>1999_1</v>
      </c>
      <c r="I653" s="102" t="str">
        <f ca="1">VLOOKUP($G653, survey_codes_dict!A:D, 4, FALSE)</f>
        <v>1996_Jews</v>
      </c>
      <c r="J653" s="102" t="str">
        <f t="shared" ca="1" si="20"/>
        <v>1999_1__d11</v>
      </c>
      <c r="K653" s="102" t="str">
        <f t="shared" ca="1" si="21"/>
        <v>1996_Jews__d11</v>
      </c>
      <c r="L653" s="102"/>
      <c r="M653" s="102"/>
      <c r="N653" s="102"/>
      <c r="O653" s="102"/>
      <c r="P653" s="102"/>
      <c r="Q653" s="102"/>
      <c r="R653" s="102"/>
      <c r="S653" s="101"/>
    </row>
    <row r="654" spans="1:19" ht="115.2" x14ac:dyDescent="0.3">
      <c r="A654" t="s">
        <v>4239</v>
      </c>
      <c r="B654" t="s">
        <v>4356</v>
      </c>
      <c r="C654" s="90" t="s">
        <v>4357</v>
      </c>
      <c r="D654" t="s">
        <v>5562</v>
      </c>
      <c r="E654" s="101" t="s">
        <v>6074</v>
      </c>
      <c r="F654" t="str" cm="1">
        <f t="array" aca="1" ref="F654" ca="1">INDIRECT("'" &amp; A654 &amp; "'!" &amp; B654)</f>
        <v>a11</v>
      </c>
      <c r="G654" t="str" cm="1">
        <f t="array" aca="1" ref="G654" ca="1">INDIRECT("'" &amp; A654 &amp; "'!" &amp; ADDRESS(1, COLUMN(INDIRECT("'" &amp; A654 &amp; "'!" &amp; B654))))</f>
        <v>1977 - 2</v>
      </c>
      <c r="H654" t="str">
        <f ca="1">VLOOKUP($G654, survey_codes_dict!A:C, 2, FALSE)</f>
        <v>1977_2</v>
      </c>
      <c r="I654" s="102" t="str">
        <f ca="1">VLOOKUP($G654, survey_codes_dict!A:D, 4, FALSE)</f>
        <v>1977_1</v>
      </c>
      <c r="J654" s="102" t="str">
        <f t="shared" ca="1" si="20"/>
        <v>1977_2__a11</v>
      </c>
      <c r="K654" s="102" t="str">
        <f t="shared" ca="1" si="21"/>
        <v>1977_1__a11</v>
      </c>
      <c r="L654" s="102"/>
      <c r="M654" s="102"/>
      <c r="N654" s="102"/>
      <c r="O654" s="102"/>
      <c r="P654" s="102"/>
      <c r="Q654" s="102"/>
      <c r="R654" s="102"/>
      <c r="S654" s="101"/>
    </row>
    <row r="655" spans="1:19" ht="72" x14ac:dyDescent="0.3">
      <c r="A655" t="s">
        <v>4239</v>
      </c>
      <c r="B655" t="s">
        <v>4358</v>
      </c>
      <c r="C655" s="90" t="s">
        <v>4359</v>
      </c>
      <c r="D655" t="s">
        <v>5562</v>
      </c>
      <c r="E655" s="101" t="s">
        <v>6075</v>
      </c>
      <c r="F655" t="str" cm="1">
        <f t="array" aca="1" ref="F655" ca="1">INDIRECT("'" &amp; A655 &amp; "'!" &amp; B655)</f>
        <v>d3</v>
      </c>
      <c r="G655" cm="1">
        <f t="array" aca="1" ref="G655" ca="1">INDIRECT("'" &amp; A655 &amp; "'!" &amp; ADDRESS(1, COLUMN(INDIRECT("'" &amp; A655 &amp; "'!" &amp; B655))))</f>
        <v>1999</v>
      </c>
      <c r="H655" t="str">
        <f ca="1">VLOOKUP($G655, survey_codes_dict!A:C, 2, FALSE)</f>
        <v>1999_1</v>
      </c>
      <c r="I655" s="102" t="str">
        <f ca="1">VLOOKUP($G655, survey_codes_dict!A:D, 4, FALSE)</f>
        <v>1996_Jews</v>
      </c>
      <c r="J655" s="102" t="str">
        <f t="shared" ca="1" si="20"/>
        <v>1999_1__d3</v>
      </c>
      <c r="K655" s="102" t="str">
        <f t="shared" ca="1" si="21"/>
        <v>1996_Jews__d3</v>
      </c>
      <c r="L655" s="102"/>
      <c r="M655" s="102"/>
      <c r="N655" s="102"/>
      <c r="O655" s="102"/>
      <c r="P655" s="102"/>
      <c r="Q655" s="102"/>
      <c r="R655" s="102"/>
      <c r="S655" s="101"/>
    </row>
    <row r="656" spans="1:19" ht="86.4" x14ac:dyDescent="0.3">
      <c r="A656" t="s">
        <v>4239</v>
      </c>
      <c r="B656" t="s">
        <v>4360</v>
      </c>
      <c r="C656" s="90" t="s">
        <v>4361</v>
      </c>
      <c r="D656" t="s">
        <v>5562</v>
      </c>
      <c r="E656" s="101" t="s">
        <v>6076</v>
      </c>
      <c r="F656" t="str" cm="1">
        <f t="array" aca="1" ref="F656" ca="1">INDIRECT("'" &amp; A656 &amp; "'!" &amp; B656)</f>
        <v>d4</v>
      </c>
      <c r="G656" cm="1">
        <f t="array" aca="1" ref="G656" ca="1">INDIRECT("'" &amp; A656 &amp; "'!" &amp; ADDRESS(1, COLUMN(INDIRECT("'" &amp; A656 &amp; "'!" &amp; B656))))</f>
        <v>1999</v>
      </c>
      <c r="H656" t="str">
        <f ca="1">VLOOKUP($G656, survey_codes_dict!A:C, 2, FALSE)</f>
        <v>1999_1</v>
      </c>
      <c r="I656" s="102" t="str">
        <f ca="1">VLOOKUP($G656, survey_codes_dict!A:D, 4, FALSE)</f>
        <v>1996_Jews</v>
      </c>
      <c r="J656" s="102" t="str">
        <f t="shared" ca="1" si="20"/>
        <v>1999_1__d4</v>
      </c>
      <c r="K656" s="102" t="str">
        <f t="shared" ca="1" si="21"/>
        <v>1996_Jews__d4</v>
      </c>
      <c r="L656" s="102"/>
      <c r="M656" s="102"/>
      <c r="N656" s="102"/>
      <c r="O656" s="102"/>
      <c r="P656" s="102"/>
      <c r="Q656" s="102"/>
      <c r="R656" s="102"/>
      <c r="S656" s="101"/>
    </row>
    <row r="657" spans="1:19" ht="43.2" x14ac:dyDescent="0.3">
      <c r="A657" t="s">
        <v>4239</v>
      </c>
      <c r="B657" t="s">
        <v>4362</v>
      </c>
      <c r="C657" s="90" t="s">
        <v>3383</v>
      </c>
      <c r="D657" t="s">
        <v>5562</v>
      </c>
      <c r="E657" s="101" t="s">
        <v>5706</v>
      </c>
      <c r="F657" t="str" cm="1">
        <f t="array" aca="1" ref="F657" ca="1">INDIRECT("'" &amp; A657 &amp; "'!" &amp; B657)</f>
        <v>d5</v>
      </c>
      <c r="G657" cm="1">
        <f t="array" aca="1" ref="G657" ca="1">INDIRECT("'" &amp; A657 &amp; "'!" &amp; ADDRESS(1, COLUMN(INDIRECT("'" &amp; A657 &amp; "'!" &amp; B657))))</f>
        <v>1999</v>
      </c>
      <c r="H657" t="str">
        <f ca="1">VLOOKUP($G657, survey_codes_dict!A:C, 2, FALSE)</f>
        <v>1999_1</v>
      </c>
      <c r="I657" s="102" t="str">
        <f ca="1">VLOOKUP($G657, survey_codes_dict!A:D, 4, FALSE)</f>
        <v>1996_Jews</v>
      </c>
      <c r="J657" s="102" t="str">
        <f t="shared" ca="1" si="20"/>
        <v>1999_1__d5</v>
      </c>
      <c r="K657" s="102" t="str">
        <f t="shared" ca="1" si="21"/>
        <v>1996_Jews__d5</v>
      </c>
      <c r="L657" s="102"/>
      <c r="M657" s="102"/>
      <c r="N657" s="102"/>
      <c r="O657" s="102"/>
      <c r="P657" s="102"/>
      <c r="Q657" s="102"/>
      <c r="R657" s="102"/>
      <c r="S657" s="101"/>
    </row>
    <row r="658" spans="1:19" ht="129.6" x14ac:dyDescent="0.3">
      <c r="A658" t="s">
        <v>4239</v>
      </c>
      <c r="B658" t="s">
        <v>4363</v>
      </c>
      <c r="C658" s="90" t="s">
        <v>4364</v>
      </c>
      <c r="D658" t="s">
        <v>5562</v>
      </c>
      <c r="E658" s="101" t="s">
        <v>6077</v>
      </c>
      <c r="F658" t="str" cm="1">
        <f t="array" aca="1" ref="F658" ca="1">INDIRECT("'" &amp; A658 &amp; "'!" &amp; B658)</f>
        <v>d6</v>
      </c>
      <c r="G658" cm="1">
        <f t="array" aca="1" ref="G658" ca="1">INDIRECT("'" &amp; A658 &amp; "'!" &amp; ADDRESS(1, COLUMN(INDIRECT("'" &amp; A658 &amp; "'!" &amp; B658))))</f>
        <v>1999</v>
      </c>
      <c r="H658" t="str">
        <f ca="1">VLOOKUP($G658, survey_codes_dict!A:C, 2, FALSE)</f>
        <v>1999_1</v>
      </c>
      <c r="I658" s="102" t="str">
        <f ca="1">VLOOKUP($G658, survey_codes_dict!A:D, 4, FALSE)</f>
        <v>1996_Jews</v>
      </c>
      <c r="J658" s="102" t="str">
        <f t="shared" ca="1" si="20"/>
        <v>1999_1__d6</v>
      </c>
      <c r="K658" s="102" t="str">
        <f t="shared" ca="1" si="21"/>
        <v>1996_Jews__d6</v>
      </c>
      <c r="L658" s="102"/>
      <c r="M658" s="102"/>
      <c r="N658" s="102"/>
      <c r="O658" s="102"/>
      <c r="P658" s="102"/>
      <c r="Q658" s="102"/>
      <c r="R658" s="102"/>
      <c r="S658" s="101"/>
    </row>
    <row r="659" spans="1:19" ht="28.8" x14ac:dyDescent="0.3">
      <c r="A659" t="s">
        <v>4239</v>
      </c>
      <c r="B659" t="s">
        <v>4365</v>
      </c>
      <c r="C659" s="90" t="s">
        <v>4366</v>
      </c>
      <c r="D659" t="s">
        <v>399</v>
      </c>
      <c r="E659" s="101" t="s">
        <v>5618</v>
      </c>
      <c r="F659" t="str" cm="1">
        <f t="array" aca="1" ref="F659" ca="1">INDIRECT("'" &amp; A659 &amp; "'!" &amp; B659)</f>
        <v>בבחירות האלה אחוז החסימה מאפשר רק למפלגה שתקבל ארבעה מנדטים לפחות להכנס לכנסת. אם הסקרים שיפורסמו קרוב לבחירות יראו שלא בטוח שהמפלגה עבורה אתה מתכוון להצביע תעבור את אחוז החסימה, האם זה יגרום לך לשנות את הצבעתך?</v>
      </c>
      <c r="G659" t="str" cm="1">
        <f t="array" aca="1" ref="G659" ca="1">INDIRECT("'" &amp; A659 &amp; "'!" &amp; ADDRESS(1, COLUMN(INDIRECT("'" &amp; A659 &amp; "'!" &amp; B659))))</f>
        <v>שאלה</v>
      </c>
      <c r="H659" t="e">
        <f ca="1">VLOOKUP($G659, survey_codes_dict!A:C, 2, FALSE)</f>
        <v>#N/A</v>
      </c>
      <c r="I659" s="102" t="e">
        <f ca="1">VLOOKUP($G659, survey_codes_dict!A:D, 4, FALSE)</f>
        <v>#N/A</v>
      </c>
      <c r="J659" s="102" t="e">
        <f t="shared" ca="1" si="20"/>
        <v>#N/A</v>
      </c>
      <c r="K659" s="102" t="e">
        <f t="shared" ca="1" si="21"/>
        <v>#N/A</v>
      </c>
      <c r="L659" s="102"/>
      <c r="M659" s="102"/>
      <c r="N659" s="102"/>
      <c r="O659" s="102"/>
      <c r="P659" s="102"/>
      <c r="Q659" s="102"/>
      <c r="R659" s="102"/>
      <c r="S659" s="102"/>
    </row>
    <row r="660" spans="1:19" ht="115.2" x14ac:dyDescent="0.3">
      <c r="A660" t="s">
        <v>4239</v>
      </c>
      <c r="B660" t="s">
        <v>4367</v>
      </c>
      <c r="C660" s="90" t="s">
        <v>4368</v>
      </c>
      <c r="D660" t="s">
        <v>5562</v>
      </c>
      <c r="E660" s="101" t="s">
        <v>6078</v>
      </c>
      <c r="F660" t="str" cm="1">
        <f t="array" aca="1" ref="F660" ca="1">INDIRECT("'" &amp; A660 &amp; "'!" &amp; B660)</f>
        <v>v105</v>
      </c>
      <c r="G660" cm="1">
        <f t="array" aca="1" ref="G660" ca="1">INDIRECT("'" &amp; A660 &amp; "'!" &amp; ADDRESS(1, COLUMN(INDIRECT("'" &amp; A660 &amp; "'!" &amp; B660))))</f>
        <v>43556</v>
      </c>
      <c r="H660" t="e">
        <f ca="1">VLOOKUP($G660, survey_codes_dict!A:C, 2, FALSE)</f>
        <v>#N/A</v>
      </c>
      <c r="I660" s="102" t="e">
        <f ca="1">VLOOKUP($G660, survey_codes_dict!A:D, 4, FALSE)</f>
        <v>#N/A</v>
      </c>
      <c r="J660" s="102" t="e">
        <f t="shared" ca="1" si="20"/>
        <v>#N/A</v>
      </c>
      <c r="K660" s="102" t="e">
        <f t="shared" ca="1" si="21"/>
        <v>#N/A</v>
      </c>
      <c r="L660" s="102"/>
      <c r="M660" s="102"/>
      <c r="N660" s="102"/>
      <c r="O660" s="102"/>
      <c r="P660" s="102"/>
      <c r="Q660" s="102"/>
      <c r="R660" s="102"/>
      <c r="S660" s="101"/>
    </row>
    <row r="661" spans="1:19" ht="28.8" x14ac:dyDescent="0.3">
      <c r="A661" t="s">
        <v>4239</v>
      </c>
      <c r="B661" t="s">
        <v>4369</v>
      </c>
      <c r="C661" s="90" t="s">
        <v>4370</v>
      </c>
      <c r="D661" t="s">
        <v>399</v>
      </c>
      <c r="E661" s="101" t="s">
        <v>5619</v>
      </c>
      <c r="F661" t="str" cm="1">
        <f t="array" aca="1" ref="F661" ca="1">INDIRECT("'" &amp; A661 &amp; "'!" &amp; B661)</f>
        <v>לאיזו מפלגה תעבור?</v>
      </c>
      <c r="G661" t="str" cm="1">
        <f t="array" aca="1" ref="G661" ca="1">INDIRECT("'" &amp; A661 &amp; "'!" &amp; ADDRESS(1, COLUMN(INDIRECT("'" &amp; A661 &amp; "'!" &amp; B661))))</f>
        <v>שאלה</v>
      </c>
      <c r="H661" t="e">
        <f ca="1">VLOOKUP($G661, survey_codes_dict!A:C, 2, FALSE)</f>
        <v>#N/A</v>
      </c>
      <c r="I661" s="102" t="e">
        <f ca="1">VLOOKUP($G661, survey_codes_dict!A:D, 4, FALSE)</f>
        <v>#N/A</v>
      </c>
      <c r="J661" s="102" t="e">
        <f t="shared" ca="1" si="20"/>
        <v>#N/A</v>
      </c>
      <c r="K661" s="102" t="e">
        <f t="shared" ca="1" si="21"/>
        <v>#N/A</v>
      </c>
      <c r="L661" s="102"/>
      <c r="M661" s="102"/>
      <c r="N661" s="102"/>
      <c r="O661" s="102"/>
      <c r="P661" s="102"/>
      <c r="Q661" s="102"/>
      <c r="R661" s="102"/>
      <c r="S661" s="102"/>
    </row>
    <row r="662" spans="1:19" ht="43.2" x14ac:dyDescent="0.3">
      <c r="A662" t="s">
        <v>4239</v>
      </c>
      <c r="B662" t="s">
        <v>4371</v>
      </c>
      <c r="C662" s="90" t="s">
        <v>4372</v>
      </c>
      <c r="D662" t="s">
        <v>399</v>
      </c>
      <c r="E662" s="101" t="s">
        <v>5620</v>
      </c>
      <c r="F662" t="str" cm="1">
        <f t="array" aca="1" ref="F662" ca="1">INDIRECT("'" &amp; A662 &amp; "'!" &amp; B662)</f>
        <v>מדוע זה לא ישנה את הצבעתך?</v>
      </c>
      <c r="G662" t="str" cm="1">
        <f t="array" aca="1" ref="G662" ca="1">INDIRECT("'" &amp; A662 &amp; "'!" &amp; ADDRESS(1, COLUMN(INDIRECT("'" &amp; A662 &amp; "'!" &amp; B662))))</f>
        <v>שאלה</v>
      </c>
      <c r="H662" t="e">
        <f ca="1">VLOOKUP($G662, survey_codes_dict!A:C, 2, FALSE)</f>
        <v>#N/A</v>
      </c>
      <c r="I662" s="102" t="e">
        <f ca="1">VLOOKUP($G662, survey_codes_dict!A:D, 4, FALSE)</f>
        <v>#N/A</v>
      </c>
      <c r="J662" s="102" t="e">
        <f t="shared" ca="1" si="20"/>
        <v>#N/A</v>
      </c>
      <c r="K662" s="102" t="e">
        <f t="shared" ca="1" si="21"/>
        <v>#N/A</v>
      </c>
      <c r="L662" s="102"/>
      <c r="M662" s="102"/>
      <c r="N662" s="102"/>
      <c r="O662" s="102"/>
      <c r="P662" s="102"/>
      <c r="Q662" s="102"/>
      <c r="R662" s="102"/>
      <c r="S662" s="102"/>
    </row>
    <row r="663" spans="1:19" ht="115.2" x14ac:dyDescent="0.3">
      <c r="A663" t="s">
        <v>4239</v>
      </c>
      <c r="B663" t="s">
        <v>4081</v>
      </c>
      <c r="C663" s="90" t="s">
        <v>4373</v>
      </c>
      <c r="D663" t="s">
        <v>5562</v>
      </c>
      <c r="E663" s="101" t="s">
        <v>6079</v>
      </c>
      <c r="F663" t="str" cm="1">
        <f t="array" aca="1" ref="F663" ca="1">INDIRECT("'" &amp; A663 &amp; "'!" &amp; B663)</f>
        <v>v96</v>
      </c>
      <c r="G663" cm="1">
        <f t="array" aca="1" ref="G663" ca="1">INDIRECT("'" &amp; A663 &amp; "'!" &amp; ADDRESS(1, COLUMN(INDIRECT("'" &amp; A663 &amp; "'!" &amp; B663))))</f>
        <v>2015</v>
      </c>
      <c r="H663" t="e">
        <f ca="1">VLOOKUP($G663, survey_codes_dict!A:C, 2, FALSE)</f>
        <v>#N/A</v>
      </c>
      <c r="I663" s="102" t="e">
        <f ca="1">VLOOKUP($G663, survey_codes_dict!A:D, 4, FALSE)</f>
        <v>#N/A</v>
      </c>
      <c r="J663" s="102" t="e">
        <f t="shared" ca="1" si="20"/>
        <v>#N/A</v>
      </c>
      <c r="K663" s="102" t="e">
        <f t="shared" ca="1" si="21"/>
        <v>#N/A</v>
      </c>
      <c r="L663" s="102"/>
      <c r="M663" s="102"/>
      <c r="N663" s="102"/>
      <c r="O663" s="102"/>
      <c r="P663" s="102"/>
      <c r="Q663" s="102"/>
      <c r="R663" s="102"/>
      <c r="S663" s="101"/>
    </row>
    <row r="664" spans="1:19" ht="129.6" x14ac:dyDescent="0.3">
      <c r="A664" t="s">
        <v>4239</v>
      </c>
      <c r="B664" t="s">
        <v>4374</v>
      </c>
      <c r="C664" s="90" t="s">
        <v>4375</v>
      </c>
      <c r="D664" t="s">
        <v>5562</v>
      </c>
      <c r="E664" s="101" t="s">
        <v>6080</v>
      </c>
      <c r="F664" t="str" cm="1">
        <f t="array" aca="1" ref="F664" ca="1">INDIRECT("'" &amp; A664 &amp; "'!" &amp; B664)</f>
        <v>v3_after</v>
      </c>
      <c r="G664" cm="1">
        <f t="array" aca="1" ref="G664" ca="1">INDIRECT("'" &amp; A664 &amp; "'!" &amp; ADDRESS(1, COLUMN(INDIRECT("'" &amp; A664 &amp; "'!" &amp; B664))))</f>
        <v>43556</v>
      </c>
      <c r="H664" t="e">
        <f ca="1">VLOOKUP($G664, survey_codes_dict!A:C, 2, FALSE)</f>
        <v>#N/A</v>
      </c>
      <c r="I664" s="102" t="e">
        <f ca="1">VLOOKUP($G664, survey_codes_dict!A:D, 4, FALSE)</f>
        <v>#N/A</v>
      </c>
      <c r="J664" s="102" t="e">
        <f t="shared" ca="1" si="20"/>
        <v>#N/A</v>
      </c>
      <c r="K664" s="102" t="e">
        <f t="shared" ca="1" si="21"/>
        <v>#N/A</v>
      </c>
      <c r="L664" s="102"/>
      <c r="M664" s="102"/>
      <c r="N664" s="102"/>
      <c r="O664" s="102"/>
      <c r="P664" s="102"/>
      <c r="Q664" s="102"/>
      <c r="R664" s="102"/>
      <c r="S664" s="102"/>
    </row>
    <row r="665" spans="1:19" ht="72" x14ac:dyDescent="0.3">
      <c r="A665" t="s">
        <v>4239</v>
      </c>
      <c r="B665" t="s">
        <v>3924</v>
      </c>
      <c r="C665" s="90" t="s">
        <v>4376</v>
      </c>
      <c r="D665" t="s">
        <v>5562</v>
      </c>
      <c r="E665" s="101" t="s">
        <v>6081</v>
      </c>
      <c r="F665" t="str" cm="1">
        <f t="array" aca="1" ref="F665" ca="1">INDIRECT("'" &amp; A665 &amp; "'!" &amp; B665)</f>
        <v>d8</v>
      </c>
      <c r="G665" cm="1">
        <f t="array" aca="1" ref="G665" ca="1">INDIRECT("'" &amp; A665 &amp; "'!" &amp; ADDRESS(1, COLUMN(INDIRECT("'" &amp; A665 &amp; "'!" &amp; B665))))</f>
        <v>1999</v>
      </c>
      <c r="H665" t="str">
        <f ca="1">VLOOKUP($G665, survey_codes_dict!A:C, 2, FALSE)</f>
        <v>1999_1</v>
      </c>
      <c r="I665" s="102" t="str">
        <f ca="1">VLOOKUP($G665, survey_codes_dict!A:D, 4, FALSE)</f>
        <v>1996_Jews</v>
      </c>
      <c r="J665" s="102" t="str">
        <f t="shared" ca="1" si="20"/>
        <v>1999_1__d8</v>
      </c>
      <c r="K665" s="102" t="str">
        <f t="shared" ca="1" si="21"/>
        <v>1996_Jews__d8</v>
      </c>
      <c r="L665" s="102"/>
      <c r="M665" s="102"/>
      <c r="N665" s="102"/>
      <c r="O665" s="102"/>
      <c r="P665" s="102"/>
      <c r="Q665" s="102"/>
      <c r="R665" s="102"/>
      <c r="S665" s="101"/>
    </row>
    <row r="666" spans="1:19" ht="86.4" x14ac:dyDescent="0.3">
      <c r="A666" t="s">
        <v>4239</v>
      </c>
      <c r="B666" t="s">
        <v>4377</v>
      </c>
      <c r="C666" s="90" t="s">
        <v>4378</v>
      </c>
      <c r="D666" t="s">
        <v>5562</v>
      </c>
      <c r="E666" s="101" t="s">
        <v>6082</v>
      </c>
      <c r="F666" t="str" cm="1">
        <f t="array" aca="1" ref="F666" ca="1">INDIRECT("'" &amp; A666 &amp; "'!" &amp; B666)</f>
        <v>h29</v>
      </c>
      <c r="G666" t="str" cm="1">
        <f t="array" aca="1" ref="G666" ca="1">INDIRECT("'" &amp; A666 &amp; "'!" &amp; ADDRESS(1, COLUMN(INDIRECT("'" &amp; A666 &amp; "'!" &amp; B666))))</f>
        <v>1973 - 5</v>
      </c>
      <c r="H666" t="str">
        <f ca="1">VLOOKUP($G666, survey_codes_dict!A:C, 2, FALSE)</f>
        <v>1973_5</v>
      </c>
      <c r="I666" s="102" t="str">
        <f ca="1">VLOOKUP($G666, survey_codes_dict!A:D, 4, FALSE)</f>
        <v>1973_4</v>
      </c>
      <c r="J666" s="102" t="str">
        <f t="shared" ca="1" si="20"/>
        <v>1973_5__h29</v>
      </c>
      <c r="K666" s="102" t="str">
        <f t="shared" ca="1" si="21"/>
        <v>1973_4__h29</v>
      </c>
      <c r="L666" s="102"/>
      <c r="M666" s="102"/>
      <c r="N666" s="102"/>
      <c r="O666" s="102"/>
      <c r="P666" s="102"/>
      <c r="Q666" s="102"/>
      <c r="R666" s="102"/>
      <c r="S666" s="101"/>
    </row>
    <row r="667" spans="1:19" ht="115.2" x14ac:dyDescent="0.3">
      <c r="A667" t="s">
        <v>4239</v>
      </c>
      <c r="B667" t="s">
        <v>4379</v>
      </c>
      <c r="C667" s="90" t="s">
        <v>4380</v>
      </c>
      <c r="D667" t="s">
        <v>5562</v>
      </c>
      <c r="E667" s="101" t="s">
        <v>6083</v>
      </c>
      <c r="F667" t="str" cm="1">
        <f t="array" aca="1" ref="F667" ca="1">INDIRECT("'" &amp; A667 &amp; "'!" &amp; B667)</f>
        <v>g39</v>
      </c>
      <c r="G667" t="str" cm="1">
        <f t="array" aca="1" ref="G667" ca="1">INDIRECT("'" &amp; A667 &amp; "'!" &amp; ADDRESS(1, COLUMN(INDIRECT("'" &amp; A667 &amp; "'!" &amp; B667))))</f>
        <v>1973 - 4</v>
      </c>
      <c r="H667" t="str">
        <f ca="1">VLOOKUP($G667, survey_codes_dict!A:C, 2, FALSE)</f>
        <v>1973_4</v>
      </c>
      <c r="I667" s="102" t="str">
        <f ca="1">VLOOKUP($G667, survey_codes_dict!A:D, 4, FALSE)</f>
        <v>1973_3</v>
      </c>
      <c r="J667" s="102" t="str">
        <f t="shared" ca="1" si="20"/>
        <v>1973_4__g39</v>
      </c>
      <c r="K667" s="102" t="str">
        <f t="shared" ca="1" si="21"/>
        <v>1973_3__g39</v>
      </c>
      <c r="L667" s="102"/>
      <c r="M667" s="102"/>
      <c r="N667" s="102"/>
      <c r="O667" s="102"/>
      <c r="P667" s="102"/>
      <c r="Q667" s="102"/>
      <c r="R667" s="102"/>
      <c r="S667" s="101"/>
    </row>
    <row r="668" spans="1:19" ht="43.2" x14ac:dyDescent="0.3">
      <c r="A668" t="s">
        <v>4239</v>
      </c>
      <c r="B668" t="s">
        <v>4381</v>
      </c>
      <c r="C668" s="90" t="s">
        <v>4382</v>
      </c>
      <c r="D668" t="s">
        <v>5562</v>
      </c>
      <c r="E668" s="101" t="s">
        <v>5621</v>
      </c>
      <c r="F668" t="str" cm="1">
        <f t="array" aca="1" ref="F668" ca="1">INDIRECT("'" &amp; A668 &amp; "'!" &amp; B668)</f>
        <v>מה בסופו של דבר הביא אותך להצביע כמו שהצבעת?</v>
      </c>
      <c r="G668" t="str" cm="1">
        <f t="array" aca="1" ref="G668" ca="1">INDIRECT("'" &amp; A668 &amp; "'!" &amp; ADDRESS(1, COLUMN(INDIRECT("'" &amp; A668 &amp; "'!" &amp; B668))))</f>
        <v>שאלה</v>
      </c>
      <c r="H668" t="e">
        <f ca="1">VLOOKUP($G668, survey_codes_dict!A:C, 2, FALSE)</f>
        <v>#N/A</v>
      </c>
      <c r="I668" s="102" t="e">
        <f ca="1">VLOOKUP($G668, survey_codes_dict!A:D, 4, FALSE)</f>
        <v>#N/A</v>
      </c>
      <c r="J668" s="102" t="e">
        <f t="shared" ca="1" si="20"/>
        <v>#N/A</v>
      </c>
      <c r="K668" s="102" t="e">
        <f t="shared" ca="1" si="21"/>
        <v>#N/A</v>
      </c>
      <c r="L668" s="102"/>
      <c r="M668" s="102"/>
      <c r="N668" s="102"/>
      <c r="O668" s="102"/>
      <c r="P668" s="102"/>
      <c r="Q668" s="102"/>
      <c r="R668" s="102"/>
      <c r="S668" s="102"/>
    </row>
    <row r="669" spans="1:19" ht="72" x14ac:dyDescent="0.3">
      <c r="A669" t="s">
        <v>4239</v>
      </c>
      <c r="B669" t="s">
        <v>4098</v>
      </c>
      <c r="C669" s="90" t="s">
        <v>4383</v>
      </c>
      <c r="D669" t="s">
        <v>5562</v>
      </c>
      <c r="E669" s="101" t="s">
        <v>6084</v>
      </c>
      <c r="F669" t="str" cm="1">
        <f t="array" aca="1" ref="F669" ca="1">INDIRECT("'" &amp; A669 &amp; "'!" &amp; B669)</f>
        <v>after_v4a</v>
      </c>
      <c r="G669" cm="1">
        <f t="array" aca="1" ref="G669" ca="1">INDIRECT("'" &amp; A669 &amp; "'!" &amp; ADDRESS(1, COLUMN(INDIRECT("'" &amp; A669 &amp; "'!" &amp; B669))))</f>
        <v>2015</v>
      </c>
      <c r="H669" t="e">
        <f ca="1">VLOOKUP($G669, survey_codes_dict!A:C, 2, FALSE)</f>
        <v>#N/A</v>
      </c>
      <c r="I669" s="102" t="e">
        <f ca="1">VLOOKUP($G669, survey_codes_dict!A:D, 4, FALSE)</f>
        <v>#N/A</v>
      </c>
      <c r="J669" s="102" t="e">
        <f t="shared" ca="1" si="20"/>
        <v>#N/A</v>
      </c>
      <c r="K669" s="102" t="e">
        <f t="shared" ca="1" si="21"/>
        <v>#N/A</v>
      </c>
      <c r="L669" s="102"/>
      <c r="M669" s="102"/>
      <c r="N669" s="102"/>
      <c r="O669" s="102"/>
      <c r="P669" s="102"/>
      <c r="Q669" s="102"/>
      <c r="R669" s="102"/>
      <c r="S669" s="102"/>
    </row>
    <row r="670" spans="1:19" ht="28.8" x14ac:dyDescent="0.3">
      <c r="A670" t="s">
        <v>4239</v>
      </c>
      <c r="B670" t="s">
        <v>3475</v>
      </c>
      <c r="C670" s="90" t="s">
        <v>4384</v>
      </c>
      <c r="D670" t="s">
        <v>399</v>
      </c>
      <c r="E670" s="101" t="s">
        <v>5622</v>
      </c>
      <c r="F670" t="str" cm="1">
        <f t="array" aca="1" ref="F670" ca="1">INDIRECT("'" &amp; A670 &amp; "'!" &amp; B670)</f>
        <v>מדוע החלטת לא להצביע בבחירות/לשים פתק לבן?</v>
      </c>
      <c r="G670" t="str" cm="1">
        <f t="array" aca="1" ref="G670" ca="1">INDIRECT("'" &amp; A670 &amp; "'!" &amp; ADDRESS(1, COLUMN(INDIRECT("'" &amp; A670 &amp; "'!" &amp; B670))))</f>
        <v>שאלה</v>
      </c>
      <c r="H670" t="e">
        <f ca="1">VLOOKUP($G670, survey_codes_dict!A:C, 2, FALSE)</f>
        <v>#N/A</v>
      </c>
      <c r="I670" s="102" t="e">
        <f ca="1">VLOOKUP($G670, survey_codes_dict!A:D, 4, FALSE)</f>
        <v>#N/A</v>
      </c>
      <c r="J670" s="102" t="e">
        <f t="shared" ca="1" si="20"/>
        <v>#N/A</v>
      </c>
      <c r="K670" s="102" t="e">
        <f t="shared" ca="1" si="21"/>
        <v>#N/A</v>
      </c>
      <c r="L670" s="102"/>
      <c r="M670" s="102"/>
      <c r="N670" s="102"/>
      <c r="O670" s="102"/>
      <c r="P670" s="102"/>
      <c r="Q670" s="102"/>
      <c r="R670" s="102"/>
      <c r="S670" s="102"/>
    </row>
    <row r="671" spans="1:19" ht="57.6" x14ac:dyDescent="0.3">
      <c r="A671" t="s">
        <v>4239</v>
      </c>
      <c r="B671" t="s">
        <v>4385</v>
      </c>
      <c r="C671" s="90" t="s">
        <v>4386</v>
      </c>
      <c r="D671" t="s">
        <v>5562</v>
      </c>
      <c r="E671" s="101" t="s">
        <v>6085</v>
      </c>
      <c r="F671" t="str" cm="1">
        <f t="array" aca="1" ref="F671" ca="1">INDIRECT("'" &amp; A671 &amp; "'!" &amp; B671)</f>
        <v>b17</v>
      </c>
      <c r="G671" cm="1">
        <f t="array" aca="1" ref="G671" ca="1">INDIRECT("'" &amp; A671 &amp; "'!" &amp; ADDRESS(1, COLUMN(INDIRECT("'" &amp; A671 &amp; "'!" &amp; B671))))</f>
        <v>2001</v>
      </c>
      <c r="H671" t="str">
        <f ca="1">VLOOKUP($G671, survey_codes_dict!A:C, 2, FALSE)</f>
        <v>2001</v>
      </c>
      <c r="I671" s="102" t="str">
        <f ca="1">VLOOKUP($G671, survey_codes_dict!A:D, 4, FALSE)</f>
        <v>1999_1</v>
      </c>
      <c r="J671" s="102" t="str">
        <f t="shared" ca="1" si="20"/>
        <v>2001__b17</v>
      </c>
      <c r="K671" s="102" t="str">
        <f t="shared" ca="1" si="21"/>
        <v>1999_1__b17</v>
      </c>
      <c r="L671" s="102"/>
      <c r="M671" s="102"/>
      <c r="N671" s="102"/>
      <c r="O671" s="102"/>
      <c r="P671" s="102"/>
      <c r="Q671" s="102"/>
      <c r="R671" s="102"/>
      <c r="S671" s="101"/>
    </row>
    <row r="672" spans="1:19" ht="86.4" x14ac:dyDescent="0.3">
      <c r="A672" t="s">
        <v>4239</v>
      </c>
      <c r="B672" t="s">
        <v>3844</v>
      </c>
      <c r="C672" s="90" t="s">
        <v>4387</v>
      </c>
      <c r="D672" t="s">
        <v>5562</v>
      </c>
      <c r="E672" s="101" t="s">
        <v>6086</v>
      </c>
      <c r="F672" t="str" cm="1">
        <f t="array" aca="1" ref="F672" ca="1">INDIRECT("'" &amp; A672 &amp; "'!" &amp; B672)</f>
        <v>ccc29</v>
      </c>
      <c r="G672" cm="1">
        <f t="array" aca="1" ref="G672" ca="1">INDIRECT("'" &amp; A672 &amp; "'!" &amp; ADDRESS(1, COLUMN(INDIRECT("'" &amp; A672 &amp; "'!" &amp; B672))))</f>
        <v>1996</v>
      </c>
      <c r="H672" t="str">
        <f ca="1">VLOOKUP($G672, survey_codes_dict!A:C, 2, FALSE)</f>
        <v>1996_Jews</v>
      </c>
      <c r="I672" s="102" t="str">
        <f ca="1">VLOOKUP($G672, survey_codes_dict!A:D, 4, FALSE)</f>
        <v>1992</v>
      </c>
      <c r="J672" s="102" t="str">
        <f t="shared" ca="1" si="20"/>
        <v>1996_Jews__ccc29</v>
      </c>
      <c r="K672" s="102" t="str">
        <f t="shared" ca="1" si="21"/>
        <v>1992__ccc29</v>
      </c>
      <c r="L672" s="102"/>
      <c r="M672" s="102"/>
      <c r="N672" s="102"/>
      <c r="O672" s="102"/>
      <c r="P672" s="102"/>
      <c r="Q672" s="102"/>
      <c r="R672" s="102"/>
      <c r="S672" s="101"/>
    </row>
    <row r="673" spans="1:19" ht="86.4" x14ac:dyDescent="0.3">
      <c r="A673" t="s">
        <v>4239</v>
      </c>
      <c r="B673" t="s">
        <v>4388</v>
      </c>
      <c r="C673" s="90" t="s">
        <v>4389</v>
      </c>
      <c r="D673" t="s">
        <v>5562</v>
      </c>
      <c r="E673" s="101" t="s">
        <v>6087</v>
      </c>
      <c r="F673" t="str" cm="1">
        <f t="array" aca="1" ref="F673" ca="1">INDIRECT("'" &amp; A673 &amp; "'!" &amp; B673)</f>
        <v>v5_after</v>
      </c>
      <c r="G673" cm="1">
        <f t="array" aca="1" ref="G673" ca="1">INDIRECT("'" &amp; A673 &amp; "'!" &amp; ADDRESS(1, COLUMN(INDIRECT("'" &amp; A673 &amp; "'!" &amp; B673))))</f>
        <v>43556</v>
      </c>
      <c r="H673" t="e">
        <f ca="1">VLOOKUP($G673, survey_codes_dict!A:C, 2, FALSE)</f>
        <v>#N/A</v>
      </c>
      <c r="I673" s="102" t="e">
        <f ca="1">VLOOKUP($G673, survey_codes_dict!A:D, 4, FALSE)</f>
        <v>#N/A</v>
      </c>
      <c r="J673" s="102" t="e">
        <f t="shared" ca="1" si="20"/>
        <v>#N/A</v>
      </c>
      <c r="K673" s="102" t="e">
        <f t="shared" ca="1" si="21"/>
        <v>#N/A</v>
      </c>
      <c r="L673" s="102"/>
      <c r="M673" s="102"/>
      <c r="N673" s="102"/>
      <c r="O673" s="102"/>
      <c r="P673" s="102"/>
      <c r="Q673" s="102"/>
      <c r="R673" s="102"/>
      <c r="S673" s="102"/>
    </row>
    <row r="674" spans="1:19" ht="72" x14ac:dyDescent="0.3">
      <c r="A674" t="s">
        <v>4239</v>
      </c>
      <c r="B674" t="s">
        <v>3479</v>
      </c>
      <c r="C674" s="90" t="s">
        <v>3712</v>
      </c>
      <c r="D674" t="s">
        <v>5562</v>
      </c>
      <c r="E674" s="101" t="s">
        <v>5848</v>
      </c>
      <c r="F674" t="str" cm="1">
        <f t="array" aca="1" ref="F674" ca="1">INDIRECT("'" &amp; A674 &amp; "'!" &amp; B674)</f>
        <v>h51</v>
      </c>
      <c r="G674" t="str" cm="1">
        <f t="array" aca="1" ref="G674" ca="1">INDIRECT("'" &amp; A674 &amp; "'!" &amp; ADDRESS(1, COLUMN(INDIRECT("'" &amp; A674 &amp; "'!" &amp; B674))))</f>
        <v>1973 - 5</v>
      </c>
      <c r="H674" t="str">
        <f ca="1">VLOOKUP($G674, survey_codes_dict!A:C, 2, FALSE)</f>
        <v>1973_5</v>
      </c>
      <c r="I674" s="102" t="str">
        <f ca="1">VLOOKUP($G674, survey_codes_dict!A:D, 4, FALSE)</f>
        <v>1973_4</v>
      </c>
      <c r="J674" s="102" t="str">
        <f t="shared" ca="1" si="20"/>
        <v>1973_5__h51</v>
      </c>
      <c r="K674" s="102" t="str">
        <f t="shared" ca="1" si="21"/>
        <v>1973_4__h51</v>
      </c>
      <c r="L674" s="102"/>
      <c r="M674" s="102"/>
      <c r="N674" s="102"/>
      <c r="O674" s="102"/>
      <c r="P674" s="102"/>
      <c r="Q674" s="102"/>
      <c r="R674" s="102"/>
      <c r="S674" s="101"/>
    </row>
    <row r="675" spans="1:19" ht="72" x14ac:dyDescent="0.3">
      <c r="A675" t="s">
        <v>4239</v>
      </c>
      <c r="B675" t="s">
        <v>4390</v>
      </c>
      <c r="C675" s="90" t="s">
        <v>3636</v>
      </c>
      <c r="D675" t="s">
        <v>5562</v>
      </c>
      <c r="E675" s="101" t="s">
        <v>5814</v>
      </c>
      <c r="F675" t="str" cm="1">
        <f t="array" aca="1" ref="F675" ca="1">INDIRECT("'" &amp; A675 &amp; "'!" &amp; B675)</f>
        <v>c6</v>
      </c>
      <c r="G675" cm="1">
        <f t="array" aca="1" ref="G675" ca="1">INDIRECT("'" &amp; A675 &amp; "'!" &amp; ADDRESS(1, COLUMN(INDIRECT("'" &amp; A675 &amp; "'!" &amp; B675))))</f>
        <v>1999</v>
      </c>
      <c r="H675" t="str">
        <f ca="1">VLOOKUP($G675, survey_codes_dict!A:C, 2, FALSE)</f>
        <v>1999_1</v>
      </c>
      <c r="I675" s="102" t="str">
        <f ca="1">VLOOKUP($G675, survey_codes_dict!A:D, 4, FALSE)</f>
        <v>1996_Jews</v>
      </c>
      <c r="J675" s="102" t="str">
        <f t="shared" ca="1" si="20"/>
        <v>1999_1__c6</v>
      </c>
      <c r="K675" s="102" t="str">
        <f t="shared" ca="1" si="21"/>
        <v>1996_Jews__c6</v>
      </c>
      <c r="L675" s="102"/>
      <c r="M675" s="102"/>
      <c r="N675" s="102"/>
      <c r="O675" s="102"/>
      <c r="P675" s="102"/>
      <c r="Q675" s="102"/>
      <c r="R675" s="102"/>
      <c r="S675" s="101"/>
    </row>
    <row r="676" spans="1:19" ht="86.4" x14ac:dyDescent="0.3">
      <c r="A676" t="s">
        <v>4239</v>
      </c>
      <c r="B676" t="s">
        <v>3932</v>
      </c>
      <c r="C676" s="90" t="s">
        <v>4391</v>
      </c>
      <c r="D676" t="s">
        <v>5562</v>
      </c>
      <c r="E676" s="101" t="s">
        <v>6088</v>
      </c>
      <c r="F676" t="str" cm="1">
        <f t="array" aca="1" ref="F676" ca="1">INDIRECT("'" &amp; A676 &amp; "'!" &amp; B676)</f>
        <v>b86</v>
      </c>
      <c r="G676" t="str" cm="1">
        <f t="array" aca="1" ref="G676" ca="1">INDIRECT("'" &amp; A676 &amp; "'!" &amp; ADDRESS(1, COLUMN(INDIRECT("'" &amp; A676 &amp; "'!" &amp; B676))))</f>
        <v>1981 - 3</v>
      </c>
      <c r="H676" t="str">
        <f ca="1">VLOOKUP($G676, survey_codes_dict!A:C, 2, FALSE)</f>
        <v>1981_3</v>
      </c>
      <c r="I676" s="102">
        <f ca="1">VLOOKUP($G676, survey_codes_dict!A:D, 4, FALSE)</f>
        <v>0</v>
      </c>
      <c r="J676" s="102" t="str">
        <f t="shared" ca="1" si="20"/>
        <v>1981_3__b86</v>
      </c>
      <c r="K676" s="102" t="str">
        <f t="shared" ca="1" si="21"/>
        <v>0__b86</v>
      </c>
      <c r="L676" s="102"/>
      <c r="M676" s="102"/>
      <c r="N676" s="102"/>
      <c r="O676" s="102"/>
      <c r="P676" s="102"/>
      <c r="Q676" s="102"/>
      <c r="R676" s="102"/>
      <c r="S676" s="101"/>
    </row>
    <row r="677" spans="1:19" ht="86.4" x14ac:dyDescent="0.3">
      <c r="A677" t="s">
        <v>4239</v>
      </c>
      <c r="B677" t="s">
        <v>4392</v>
      </c>
      <c r="C677" s="90" t="s">
        <v>4393</v>
      </c>
      <c r="D677" t="s">
        <v>5562</v>
      </c>
      <c r="E677" s="101" t="s">
        <v>6089</v>
      </c>
      <c r="F677" t="str" cm="1">
        <f t="array" aca="1" ref="F677" ca="1">INDIRECT("'" &amp; A677 &amp; "'!" &amp; B677)</f>
        <v>b11</v>
      </c>
      <c r="G677" cm="1">
        <f t="array" aca="1" ref="G677" ca="1">INDIRECT("'" &amp; A677 &amp; "'!" &amp; ADDRESS(1, COLUMN(INDIRECT("'" &amp; A677 &amp; "'!" &amp; B677))))</f>
        <v>2001</v>
      </c>
      <c r="H677" t="str">
        <f ca="1">VLOOKUP($G677, survey_codes_dict!A:C, 2, FALSE)</f>
        <v>2001</v>
      </c>
      <c r="I677" s="102" t="str">
        <f ca="1">VLOOKUP($G677, survey_codes_dict!A:D, 4, FALSE)</f>
        <v>1999_1</v>
      </c>
      <c r="J677" s="102" t="str">
        <f t="shared" ca="1" si="20"/>
        <v>2001__b11</v>
      </c>
      <c r="K677" s="102" t="str">
        <f t="shared" ca="1" si="21"/>
        <v>1999_1__b11</v>
      </c>
      <c r="L677" s="102"/>
      <c r="M677" s="102"/>
      <c r="N677" s="102"/>
      <c r="O677" s="102"/>
      <c r="P677" s="102"/>
      <c r="Q677" s="102"/>
      <c r="R677" s="102"/>
      <c r="S677" s="101"/>
    </row>
    <row r="678" spans="1:19" ht="72" x14ac:dyDescent="0.3">
      <c r="A678" t="s">
        <v>4239</v>
      </c>
      <c r="B678" t="s">
        <v>4394</v>
      </c>
      <c r="C678" s="90" t="s">
        <v>3636</v>
      </c>
      <c r="D678" t="s">
        <v>5562</v>
      </c>
      <c r="E678" s="101" t="s">
        <v>5814</v>
      </c>
      <c r="F678" t="str" cm="1">
        <f t="array" aca="1" ref="F678" ca="1">INDIRECT("'" &amp; A678 &amp; "'!" &amp; B678)</f>
        <v>c8</v>
      </c>
      <c r="G678" cm="1">
        <f t="array" aca="1" ref="G678" ca="1">INDIRECT("'" &amp; A678 &amp; "'!" &amp; ADDRESS(1, COLUMN(INDIRECT("'" &amp; A678 &amp; "'!" &amp; B678))))</f>
        <v>1999</v>
      </c>
      <c r="H678" t="str">
        <f ca="1">VLOOKUP($G678, survey_codes_dict!A:C, 2, FALSE)</f>
        <v>1999_1</v>
      </c>
      <c r="I678" s="102" t="str">
        <f ca="1">VLOOKUP($G678, survey_codes_dict!A:D, 4, FALSE)</f>
        <v>1996_Jews</v>
      </c>
      <c r="J678" s="102" t="str">
        <f t="shared" ca="1" si="20"/>
        <v>1999_1__c8</v>
      </c>
      <c r="K678" s="102" t="str">
        <f t="shared" ca="1" si="21"/>
        <v>1996_Jews__c8</v>
      </c>
      <c r="L678" s="102"/>
      <c r="M678" s="102"/>
      <c r="N678" s="102"/>
      <c r="O678" s="102"/>
      <c r="P678" s="102"/>
      <c r="Q678" s="102"/>
      <c r="R678" s="102"/>
      <c r="S678" s="101"/>
    </row>
    <row r="679" spans="1:19" ht="72" x14ac:dyDescent="0.3">
      <c r="A679" t="s">
        <v>4239</v>
      </c>
      <c r="B679" t="s">
        <v>4395</v>
      </c>
      <c r="C679" s="90" t="s">
        <v>3712</v>
      </c>
      <c r="D679" t="s">
        <v>5562</v>
      </c>
      <c r="E679" s="101" t="s">
        <v>5848</v>
      </c>
      <c r="F679" t="str" cm="1">
        <f t="array" aca="1" ref="F679" ca="1">INDIRECT("'" &amp; A679 &amp; "'!" &amp; B679)</f>
        <v>v23</v>
      </c>
      <c r="G679" t="str" cm="1">
        <f t="array" aca="1" ref="G679" ca="1">INDIRECT("'" &amp; A679 &amp; "'!" &amp; ADDRESS(1, COLUMN(INDIRECT("'" &amp; A679 &amp; "'!" &amp; B679))))</f>
        <v>1981 - 1</v>
      </c>
      <c r="H679" t="str">
        <f ca="1">VLOOKUP($G679, survey_codes_dict!A:C, 2, FALSE)</f>
        <v>1981_1</v>
      </c>
      <c r="I679" s="102" t="str">
        <f ca="1">VLOOKUP($G679, survey_codes_dict!A:D, 4, FALSE)</f>
        <v>1977_4</v>
      </c>
      <c r="J679" s="102" t="str">
        <f t="shared" ca="1" si="20"/>
        <v>1981_1__v23</v>
      </c>
      <c r="K679" s="102" t="str">
        <f t="shared" ca="1" si="21"/>
        <v>1977_4__v23</v>
      </c>
      <c r="L679" s="102"/>
      <c r="M679" s="102"/>
      <c r="N679" s="102"/>
      <c r="O679" s="102"/>
      <c r="P679" s="102"/>
      <c r="Q679" s="102"/>
      <c r="R679" s="102"/>
      <c r="S679" s="101"/>
    </row>
    <row r="680" spans="1:19" ht="28.8" x14ac:dyDescent="0.3">
      <c r="A680" t="s">
        <v>4239</v>
      </c>
      <c r="B680" t="s">
        <v>4396</v>
      </c>
      <c r="C680" s="90" t="s">
        <v>4397</v>
      </c>
      <c r="D680" t="s">
        <v>5660</v>
      </c>
      <c r="E680" s="101" t="s">
        <v>5623</v>
      </c>
      <c r="F680" t="str" cm="1">
        <f t="array" aca="1" ref="F680" ca="1">INDIRECT("'" &amp; A680 &amp; "'!" &amp; B680)</f>
        <v>h42</v>
      </c>
      <c r="G680" t="str" cm="1">
        <f t="array" aca="1" ref="G680" ca="1">INDIRECT("'" &amp; A680 &amp; "'!" &amp; ADDRESS(1, COLUMN(INDIRECT("'" &amp; A680 &amp; "'!" &amp; B680))))</f>
        <v>1973 - 5</v>
      </c>
      <c r="H680" t="str">
        <f ca="1">VLOOKUP($G680, survey_codes_dict!A:C, 2, FALSE)</f>
        <v>1973_5</v>
      </c>
      <c r="I680" s="102" t="str">
        <f ca="1">VLOOKUP($G680, survey_codes_dict!A:D, 4, FALSE)</f>
        <v>1973_4</v>
      </c>
      <c r="J680" s="102" t="str">
        <f t="shared" ca="1" si="20"/>
        <v>1973_5__h42</v>
      </c>
      <c r="K680" s="102" t="str">
        <f t="shared" ca="1" si="21"/>
        <v>1973_4__h42</v>
      </c>
      <c r="L680" s="102"/>
      <c r="M680" s="102"/>
      <c r="N680" s="102"/>
      <c r="O680" s="102"/>
      <c r="P680" s="102"/>
      <c r="Q680" s="102"/>
      <c r="R680" s="102"/>
      <c r="S680" s="101"/>
    </row>
    <row r="681" spans="1:19" ht="28.8" x14ac:dyDescent="0.3">
      <c r="A681" t="s">
        <v>4239</v>
      </c>
      <c r="B681" t="s">
        <v>4398</v>
      </c>
      <c r="C681" s="90" t="s">
        <v>4397</v>
      </c>
      <c r="D681" t="s">
        <v>5660</v>
      </c>
      <c r="E681" s="101" t="s">
        <v>5623</v>
      </c>
      <c r="F681" t="str" cm="1">
        <f t="array" aca="1" ref="F681" ca="1">INDIRECT("'" &amp; A681 &amp; "'!" &amp; B681)</f>
        <v>g21</v>
      </c>
      <c r="G681" t="str" cm="1">
        <f t="array" aca="1" ref="G681" ca="1">INDIRECT("'" &amp; A681 &amp; "'!" &amp; ADDRESS(1, COLUMN(INDIRECT("'" &amp; A681 &amp; "'!" &amp; B681))))</f>
        <v>1973 - 4</v>
      </c>
      <c r="H681" t="str">
        <f ca="1">VLOOKUP($G681, survey_codes_dict!A:C, 2, FALSE)</f>
        <v>1973_4</v>
      </c>
      <c r="I681" s="102" t="str">
        <f ca="1">VLOOKUP($G681, survey_codes_dict!A:D, 4, FALSE)</f>
        <v>1973_3</v>
      </c>
      <c r="J681" s="102" t="str">
        <f t="shared" ca="1" si="20"/>
        <v>1973_4__g21</v>
      </c>
      <c r="K681" s="102" t="str">
        <f t="shared" ca="1" si="21"/>
        <v>1973_3__g21</v>
      </c>
      <c r="L681" s="102"/>
      <c r="M681" s="102"/>
      <c r="N681" s="102"/>
      <c r="O681" s="102"/>
      <c r="P681" s="102"/>
      <c r="Q681" s="102"/>
      <c r="R681" s="102"/>
      <c r="S681" s="101"/>
    </row>
    <row r="682" spans="1:19" ht="72" x14ac:dyDescent="0.3">
      <c r="A682" t="s">
        <v>4239</v>
      </c>
      <c r="B682" t="s">
        <v>4399</v>
      </c>
      <c r="C682" s="90" t="s">
        <v>3712</v>
      </c>
      <c r="D682" t="s">
        <v>5562</v>
      </c>
      <c r="E682" s="101" t="s">
        <v>5848</v>
      </c>
      <c r="F682" t="str" cm="1">
        <f t="array" aca="1" ref="F682" ca="1">INDIRECT("'" &amp; A682 &amp; "'!" &amp; B682)</f>
        <v>c18</v>
      </c>
      <c r="G682" t="str" cm="1">
        <f t="array" aca="1" ref="G682" ca="1">INDIRECT("'" &amp; A682 &amp; "'!" &amp; ADDRESS(1, COLUMN(INDIRECT("'" &amp; A682 &amp; "'!" &amp; B682))))</f>
        <v>1973 - 2</v>
      </c>
      <c r="H682" t="str">
        <f ca="1">VLOOKUP($G682, survey_codes_dict!A:C, 2, FALSE)</f>
        <v>1973_2</v>
      </c>
      <c r="I682" s="102" t="str">
        <f ca="1">VLOOKUP($G682, survey_codes_dict!A:D, 4, FALSE)</f>
        <v>1973_1</v>
      </c>
      <c r="J682" s="102" t="str">
        <f t="shared" ca="1" si="20"/>
        <v>1973_2__c18</v>
      </c>
      <c r="K682" s="102" t="str">
        <f t="shared" ca="1" si="21"/>
        <v>1973_1__c18</v>
      </c>
      <c r="L682" s="102"/>
      <c r="M682" s="102"/>
      <c r="N682" s="102"/>
      <c r="O682" s="102"/>
      <c r="P682" s="102"/>
      <c r="Q682" s="102"/>
      <c r="R682" s="102"/>
      <c r="S682" s="101"/>
    </row>
    <row r="683" spans="1:19" ht="86.4" x14ac:dyDescent="0.3">
      <c r="A683" t="s">
        <v>4239</v>
      </c>
      <c r="B683" t="s">
        <v>4400</v>
      </c>
      <c r="C683" s="90" t="s">
        <v>4401</v>
      </c>
      <c r="D683" t="s">
        <v>5562</v>
      </c>
      <c r="E683" s="101" t="s">
        <v>6090</v>
      </c>
      <c r="F683" t="str" cm="1">
        <f t="array" aca="1" ref="F683" ca="1">INDIRECT("'" &amp; A683 &amp; "'!" &amp; B683)</f>
        <v>b108</v>
      </c>
      <c r="G683" t="str" cm="1">
        <f t="array" aca="1" ref="G683" ca="1">INDIRECT("'" &amp; A683 &amp; "'!" &amp; ADDRESS(1, COLUMN(INDIRECT("'" &amp; A683 &amp; "'!" &amp; B683))))</f>
        <v>1981 - 3</v>
      </c>
      <c r="H683" t="str">
        <f ca="1">VLOOKUP($G683, survey_codes_dict!A:C, 2, FALSE)</f>
        <v>1981_3</v>
      </c>
      <c r="I683" s="102">
        <f ca="1">VLOOKUP($G683, survey_codes_dict!A:D, 4, FALSE)</f>
        <v>0</v>
      </c>
      <c r="J683" s="102" t="str">
        <f t="shared" ca="1" si="20"/>
        <v>1981_3__b108</v>
      </c>
      <c r="K683" s="102" t="str">
        <f t="shared" ca="1" si="21"/>
        <v>0__b108</v>
      </c>
      <c r="L683" s="102"/>
      <c r="M683" s="102"/>
      <c r="N683" s="102"/>
      <c r="O683" s="102"/>
      <c r="P683" s="102"/>
      <c r="Q683" s="102"/>
      <c r="R683" s="102"/>
      <c r="S683" s="101"/>
    </row>
    <row r="684" spans="1:19" ht="28.8" x14ac:dyDescent="0.3">
      <c r="A684" t="s">
        <v>4239</v>
      </c>
      <c r="B684" t="s">
        <v>4402</v>
      </c>
      <c r="C684" s="90" t="s">
        <v>4397</v>
      </c>
      <c r="D684" t="s">
        <v>5660</v>
      </c>
      <c r="E684" s="101" t="s">
        <v>5623</v>
      </c>
      <c r="F684" t="str" cm="1">
        <f t="array" aca="1" ref="F684" ca="1">INDIRECT("'" &amp; A684 &amp; "'!" &amp; B684)</f>
        <v>h40</v>
      </c>
      <c r="G684" t="str" cm="1">
        <f t="array" aca="1" ref="G684" ca="1">INDIRECT("'" &amp; A684 &amp; "'!" &amp; ADDRESS(1, COLUMN(INDIRECT("'" &amp; A684 &amp; "'!" &amp; B684))))</f>
        <v>1973 - 5</v>
      </c>
      <c r="H684" t="str">
        <f ca="1">VLOOKUP($G684, survey_codes_dict!A:C, 2, FALSE)</f>
        <v>1973_5</v>
      </c>
      <c r="I684" s="102" t="str">
        <f ca="1">VLOOKUP($G684, survey_codes_dict!A:D, 4, FALSE)</f>
        <v>1973_4</v>
      </c>
      <c r="J684" s="102" t="str">
        <f t="shared" ca="1" si="20"/>
        <v>1973_5__h40</v>
      </c>
      <c r="K684" s="102" t="str">
        <f t="shared" ca="1" si="21"/>
        <v>1973_4__h40</v>
      </c>
      <c r="L684" s="102"/>
      <c r="M684" s="102"/>
      <c r="N684" s="102"/>
      <c r="O684" s="102"/>
      <c r="P684" s="102"/>
      <c r="Q684" s="102"/>
      <c r="R684" s="102"/>
      <c r="S684" s="101"/>
    </row>
    <row r="685" spans="1:19" ht="28.8" x14ac:dyDescent="0.3">
      <c r="A685" t="s">
        <v>4239</v>
      </c>
      <c r="B685" t="s">
        <v>4403</v>
      </c>
      <c r="C685" s="90" t="s">
        <v>4404</v>
      </c>
      <c r="D685" t="s">
        <v>5660</v>
      </c>
      <c r="E685" s="101" t="s">
        <v>5624</v>
      </c>
      <c r="F685" t="str" cm="1">
        <f t="array" aca="1" ref="F685" ca="1">INDIRECT("'" &amp; A685 &amp; "'!" &amp; B685)</f>
        <v>g15</v>
      </c>
      <c r="G685" t="str" cm="1">
        <f t="array" aca="1" ref="G685" ca="1">INDIRECT("'" &amp; A685 &amp; "'!" &amp; ADDRESS(1, COLUMN(INDIRECT("'" &amp; A685 &amp; "'!" &amp; B685))))</f>
        <v>1973 - 4</v>
      </c>
      <c r="H685" t="str">
        <f ca="1">VLOOKUP($G685, survey_codes_dict!A:C, 2, FALSE)</f>
        <v>1973_4</v>
      </c>
      <c r="I685" s="102" t="str">
        <f ca="1">VLOOKUP($G685, survey_codes_dict!A:D, 4, FALSE)</f>
        <v>1973_3</v>
      </c>
      <c r="J685" s="102" t="str">
        <f t="shared" ca="1" si="20"/>
        <v>1973_4__g15</v>
      </c>
      <c r="K685" s="102" t="str">
        <f t="shared" ca="1" si="21"/>
        <v>1973_3__g15</v>
      </c>
      <c r="L685" s="102"/>
      <c r="M685" s="102"/>
      <c r="N685" s="102"/>
      <c r="O685" s="102"/>
      <c r="P685" s="102"/>
      <c r="Q685" s="102"/>
      <c r="R685" s="102"/>
      <c r="S685" s="101"/>
    </row>
    <row r="686" spans="1:19" ht="72" x14ac:dyDescent="0.3">
      <c r="A686" t="s">
        <v>4239</v>
      </c>
      <c r="B686" t="s">
        <v>4405</v>
      </c>
      <c r="C686" s="90" t="s">
        <v>3712</v>
      </c>
      <c r="D686" t="s">
        <v>5562</v>
      </c>
      <c r="E686" s="101" t="s">
        <v>5848</v>
      </c>
      <c r="F686" t="str" cm="1">
        <f t="array" aca="1" ref="F686" ca="1">INDIRECT("'" &amp; A686 &amp; "'!" &amp; B686)</f>
        <v>c12</v>
      </c>
      <c r="G686" t="str" cm="1">
        <f t="array" aca="1" ref="G686" ca="1">INDIRECT("'" &amp; A686 &amp; "'!" &amp; ADDRESS(1, COLUMN(INDIRECT("'" &amp; A686 &amp; "'!" &amp; B686))))</f>
        <v>1973 - 2</v>
      </c>
      <c r="H686" t="str">
        <f ca="1">VLOOKUP($G686, survey_codes_dict!A:C, 2, FALSE)</f>
        <v>1973_2</v>
      </c>
      <c r="I686" s="102" t="str">
        <f ca="1">VLOOKUP($G686, survey_codes_dict!A:D, 4, FALSE)</f>
        <v>1973_1</v>
      </c>
      <c r="J686" s="102" t="str">
        <f t="shared" ca="1" si="20"/>
        <v>1973_2__c12</v>
      </c>
      <c r="K686" s="102" t="str">
        <f t="shared" ca="1" si="21"/>
        <v>1973_1__c12</v>
      </c>
      <c r="L686" s="102"/>
      <c r="M686" s="102"/>
      <c r="N686" s="102"/>
      <c r="O686" s="102"/>
      <c r="P686" s="102"/>
      <c r="Q686" s="102"/>
      <c r="R686" s="102"/>
      <c r="S686" s="101"/>
    </row>
    <row r="687" spans="1:19" ht="72" x14ac:dyDescent="0.3">
      <c r="A687" t="s">
        <v>4239</v>
      </c>
      <c r="B687" t="s">
        <v>4406</v>
      </c>
      <c r="C687" s="90" t="s">
        <v>3778</v>
      </c>
      <c r="D687" t="s">
        <v>5562</v>
      </c>
      <c r="E687" s="101" t="s">
        <v>5869</v>
      </c>
      <c r="F687" t="str" cm="1">
        <f t="array" aca="1" ref="F687" ca="1">INDIRECT("'" &amp; A687 &amp; "'!" &amp; B687)</f>
        <v>v22</v>
      </c>
      <c r="G687" t="str" cm="1">
        <f t="array" aca="1" ref="G687" ca="1">INDIRECT("'" &amp; A687 &amp; "'!" &amp; ADDRESS(1, COLUMN(INDIRECT("'" &amp; A687 &amp; "'!" &amp; B687))))</f>
        <v>1981 - 1</v>
      </c>
      <c r="H687" t="str">
        <f ca="1">VLOOKUP($G687, survey_codes_dict!A:C, 2, FALSE)</f>
        <v>1981_1</v>
      </c>
      <c r="I687" s="102" t="str">
        <f ca="1">VLOOKUP($G687, survey_codes_dict!A:D, 4, FALSE)</f>
        <v>1977_4</v>
      </c>
      <c r="J687" s="102" t="str">
        <f t="shared" ca="1" si="20"/>
        <v>1981_1__v22</v>
      </c>
      <c r="K687" s="102" t="str">
        <f t="shared" ca="1" si="21"/>
        <v>1977_4__v22</v>
      </c>
      <c r="L687" s="102"/>
      <c r="M687" s="102"/>
      <c r="N687" s="102"/>
      <c r="O687" s="102"/>
      <c r="P687" s="102"/>
      <c r="Q687" s="102"/>
      <c r="R687" s="102"/>
      <c r="S687" s="101"/>
    </row>
    <row r="688" spans="1:19" ht="72" x14ac:dyDescent="0.3">
      <c r="A688" t="s">
        <v>4239</v>
      </c>
      <c r="B688" t="s">
        <v>4407</v>
      </c>
      <c r="C688" s="90" t="s">
        <v>3778</v>
      </c>
      <c r="D688" t="s">
        <v>5562</v>
      </c>
      <c r="E688" s="101" t="s">
        <v>5869</v>
      </c>
      <c r="F688" t="str" cm="1">
        <f t="array" aca="1" ref="F688" ca="1">INDIRECT("'" &amp; A688 &amp; "'!" &amp; B688)</f>
        <v>v21</v>
      </c>
      <c r="G688" t="str" cm="1">
        <f t="array" aca="1" ref="G688" ca="1">INDIRECT("'" &amp; A688 &amp; "'!" &amp; ADDRESS(1, COLUMN(INDIRECT("'" &amp; A688 &amp; "'!" &amp; B688))))</f>
        <v>1981 - 1</v>
      </c>
      <c r="H688" t="str">
        <f ca="1">VLOOKUP($G688, survey_codes_dict!A:C, 2, FALSE)</f>
        <v>1981_1</v>
      </c>
      <c r="I688" s="102" t="str">
        <f ca="1">VLOOKUP($G688, survey_codes_dict!A:D, 4, FALSE)</f>
        <v>1977_4</v>
      </c>
      <c r="J688" s="102" t="str">
        <f t="shared" ca="1" si="20"/>
        <v>1981_1__v21</v>
      </c>
      <c r="K688" s="102" t="str">
        <f t="shared" ca="1" si="21"/>
        <v>1977_4__v21</v>
      </c>
      <c r="L688" s="102"/>
      <c r="M688" s="102"/>
      <c r="N688" s="102"/>
      <c r="O688" s="102"/>
      <c r="P688" s="102"/>
      <c r="Q688" s="102"/>
      <c r="R688" s="102"/>
      <c r="S688" s="101"/>
    </row>
    <row r="689" spans="1:19" ht="28.8" x14ac:dyDescent="0.3">
      <c r="A689" t="s">
        <v>4239</v>
      </c>
      <c r="B689" t="s">
        <v>4408</v>
      </c>
      <c r="C689" s="90" t="s">
        <v>4397</v>
      </c>
      <c r="D689" t="s">
        <v>5660</v>
      </c>
      <c r="E689" s="101" t="s">
        <v>5623</v>
      </c>
      <c r="F689" t="str" cm="1">
        <f t="array" aca="1" ref="F689" ca="1">INDIRECT("'" &amp; A689 &amp; "'!" &amp; B689)</f>
        <v>h41</v>
      </c>
      <c r="G689" t="str" cm="1">
        <f t="array" aca="1" ref="G689" ca="1">INDIRECT("'" &amp; A689 &amp; "'!" &amp; ADDRESS(1, COLUMN(INDIRECT("'" &amp; A689 &amp; "'!" &amp; B689))))</f>
        <v>1973 - 5</v>
      </c>
      <c r="H689" t="str">
        <f ca="1">VLOOKUP($G689, survey_codes_dict!A:C, 2, FALSE)</f>
        <v>1973_5</v>
      </c>
      <c r="I689" s="102" t="str">
        <f ca="1">VLOOKUP($G689, survey_codes_dict!A:D, 4, FALSE)</f>
        <v>1973_4</v>
      </c>
      <c r="J689" s="102" t="str">
        <f t="shared" ca="1" si="20"/>
        <v>1973_5__h41</v>
      </c>
      <c r="K689" s="102" t="str">
        <f t="shared" ca="1" si="21"/>
        <v>1973_4__h41</v>
      </c>
      <c r="L689" s="102"/>
      <c r="M689" s="102"/>
      <c r="N689" s="102"/>
      <c r="O689" s="102"/>
      <c r="P689" s="102"/>
      <c r="Q689" s="102"/>
      <c r="R689" s="102"/>
      <c r="S689" s="101"/>
    </row>
    <row r="690" spans="1:19" ht="28.8" x14ac:dyDescent="0.3">
      <c r="A690" t="s">
        <v>4239</v>
      </c>
      <c r="B690" t="s">
        <v>3938</v>
      </c>
      <c r="C690" s="90" t="s">
        <v>4404</v>
      </c>
      <c r="D690" t="s">
        <v>5660</v>
      </c>
      <c r="E690" s="101" t="s">
        <v>5624</v>
      </c>
      <c r="F690" t="str" cm="1">
        <f t="array" aca="1" ref="F690" ca="1">INDIRECT("'" &amp; A690 &amp; "'!" &amp; B690)</f>
        <v>g18</v>
      </c>
      <c r="G690" t="str" cm="1">
        <f t="array" aca="1" ref="G690" ca="1">INDIRECT("'" &amp; A690 &amp; "'!" &amp; ADDRESS(1, COLUMN(INDIRECT("'" &amp; A690 &amp; "'!" &amp; B690))))</f>
        <v>1973 - 4</v>
      </c>
      <c r="H690" t="str">
        <f ca="1">VLOOKUP($G690, survey_codes_dict!A:C, 2, FALSE)</f>
        <v>1973_4</v>
      </c>
      <c r="I690" s="102" t="str">
        <f ca="1">VLOOKUP($G690, survey_codes_dict!A:D, 4, FALSE)</f>
        <v>1973_3</v>
      </c>
      <c r="J690" s="102" t="str">
        <f t="shared" ca="1" si="20"/>
        <v>1973_4__g18</v>
      </c>
      <c r="K690" s="102" t="str">
        <f t="shared" ca="1" si="21"/>
        <v>1973_3__g18</v>
      </c>
      <c r="L690" s="102"/>
      <c r="M690" s="102"/>
      <c r="N690" s="102"/>
      <c r="O690" s="102"/>
      <c r="P690" s="102"/>
      <c r="Q690" s="102"/>
      <c r="R690" s="102"/>
      <c r="S690" s="101"/>
    </row>
    <row r="691" spans="1:19" ht="72" x14ac:dyDescent="0.3">
      <c r="A691" t="s">
        <v>4239</v>
      </c>
      <c r="B691" t="s">
        <v>4409</v>
      </c>
      <c r="C691" s="90" t="s">
        <v>3712</v>
      </c>
      <c r="D691" t="s">
        <v>5562</v>
      </c>
      <c r="E691" s="101" t="s">
        <v>5848</v>
      </c>
      <c r="F691" t="str" cm="1">
        <f t="array" aca="1" ref="F691" ca="1">INDIRECT("'" &amp; A691 &amp; "'!" &amp; B691)</f>
        <v>c15</v>
      </c>
      <c r="G691" t="str" cm="1">
        <f t="array" aca="1" ref="G691" ca="1">INDIRECT("'" &amp; A691 &amp; "'!" &amp; ADDRESS(1, COLUMN(INDIRECT("'" &amp; A691 &amp; "'!" &amp; B691))))</f>
        <v>1973 - 2</v>
      </c>
      <c r="H691" t="str">
        <f ca="1">VLOOKUP($G691, survey_codes_dict!A:C, 2, FALSE)</f>
        <v>1973_2</v>
      </c>
      <c r="I691" s="102" t="str">
        <f ca="1">VLOOKUP($G691, survey_codes_dict!A:D, 4, FALSE)</f>
        <v>1973_1</v>
      </c>
      <c r="J691" s="102" t="str">
        <f t="shared" ca="1" si="20"/>
        <v>1973_2__c15</v>
      </c>
      <c r="K691" s="102" t="str">
        <f t="shared" ca="1" si="21"/>
        <v>1973_1__c15</v>
      </c>
      <c r="L691" s="102"/>
      <c r="M691" s="102"/>
      <c r="N691" s="102"/>
      <c r="O691" s="102"/>
      <c r="P691" s="102"/>
      <c r="Q691" s="102"/>
      <c r="R691" s="102"/>
      <c r="S691" s="101"/>
    </row>
    <row r="692" spans="1:19" ht="28.8" x14ac:dyDescent="0.3">
      <c r="A692" t="s">
        <v>4239</v>
      </c>
      <c r="B692" t="s">
        <v>4410</v>
      </c>
      <c r="C692" s="90" t="s">
        <v>4397</v>
      </c>
      <c r="D692" t="s">
        <v>5660</v>
      </c>
      <c r="E692" s="101" t="s">
        <v>5623</v>
      </c>
      <c r="F692" t="str" cm="1">
        <f t="array" aca="1" ref="F692" ca="1">INDIRECT("'" &amp; A692 &amp; "'!" &amp; B692)</f>
        <v>h43</v>
      </c>
      <c r="G692" t="str" cm="1">
        <f t="array" aca="1" ref="G692" ca="1">INDIRECT("'" &amp; A692 &amp; "'!" &amp; ADDRESS(1, COLUMN(INDIRECT("'" &amp; A692 &amp; "'!" &amp; B692))))</f>
        <v>1973 - 5</v>
      </c>
      <c r="H692" t="str">
        <f ca="1">VLOOKUP($G692, survey_codes_dict!A:C, 2, FALSE)</f>
        <v>1973_5</v>
      </c>
      <c r="I692" s="102" t="str">
        <f ca="1">VLOOKUP($G692, survey_codes_dict!A:D, 4, FALSE)</f>
        <v>1973_4</v>
      </c>
      <c r="J692" s="102" t="str">
        <f t="shared" ca="1" si="20"/>
        <v>1973_5__h43</v>
      </c>
      <c r="K692" s="102" t="str">
        <f t="shared" ca="1" si="21"/>
        <v>1973_4__h43</v>
      </c>
      <c r="L692" s="102"/>
      <c r="M692" s="102"/>
      <c r="N692" s="102"/>
      <c r="O692" s="102"/>
      <c r="P692" s="102"/>
      <c r="Q692" s="102"/>
      <c r="R692" s="102"/>
      <c r="S692" s="101"/>
    </row>
    <row r="693" spans="1:19" ht="72" x14ac:dyDescent="0.3">
      <c r="A693" t="s">
        <v>4239</v>
      </c>
      <c r="B693" t="s">
        <v>4411</v>
      </c>
      <c r="C693" s="90" t="s">
        <v>3712</v>
      </c>
      <c r="D693" t="s">
        <v>5562</v>
      </c>
      <c r="E693" s="101" t="s">
        <v>5848</v>
      </c>
      <c r="F693" t="str" cm="1">
        <f t="array" aca="1" ref="F693" ca="1">INDIRECT("'" &amp; A693 &amp; "'!" &amp; B693)</f>
        <v>f21</v>
      </c>
      <c r="G693" t="str" cm="1">
        <f t="array" aca="1" ref="G693" ca="1">INDIRECT("'" &amp; A693 &amp; "'!" &amp; ADDRESS(1, COLUMN(INDIRECT("'" &amp; A693 &amp; "'!" &amp; B693))))</f>
        <v>1973 - 3</v>
      </c>
      <c r="H693" t="str">
        <f ca="1">VLOOKUP($G693, survey_codes_dict!A:C, 2, FALSE)</f>
        <v>1973_3</v>
      </c>
      <c r="I693" s="102" t="str">
        <f ca="1">VLOOKUP($G693, survey_codes_dict!A:D, 4, FALSE)</f>
        <v>1973_2</v>
      </c>
      <c r="J693" s="102" t="str">
        <f t="shared" ca="1" si="20"/>
        <v>1973_3__f21</v>
      </c>
      <c r="K693" s="102" t="str">
        <f t="shared" ca="1" si="21"/>
        <v>1973_2__f21</v>
      </c>
      <c r="L693" s="102"/>
      <c r="M693" s="102"/>
      <c r="N693" s="102"/>
      <c r="O693" s="102"/>
      <c r="P693" s="102"/>
      <c r="Q693" s="102"/>
      <c r="R693" s="102"/>
      <c r="S693" s="101"/>
    </row>
    <row r="694" spans="1:19" ht="72" x14ac:dyDescent="0.3">
      <c r="A694" t="s">
        <v>4239</v>
      </c>
      <c r="B694" t="s">
        <v>4412</v>
      </c>
      <c r="C694" s="90" t="s">
        <v>3712</v>
      </c>
      <c r="D694" t="s">
        <v>5562</v>
      </c>
      <c r="E694" s="101" t="s">
        <v>5848</v>
      </c>
      <c r="F694" t="str" cm="1">
        <f t="array" aca="1" ref="F694" ca="1">INDIRECT("'" &amp; A694 &amp; "'!" &amp; B694)</f>
        <v>f22</v>
      </c>
      <c r="G694" t="str" cm="1">
        <f t="array" aca="1" ref="G694" ca="1">INDIRECT("'" &amp; A694 &amp; "'!" &amp; ADDRESS(1, COLUMN(INDIRECT("'" &amp; A694 &amp; "'!" &amp; B694))))</f>
        <v>1973 - 3</v>
      </c>
      <c r="H694" t="str">
        <f ca="1">VLOOKUP($G694, survey_codes_dict!A:C, 2, FALSE)</f>
        <v>1973_3</v>
      </c>
      <c r="I694" s="102" t="str">
        <f ca="1">VLOOKUP($G694, survey_codes_dict!A:D, 4, FALSE)</f>
        <v>1973_2</v>
      </c>
      <c r="J694" s="102" t="str">
        <f t="shared" ca="1" si="20"/>
        <v>1973_3__f22</v>
      </c>
      <c r="K694" s="102" t="str">
        <f t="shared" ca="1" si="21"/>
        <v>1973_2__f22</v>
      </c>
      <c r="L694" s="102"/>
      <c r="M694" s="102"/>
      <c r="N694" s="102"/>
      <c r="O694" s="102"/>
      <c r="P694" s="102"/>
      <c r="Q694" s="102"/>
      <c r="R694" s="102"/>
      <c r="S694" s="101"/>
    </row>
    <row r="695" spans="1:19" ht="72" x14ac:dyDescent="0.3">
      <c r="A695" t="s">
        <v>4239</v>
      </c>
      <c r="B695" t="s">
        <v>3503</v>
      </c>
      <c r="C695" s="90" t="s">
        <v>4413</v>
      </c>
      <c r="D695" t="s">
        <v>5562</v>
      </c>
      <c r="E695" s="101" t="s">
        <v>6091</v>
      </c>
      <c r="F695" t="str" cm="1">
        <f t="array" aca="1" ref="F695" ca="1">INDIRECT("'" &amp; A695 &amp; "'!" &amp; B695)</f>
        <v>v91</v>
      </c>
      <c r="G695" cm="1">
        <f t="array" aca="1" ref="G695" ca="1">INDIRECT("'" &amp; A695 &amp; "'!" &amp; ADDRESS(1, COLUMN(INDIRECT("'" &amp; A695 &amp; "'!" &amp; B695))))</f>
        <v>2015</v>
      </c>
      <c r="H695" t="e">
        <f ca="1">VLOOKUP($G695, survey_codes_dict!A:C, 2, FALSE)</f>
        <v>#N/A</v>
      </c>
      <c r="I695" s="102" t="e">
        <f ca="1">VLOOKUP($G695, survey_codes_dict!A:D, 4, FALSE)</f>
        <v>#N/A</v>
      </c>
      <c r="J695" s="102" t="e">
        <f t="shared" ca="1" si="20"/>
        <v>#N/A</v>
      </c>
      <c r="K695" s="102" t="e">
        <f t="shared" ca="1" si="21"/>
        <v>#N/A</v>
      </c>
      <c r="L695" s="102"/>
      <c r="M695" s="102"/>
      <c r="N695" s="102"/>
      <c r="O695" s="102"/>
      <c r="P695" s="102"/>
      <c r="Q695" s="102"/>
      <c r="R695" s="102"/>
      <c r="S695" s="101"/>
    </row>
    <row r="696" spans="1:19" ht="72" x14ac:dyDescent="0.3">
      <c r="A696" t="s">
        <v>4239</v>
      </c>
      <c r="B696" t="s">
        <v>4414</v>
      </c>
      <c r="C696" s="90" t="s">
        <v>3925</v>
      </c>
      <c r="D696" t="s">
        <v>5562</v>
      </c>
      <c r="E696" s="101" t="s">
        <v>5925</v>
      </c>
      <c r="F696" t="str" cm="1">
        <f t="array" aca="1" ref="F696" ca="1">INDIRECT("'" &amp; A696 &amp; "'!" &amp; B696)</f>
        <v>g37</v>
      </c>
      <c r="G696" t="str" cm="1">
        <f t="array" aca="1" ref="G696" ca="1">INDIRECT("'" &amp; A696 &amp; "'!" &amp; ADDRESS(1, COLUMN(INDIRECT("'" &amp; A696 &amp; "'!" &amp; B696))))</f>
        <v>1973 - 4</v>
      </c>
      <c r="H696" t="str">
        <f ca="1">VLOOKUP($G696, survey_codes_dict!A:C, 2, FALSE)</f>
        <v>1973_4</v>
      </c>
      <c r="I696" s="102" t="str">
        <f ca="1">VLOOKUP($G696, survey_codes_dict!A:D, 4, FALSE)</f>
        <v>1973_3</v>
      </c>
      <c r="J696" s="102" t="str">
        <f t="shared" ca="1" si="20"/>
        <v>1973_4__g37</v>
      </c>
      <c r="K696" s="102" t="str">
        <f t="shared" ca="1" si="21"/>
        <v>1973_3__g37</v>
      </c>
      <c r="L696" s="102"/>
      <c r="M696" s="102"/>
      <c r="N696" s="102"/>
      <c r="O696" s="102"/>
      <c r="P696" s="102"/>
      <c r="Q696" s="102"/>
      <c r="R696" s="102"/>
      <c r="S696" s="101"/>
    </row>
    <row r="697" spans="1:19" ht="115.2" x14ac:dyDescent="0.3">
      <c r="A697" t="s">
        <v>4239</v>
      </c>
      <c r="B697" t="s">
        <v>4415</v>
      </c>
      <c r="C697" s="90" t="s">
        <v>4416</v>
      </c>
      <c r="D697" t="s">
        <v>5562</v>
      </c>
      <c r="E697" s="101" t="s">
        <v>6092</v>
      </c>
      <c r="F697" t="str" cm="1">
        <f t="array" aca="1" ref="F697" ca="1">INDIRECT("'" &amp; A697 &amp; "'!" &amp; B697)</f>
        <v>f16</v>
      </c>
      <c r="G697" t="str" cm="1">
        <f t="array" aca="1" ref="G697" ca="1">INDIRECT("'" &amp; A697 &amp; "'!" &amp; ADDRESS(1, COLUMN(INDIRECT("'" &amp; A697 &amp; "'!" &amp; B697))))</f>
        <v>1973 - 3</v>
      </c>
      <c r="H697" t="str">
        <f ca="1">VLOOKUP($G697, survey_codes_dict!A:C, 2, FALSE)</f>
        <v>1973_3</v>
      </c>
      <c r="I697" s="102" t="str">
        <f ca="1">VLOOKUP($G697, survey_codes_dict!A:D, 4, FALSE)</f>
        <v>1973_2</v>
      </c>
      <c r="J697" s="102" t="str">
        <f t="shared" ca="1" si="20"/>
        <v>1973_3__f16</v>
      </c>
      <c r="K697" s="102" t="str">
        <f t="shared" ca="1" si="21"/>
        <v>1973_2__f16</v>
      </c>
      <c r="L697" s="102"/>
      <c r="M697" s="102"/>
      <c r="N697" s="102"/>
      <c r="O697" s="102"/>
      <c r="P697" s="102"/>
      <c r="Q697" s="102"/>
      <c r="R697" s="102"/>
      <c r="S697" s="101"/>
    </row>
    <row r="698" spans="1:19" ht="28.8" x14ac:dyDescent="0.3">
      <c r="A698" t="s">
        <v>4239</v>
      </c>
      <c r="B698" t="s">
        <v>4417</v>
      </c>
      <c r="C698" s="90" t="s">
        <v>4418</v>
      </c>
      <c r="D698" t="s">
        <v>399</v>
      </c>
      <c r="E698" s="101" t="s">
        <v>5625</v>
      </c>
      <c r="F698" t="str" cm="1">
        <f t="array" aca="1" ref="F698" ca="1">INDIRECT("'" &amp; A698 &amp; "'!" &amp; B698)</f>
        <v>אם הסקרים שיפורסמו בימים האחרונים של מערכת הבחירות יראו שהליכוד והמחנה הציוני מקבלים פחות או יותר אותו מספר של מנדטים, האם זה יגרום לך לשנות את הצבעתך?</v>
      </c>
      <c r="G698" t="str" cm="1">
        <f t="array" aca="1" ref="G698" ca="1">INDIRECT("'" &amp; A698 &amp; "'!" &amp; ADDRESS(1, COLUMN(INDIRECT("'" &amp; A698 &amp; "'!" &amp; B698))))</f>
        <v>שאלה</v>
      </c>
      <c r="H698" t="e">
        <f ca="1">VLOOKUP($G698, survey_codes_dict!A:C, 2, FALSE)</f>
        <v>#N/A</v>
      </c>
      <c r="I698" s="102" t="e">
        <f ca="1">VLOOKUP($G698, survey_codes_dict!A:D, 4, FALSE)</f>
        <v>#N/A</v>
      </c>
      <c r="J698" s="102" t="e">
        <f t="shared" ca="1" si="20"/>
        <v>#N/A</v>
      </c>
      <c r="K698" s="102" t="e">
        <f t="shared" ca="1" si="21"/>
        <v>#N/A</v>
      </c>
      <c r="L698" s="102"/>
      <c r="M698" s="102"/>
      <c r="N698" s="102"/>
      <c r="O698" s="102"/>
      <c r="P698" s="102"/>
      <c r="Q698" s="102"/>
      <c r="R698" s="102"/>
      <c r="S698" s="102"/>
    </row>
    <row r="699" spans="1:19" ht="57.6" x14ac:dyDescent="0.3">
      <c r="A699" t="s">
        <v>4239</v>
      </c>
      <c r="B699" t="s">
        <v>4419</v>
      </c>
      <c r="C699" s="90" t="s">
        <v>4420</v>
      </c>
      <c r="D699" t="s">
        <v>5562</v>
      </c>
      <c r="E699" s="101" t="s">
        <v>6093</v>
      </c>
      <c r="F699" t="str" cm="1">
        <f t="array" aca="1" ref="F699" ca="1">INDIRECT("'" &amp; A699 &amp; "'!" &amp; B699)</f>
        <v>v93</v>
      </c>
      <c r="G699" cm="1">
        <f t="array" aca="1" ref="G699" ca="1">INDIRECT("'" &amp; A699 &amp; "'!" &amp; ADDRESS(1, COLUMN(INDIRECT("'" &amp; A699 &amp; "'!" &amp; B699))))</f>
        <v>2015</v>
      </c>
      <c r="H699" t="e">
        <f ca="1">VLOOKUP($G699, survey_codes_dict!A:C, 2, FALSE)</f>
        <v>#N/A</v>
      </c>
      <c r="I699" s="102" t="e">
        <f ca="1">VLOOKUP($G699, survey_codes_dict!A:D, 4, FALSE)</f>
        <v>#N/A</v>
      </c>
      <c r="J699" s="102" t="e">
        <f t="shared" ca="1" si="20"/>
        <v>#N/A</v>
      </c>
      <c r="K699" s="102" t="e">
        <f t="shared" ca="1" si="21"/>
        <v>#N/A</v>
      </c>
      <c r="L699" s="102"/>
      <c r="M699" s="102"/>
      <c r="N699" s="102"/>
      <c r="O699" s="102"/>
      <c r="P699" s="102"/>
      <c r="Q699" s="102"/>
      <c r="R699" s="102"/>
      <c r="S699" s="101"/>
    </row>
    <row r="700" spans="1:19" ht="28.8" x14ac:dyDescent="0.3">
      <c r="A700" t="s">
        <v>4239</v>
      </c>
      <c r="B700" t="s">
        <v>4421</v>
      </c>
      <c r="C700" s="90" t="s">
        <v>4422</v>
      </c>
      <c r="D700" t="s">
        <v>5671</v>
      </c>
      <c r="E700" s="101" t="s">
        <v>5626</v>
      </c>
      <c r="F700" t="str" cm="1">
        <f t="array" aca="1" ref="F700" ca="1">INDIRECT("'" &amp; A700 &amp; "'!" &amp; B700)</f>
        <v>לאיזו מפלגה תעבור?</v>
      </c>
      <c r="G700" t="str" cm="1">
        <f t="array" aca="1" ref="G700" ca="1">INDIRECT("'" &amp; A700 &amp; "'!" &amp; ADDRESS(1, COLUMN(INDIRECT("'" &amp; A700 &amp; "'!" &amp; B700))))</f>
        <v>שאלה</v>
      </c>
      <c r="H700" t="e">
        <f ca="1">VLOOKUP($G700, survey_codes_dict!A:C, 2, FALSE)</f>
        <v>#N/A</v>
      </c>
      <c r="I700" s="102" t="e">
        <f ca="1">VLOOKUP($G700, survey_codes_dict!A:D, 4, FALSE)</f>
        <v>#N/A</v>
      </c>
      <c r="J700" s="102" t="e">
        <f t="shared" ca="1" si="20"/>
        <v>#N/A</v>
      </c>
      <c r="K700" s="102" t="e">
        <f t="shared" ca="1" si="21"/>
        <v>#N/A</v>
      </c>
      <c r="L700" s="102"/>
      <c r="M700" s="102"/>
      <c r="N700" s="102"/>
      <c r="O700" s="102"/>
      <c r="P700" s="102"/>
      <c r="Q700" s="102"/>
      <c r="R700" s="102"/>
      <c r="S700" s="102"/>
    </row>
    <row r="701" spans="1:19" ht="115.2" x14ac:dyDescent="0.3">
      <c r="A701" t="s">
        <v>4239</v>
      </c>
      <c r="B701" t="s">
        <v>4423</v>
      </c>
      <c r="C701" s="90" t="s">
        <v>4424</v>
      </c>
      <c r="D701" t="s">
        <v>5562</v>
      </c>
      <c r="E701" s="101" t="s">
        <v>6094</v>
      </c>
      <c r="F701" t="str" cm="1">
        <f t="array" aca="1" ref="F701" ca="1">INDIRECT("'" &amp; A701 &amp; "'!" &amp; B701)</f>
        <v>v98</v>
      </c>
      <c r="G701" cm="1">
        <f t="array" aca="1" ref="G701" ca="1">INDIRECT("'" &amp; A701 &amp; "'!" &amp; ADDRESS(1, COLUMN(INDIRECT("'" &amp; A701 &amp; "'!" &amp; B701))))</f>
        <v>2015</v>
      </c>
      <c r="H701" t="e">
        <f ca="1">VLOOKUP($G701, survey_codes_dict!A:C, 2, FALSE)</f>
        <v>#N/A</v>
      </c>
      <c r="I701" s="102" t="e">
        <f ca="1">VLOOKUP($G701, survey_codes_dict!A:D, 4, FALSE)</f>
        <v>#N/A</v>
      </c>
      <c r="J701" s="102" t="e">
        <f t="shared" ca="1" si="20"/>
        <v>#N/A</v>
      </c>
      <c r="K701" s="102" t="e">
        <f t="shared" ca="1" si="21"/>
        <v>#N/A</v>
      </c>
      <c r="L701" s="102"/>
      <c r="M701" s="102"/>
      <c r="N701" s="102"/>
      <c r="O701" s="102"/>
      <c r="P701" s="102"/>
      <c r="Q701" s="102"/>
      <c r="R701" s="102"/>
      <c r="S701" s="101"/>
    </row>
    <row r="702" spans="1:19" ht="86.4" x14ac:dyDescent="0.3">
      <c r="A702" t="s">
        <v>4239</v>
      </c>
      <c r="B702" t="s">
        <v>4425</v>
      </c>
      <c r="C702" s="90" t="s">
        <v>4426</v>
      </c>
      <c r="D702" t="s">
        <v>5562</v>
      </c>
      <c r="E702" s="101" t="s">
        <v>6095</v>
      </c>
      <c r="F702" t="str" cm="1">
        <f t="array" aca="1" ref="F702" ca="1">INDIRECT("'" &amp; A702 &amp; "'!" &amp; B702)</f>
        <v>ccc27</v>
      </c>
      <c r="G702" cm="1">
        <f t="array" aca="1" ref="G702" ca="1">INDIRECT("'" &amp; A702 &amp; "'!" &amp; ADDRESS(1, COLUMN(INDIRECT("'" &amp; A702 &amp; "'!" &amp; B702))))</f>
        <v>1996</v>
      </c>
      <c r="H702" t="str">
        <f ca="1">VLOOKUP($G702, survey_codes_dict!A:C, 2, FALSE)</f>
        <v>1996_Jews</v>
      </c>
      <c r="I702" s="102" t="str">
        <f ca="1">VLOOKUP($G702, survey_codes_dict!A:D, 4, FALSE)</f>
        <v>1992</v>
      </c>
      <c r="J702" s="102" t="str">
        <f t="shared" ca="1" si="20"/>
        <v>1996_Jews__ccc27</v>
      </c>
      <c r="K702" s="102" t="str">
        <f t="shared" ca="1" si="21"/>
        <v>1992__ccc27</v>
      </c>
      <c r="L702" s="102"/>
      <c r="M702" s="102"/>
      <c r="N702" s="102"/>
      <c r="O702" s="102"/>
      <c r="P702" s="102"/>
      <c r="Q702" s="102"/>
      <c r="R702" s="102"/>
      <c r="S702" s="101"/>
    </row>
    <row r="703" spans="1:19" ht="57.6" x14ac:dyDescent="0.3">
      <c r="A703" t="s">
        <v>4239</v>
      </c>
      <c r="B703" t="s">
        <v>4427</v>
      </c>
      <c r="C703" s="90" t="s">
        <v>4428</v>
      </c>
      <c r="D703" t="s">
        <v>5562</v>
      </c>
      <c r="E703" s="101" t="s">
        <v>5627</v>
      </c>
      <c r="F703" t="str" cm="1">
        <f t="array" aca="1" ref="F703" ca="1">INDIRECT("'" &amp; A703 &amp; "'!" &amp; B703)</f>
        <v>אם הליכוד וישראל ביתנו היו רצות בנפרד בבחירות הקודמות ב2013, עבור מי מהשניים היית מצביע?</v>
      </c>
      <c r="G703" t="str" cm="1">
        <f t="array" aca="1" ref="G703" ca="1">INDIRECT("'" &amp; A703 &amp; "'!" &amp; ADDRESS(1, COLUMN(INDIRECT("'" &amp; A703 &amp; "'!" &amp; B703))))</f>
        <v>שאלה</v>
      </c>
      <c r="H703" t="e">
        <f ca="1">VLOOKUP($G703, survey_codes_dict!A:C, 2, FALSE)</f>
        <v>#N/A</v>
      </c>
      <c r="I703" s="102" t="e">
        <f ca="1">VLOOKUP($G703, survey_codes_dict!A:D, 4, FALSE)</f>
        <v>#N/A</v>
      </c>
      <c r="J703" s="102" t="e">
        <f t="shared" ca="1" si="20"/>
        <v>#N/A</v>
      </c>
      <c r="K703" s="102" t="e">
        <f t="shared" ca="1" si="21"/>
        <v>#N/A</v>
      </c>
      <c r="L703" s="102"/>
      <c r="M703" s="102"/>
      <c r="N703" s="102"/>
      <c r="O703" s="102"/>
      <c r="P703" s="102"/>
      <c r="Q703" s="102"/>
      <c r="R703" s="102"/>
      <c r="S703" s="102"/>
    </row>
    <row r="704" spans="1:19" ht="43.2" x14ac:dyDescent="0.3">
      <c r="A704" t="s">
        <v>4239</v>
      </c>
      <c r="B704" t="s">
        <v>4429</v>
      </c>
      <c r="C704" s="90" t="s">
        <v>4430</v>
      </c>
      <c r="D704" t="s">
        <v>5562</v>
      </c>
      <c r="E704" s="101" t="s">
        <v>6096</v>
      </c>
      <c r="F704" t="str" cm="1">
        <f t="array" aca="1" ref="F704" ca="1">INDIRECT("'" &amp; A704 &amp; "'!" &amp; B704)</f>
        <v>v102</v>
      </c>
      <c r="G704" cm="1">
        <f t="array" aca="1" ref="G704" ca="1">INDIRECT("'" &amp; A704 &amp; "'!" &amp; ADDRESS(1, COLUMN(INDIRECT("'" &amp; A704 &amp; "'!" &amp; B704))))</f>
        <v>2015</v>
      </c>
      <c r="H704" t="e">
        <f ca="1">VLOOKUP($G704, survey_codes_dict!A:C, 2, FALSE)</f>
        <v>#N/A</v>
      </c>
      <c r="I704" s="102" t="e">
        <f ca="1">VLOOKUP($G704, survey_codes_dict!A:D, 4, FALSE)</f>
        <v>#N/A</v>
      </c>
      <c r="J704" s="102" t="e">
        <f t="shared" ca="1" si="20"/>
        <v>#N/A</v>
      </c>
      <c r="K704" s="102" t="e">
        <f t="shared" ca="1" si="21"/>
        <v>#N/A</v>
      </c>
      <c r="L704" s="102"/>
      <c r="M704" s="102"/>
      <c r="N704" s="102"/>
      <c r="O704" s="102"/>
      <c r="P704" s="102"/>
      <c r="Q704" s="102"/>
      <c r="R704" s="102"/>
      <c r="S704" s="101"/>
    </row>
    <row r="705" spans="1:19" ht="57.6" x14ac:dyDescent="0.3">
      <c r="A705" t="s">
        <v>4239</v>
      </c>
      <c r="B705" t="s">
        <v>4431</v>
      </c>
      <c r="C705" s="90" t="s">
        <v>4432</v>
      </c>
      <c r="D705" t="s">
        <v>5562</v>
      </c>
      <c r="E705" s="101" t="s">
        <v>6097</v>
      </c>
      <c r="F705" t="str" cm="1">
        <f t="array" aca="1" ref="F705" ca="1">INDIRECT("'" &amp; A705 &amp; "'!" &amp; B705)</f>
        <v>v104</v>
      </c>
      <c r="G705" cm="1">
        <f t="array" aca="1" ref="G705" ca="1">INDIRECT("'" &amp; A705 &amp; "'!" &amp; ADDRESS(1, COLUMN(INDIRECT("'" &amp; A705 &amp; "'!" &amp; B705))))</f>
        <v>2015</v>
      </c>
      <c r="H705" t="e">
        <f ca="1">VLOOKUP($G705, survey_codes_dict!A:C, 2, FALSE)</f>
        <v>#N/A</v>
      </c>
      <c r="I705" s="102" t="e">
        <f ca="1">VLOOKUP($G705, survey_codes_dict!A:D, 4, FALSE)</f>
        <v>#N/A</v>
      </c>
      <c r="J705" s="102" t="e">
        <f t="shared" ca="1" si="20"/>
        <v>#N/A</v>
      </c>
      <c r="K705" s="102" t="e">
        <f t="shared" ca="1" si="21"/>
        <v>#N/A</v>
      </c>
      <c r="L705" s="102"/>
      <c r="M705" s="102"/>
      <c r="N705" s="102"/>
      <c r="O705" s="102"/>
      <c r="P705" s="102"/>
      <c r="Q705" s="102"/>
      <c r="R705" s="102"/>
      <c r="S705" s="101"/>
    </row>
    <row r="706" spans="1:19" ht="57.6" x14ac:dyDescent="0.3">
      <c r="A706" t="s">
        <v>4239</v>
      </c>
      <c r="B706" t="s">
        <v>4433</v>
      </c>
      <c r="C706" s="90" t="s">
        <v>4434</v>
      </c>
      <c r="D706" t="s">
        <v>5562</v>
      </c>
      <c r="E706" s="101" t="s">
        <v>6098</v>
      </c>
      <c r="F706" t="str" cm="1">
        <f t="array" aca="1" ref="F706" ca="1">INDIRECT("'" &amp; A706 &amp; "'!" &amp; B706)</f>
        <v>v105</v>
      </c>
      <c r="G706" cm="1">
        <f t="array" aca="1" ref="G706" ca="1">INDIRECT("'" &amp; A706 &amp; "'!" &amp; ADDRESS(1, COLUMN(INDIRECT("'" &amp; A706 &amp; "'!" &amp; B706))))</f>
        <v>2015</v>
      </c>
      <c r="H706" t="e">
        <f ca="1">VLOOKUP($G706, survey_codes_dict!A:C, 2, FALSE)</f>
        <v>#N/A</v>
      </c>
      <c r="I706" s="102" t="e">
        <f ca="1">VLOOKUP($G706, survey_codes_dict!A:D, 4, FALSE)</f>
        <v>#N/A</v>
      </c>
      <c r="J706" s="102" t="e">
        <f t="shared" ref="J706:J769" ca="1" si="22">_xlfn.CONCAT($H706, "__", F706)</f>
        <v>#N/A</v>
      </c>
      <c r="K706" s="102" t="e">
        <f t="shared" ref="K706:K769" ca="1" si="23">_xlfn.CONCAT($I706, "__", F706)</f>
        <v>#N/A</v>
      </c>
      <c r="L706" s="102"/>
      <c r="M706" s="102"/>
      <c r="N706" s="102"/>
      <c r="O706" s="102"/>
      <c r="P706" s="102"/>
      <c r="Q706" s="102"/>
      <c r="R706" s="102"/>
      <c r="S706" s="101"/>
    </row>
    <row r="707" spans="1:19" ht="72" x14ac:dyDescent="0.3">
      <c r="A707" t="s">
        <v>4239</v>
      </c>
      <c r="B707" t="s">
        <v>4435</v>
      </c>
      <c r="C707" s="90" t="s">
        <v>4253</v>
      </c>
      <c r="D707" t="s">
        <v>5562</v>
      </c>
      <c r="E707" s="101" t="s">
        <v>6046</v>
      </c>
      <c r="F707" t="str" cm="1">
        <f t="array" aca="1" ref="F707" ca="1">INDIRECT("'" &amp; A707 &amp; "'!" &amp; B707)</f>
        <v>v123</v>
      </c>
      <c r="G707" cm="1">
        <f t="array" aca="1" ref="G707" ca="1">INDIRECT("'" &amp; A707 &amp; "'!" &amp; ADDRESS(1, COLUMN(INDIRECT("'" &amp; A707 &amp; "'!" &amp; B707))))</f>
        <v>2015</v>
      </c>
      <c r="H707" t="e">
        <f ca="1">VLOOKUP($G707, survey_codes_dict!A:C, 2, FALSE)</f>
        <v>#N/A</v>
      </c>
      <c r="I707" s="102" t="e">
        <f ca="1">VLOOKUP($G707, survey_codes_dict!A:D, 4, FALSE)</f>
        <v>#N/A</v>
      </c>
      <c r="J707" s="102" t="e">
        <f t="shared" ca="1" si="22"/>
        <v>#N/A</v>
      </c>
      <c r="K707" s="102" t="e">
        <f t="shared" ca="1" si="23"/>
        <v>#N/A</v>
      </c>
      <c r="L707" s="102"/>
      <c r="M707" s="102"/>
      <c r="N707" s="102"/>
      <c r="O707" s="102"/>
      <c r="P707" s="102"/>
      <c r="Q707" s="102"/>
      <c r="R707" s="102"/>
      <c r="S707" s="101"/>
    </row>
    <row r="708" spans="1:19" ht="28.8" x14ac:dyDescent="0.3">
      <c r="A708" t="s">
        <v>4239</v>
      </c>
      <c r="B708" t="s">
        <v>4436</v>
      </c>
      <c r="C708" s="90" t="s">
        <v>3996</v>
      </c>
      <c r="D708" t="s">
        <v>399</v>
      </c>
      <c r="E708" s="101" t="s">
        <v>5593</v>
      </c>
      <c r="F708" t="str" cm="1">
        <f t="array" aca="1" ref="F708" ca="1">INDIRECT("'" &amp; A708 &amp; "'!" &amp; B708)</f>
        <v>באיזו מידה משפיע או לא משפיע כל אחד מהנושאים הבאים על ההצבעה שלך: אם מזרחי עומד בראש הרשימה</v>
      </c>
      <c r="G708" t="str" cm="1">
        <f t="array" aca="1" ref="G708" ca="1">INDIRECT("'" &amp; A708 &amp; "'!" &amp; ADDRESS(1, COLUMN(INDIRECT("'" &amp; A708 &amp; "'!" &amp; B708))))</f>
        <v>שאלה</v>
      </c>
      <c r="H708" t="e">
        <f ca="1">VLOOKUP($G708, survey_codes_dict!A:C, 2, FALSE)</f>
        <v>#N/A</v>
      </c>
      <c r="I708" s="102" t="e">
        <f ca="1">VLOOKUP($G708, survey_codes_dict!A:D, 4, FALSE)</f>
        <v>#N/A</v>
      </c>
      <c r="J708" s="102" t="e">
        <f t="shared" ca="1" si="22"/>
        <v>#N/A</v>
      </c>
      <c r="K708" s="102" t="e">
        <f t="shared" ca="1" si="23"/>
        <v>#N/A</v>
      </c>
      <c r="L708" s="102"/>
      <c r="M708" s="102"/>
      <c r="N708" s="102"/>
      <c r="O708" s="102"/>
      <c r="P708" s="102"/>
      <c r="Q708" s="102"/>
      <c r="R708" s="102"/>
      <c r="S708" s="102"/>
    </row>
    <row r="709" spans="1:19" ht="28.8" x14ac:dyDescent="0.3">
      <c r="A709" t="s">
        <v>4239</v>
      </c>
      <c r="B709" t="s">
        <v>3999</v>
      </c>
      <c r="C709" s="90" t="s">
        <v>3996</v>
      </c>
      <c r="D709" t="s">
        <v>399</v>
      </c>
      <c r="E709" s="101" t="s">
        <v>5593</v>
      </c>
      <c r="F709" t="str" cm="1">
        <f t="array" aca="1" ref="F709" ca="1">INDIRECT("'" &amp; A709 &amp; "'!" &amp; B709)</f>
        <v>באיזו מידה משפיע או לא משפיע כל אחד מהנושאים הבאים על ההצבעה שלך: מספר המזרחים ברשימה לכנסת</v>
      </c>
      <c r="G709" t="str" cm="1">
        <f t="array" aca="1" ref="G709" ca="1">INDIRECT("'" &amp; A709 &amp; "'!" &amp; ADDRESS(1, COLUMN(INDIRECT("'" &amp; A709 &amp; "'!" &amp; B709))))</f>
        <v>שאלה</v>
      </c>
      <c r="H709" t="e">
        <f ca="1">VLOOKUP($G709, survey_codes_dict!A:C, 2, FALSE)</f>
        <v>#N/A</v>
      </c>
      <c r="I709" s="102" t="e">
        <f ca="1">VLOOKUP($G709, survey_codes_dict!A:D, 4, FALSE)</f>
        <v>#N/A</v>
      </c>
      <c r="J709" s="102" t="e">
        <f t="shared" ca="1" si="22"/>
        <v>#N/A</v>
      </c>
      <c r="K709" s="102" t="e">
        <f t="shared" ca="1" si="23"/>
        <v>#N/A</v>
      </c>
      <c r="L709" s="102"/>
      <c r="M709" s="102"/>
      <c r="N709" s="102"/>
      <c r="O709" s="102"/>
      <c r="P709" s="102"/>
      <c r="Q709" s="102"/>
      <c r="R709" s="102"/>
      <c r="S709" s="102"/>
    </row>
    <row r="710" spans="1:19" ht="72" x14ac:dyDescent="0.3">
      <c r="A710" t="s">
        <v>4239</v>
      </c>
      <c r="B710" t="s">
        <v>4437</v>
      </c>
      <c r="C710" s="90" t="s">
        <v>3636</v>
      </c>
      <c r="D710" t="s">
        <v>5562</v>
      </c>
      <c r="E710" s="101" t="s">
        <v>5814</v>
      </c>
      <c r="F710" t="str" cm="1">
        <f t="array" aca="1" ref="F710" ca="1">INDIRECT("'" &amp; A710 &amp; "'!" &amp; B710)</f>
        <v>v138</v>
      </c>
      <c r="G710" cm="1">
        <f t="array" aca="1" ref="G710" ca="1">INDIRECT("'" &amp; A710 &amp; "'!" &amp; ADDRESS(1, COLUMN(INDIRECT("'" &amp; A710 &amp; "'!" &amp; B710))))</f>
        <v>2009</v>
      </c>
      <c r="H710" t="e">
        <f ca="1">VLOOKUP($G710, survey_codes_dict!A:C, 2, FALSE)</f>
        <v>#N/A</v>
      </c>
      <c r="I710" s="102" t="e">
        <f ca="1">VLOOKUP($G710, survey_codes_dict!A:D, 4, FALSE)</f>
        <v>#N/A</v>
      </c>
      <c r="J710" s="102" t="e">
        <f t="shared" ca="1" si="22"/>
        <v>#N/A</v>
      </c>
      <c r="K710" s="102" t="e">
        <f t="shared" ca="1" si="23"/>
        <v>#N/A</v>
      </c>
      <c r="L710" s="102"/>
      <c r="M710" s="102"/>
      <c r="N710" s="102"/>
      <c r="O710" s="102"/>
      <c r="P710" s="102"/>
      <c r="Q710" s="102"/>
      <c r="R710" s="102"/>
      <c r="S710" s="101"/>
    </row>
    <row r="711" spans="1:19" ht="72" x14ac:dyDescent="0.3">
      <c r="A711" t="s">
        <v>4239</v>
      </c>
      <c r="B711" t="s">
        <v>4438</v>
      </c>
      <c r="C711" s="90" t="s">
        <v>4439</v>
      </c>
      <c r="D711" t="s">
        <v>5562</v>
      </c>
      <c r="E711" s="101" t="s">
        <v>6099</v>
      </c>
      <c r="F711" t="str" cm="1">
        <f t="array" aca="1" ref="F711" ca="1">INDIRECT("'" &amp; A711 &amp; "'!" &amp; B711)</f>
        <v>v20</v>
      </c>
      <c r="G711" t="str" cm="1">
        <f t="array" aca="1" ref="G711" ca="1">INDIRECT("'" &amp; A711 &amp; "'!" &amp; ADDRESS(1, COLUMN(INDIRECT("'" &amp; A711 &amp; "'!" &amp; B711))))</f>
        <v>1981 - 1</v>
      </c>
      <c r="H711" t="str">
        <f ca="1">VLOOKUP($G711, survey_codes_dict!A:C, 2, FALSE)</f>
        <v>1981_1</v>
      </c>
      <c r="I711" s="102" t="str">
        <f ca="1">VLOOKUP($G711, survey_codes_dict!A:D, 4, FALSE)</f>
        <v>1977_4</v>
      </c>
      <c r="J711" s="102" t="str">
        <f t="shared" ca="1" si="22"/>
        <v>1981_1__v20</v>
      </c>
      <c r="K711" s="102" t="str">
        <f t="shared" ca="1" si="23"/>
        <v>1977_4__v20</v>
      </c>
      <c r="L711" s="102"/>
      <c r="M711" s="102"/>
      <c r="N711" s="102"/>
      <c r="O711" s="102"/>
      <c r="P711" s="102"/>
      <c r="Q711" s="102"/>
      <c r="R711" s="102"/>
      <c r="S711" s="101"/>
    </row>
    <row r="712" spans="1:19" ht="28.8" x14ac:dyDescent="0.3">
      <c r="A712" t="s">
        <v>4239</v>
      </c>
      <c r="B712" t="s">
        <v>4440</v>
      </c>
      <c r="C712" s="90" t="s">
        <v>4397</v>
      </c>
      <c r="D712" t="s">
        <v>5660</v>
      </c>
      <c r="E712" s="101" t="s">
        <v>5623</v>
      </c>
      <c r="F712" t="str" cm="1">
        <f t="array" aca="1" ref="F712" ca="1">INDIRECT("'" &amp; A712 &amp; "'!" &amp; B712)</f>
        <v>h39</v>
      </c>
      <c r="G712" t="str" cm="1">
        <f t="array" aca="1" ref="G712" ca="1">INDIRECT("'" &amp; A712 &amp; "'!" &amp; ADDRESS(1, COLUMN(INDIRECT("'" &amp; A712 &amp; "'!" &amp; B712))))</f>
        <v>1973 - 5</v>
      </c>
      <c r="H712" t="str">
        <f ca="1">VLOOKUP($G712, survey_codes_dict!A:C, 2, FALSE)</f>
        <v>1973_5</v>
      </c>
      <c r="I712" s="102" t="str">
        <f ca="1">VLOOKUP($G712, survey_codes_dict!A:D, 4, FALSE)</f>
        <v>1973_4</v>
      </c>
      <c r="J712" s="102" t="str">
        <f t="shared" ca="1" si="22"/>
        <v>1973_5__h39</v>
      </c>
      <c r="K712" s="102" t="str">
        <f t="shared" ca="1" si="23"/>
        <v>1973_4__h39</v>
      </c>
      <c r="L712" s="102"/>
      <c r="M712" s="102"/>
      <c r="N712" s="102"/>
      <c r="O712" s="102"/>
      <c r="P712" s="102"/>
      <c r="Q712" s="102"/>
      <c r="R712" s="102"/>
      <c r="S712" s="101"/>
    </row>
    <row r="713" spans="1:19" ht="28.8" x14ac:dyDescent="0.3">
      <c r="A713" t="s">
        <v>4239</v>
      </c>
      <c r="B713" t="s">
        <v>4441</v>
      </c>
      <c r="C713" s="90" t="s">
        <v>4404</v>
      </c>
      <c r="D713" t="s">
        <v>5660</v>
      </c>
      <c r="E713" s="101" t="s">
        <v>5624</v>
      </c>
      <c r="F713" t="str" cm="1">
        <f t="array" aca="1" ref="F713" ca="1">INDIRECT("'" &amp; A713 &amp; "'!" &amp; B713)</f>
        <v>g5</v>
      </c>
      <c r="G713" t="str" cm="1">
        <f t="array" aca="1" ref="G713" ca="1">INDIRECT("'" &amp; A713 &amp; "'!" &amp; ADDRESS(1, COLUMN(INDIRECT("'" &amp; A713 &amp; "'!" &amp; B713))))</f>
        <v>1973 - 4</v>
      </c>
      <c r="H713" t="str">
        <f ca="1">VLOOKUP($G713, survey_codes_dict!A:C, 2, FALSE)</f>
        <v>1973_4</v>
      </c>
      <c r="I713" s="102" t="str">
        <f ca="1">VLOOKUP($G713, survey_codes_dict!A:D, 4, FALSE)</f>
        <v>1973_3</v>
      </c>
      <c r="J713" s="102" t="str">
        <f t="shared" ca="1" si="22"/>
        <v>1973_4__g5</v>
      </c>
      <c r="K713" s="102" t="str">
        <f t="shared" ca="1" si="23"/>
        <v>1973_3__g5</v>
      </c>
      <c r="L713" s="102"/>
      <c r="M713" s="102"/>
      <c r="N713" s="102"/>
      <c r="O713" s="102"/>
      <c r="P713" s="102"/>
      <c r="Q713" s="102"/>
      <c r="R713" s="102"/>
      <c r="S713" s="101"/>
    </row>
    <row r="714" spans="1:19" ht="72" x14ac:dyDescent="0.3">
      <c r="A714" t="s">
        <v>4239</v>
      </c>
      <c r="B714" t="s">
        <v>4114</v>
      </c>
      <c r="C714" s="90" t="s">
        <v>3636</v>
      </c>
      <c r="D714" t="s">
        <v>5562</v>
      </c>
      <c r="E714" s="101" t="s">
        <v>5814</v>
      </c>
      <c r="F714" t="str" cm="1">
        <f t="array" aca="1" ref="F714" ca="1">INDIRECT("'" &amp; A714 &amp; "'!" &amp; B714)</f>
        <v>v36</v>
      </c>
      <c r="G714" t="str" cm="1">
        <f t="array" aca="1" ref="G714" ca="1">INDIRECT("'" &amp; A714 &amp; "'!" &amp; ADDRESS(1, COLUMN(INDIRECT("'" &amp; A714 &amp; "'!" &amp; B714))))</f>
        <v>1973 - 1</v>
      </c>
      <c r="H714" t="str">
        <f ca="1">VLOOKUP($G714, survey_codes_dict!A:C, 2, FALSE)</f>
        <v>1973_1</v>
      </c>
      <c r="I714" s="102" t="str">
        <f ca="1">VLOOKUP($G714, survey_codes_dict!A:D, 4, FALSE)</f>
        <v>1969_2</v>
      </c>
      <c r="J714" s="102" t="str">
        <f t="shared" ca="1" si="22"/>
        <v>1973_1__v36</v>
      </c>
      <c r="K714" s="102" t="str">
        <f t="shared" ca="1" si="23"/>
        <v>1969_2__v36</v>
      </c>
      <c r="L714" s="102"/>
      <c r="M714" s="102"/>
      <c r="N714" s="102"/>
      <c r="O714" s="102"/>
      <c r="P714" s="102"/>
      <c r="Q714" s="102"/>
      <c r="R714" s="102"/>
      <c r="S714" s="101"/>
    </row>
    <row r="715" spans="1:19" ht="187.2" x14ac:dyDescent="0.3">
      <c r="A715" t="s">
        <v>4239</v>
      </c>
      <c r="B715" t="s">
        <v>4442</v>
      </c>
      <c r="C715" s="90" t="s">
        <v>4443</v>
      </c>
      <c r="D715" t="s">
        <v>5562</v>
      </c>
      <c r="E715" s="101" t="s">
        <v>6100</v>
      </c>
      <c r="F715" t="str" cm="1">
        <f t="array" aca="1" ref="F715" ca="1">INDIRECT("'" &amp; A715 &amp; "'!" &amp; B715)</f>
        <v>v153</v>
      </c>
      <c r="G715" cm="1">
        <f t="array" aca="1" ref="G715" ca="1">INDIRECT("'" &amp; A715 &amp; "'!" &amp; ADDRESS(1, COLUMN(INDIRECT("'" &amp; A715 &amp; "'!" &amp; B715))))</f>
        <v>2009</v>
      </c>
      <c r="H715" t="e">
        <f ca="1">VLOOKUP($G715, survey_codes_dict!A:C, 2, FALSE)</f>
        <v>#N/A</v>
      </c>
      <c r="I715" s="102" t="e">
        <f ca="1">VLOOKUP($G715, survey_codes_dict!A:D, 4, FALSE)</f>
        <v>#N/A</v>
      </c>
      <c r="J715" s="102" t="e">
        <f t="shared" ca="1" si="22"/>
        <v>#N/A</v>
      </c>
      <c r="K715" s="102" t="e">
        <f t="shared" ca="1" si="23"/>
        <v>#N/A</v>
      </c>
      <c r="L715" s="102"/>
      <c r="M715" s="102"/>
      <c r="N715" s="102"/>
      <c r="O715" s="102"/>
      <c r="P715" s="102"/>
      <c r="Q715" s="102"/>
      <c r="R715" s="102"/>
      <c r="S715" s="102"/>
    </row>
    <row r="716" spans="1:19" ht="244.8" x14ac:dyDescent="0.3">
      <c r="A716" t="s">
        <v>4239</v>
      </c>
      <c r="B716" t="s">
        <v>4444</v>
      </c>
      <c r="C716" s="90" t="s">
        <v>4445</v>
      </c>
      <c r="D716" t="s">
        <v>5562</v>
      </c>
      <c r="E716" s="101" t="s">
        <v>6101</v>
      </c>
      <c r="F716" t="str" cm="1">
        <f t="array" aca="1" ref="F716" ca="1">INDIRECT("'" &amp; A716 &amp; "'!" &amp; B716)</f>
        <v>a25</v>
      </c>
      <c r="G716" t="str" cm="1">
        <f t="array" aca="1" ref="G716" ca="1">INDIRECT("'" &amp; A716 &amp; "'!" &amp; ADDRESS(1, COLUMN(INDIRECT("'" &amp; A716 &amp; "'!" &amp; B716))))</f>
        <v>1981 - 2</v>
      </c>
      <c r="H716">
        <f ca="1">VLOOKUP($G716, survey_codes_dict!A:C, 2, FALSE)</f>
        <v>0</v>
      </c>
      <c r="I716" s="102" t="str">
        <f ca="1">VLOOKUP($G716, survey_codes_dict!A:D, 4, FALSE)</f>
        <v>1981_1</v>
      </c>
      <c r="J716" s="102" t="str">
        <f t="shared" ca="1" si="22"/>
        <v>0__a25</v>
      </c>
      <c r="K716" s="102" t="str">
        <f t="shared" ca="1" si="23"/>
        <v>1981_1__a25</v>
      </c>
      <c r="L716" s="102"/>
      <c r="M716" s="102"/>
      <c r="N716" s="102"/>
      <c r="O716" s="102"/>
      <c r="P716" s="102"/>
      <c r="Q716" s="102"/>
      <c r="R716" s="102"/>
      <c r="S716" s="101"/>
    </row>
    <row r="717" spans="1:19" ht="86.4" x14ac:dyDescent="0.3">
      <c r="A717" t="s">
        <v>4239</v>
      </c>
      <c r="B717" t="s">
        <v>4446</v>
      </c>
      <c r="C717" s="90" t="s">
        <v>4447</v>
      </c>
      <c r="D717" t="s">
        <v>5562</v>
      </c>
      <c r="E717" s="101" t="s">
        <v>6102</v>
      </c>
      <c r="F717" t="str" cm="1">
        <f t="array" aca="1" ref="F717" ca="1">INDIRECT("'" &amp; A717 &amp; "'!" &amp; B717)</f>
        <v>d15</v>
      </c>
      <c r="G717" cm="1">
        <f t="array" aca="1" ref="G717" ca="1">INDIRECT("'" &amp; A717 &amp; "'!" &amp; ADDRESS(1, COLUMN(INDIRECT("'" &amp; A717 &amp; "'!" &amp; B717))))</f>
        <v>2006</v>
      </c>
      <c r="H717" t="str">
        <f ca="1">VLOOKUP($G717, survey_codes_dict!A:C, 2, FALSE)</f>
        <v>2006</v>
      </c>
      <c r="I717" s="102" t="str">
        <f ca="1">VLOOKUP($G717, survey_codes_dict!A:D, 4, FALSE)</f>
        <v>2003</v>
      </c>
      <c r="J717" s="102" t="str">
        <f t="shared" ca="1" si="22"/>
        <v>2006__d15</v>
      </c>
      <c r="K717" s="102" t="str">
        <f t="shared" ca="1" si="23"/>
        <v>2003__d15</v>
      </c>
      <c r="L717" s="102"/>
      <c r="M717" s="102"/>
      <c r="N717" s="102"/>
      <c r="O717" s="102"/>
      <c r="P717" s="102"/>
      <c r="Q717" s="102"/>
      <c r="R717" s="102"/>
      <c r="S717" s="101"/>
    </row>
    <row r="718" spans="1:19" ht="43.2" x14ac:dyDescent="0.3">
      <c r="A718" t="s">
        <v>4239</v>
      </c>
      <c r="B718" t="s">
        <v>3547</v>
      </c>
      <c r="C718" s="90" t="s">
        <v>4448</v>
      </c>
      <c r="D718" t="s">
        <v>5562</v>
      </c>
      <c r="E718" s="101" t="s">
        <v>6103</v>
      </c>
      <c r="F718" t="str" cm="1">
        <f t="array" aca="1" ref="F718" ca="1">INDIRECT("'" &amp; A718 &amp; "'!" &amp; B718)</f>
        <v>i43</v>
      </c>
      <c r="G718" cm="1">
        <f t="array" aca="1" ref="G718" ca="1">INDIRECT("'" &amp; A718 &amp; "'!" &amp; ADDRESS(1, COLUMN(INDIRECT("'" &amp; A718 &amp; "'!" &amp; B718))))</f>
        <v>1992</v>
      </c>
      <c r="H718" t="str">
        <f ca="1">VLOOKUP($G718, survey_codes_dict!A:C, 2, FALSE)</f>
        <v>1992</v>
      </c>
      <c r="I718" s="102" t="str">
        <f ca="1">VLOOKUP($G718, survey_codes_dict!A:D, 4, FALSE)</f>
        <v>1988_N=873</v>
      </c>
      <c r="J718" s="102" t="str">
        <f t="shared" ca="1" si="22"/>
        <v>1992__i43</v>
      </c>
      <c r="K718" s="102" t="str">
        <f t="shared" ca="1" si="23"/>
        <v>1988_N=873__i43</v>
      </c>
      <c r="L718" s="102"/>
      <c r="M718" s="102"/>
      <c r="N718" s="102"/>
      <c r="O718" s="102"/>
      <c r="P718" s="102"/>
      <c r="Q718" s="102"/>
      <c r="R718" s="102"/>
      <c r="S718" s="101"/>
    </row>
    <row r="719" spans="1:19" ht="57.6" x14ac:dyDescent="0.3">
      <c r="A719" t="s">
        <v>4239</v>
      </c>
      <c r="B719" t="s">
        <v>4449</v>
      </c>
      <c r="C719" s="90" t="s">
        <v>4450</v>
      </c>
      <c r="D719" t="s">
        <v>5562</v>
      </c>
      <c r="E719" s="101" t="s">
        <v>6104</v>
      </c>
      <c r="F719" t="str" cm="1">
        <f t="array" aca="1" ref="F719" ca="1">INDIRECT("'" &amp; A719 &amp; "'!" &amp; B719)</f>
        <v>v163</v>
      </c>
      <c r="G719" cm="1">
        <f t="array" aca="1" ref="G719" ca="1">INDIRECT("'" &amp; A719 &amp; "'!" &amp; ADDRESS(1, COLUMN(INDIRECT("'" &amp; A719 &amp; "'!" &amp; B719))))</f>
        <v>2009</v>
      </c>
      <c r="H719" t="e">
        <f ca="1">VLOOKUP($G719, survey_codes_dict!A:C, 2, FALSE)</f>
        <v>#N/A</v>
      </c>
      <c r="I719" s="102" t="e">
        <f ca="1">VLOOKUP($G719, survey_codes_dict!A:D, 4, FALSE)</f>
        <v>#N/A</v>
      </c>
      <c r="J719" s="102" t="e">
        <f t="shared" ca="1" si="22"/>
        <v>#N/A</v>
      </c>
      <c r="K719" s="102" t="e">
        <f t="shared" ca="1" si="23"/>
        <v>#N/A</v>
      </c>
      <c r="L719" s="102"/>
      <c r="M719" s="102"/>
      <c r="N719" s="102"/>
      <c r="O719" s="102"/>
      <c r="P719" s="102"/>
      <c r="Q719" s="102"/>
      <c r="R719" s="102"/>
      <c r="S719" s="102"/>
    </row>
    <row r="720" spans="1:19" ht="43.2" x14ac:dyDescent="0.3">
      <c r="A720" t="s">
        <v>4239</v>
      </c>
      <c r="B720" t="s">
        <v>4451</v>
      </c>
      <c r="C720" s="90" t="s">
        <v>3383</v>
      </c>
      <c r="D720" t="s">
        <v>5562</v>
      </c>
      <c r="E720" s="101" t="s">
        <v>5706</v>
      </c>
      <c r="F720" t="str" cm="1">
        <f t="array" aca="1" ref="F720" ca="1">INDIRECT("'" &amp; A720 &amp; "'!" &amp; B720)</f>
        <v>q9</v>
      </c>
      <c r="G720" cm="1">
        <f t="array" aca="1" ref="G720" ca="1">INDIRECT("'" &amp; A720 &amp; "'!" &amp; ADDRESS(1, COLUMN(INDIRECT("'" &amp; A720 &amp; "'!" &amp; B720))))</f>
        <v>2009</v>
      </c>
      <c r="H720" t="e">
        <f ca="1">VLOOKUP($G720, survey_codes_dict!A:C, 2, FALSE)</f>
        <v>#N/A</v>
      </c>
      <c r="I720" s="102" t="e">
        <f ca="1">VLOOKUP($G720, survey_codes_dict!A:D, 4, FALSE)</f>
        <v>#N/A</v>
      </c>
      <c r="J720" s="102" t="e">
        <f t="shared" ca="1" si="22"/>
        <v>#N/A</v>
      </c>
      <c r="K720" s="102" t="e">
        <f t="shared" ca="1" si="23"/>
        <v>#N/A</v>
      </c>
      <c r="L720" s="102"/>
      <c r="M720" s="102"/>
      <c r="N720" s="102"/>
      <c r="O720" s="102"/>
      <c r="P720" s="102"/>
      <c r="Q720" s="102"/>
      <c r="R720" s="102"/>
      <c r="S720" s="102"/>
    </row>
    <row r="721" spans="1:19" ht="43.2" x14ac:dyDescent="0.3">
      <c r="A721" t="s">
        <v>4239</v>
      </c>
      <c r="B721" t="s">
        <v>4452</v>
      </c>
      <c r="C721" s="90" t="s">
        <v>4453</v>
      </c>
      <c r="D721" t="s">
        <v>5562</v>
      </c>
      <c r="E721" s="101" t="s">
        <v>6105</v>
      </c>
      <c r="F721" t="str" cm="1">
        <f t="array" aca="1" ref="F721" ca="1">INDIRECT("'" &amp; A721 &amp; "'!" &amp; B721)</f>
        <v>b65</v>
      </c>
      <c r="G721" cm="1">
        <f t="array" aca="1" ref="G721" ca="1">INDIRECT("'" &amp; A721 &amp; "'!" &amp; ADDRESS(1, COLUMN(INDIRECT("'" &amp; A721 &amp; "'!" &amp; B721))))</f>
        <v>2001</v>
      </c>
      <c r="H721" t="str">
        <f ca="1">VLOOKUP($G721, survey_codes_dict!A:C, 2, FALSE)</f>
        <v>2001</v>
      </c>
      <c r="I721" s="102" t="str">
        <f ca="1">VLOOKUP($G721, survey_codes_dict!A:D, 4, FALSE)</f>
        <v>1999_1</v>
      </c>
      <c r="J721" s="102" t="str">
        <f t="shared" ca="1" si="22"/>
        <v>2001__b65</v>
      </c>
      <c r="K721" s="102" t="str">
        <f t="shared" ca="1" si="23"/>
        <v>1999_1__b65</v>
      </c>
      <c r="L721" s="102"/>
      <c r="M721" s="102"/>
      <c r="N721" s="102"/>
      <c r="O721" s="102"/>
      <c r="P721" s="102"/>
      <c r="Q721" s="102"/>
      <c r="R721" s="102"/>
      <c r="S721" s="101"/>
    </row>
    <row r="722" spans="1:19" ht="72" x14ac:dyDescent="0.3">
      <c r="A722" t="s">
        <v>4239</v>
      </c>
      <c r="B722" t="s">
        <v>4454</v>
      </c>
      <c r="C722" s="90" t="s">
        <v>4455</v>
      </c>
      <c r="D722" t="s">
        <v>5562</v>
      </c>
      <c r="E722" s="101" t="s">
        <v>6106</v>
      </c>
      <c r="F722" t="str" cm="1">
        <f t="array" aca="1" ref="F722" ca="1">INDIRECT("'" &amp; A722 &amp; "'!" &amp; B722)</f>
        <v>a59</v>
      </c>
      <c r="G722" cm="1">
        <f t="array" aca="1" ref="G722" ca="1">INDIRECT("'" &amp; A722 &amp; "'!" &amp; ADDRESS(1, COLUMN(INDIRECT("'" &amp; A722 &amp; "'!" &amp; B722))))</f>
        <v>2001</v>
      </c>
      <c r="H722" t="str">
        <f ca="1">VLOOKUP($G722, survey_codes_dict!A:C, 2, FALSE)</f>
        <v>2001</v>
      </c>
      <c r="I722" s="102" t="str">
        <f ca="1">VLOOKUP($G722, survey_codes_dict!A:D, 4, FALSE)</f>
        <v>1999_1</v>
      </c>
      <c r="J722" s="102" t="str">
        <f t="shared" ca="1" si="22"/>
        <v>2001__a59</v>
      </c>
      <c r="K722" s="102" t="str">
        <f t="shared" ca="1" si="23"/>
        <v>1999_1__a59</v>
      </c>
      <c r="L722" s="102"/>
      <c r="M722" s="102"/>
      <c r="N722" s="102"/>
      <c r="O722" s="102"/>
      <c r="P722" s="102"/>
      <c r="Q722" s="102"/>
      <c r="R722" s="102"/>
      <c r="S722" s="101"/>
    </row>
    <row r="723" spans="1:19" ht="72" x14ac:dyDescent="0.3">
      <c r="A723" t="s">
        <v>4239</v>
      </c>
      <c r="B723" t="s">
        <v>4456</v>
      </c>
      <c r="C723" s="90" t="s">
        <v>4260</v>
      </c>
      <c r="D723" t="s">
        <v>5562</v>
      </c>
      <c r="E723" s="101" t="s">
        <v>6050</v>
      </c>
      <c r="F723" t="str" cm="1">
        <f t="array" aca="1" ref="F723" ca="1">INDIRECT("'" &amp; A723 &amp; "'!" &amp; B723)</f>
        <v>cc7</v>
      </c>
      <c r="G723" cm="1">
        <f t="array" aca="1" ref="G723" ca="1">INDIRECT("'" &amp; A723 &amp; "'!" &amp; ADDRESS(1, COLUMN(INDIRECT("'" &amp; A723 &amp; "'!" &amp; B723))))</f>
        <v>1996</v>
      </c>
      <c r="H723" t="str">
        <f ca="1">VLOOKUP($G723, survey_codes_dict!A:C, 2, FALSE)</f>
        <v>1996_Jews</v>
      </c>
      <c r="I723" s="102" t="str">
        <f ca="1">VLOOKUP($G723, survey_codes_dict!A:D, 4, FALSE)</f>
        <v>1992</v>
      </c>
      <c r="J723" s="102" t="str">
        <f t="shared" ca="1" si="22"/>
        <v>1996_Jews__cc7</v>
      </c>
      <c r="K723" s="102" t="str">
        <f t="shared" ca="1" si="23"/>
        <v>1992__cc7</v>
      </c>
      <c r="L723" s="102"/>
      <c r="M723" s="102"/>
      <c r="N723" s="102"/>
      <c r="O723" s="102"/>
      <c r="P723" s="102"/>
      <c r="Q723" s="102"/>
      <c r="R723" s="102"/>
      <c r="S723" s="101"/>
    </row>
    <row r="724" spans="1:19" ht="43.2" x14ac:dyDescent="0.3">
      <c r="A724" t="s">
        <v>4239</v>
      </c>
      <c r="B724" t="s">
        <v>4457</v>
      </c>
      <c r="C724" s="90" t="s">
        <v>4458</v>
      </c>
      <c r="D724" t="s">
        <v>5562</v>
      </c>
      <c r="E724" s="101" t="s">
        <v>6107</v>
      </c>
      <c r="F724" t="str" cm="1">
        <f t="array" aca="1" ref="F724" ca="1">INDIRECT("'" &amp; A724 &amp; "'!" &amp; B724)</f>
        <v>a62</v>
      </c>
      <c r="G724" cm="1">
        <f t="array" aca="1" ref="G724" ca="1">INDIRECT("'" &amp; A724 &amp; "'!" &amp; ADDRESS(1, COLUMN(INDIRECT("'" &amp; A724 &amp; "'!" &amp; B724))))</f>
        <v>2001</v>
      </c>
      <c r="H724" t="str">
        <f ca="1">VLOOKUP($G724, survey_codes_dict!A:C, 2, FALSE)</f>
        <v>2001</v>
      </c>
      <c r="I724" s="102" t="str">
        <f ca="1">VLOOKUP($G724, survey_codes_dict!A:D, 4, FALSE)</f>
        <v>1999_1</v>
      </c>
      <c r="J724" s="102" t="str">
        <f t="shared" ca="1" si="22"/>
        <v>2001__a62</v>
      </c>
      <c r="K724" s="102" t="str">
        <f t="shared" ca="1" si="23"/>
        <v>1999_1__a62</v>
      </c>
      <c r="L724" s="102"/>
      <c r="M724" s="102"/>
      <c r="N724" s="102"/>
      <c r="O724" s="102"/>
      <c r="P724" s="102"/>
      <c r="Q724" s="102"/>
      <c r="R724" s="102"/>
      <c r="S724" s="101"/>
    </row>
    <row r="725" spans="1:19" ht="72" x14ac:dyDescent="0.3">
      <c r="A725" t="s">
        <v>4239</v>
      </c>
      <c r="B725" t="s">
        <v>4459</v>
      </c>
      <c r="C725" s="90" t="s">
        <v>4258</v>
      </c>
      <c r="D725" t="s">
        <v>5562</v>
      </c>
      <c r="E725" s="101" t="s">
        <v>6049</v>
      </c>
      <c r="F725" t="str" cm="1">
        <f t="array" aca="1" ref="F725" ca="1">INDIRECT("'" &amp; A725 &amp; "'!" &amp; B725)</f>
        <v>a58</v>
      </c>
      <c r="G725" cm="1">
        <f t="array" aca="1" ref="G725" ca="1">INDIRECT("'" &amp; A725 &amp; "'!" &amp; ADDRESS(1, COLUMN(INDIRECT("'" &amp; A725 &amp; "'!" &amp; B725))))</f>
        <v>2001</v>
      </c>
      <c r="H725" t="str">
        <f ca="1">VLOOKUP($G725, survey_codes_dict!A:C, 2, FALSE)</f>
        <v>2001</v>
      </c>
      <c r="I725" s="102" t="str">
        <f ca="1">VLOOKUP($G725, survey_codes_dict!A:D, 4, FALSE)</f>
        <v>1999_1</v>
      </c>
      <c r="J725" s="102" t="str">
        <f t="shared" ca="1" si="22"/>
        <v>2001__a58</v>
      </c>
      <c r="K725" s="102" t="str">
        <f t="shared" ca="1" si="23"/>
        <v>1999_1__a58</v>
      </c>
      <c r="L725" s="102"/>
      <c r="M725" s="102"/>
      <c r="N725" s="102"/>
      <c r="O725" s="102"/>
      <c r="P725" s="102"/>
      <c r="Q725" s="102"/>
      <c r="R725" s="102"/>
      <c r="S725" s="101"/>
    </row>
    <row r="726" spans="1:19" ht="28.8" x14ac:dyDescent="0.3">
      <c r="A726" t="s">
        <v>4239</v>
      </c>
      <c r="B726" t="s">
        <v>4460</v>
      </c>
      <c r="C726" s="90" t="s">
        <v>4461</v>
      </c>
      <c r="D726" t="s">
        <v>5660</v>
      </c>
      <c r="E726" s="101" t="s">
        <v>5628</v>
      </c>
      <c r="F726" t="str" cm="1">
        <f t="array" aca="1" ref="F726" ca="1">INDIRECT("'" &amp; A726 &amp; "'!" &amp; B726)</f>
        <v>cc11</v>
      </c>
      <c r="G726" cm="1">
        <f t="array" aca="1" ref="G726" ca="1">INDIRECT("'" &amp; A726 &amp; "'!" &amp; ADDRESS(1, COLUMN(INDIRECT("'" &amp; A726 &amp; "'!" &amp; B726))))</f>
        <v>1996</v>
      </c>
      <c r="H726" t="str">
        <f ca="1">VLOOKUP($G726, survey_codes_dict!A:C, 2, FALSE)</f>
        <v>1996_Jews</v>
      </c>
      <c r="I726" s="102" t="str">
        <f ca="1">VLOOKUP($G726, survey_codes_dict!A:D, 4, FALSE)</f>
        <v>1992</v>
      </c>
      <c r="J726" s="102" t="str">
        <f t="shared" ca="1" si="22"/>
        <v>1996_Jews__cc11</v>
      </c>
      <c r="K726" s="102" t="str">
        <f t="shared" ca="1" si="23"/>
        <v>1992__cc11</v>
      </c>
      <c r="L726" s="102"/>
      <c r="M726" s="102"/>
      <c r="N726" s="102"/>
      <c r="O726" s="102"/>
      <c r="P726" s="102"/>
      <c r="Q726" s="102"/>
      <c r="R726" s="102"/>
      <c r="S726" s="101"/>
    </row>
    <row r="727" spans="1:19" ht="86.4" x14ac:dyDescent="0.3">
      <c r="A727" t="s">
        <v>4239</v>
      </c>
      <c r="B727" t="s">
        <v>4462</v>
      </c>
      <c r="C727" s="90" t="s">
        <v>4463</v>
      </c>
      <c r="D727" t="s">
        <v>5562</v>
      </c>
      <c r="E727" s="101" t="s">
        <v>6108</v>
      </c>
      <c r="F727" t="str" cm="1">
        <f t="array" aca="1" ref="F727" ca="1">INDIRECT("'" &amp; A727 &amp; "'!" &amp; B727)</f>
        <v>cccc6</v>
      </c>
      <c r="G727" cm="1">
        <f t="array" aca="1" ref="G727" ca="1">INDIRECT("'" &amp; A727 &amp; "'!" &amp; ADDRESS(1, COLUMN(INDIRECT("'" &amp; A727 &amp; "'!" &amp; B727))))</f>
        <v>1996</v>
      </c>
      <c r="H727" t="str">
        <f ca="1">VLOOKUP($G727, survey_codes_dict!A:C, 2, FALSE)</f>
        <v>1996_Jews</v>
      </c>
      <c r="I727" s="102" t="str">
        <f ca="1">VLOOKUP($G727, survey_codes_dict!A:D, 4, FALSE)</f>
        <v>1992</v>
      </c>
      <c r="J727" s="102" t="str">
        <f t="shared" ca="1" si="22"/>
        <v>1996_Jews__cccc6</v>
      </c>
      <c r="K727" s="102" t="str">
        <f t="shared" ca="1" si="23"/>
        <v>1992__cccc6</v>
      </c>
      <c r="L727" s="102"/>
      <c r="M727" s="102"/>
      <c r="N727" s="102"/>
      <c r="O727" s="102"/>
      <c r="P727" s="102"/>
      <c r="Q727" s="102"/>
      <c r="R727" s="102"/>
      <c r="S727" s="101"/>
    </row>
    <row r="728" spans="1:19" ht="28.8" x14ac:dyDescent="0.3">
      <c r="A728" t="s">
        <v>4239</v>
      </c>
      <c r="B728" t="s">
        <v>4464</v>
      </c>
      <c r="C728" s="90" t="s">
        <v>4465</v>
      </c>
      <c r="D728" t="s">
        <v>399</v>
      </c>
      <c r="E728" s="101" t="s">
        <v>5629</v>
      </c>
      <c r="F728" t="str" cm="1">
        <f t="array" aca="1" ref="F728" ca="1">INDIRECT("'" &amp; A728 &amp; "'!" &amp; B728)</f>
        <v>c20</v>
      </c>
      <c r="G728" t="str" cm="1">
        <f t="array" aca="1" ref="G728" ca="1">INDIRECT("'" &amp; A728 &amp; "'!" &amp; ADDRESS(1, COLUMN(INDIRECT("'" &amp; A728 &amp; "'!" &amp; B728))))</f>
        <v>1988*</v>
      </c>
      <c r="H728" t="str">
        <f ca="1">VLOOKUP($G728, survey_codes_dict!A:C, 2, FALSE)</f>
        <v>1988_N=873</v>
      </c>
      <c r="I728" s="102" t="str">
        <f ca="1">VLOOKUP($G728, survey_codes_dict!A:D, 4, FALSE)</f>
        <v>1988_Panel_N=416</v>
      </c>
      <c r="J728" s="102" t="str">
        <f t="shared" ca="1" si="22"/>
        <v>1988_N=873__c20</v>
      </c>
      <c r="K728" s="102" t="str">
        <f t="shared" ca="1" si="23"/>
        <v>1988_Panel_N=416__c20</v>
      </c>
      <c r="L728" s="102"/>
      <c r="M728" s="102"/>
      <c r="N728" s="102"/>
      <c r="O728" s="102"/>
      <c r="P728" s="102"/>
      <c r="Q728" s="102"/>
      <c r="R728" s="102"/>
      <c r="S728" s="101"/>
    </row>
    <row r="729" spans="1:19" ht="28.8" x14ac:dyDescent="0.3">
      <c r="A729" t="s">
        <v>4239</v>
      </c>
      <c r="B729" t="s">
        <v>4466</v>
      </c>
      <c r="C729" s="90" t="s">
        <v>4467</v>
      </c>
      <c r="D729" t="s">
        <v>399</v>
      </c>
      <c r="E729" s="101" t="s">
        <v>5630</v>
      </c>
      <c r="F729" t="str" cm="1">
        <f t="array" aca="1" ref="F729" ca="1">INDIRECT("'" &amp; A729 &amp; "'!" &amp; B729)</f>
        <v>g26</v>
      </c>
      <c r="G729" cm="1">
        <f t="array" aca="1" ref="G729" ca="1">INDIRECT("'" &amp; A729 &amp; "'!" &amp; ADDRESS(1, COLUMN(INDIRECT("'" &amp; A729 &amp; "'!" &amp; B729))))</f>
        <v>1988</v>
      </c>
      <c r="H729" t="str">
        <f ca="1">VLOOKUP($G729, survey_codes_dict!A:C, 2, FALSE)</f>
        <v>1988_Panel_N=416</v>
      </c>
      <c r="I729" s="102" t="str">
        <f ca="1">VLOOKUP($G729, survey_codes_dict!A:D, 4, FALSE)</f>
        <v>1984</v>
      </c>
      <c r="J729" s="102" t="str">
        <f t="shared" ca="1" si="22"/>
        <v>1988_Panel_N=416__g26</v>
      </c>
      <c r="K729" s="102" t="str">
        <f t="shared" ca="1" si="23"/>
        <v>1984__g26</v>
      </c>
      <c r="L729" s="102"/>
      <c r="M729" s="102"/>
      <c r="N729" s="102"/>
      <c r="O729" s="102"/>
      <c r="P729" s="102"/>
      <c r="Q729" s="102"/>
      <c r="R729" s="102"/>
      <c r="S729" s="101"/>
    </row>
    <row r="730" spans="1:19" ht="28.8" x14ac:dyDescent="0.3">
      <c r="A730" t="s">
        <v>4239</v>
      </c>
      <c r="B730" t="s">
        <v>4468</v>
      </c>
      <c r="C730" s="90" t="s">
        <v>4469</v>
      </c>
      <c r="D730" t="s">
        <v>5660</v>
      </c>
      <c r="E730" s="101" t="s">
        <v>5631</v>
      </c>
      <c r="F730" t="str" cm="1">
        <f t="array" aca="1" ref="F730" ca="1">INDIRECT("'" &amp; A730 &amp; "'!" &amp; B730)</f>
        <v>b90</v>
      </c>
      <c r="G730" t="str" cm="1">
        <f t="array" aca="1" ref="G730" ca="1">INDIRECT("'" &amp; A730 &amp; "'!" &amp; ADDRESS(1, COLUMN(INDIRECT("'" &amp; A730 &amp; "'!" &amp; B730))))</f>
        <v>1981 - 3</v>
      </c>
      <c r="H730" t="str">
        <f ca="1">VLOOKUP($G730, survey_codes_dict!A:C, 2, FALSE)</f>
        <v>1981_3</v>
      </c>
      <c r="I730" s="102">
        <f ca="1">VLOOKUP($G730, survey_codes_dict!A:D, 4, FALSE)</f>
        <v>0</v>
      </c>
      <c r="J730" s="102" t="str">
        <f t="shared" ca="1" si="22"/>
        <v>1981_3__b90</v>
      </c>
      <c r="K730" s="102" t="str">
        <f t="shared" ca="1" si="23"/>
        <v>0__b90</v>
      </c>
      <c r="L730" s="102"/>
      <c r="M730" s="102"/>
      <c r="N730" s="102"/>
      <c r="O730" s="102"/>
      <c r="P730" s="102"/>
      <c r="Q730" s="102"/>
      <c r="R730" s="102"/>
      <c r="S730" s="101"/>
    </row>
    <row r="731" spans="1:19" ht="43.2" x14ac:dyDescent="0.3">
      <c r="A731" t="s">
        <v>4239</v>
      </c>
      <c r="B731" t="s">
        <v>4470</v>
      </c>
      <c r="C731" s="90" t="s">
        <v>4471</v>
      </c>
      <c r="D731" t="s">
        <v>5562</v>
      </c>
      <c r="E731" s="101" t="s">
        <v>6109</v>
      </c>
      <c r="F731" t="str" cm="1">
        <f t="array" aca="1" ref="F731" ca="1">INDIRECT("'" &amp; A731 &amp; "'!" &amp; B731)</f>
        <v>a122</v>
      </c>
      <c r="G731" cm="1">
        <f t="array" aca="1" ref="G731" ca="1">INDIRECT("'" &amp; A731 &amp; "'!" &amp; ADDRESS(1, COLUMN(INDIRECT("'" &amp; A731 &amp; "'!" &amp; B731))))</f>
        <v>1992</v>
      </c>
      <c r="H731" t="str">
        <f ca="1">VLOOKUP($G731, survey_codes_dict!A:C, 2, FALSE)</f>
        <v>1992</v>
      </c>
      <c r="I731" s="102" t="str">
        <f ca="1">VLOOKUP($G731, survey_codes_dict!A:D, 4, FALSE)</f>
        <v>1988_N=873</v>
      </c>
      <c r="J731" s="102" t="str">
        <f t="shared" ca="1" si="22"/>
        <v>1992__a122</v>
      </c>
      <c r="K731" s="102" t="str">
        <f t="shared" ca="1" si="23"/>
        <v>1988_N=873__a122</v>
      </c>
      <c r="L731" s="102"/>
      <c r="M731" s="102"/>
      <c r="N731" s="102"/>
      <c r="O731" s="102"/>
      <c r="P731" s="102"/>
      <c r="Q731" s="102"/>
      <c r="R731" s="102"/>
      <c r="S731" s="101"/>
    </row>
    <row r="732" spans="1:19" ht="187.2" x14ac:dyDescent="0.3">
      <c r="A732" t="s">
        <v>4239</v>
      </c>
      <c r="B732" t="s">
        <v>4472</v>
      </c>
      <c r="C732" s="90" t="s">
        <v>4473</v>
      </c>
      <c r="D732" t="s">
        <v>5562</v>
      </c>
      <c r="E732" s="101" t="s">
        <v>6110</v>
      </c>
      <c r="F732" t="str" cm="1">
        <f t="array" aca="1" ref="F732" ca="1">INDIRECT("'" &amp; A732 &amp; "'!" &amp; B732)</f>
        <v>a65</v>
      </c>
      <c r="G732" t="str" cm="1">
        <f t="array" aca="1" ref="G732" ca="1">INDIRECT("'" &amp; A732 &amp; "'!" &amp; ADDRESS(1, COLUMN(INDIRECT("'" &amp; A732 &amp; "'!" &amp; B732))))</f>
        <v>1987*</v>
      </c>
      <c r="H732" t="e">
        <f ca="1">VLOOKUP($G732, survey_codes_dict!A:C, 2, FALSE)</f>
        <v>#N/A</v>
      </c>
      <c r="I732" s="102" t="e">
        <f ca="1">VLOOKUP($G732, survey_codes_dict!A:D, 4, FALSE)</f>
        <v>#N/A</v>
      </c>
      <c r="J732" s="102" t="e">
        <f t="shared" ca="1" si="22"/>
        <v>#N/A</v>
      </c>
      <c r="K732" s="102" t="e">
        <f t="shared" ca="1" si="23"/>
        <v>#N/A</v>
      </c>
      <c r="L732" s="102"/>
      <c r="M732" s="102"/>
      <c r="N732" s="102"/>
      <c r="O732" s="102"/>
      <c r="P732" s="102"/>
      <c r="Q732" s="102"/>
      <c r="R732" s="102"/>
      <c r="S732" s="101"/>
    </row>
    <row r="733" spans="1:19" ht="72" x14ac:dyDescent="0.3">
      <c r="A733" t="s">
        <v>4239</v>
      </c>
      <c r="B733" t="s">
        <v>4474</v>
      </c>
      <c r="C733" s="90" t="s">
        <v>4475</v>
      </c>
      <c r="D733" t="s">
        <v>5562</v>
      </c>
      <c r="E733" s="101" t="s">
        <v>6111</v>
      </c>
      <c r="F733" t="str" cm="1">
        <f t="array" aca="1" ref="F733" ca="1">INDIRECT("'" &amp; A733 &amp; "'!" &amp; B733)</f>
        <v>cc46</v>
      </c>
      <c r="G733" cm="1">
        <f t="array" aca="1" ref="G733" ca="1">INDIRECT("'" &amp; A733 &amp; "'!" &amp; ADDRESS(1, COLUMN(INDIRECT("'" &amp; A733 &amp; "'!" &amp; B733))))</f>
        <v>1996</v>
      </c>
      <c r="H733" t="str">
        <f ca="1">VLOOKUP($G733, survey_codes_dict!A:C, 2, FALSE)</f>
        <v>1996_Jews</v>
      </c>
      <c r="I733" s="102" t="str">
        <f ca="1">VLOOKUP($G733, survey_codes_dict!A:D, 4, FALSE)</f>
        <v>1992</v>
      </c>
      <c r="J733" s="102" t="str">
        <f t="shared" ca="1" si="22"/>
        <v>1996_Jews__cc46</v>
      </c>
      <c r="K733" s="102" t="str">
        <f t="shared" ca="1" si="23"/>
        <v>1992__cc46</v>
      </c>
      <c r="L733" s="102"/>
      <c r="M733" s="102"/>
      <c r="N733" s="102"/>
      <c r="O733" s="102"/>
      <c r="P733" s="102"/>
      <c r="Q733" s="102"/>
      <c r="R733" s="102"/>
      <c r="S733" s="101"/>
    </row>
    <row r="734" spans="1:19" ht="86.4" x14ac:dyDescent="0.3">
      <c r="A734" t="s">
        <v>4239</v>
      </c>
      <c r="B734" t="s">
        <v>4476</v>
      </c>
      <c r="C734" s="90" t="s">
        <v>4477</v>
      </c>
      <c r="D734" t="s">
        <v>5562</v>
      </c>
      <c r="E734" s="101" t="s">
        <v>6112</v>
      </c>
      <c r="F734" t="str" cm="1">
        <f t="array" aca="1" ref="F734" ca="1">INDIRECT("'" &amp; A734 &amp; "'!" &amp; B734)</f>
        <v>v37</v>
      </c>
      <c r="G734" cm="1">
        <f t="array" aca="1" ref="G734" ca="1">INDIRECT("'" &amp; A734 &amp; "'!" &amp; ADDRESS(1, COLUMN(INDIRECT("'" &amp; A734 &amp; "'!" &amp; B734))))</f>
        <v>1984</v>
      </c>
      <c r="H734" t="str">
        <f ca="1">VLOOKUP($G734, survey_codes_dict!A:C, 2, FALSE)</f>
        <v>1984</v>
      </c>
      <c r="I734" s="102" t="str">
        <f ca="1">VLOOKUP($G734, survey_codes_dict!A:D, 4, FALSE)</f>
        <v>1981_3</v>
      </c>
      <c r="J734" s="102" t="str">
        <f t="shared" ca="1" si="22"/>
        <v>1984__v37</v>
      </c>
      <c r="K734" s="102" t="str">
        <f t="shared" ca="1" si="23"/>
        <v>1981_3__v37</v>
      </c>
      <c r="L734" s="102"/>
      <c r="M734" s="102"/>
      <c r="N734" s="102"/>
      <c r="O734" s="102"/>
      <c r="P734" s="102"/>
      <c r="Q734" s="102"/>
      <c r="R734" s="102"/>
      <c r="S734" s="101"/>
    </row>
    <row r="735" spans="1:19" ht="72" x14ac:dyDescent="0.3">
      <c r="A735" t="s">
        <v>4239</v>
      </c>
      <c r="B735" t="s">
        <v>4478</v>
      </c>
      <c r="C735" s="90" t="s">
        <v>4479</v>
      </c>
      <c r="D735" t="s">
        <v>5562</v>
      </c>
      <c r="E735" s="101" t="s">
        <v>6113</v>
      </c>
      <c r="F735" t="str" cm="1">
        <f t="array" aca="1" ref="F735" ca="1">INDIRECT("'" &amp; A735 &amp; "'!" &amp; B735)</f>
        <v>b65</v>
      </c>
      <c r="G735" t="str" cm="1">
        <f t="array" aca="1" ref="G735" ca="1">INDIRECT("'" &amp; A735 &amp; "'!" &amp; ADDRESS(1, COLUMN(INDIRECT("'" &amp; A735 &amp; "'!" &amp; B735))))</f>
        <v>1969 - 2</v>
      </c>
      <c r="H735" t="str">
        <f ca="1">VLOOKUP($G735, survey_codes_dict!A:C, 2, FALSE)</f>
        <v>1969_2</v>
      </c>
      <c r="I735" s="102" t="str">
        <f ca="1">VLOOKUP($G735, survey_codes_dict!A:D, 4, FALSE)</f>
        <v>1969_1</v>
      </c>
      <c r="J735" s="102" t="str">
        <f t="shared" ca="1" si="22"/>
        <v>1969_2__b65</v>
      </c>
      <c r="K735" s="102" t="str">
        <f t="shared" ca="1" si="23"/>
        <v>1969_1__b65</v>
      </c>
      <c r="L735" s="102"/>
      <c r="M735" s="102"/>
      <c r="N735" s="102"/>
      <c r="O735" s="102"/>
      <c r="P735" s="102"/>
      <c r="Q735" s="102"/>
      <c r="R735" s="102"/>
      <c r="S735" s="101"/>
    </row>
    <row r="736" spans="1:19" ht="57.6" x14ac:dyDescent="0.3">
      <c r="A736" t="s">
        <v>4239</v>
      </c>
      <c r="B736" t="s">
        <v>4480</v>
      </c>
      <c r="C736" s="90" t="s">
        <v>4481</v>
      </c>
      <c r="D736" t="s">
        <v>5562</v>
      </c>
      <c r="E736" s="101" t="s">
        <v>6114</v>
      </c>
      <c r="F736" t="str" cm="1">
        <f t="array" aca="1" ref="F736" ca="1">INDIRECT("'" &amp; A736 &amp; "'!" &amp; B736)</f>
        <v>g31</v>
      </c>
      <c r="G736" t="str" cm="1">
        <f t="array" aca="1" ref="G736" ca="1">INDIRECT("'" &amp; A736 &amp; "'!" &amp; ADDRESS(1, COLUMN(INDIRECT("'" &amp; A736 &amp; "'!" &amp; B736))))</f>
        <v>1973 - 4</v>
      </c>
      <c r="H736" t="str">
        <f ca="1">VLOOKUP($G736, survey_codes_dict!A:C, 2, FALSE)</f>
        <v>1973_4</v>
      </c>
      <c r="I736" s="102" t="str">
        <f ca="1">VLOOKUP($G736, survey_codes_dict!A:D, 4, FALSE)</f>
        <v>1973_3</v>
      </c>
      <c r="J736" s="102" t="str">
        <f t="shared" ca="1" si="22"/>
        <v>1973_4__g31</v>
      </c>
      <c r="K736" s="102" t="str">
        <f t="shared" ca="1" si="23"/>
        <v>1973_3__g31</v>
      </c>
      <c r="L736" s="102"/>
      <c r="M736" s="102"/>
      <c r="N736" s="102"/>
      <c r="O736" s="102"/>
      <c r="P736" s="102"/>
      <c r="Q736" s="102"/>
      <c r="R736" s="102"/>
      <c r="S736" s="101"/>
    </row>
    <row r="737" spans="1:19" ht="72" x14ac:dyDescent="0.3">
      <c r="A737" t="s">
        <v>4239</v>
      </c>
      <c r="B737" t="s">
        <v>4482</v>
      </c>
      <c r="C737" s="90" t="s">
        <v>4479</v>
      </c>
      <c r="D737" t="s">
        <v>5562</v>
      </c>
      <c r="E737" s="101" t="s">
        <v>6113</v>
      </c>
      <c r="F737" t="str" cm="1">
        <f t="array" aca="1" ref="F737" ca="1">INDIRECT("'" &amp; A737 &amp; "'!" &amp; B737)</f>
        <v>b68</v>
      </c>
      <c r="G737" t="str" cm="1">
        <f t="array" aca="1" ref="G737" ca="1">INDIRECT("'" &amp; A737 &amp; "'!" &amp; ADDRESS(1, COLUMN(INDIRECT("'" &amp; A737 &amp; "'!" &amp; B737))))</f>
        <v>1969 - 2</v>
      </c>
      <c r="H737" t="str">
        <f ca="1">VLOOKUP($G737, survey_codes_dict!A:C, 2, FALSE)</f>
        <v>1969_2</v>
      </c>
      <c r="I737" s="102" t="str">
        <f ca="1">VLOOKUP($G737, survey_codes_dict!A:D, 4, FALSE)</f>
        <v>1969_1</v>
      </c>
      <c r="J737" s="102" t="str">
        <f t="shared" ca="1" si="22"/>
        <v>1969_2__b68</v>
      </c>
      <c r="K737" s="102" t="str">
        <f t="shared" ca="1" si="23"/>
        <v>1969_1__b68</v>
      </c>
      <c r="L737" s="102"/>
      <c r="M737" s="102"/>
      <c r="N737" s="102"/>
      <c r="O737" s="102"/>
      <c r="P737" s="102"/>
      <c r="Q737" s="102"/>
      <c r="R737" s="102"/>
      <c r="S737" s="101"/>
    </row>
    <row r="738" spans="1:19" ht="72" x14ac:dyDescent="0.3">
      <c r="A738" t="s">
        <v>4239</v>
      </c>
      <c r="B738" t="s">
        <v>3737</v>
      </c>
      <c r="C738" s="90" t="s">
        <v>4479</v>
      </c>
      <c r="D738" t="s">
        <v>5562</v>
      </c>
      <c r="E738" s="101" t="s">
        <v>6113</v>
      </c>
      <c r="F738" t="str" cm="1">
        <f t="array" aca="1" ref="F738" ca="1">INDIRECT("'" &amp; A738 &amp; "'!" &amp; B738)</f>
        <v>b66</v>
      </c>
      <c r="G738" t="str" cm="1">
        <f t="array" aca="1" ref="G738" ca="1">INDIRECT("'" &amp; A738 &amp; "'!" &amp; ADDRESS(1, COLUMN(INDIRECT("'" &amp; A738 &amp; "'!" &amp; B738))))</f>
        <v>1969 - 2</v>
      </c>
      <c r="H738" t="str">
        <f ca="1">VLOOKUP($G738, survey_codes_dict!A:C, 2, FALSE)</f>
        <v>1969_2</v>
      </c>
      <c r="I738" s="102" t="str">
        <f ca="1">VLOOKUP($G738, survey_codes_dict!A:D, 4, FALSE)</f>
        <v>1969_1</v>
      </c>
      <c r="J738" s="102" t="str">
        <f t="shared" ca="1" si="22"/>
        <v>1969_2__b66</v>
      </c>
      <c r="K738" s="102" t="str">
        <f t="shared" ca="1" si="23"/>
        <v>1969_1__b66</v>
      </c>
      <c r="L738" s="102"/>
      <c r="M738" s="102"/>
      <c r="N738" s="102"/>
      <c r="O738" s="102"/>
      <c r="P738" s="102"/>
      <c r="Q738" s="102"/>
      <c r="R738" s="102"/>
      <c r="S738" s="101"/>
    </row>
    <row r="739" spans="1:19" ht="57.6" x14ac:dyDescent="0.3">
      <c r="A739" t="s">
        <v>4239</v>
      </c>
      <c r="B739" t="s">
        <v>4483</v>
      </c>
      <c r="C739" s="90" t="s">
        <v>4484</v>
      </c>
      <c r="D739" t="s">
        <v>5562</v>
      </c>
      <c r="E739" s="101" t="s">
        <v>6115</v>
      </c>
      <c r="F739" t="str" cm="1">
        <f t="array" aca="1" ref="F739" ca="1">INDIRECT("'" &amp; A739 &amp; "'!" &amp; B739)</f>
        <v>g32</v>
      </c>
      <c r="G739" t="str" cm="1">
        <f t="array" aca="1" ref="G739" ca="1">INDIRECT("'" &amp; A739 &amp; "'!" &amp; ADDRESS(1, COLUMN(INDIRECT("'" &amp; A739 &amp; "'!" &amp; B739))))</f>
        <v>1973 - 4</v>
      </c>
      <c r="H739" t="str">
        <f ca="1">VLOOKUP($G739, survey_codes_dict!A:C, 2, FALSE)</f>
        <v>1973_4</v>
      </c>
      <c r="I739" s="102" t="str">
        <f ca="1">VLOOKUP($G739, survey_codes_dict!A:D, 4, FALSE)</f>
        <v>1973_3</v>
      </c>
      <c r="J739" s="102" t="str">
        <f t="shared" ca="1" si="22"/>
        <v>1973_4__g32</v>
      </c>
      <c r="K739" s="102" t="str">
        <f t="shared" ca="1" si="23"/>
        <v>1973_3__g32</v>
      </c>
      <c r="L739" s="102"/>
      <c r="M739" s="102"/>
      <c r="N739" s="102"/>
      <c r="O739" s="102"/>
      <c r="P739" s="102"/>
      <c r="Q739" s="102"/>
      <c r="R739" s="102"/>
      <c r="S739" s="101"/>
    </row>
    <row r="740" spans="1:19" ht="86.4" x14ac:dyDescent="0.3">
      <c r="A740" t="s">
        <v>4239</v>
      </c>
      <c r="B740" t="s">
        <v>4485</v>
      </c>
      <c r="C740" s="90" t="s">
        <v>4486</v>
      </c>
      <c r="D740" t="s">
        <v>5562</v>
      </c>
      <c r="E740" s="101" t="s">
        <v>6116</v>
      </c>
      <c r="F740" t="str" cm="1">
        <f t="array" aca="1" ref="F740" ca="1">INDIRECT("'" &amp; A740 &amp; "'!" &amp; B740)</f>
        <v>a71</v>
      </c>
      <c r="G740" t="str" cm="1">
        <f t="array" aca="1" ref="G740" ca="1">INDIRECT("'" &amp; A740 &amp; "'!" &amp; ADDRESS(1, COLUMN(INDIRECT("'" &amp; A740 &amp; "'!" &amp; B740))))</f>
        <v>1987*</v>
      </c>
      <c r="H740" t="e">
        <f ca="1">VLOOKUP($G740, survey_codes_dict!A:C, 2, FALSE)</f>
        <v>#N/A</v>
      </c>
      <c r="I740" s="102" t="e">
        <f ca="1">VLOOKUP($G740, survey_codes_dict!A:D, 4, FALSE)</f>
        <v>#N/A</v>
      </c>
      <c r="J740" s="102" t="e">
        <f t="shared" ca="1" si="22"/>
        <v>#N/A</v>
      </c>
      <c r="K740" s="102" t="e">
        <f t="shared" ca="1" si="23"/>
        <v>#N/A</v>
      </c>
      <c r="L740" s="102"/>
      <c r="M740" s="102"/>
      <c r="N740" s="102"/>
      <c r="O740" s="102"/>
      <c r="P740" s="102"/>
      <c r="Q740" s="102"/>
      <c r="R740" s="102"/>
      <c r="S740" s="101"/>
    </row>
    <row r="741" spans="1:19" ht="144" x14ac:dyDescent="0.3">
      <c r="A741" t="s">
        <v>4239</v>
      </c>
      <c r="B741" t="s">
        <v>4487</v>
      </c>
      <c r="C741" s="90" t="s">
        <v>4488</v>
      </c>
      <c r="D741" t="s">
        <v>5562</v>
      </c>
      <c r="E741" s="101" t="s">
        <v>6117</v>
      </c>
      <c r="F741" t="str" cm="1">
        <f t="array" aca="1" ref="F741" ca="1">INDIRECT("'" &amp; A741 &amp; "'!" &amp; B741)</f>
        <v>a72</v>
      </c>
      <c r="G741" t="str" cm="1">
        <f t="array" aca="1" ref="G741" ca="1">INDIRECT("'" &amp; A741 &amp; "'!" &amp; ADDRESS(1, COLUMN(INDIRECT("'" &amp; A741 &amp; "'!" &amp; B741))))</f>
        <v>1987*</v>
      </c>
      <c r="H741" t="e">
        <f ca="1">VLOOKUP($G741, survey_codes_dict!A:C, 2, FALSE)</f>
        <v>#N/A</v>
      </c>
      <c r="I741" s="102" t="e">
        <f ca="1">VLOOKUP($G741, survey_codes_dict!A:D, 4, FALSE)</f>
        <v>#N/A</v>
      </c>
      <c r="J741" s="102" t="e">
        <f t="shared" ca="1" si="22"/>
        <v>#N/A</v>
      </c>
      <c r="K741" s="102" t="e">
        <f t="shared" ca="1" si="23"/>
        <v>#N/A</v>
      </c>
      <c r="L741" s="102"/>
      <c r="M741" s="102"/>
      <c r="N741" s="102"/>
      <c r="O741" s="102"/>
      <c r="P741" s="102"/>
      <c r="Q741" s="102"/>
      <c r="R741" s="102"/>
      <c r="S741" s="101"/>
    </row>
    <row r="742" spans="1:19" ht="115.2" x14ac:dyDescent="0.3">
      <c r="A742" t="s">
        <v>4239</v>
      </c>
      <c r="B742" t="s">
        <v>4489</v>
      </c>
      <c r="C742" s="90" t="s">
        <v>4490</v>
      </c>
      <c r="D742" t="s">
        <v>5562</v>
      </c>
      <c r="E742" s="101" t="s">
        <v>6118</v>
      </c>
      <c r="F742" t="str" cm="1">
        <f t="array" aca="1" ref="F742" ca="1">INDIRECT("'" &amp; A742 &amp; "'!" &amp; B742)</f>
        <v>a73</v>
      </c>
      <c r="G742" t="str" cm="1">
        <f t="array" aca="1" ref="G742" ca="1">INDIRECT("'" &amp; A742 &amp; "'!" &amp; ADDRESS(1, COLUMN(INDIRECT("'" &amp; A742 &amp; "'!" &amp; B742))))</f>
        <v>1987*</v>
      </c>
      <c r="H742" t="e">
        <f ca="1">VLOOKUP($G742, survey_codes_dict!A:C, 2, FALSE)</f>
        <v>#N/A</v>
      </c>
      <c r="I742" s="102" t="e">
        <f ca="1">VLOOKUP($G742, survey_codes_dict!A:D, 4, FALSE)</f>
        <v>#N/A</v>
      </c>
      <c r="J742" s="102" t="e">
        <f t="shared" ca="1" si="22"/>
        <v>#N/A</v>
      </c>
      <c r="K742" s="102" t="e">
        <f t="shared" ca="1" si="23"/>
        <v>#N/A</v>
      </c>
      <c r="L742" s="102"/>
      <c r="M742" s="102"/>
      <c r="N742" s="102"/>
      <c r="O742" s="102"/>
      <c r="P742" s="102"/>
      <c r="Q742" s="102"/>
      <c r="R742" s="102"/>
      <c r="S742" s="101"/>
    </row>
    <row r="743" spans="1:19" ht="86.4" x14ac:dyDescent="0.3">
      <c r="A743" t="s">
        <v>4239</v>
      </c>
      <c r="B743" t="s">
        <v>4491</v>
      </c>
      <c r="C743" s="90" t="s">
        <v>4492</v>
      </c>
      <c r="D743" t="s">
        <v>5562</v>
      </c>
      <c r="E743" s="101" t="s">
        <v>6119</v>
      </c>
      <c r="F743" t="str" cm="1">
        <f t="array" aca="1" ref="F743" ca="1">INDIRECT("'" &amp; A743 &amp; "'!" &amp; B743)</f>
        <v>a74</v>
      </c>
      <c r="G743" t="str" cm="1">
        <f t="array" aca="1" ref="G743" ca="1">INDIRECT("'" &amp; A743 &amp; "'!" &amp; ADDRESS(1, COLUMN(INDIRECT("'" &amp; A743 &amp; "'!" &amp; B743))))</f>
        <v>1987*</v>
      </c>
      <c r="H743" t="e">
        <f ca="1">VLOOKUP($G743, survey_codes_dict!A:C, 2, FALSE)</f>
        <v>#N/A</v>
      </c>
      <c r="I743" s="102" t="e">
        <f ca="1">VLOOKUP($G743, survey_codes_dict!A:D, 4, FALSE)</f>
        <v>#N/A</v>
      </c>
      <c r="J743" s="102" t="e">
        <f t="shared" ca="1" si="22"/>
        <v>#N/A</v>
      </c>
      <c r="K743" s="102" t="e">
        <f t="shared" ca="1" si="23"/>
        <v>#N/A</v>
      </c>
      <c r="L743" s="102"/>
      <c r="M743" s="102"/>
      <c r="N743" s="102"/>
      <c r="O743" s="102"/>
      <c r="P743" s="102"/>
      <c r="Q743" s="102"/>
      <c r="R743" s="102"/>
      <c r="S743" s="101"/>
    </row>
    <row r="744" spans="1:19" ht="115.2" x14ac:dyDescent="0.3">
      <c r="A744" t="s">
        <v>4239</v>
      </c>
      <c r="B744" t="s">
        <v>4493</v>
      </c>
      <c r="C744" s="90" t="s">
        <v>4494</v>
      </c>
      <c r="D744" t="s">
        <v>5562</v>
      </c>
      <c r="E744" s="101" t="s">
        <v>6120</v>
      </c>
      <c r="F744" t="str" cm="1">
        <f t="array" aca="1" ref="F744" ca="1">INDIRECT("'" &amp; A744 &amp; "'!" &amp; B744)</f>
        <v>b52</v>
      </c>
      <c r="G744" t="str" cm="1">
        <f t="array" aca="1" ref="G744" ca="1">INDIRECT("'" &amp; A744 &amp; "'!" &amp; ADDRESS(1, COLUMN(INDIRECT("'" &amp; A744 &amp; "'!" &amp; B744))))</f>
        <v>1988*</v>
      </c>
      <c r="H744" t="str">
        <f ca="1">VLOOKUP($G744, survey_codes_dict!A:C, 2, FALSE)</f>
        <v>1988_N=873</v>
      </c>
      <c r="I744" s="102" t="str">
        <f ca="1">VLOOKUP($G744, survey_codes_dict!A:D, 4, FALSE)</f>
        <v>1988_Panel_N=416</v>
      </c>
      <c r="J744" s="102" t="str">
        <f t="shared" ca="1" si="22"/>
        <v>1988_N=873__b52</v>
      </c>
      <c r="K744" s="102" t="str">
        <f t="shared" ca="1" si="23"/>
        <v>1988_Panel_N=416__b52</v>
      </c>
      <c r="L744" s="102"/>
      <c r="M744" s="102"/>
      <c r="N744" s="102"/>
      <c r="O744" s="102"/>
      <c r="P744" s="102"/>
      <c r="Q744" s="102"/>
      <c r="R744" s="102"/>
      <c r="S744" s="101"/>
    </row>
    <row r="745" spans="1:19" ht="72" x14ac:dyDescent="0.3">
      <c r="A745" t="s">
        <v>4239</v>
      </c>
      <c r="B745" t="s">
        <v>4495</v>
      </c>
      <c r="C745" s="90" t="s">
        <v>4262</v>
      </c>
      <c r="D745" t="s">
        <v>5562</v>
      </c>
      <c r="E745" s="101" t="s">
        <v>6051</v>
      </c>
      <c r="F745" t="str" cm="1">
        <f t="array" aca="1" ref="F745" ca="1">INDIRECT("'" &amp; A745 &amp; "'!" &amp; B745)</f>
        <v>v18</v>
      </c>
      <c r="G745" cm="1">
        <f t="array" aca="1" ref="G745" ca="1">INDIRECT("'" &amp; A745 &amp; "'!" &amp; ADDRESS(1, COLUMN(INDIRECT("'" &amp; A745 &amp; "'!" &amp; B745))))</f>
        <v>1984</v>
      </c>
      <c r="H745" t="str">
        <f ca="1">VLOOKUP($G745, survey_codes_dict!A:C, 2, FALSE)</f>
        <v>1984</v>
      </c>
      <c r="I745" s="102" t="str">
        <f ca="1">VLOOKUP($G745, survey_codes_dict!A:D, 4, FALSE)</f>
        <v>1981_3</v>
      </c>
      <c r="J745" s="102" t="str">
        <f t="shared" ca="1" si="22"/>
        <v>1984__v18</v>
      </c>
      <c r="K745" s="102" t="str">
        <f t="shared" ca="1" si="23"/>
        <v>1981_3__v18</v>
      </c>
      <c r="L745" s="102"/>
      <c r="M745" s="102"/>
      <c r="N745" s="102"/>
      <c r="O745" s="102"/>
      <c r="P745" s="102"/>
      <c r="Q745" s="102"/>
      <c r="R745" s="102"/>
      <c r="S745" s="101"/>
    </row>
    <row r="746" spans="1:19" ht="57.6" x14ac:dyDescent="0.3">
      <c r="A746" t="s">
        <v>4239</v>
      </c>
      <c r="B746" t="s">
        <v>4496</v>
      </c>
      <c r="C746" s="90" t="s">
        <v>4497</v>
      </c>
      <c r="D746" t="s">
        <v>5562</v>
      </c>
      <c r="E746" s="101" t="s">
        <v>6121</v>
      </c>
      <c r="F746" t="str" cm="1">
        <f t="array" aca="1" ref="F746" ca="1">INDIRECT("'" &amp; A746 &amp; "'!" &amp; B746)</f>
        <v>a42</v>
      </c>
      <c r="G746" cm="1">
        <f t="array" aca="1" ref="G746" ca="1">INDIRECT("'" &amp; A746 &amp; "'!" &amp; ADDRESS(1, COLUMN(INDIRECT("'" &amp; A746 &amp; "'!" &amp; B746))))</f>
        <v>1984</v>
      </c>
      <c r="H746" t="str">
        <f ca="1">VLOOKUP($G746, survey_codes_dict!A:C, 2, FALSE)</f>
        <v>1984</v>
      </c>
      <c r="I746" s="102" t="str">
        <f ca="1">VLOOKUP($G746, survey_codes_dict!A:D, 4, FALSE)</f>
        <v>1981_3</v>
      </c>
      <c r="J746" s="102" t="str">
        <f t="shared" ca="1" si="22"/>
        <v>1984__a42</v>
      </c>
      <c r="K746" s="102" t="str">
        <f t="shared" ca="1" si="23"/>
        <v>1981_3__a42</v>
      </c>
      <c r="L746" s="102"/>
      <c r="M746" s="102"/>
      <c r="N746" s="102"/>
      <c r="O746" s="102"/>
      <c r="P746" s="102"/>
      <c r="Q746" s="102"/>
      <c r="R746" s="102"/>
      <c r="S746" s="101"/>
    </row>
    <row r="747" spans="1:19" ht="72" x14ac:dyDescent="0.3">
      <c r="A747" t="s">
        <v>4239</v>
      </c>
      <c r="B747" t="s">
        <v>4498</v>
      </c>
      <c r="C747" s="90" t="s">
        <v>4499</v>
      </c>
      <c r="D747" t="s">
        <v>5562</v>
      </c>
      <c r="E747" s="101" t="s">
        <v>6122</v>
      </c>
      <c r="F747" t="str" cm="1">
        <f t="array" aca="1" ref="F747" ca="1">INDIRECT("'" &amp; A747 &amp; "'!" &amp; B747)</f>
        <v>b26</v>
      </c>
      <c r="G747" t="str" cm="1">
        <f t="array" aca="1" ref="G747" ca="1">INDIRECT("'" &amp; A747 &amp; "'!" &amp; ADDRESS(1, COLUMN(INDIRECT("'" &amp; A747 &amp; "'!" &amp; B747))))</f>
        <v>1981 - 3</v>
      </c>
      <c r="H747" t="str">
        <f ca="1">VLOOKUP($G747, survey_codes_dict!A:C, 2, FALSE)</f>
        <v>1981_3</v>
      </c>
      <c r="I747" s="102">
        <f ca="1">VLOOKUP($G747, survey_codes_dict!A:D, 4, FALSE)</f>
        <v>0</v>
      </c>
      <c r="J747" s="102" t="str">
        <f t="shared" ca="1" si="22"/>
        <v>1981_3__b26</v>
      </c>
      <c r="K747" s="102" t="str">
        <f t="shared" ca="1" si="23"/>
        <v>0__b26</v>
      </c>
      <c r="L747" s="102"/>
      <c r="M747" s="102"/>
      <c r="N747" s="102"/>
      <c r="O747" s="102"/>
      <c r="P747" s="102"/>
      <c r="Q747" s="102"/>
      <c r="R747" s="102"/>
      <c r="S747" s="101"/>
    </row>
    <row r="748" spans="1:19" ht="129.6" x14ac:dyDescent="0.3">
      <c r="A748" t="s">
        <v>4239</v>
      </c>
      <c r="B748" t="s">
        <v>4500</v>
      </c>
      <c r="C748" s="90" t="s">
        <v>4501</v>
      </c>
      <c r="D748" t="s">
        <v>5562</v>
      </c>
      <c r="E748" s="101" t="s">
        <v>6123</v>
      </c>
      <c r="F748" t="str" cm="1">
        <f t="array" aca="1" ref="F748" ca="1">INDIRECT("'" &amp; A748 &amp; "'!" &amp; B748)</f>
        <v>a124</v>
      </c>
      <c r="G748" t="str" cm="1">
        <f t="array" aca="1" ref="G748" ca="1">INDIRECT("'" &amp; A748 &amp; "'!" &amp; ADDRESS(1, COLUMN(INDIRECT("'" &amp; A748 &amp; "'!" &amp; B748))))</f>
        <v>1981 - 2</v>
      </c>
      <c r="H748">
        <f ca="1">VLOOKUP($G748, survey_codes_dict!A:C, 2, FALSE)</f>
        <v>0</v>
      </c>
      <c r="I748" s="102" t="str">
        <f ca="1">VLOOKUP($G748, survey_codes_dict!A:D, 4, FALSE)</f>
        <v>1981_1</v>
      </c>
      <c r="J748" s="102" t="str">
        <f t="shared" ca="1" si="22"/>
        <v>0__a124</v>
      </c>
      <c r="K748" s="102" t="str">
        <f t="shared" ca="1" si="23"/>
        <v>1981_1__a124</v>
      </c>
      <c r="L748" s="102"/>
      <c r="M748" s="102"/>
      <c r="N748" s="102"/>
      <c r="O748" s="102"/>
      <c r="P748" s="102"/>
      <c r="Q748" s="102"/>
      <c r="R748" s="102"/>
      <c r="S748" s="101"/>
    </row>
    <row r="749" spans="1:19" ht="86.4" x14ac:dyDescent="0.3">
      <c r="A749" t="s">
        <v>4239</v>
      </c>
      <c r="B749" t="s">
        <v>4502</v>
      </c>
      <c r="C749" s="90" t="s">
        <v>4503</v>
      </c>
      <c r="D749" t="s">
        <v>5562</v>
      </c>
      <c r="E749" s="101" t="s">
        <v>6124</v>
      </c>
      <c r="F749" t="str" cm="1">
        <f t="array" aca="1" ref="F749" ca="1">INDIRECT("'" &amp; A749 &amp; "'!" &amp; B749)</f>
        <v>b88</v>
      </c>
      <c r="G749" t="str" cm="1">
        <f t="array" aca="1" ref="G749" ca="1">INDIRECT("'" &amp; A749 &amp; "'!" &amp; ADDRESS(1, COLUMN(INDIRECT("'" &amp; A749 &amp; "'!" &amp; B749))))</f>
        <v>1981 - 3</v>
      </c>
      <c r="H749" t="str">
        <f ca="1">VLOOKUP($G749, survey_codes_dict!A:C, 2, FALSE)</f>
        <v>1981_3</v>
      </c>
      <c r="I749" s="102">
        <f ca="1">VLOOKUP($G749, survey_codes_dict!A:D, 4, FALSE)</f>
        <v>0</v>
      </c>
      <c r="J749" s="102" t="str">
        <f t="shared" ca="1" si="22"/>
        <v>1981_3__b88</v>
      </c>
      <c r="K749" s="102" t="str">
        <f t="shared" ca="1" si="23"/>
        <v>0__b88</v>
      </c>
      <c r="L749" s="102"/>
      <c r="M749" s="102"/>
      <c r="N749" s="102"/>
      <c r="O749" s="102"/>
      <c r="P749" s="102"/>
      <c r="Q749" s="102"/>
      <c r="R749" s="102"/>
      <c r="S749" s="101"/>
    </row>
    <row r="750" spans="1:19" ht="72" x14ac:dyDescent="0.3">
      <c r="A750" t="s">
        <v>4239</v>
      </c>
      <c r="B750" t="s">
        <v>4504</v>
      </c>
      <c r="C750" s="90" t="s">
        <v>4505</v>
      </c>
      <c r="D750" t="s">
        <v>5562</v>
      </c>
      <c r="E750" s="101" t="s">
        <v>6125</v>
      </c>
      <c r="F750" t="str" cm="1">
        <f t="array" aca="1" ref="F750" ca="1">INDIRECT("'" &amp; A750 &amp; "'!" &amp; B750)</f>
        <v>b91</v>
      </c>
      <c r="G750" t="str" cm="1">
        <f t="array" aca="1" ref="G750" ca="1">INDIRECT("'" &amp; A750 &amp; "'!" &amp; ADDRESS(1, COLUMN(INDIRECT("'" &amp; A750 &amp; "'!" &amp; B750))))</f>
        <v>1981 - 3</v>
      </c>
      <c r="H750" t="str">
        <f ca="1">VLOOKUP($G750, survey_codes_dict!A:C, 2, FALSE)</f>
        <v>1981_3</v>
      </c>
      <c r="I750" s="102">
        <f ca="1">VLOOKUP($G750, survey_codes_dict!A:D, 4, FALSE)</f>
        <v>0</v>
      </c>
      <c r="J750" s="102" t="str">
        <f t="shared" ca="1" si="22"/>
        <v>1981_3__b91</v>
      </c>
      <c r="K750" s="102" t="str">
        <f t="shared" ca="1" si="23"/>
        <v>0__b91</v>
      </c>
      <c r="L750" s="102"/>
      <c r="M750" s="102"/>
      <c r="N750" s="102"/>
      <c r="O750" s="102"/>
      <c r="P750" s="102"/>
      <c r="Q750" s="102"/>
      <c r="R750" s="102"/>
      <c r="S750" s="101"/>
    </row>
    <row r="751" spans="1:19" ht="86.4" x14ac:dyDescent="0.3">
      <c r="A751" t="s">
        <v>4239</v>
      </c>
      <c r="B751" t="s">
        <v>4506</v>
      </c>
      <c r="C751" s="90" t="s">
        <v>4507</v>
      </c>
      <c r="D751" t="s">
        <v>5562</v>
      </c>
      <c r="E751" s="101" t="s">
        <v>6126</v>
      </c>
      <c r="F751" t="str" cm="1">
        <f t="array" aca="1" ref="F751" ca="1">INDIRECT("'" &amp; A751 &amp; "'!" &amp; B751)</f>
        <v>g38</v>
      </c>
      <c r="G751" t="str" cm="1">
        <f t="array" aca="1" ref="G751" ca="1">INDIRECT("'" &amp; A751 &amp; "'!" &amp; ADDRESS(1, COLUMN(INDIRECT("'" &amp; A751 &amp; "'!" &amp; B751))))</f>
        <v>1973 - 4</v>
      </c>
      <c r="H751" t="str">
        <f ca="1">VLOOKUP($G751, survey_codes_dict!A:C, 2, FALSE)</f>
        <v>1973_4</v>
      </c>
      <c r="I751" s="102" t="str">
        <f ca="1">VLOOKUP($G751, survey_codes_dict!A:D, 4, FALSE)</f>
        <v>1973_3</v>
      </c>
      <c r="J751" s="102" t="str">
        <f t="shared" ca="1" si="22"/>
        <v>1973_4__g38</v>
      </c>
      <c r="K751" s="102" t="str">
        <f t="shared" ca="1" si="23"/>
        <v>1973_3__g38</v>
      </c>
      <c r="L751" s="102"/>
      <c r="M751" s="102"/>
      <c r="N751" s="102"/>
      <c r="O751" s="102"/>
      <c r="P751" s="102"/>
      <c r="Q751" s="102"/>
      <c r="R751" s="102"/>
      <c r="S751" s="101"/>
    </row>
    <row r="752" spans="1:19" ht="28.8" x14ac:dyDescent="0.3">
      <c r="A752" t="s">
        <v>4239</v>
      </c>
      <c r="B752" t="s">
        <v>4508</v>
      </c>
      <c r="C752" s="90" t="s">
        <v>4509</v>
      </c>
      <c r="D752" t="s">
        <v>5668</v>
      </c>
      <c r="E752" s="101" t="s">
        <v>5632</v>
      </c>
      <c r="F752" t="str" cm="1">
        <f t="array" aca="1" ref="F752" ca="1">INDIRECT("'" &amp; A752 &amp; "'!" &amp; B752)</f>
        <v>d47</v>
      </c>
      <c r="G752" t="str" cm="1">
        <f t="array" aca="1" ref="G752" ca="1">INDIRECT("'" &amp; A752 &amp; "'!" &amp; ADDRESS(1, COLUMN(INDIRECT("'" &amp; A752 &amp; "'!" &amp; B752))))</f>
        <v>1973 - 2</v>
      </c>
      <c r="H752" t="str">
        <f ca="1">VLOOKUP($G752, survey_codes_dict!A:C, 2, FALSE)</f>
        <v>1973_2</v>
      </c>
      <c r="I752" s="102" t="str">
        <f ca="1">VLOOKUP($G752, survey_codes_dict!A:D, 4, FALSE)</f>
        <v>1973_1</v>
      </c>
      <c r="J752" s="102" t="str">
        <f t="shared" ca="1" si="22"/>
        <v>1973_2__d47</v>
      </c>
      <c r="K752" s="102" t="str">
        <f t="shared" ca="1" si="23"/>
        <v>1973_1__d47</v>
      </c>
      <c r="L752" s="102"/>
      <c r="M752" s="102"/>
      <c r="N752" s="102"/>
      <c r="O752" s="102"/>
      <c r="P752" s="102"/>
      <c r="Q752" s="102"/>
      <c r="R752" s="102"/>
      <c r="S752" s="101"/>
    </row>
    <row r="753" spans="1:19" ht="100.8" x14ac:dyDescent="0.3">
      <c r="A753" t="s">
        <v>4239</v>
      </c>
      <c r="B753" t="s">
        <v>4510</v>
      </c>
      <c r="C753" s="90" t="s">
        <v>4511</v>
      </c>
      <c r="D753" t="s">
        <v>5562</v>
      </c>
      <c r="E753" s="101" t="s">
        <v>6127</v>
      </c>
      <c r="F753" t="str" cm="1">
        <f t="array" aca="1" ref="F753" ca="1">INDIRECT("'" &amp; A753 &amp; "'!" &amp; B753)</f>
        <v>b93</v>
      </c>
      <c r="G753" t="str" cm="1">
        <f t="array" aca="1" ref="G753" ca="1">INDIRECT("'" &amp; A753 &amp; "'!" &amp; ADDRESS(1, COLUMN(INDIRECT("'" &amp; A753 &amp; "'!" &amp; B753))))</f>
        <v>1981 - 3</v>
      </c>
      <c r="H753" t="str">
        <f ca="1">VLOOKUP($G753, survey_codes_dict!A:C, 2, FALSE)</f>
        <v>1981_3</v>
      </c>
      <c r="I753" s="102">
        <f ca="1">VLOOKUP($G753, survey_codes_dict!A:D, 4, FALSE)</f>
        <v>0</v>
      </c>
      <c r="J753" s="102" t="str">
        <f t="shared" ca="1" si="22"/>
        <v>1981_3__b93</v>
      </c>
      <c r="K753" s="102" t="str">
        <f t="shared" ca="1" si="23"/>
        <v>0__b93</v>
      </c>
      <c r="L753" s="102"/>
      <c r="M753" s="102"/>
      <c r="N753" s="102"/>
      <c r="O753" s="102"/>
      <c r="P753" s="102"/>
      <c r="Q753" s="102"/>
      <c r="R753" s="102"/>
      <c r="S753" s="101"/>
    </row>
    <row r="754" spans="1:19" ht="72" x14ac:dyDescent="0.3">
      <c r="A754" t="s">
        <v>4239</v>
      </c>
      <c r="B754" t="s">
        <v>4512</v>
      </c>
      <c r="C754" s="90" t="s">
        <v>4513</v>
      </c>
      <c r="D754" t="s">
        <v>5562</v>
      </c>
      <c r="E754" s="101" t="s">
        <v>6128</v>
      </c>
      <c r="F754" t="str" cm="1">
        <f t="array" aca="1" ref="F754" ca="1">INDIRECT("'" &amp; A754 &amp; "'!" &amp; B754)</f>
        <v>d48</v>
      </c>
      <c r="G754" t="str" cm="1">
        <f t="array" aca="1" ref="G754" ca="1">INDIRECT("'" &amp; A754 &amp; "'!" &amp; ADDRESS(1, COLUMN(INDIRECT("'" &amp; A754 &amp; "'!" &amp; B754))))</f>
        <v>1973 - 2</v>
      </c>
      <c r="H754" t="str">
        <f ca="1">VLOOKUP($G754, survey_codes_dict!A:C, 2, FALSE)</f>
        <v>1973_2</v>
      </c>
      <c r="I754" s="102" t="str">
        <f ca="1">VLOOKUP($G754, survey_codes_dict!A:D, 4, FALSE)</f>
        <v>1973_1</v>
      </c>
      <c r="J754" s="102" t="str">
        <f t="shared" ca="1" si="22"/>
        <v>1973_2__d48</v>
      </c>
      <c r="K754" s="102" t="str">
        <f t="shared" ca="1" si="23"/>
        <v>1973_1__d48</v>
      </c>
      <c r="L754" s="102"/>
      <c r="M754" s="102"/>
      <c r="N754" s="102"/>
      <c r="O754" s="102"/>
      <c r="P754" s="102"/>
      <c r="Q754" s="102"/>
      <c r="R754" s="102"/>
      <c r="S754" s="101"/>
    </row>
    <row r="755" spans="1:19" ht="28.8" x14ac:dyDescent="0.3">
      <c r="A755" t="s">
        <v>4239</v>
      </c>
      <c r="B755" t="s">
        <v>4514</v>
      </c>
      <c r="C755" s="90" t="s">
        <v>4515</v>
      </c>
      <c r="D755" t="s">
        <v>5668</v>
      </c>
      <c r="E755" s="101" t="s">
        <v>5633</v>
      </c>
      <c r="F755" t="str" cm="1">
        <f t="array" aca="1" ref="F755" ca="1">INDIRECT("'" &amp; A755 &amp; "'!" &amp; B755)</f>
        <v>d49</v>
      </c>
      <c r="G755" t="str" cm="1">
        <f t="array" aca="1" ref="G755" ca="1">INDIRECT("'" &amp; A755 &amp; "'!" &amp; ADDRESS(1, COLUMN(INDIRECT("'" &amp; A755 &amp; "'!" &amp; B755))))</f>
        <v>1973 - 2</v>
      </c>
      <c r="H755" t="str">
        <f ca="1">VLOOKUP($G755, survey_codes_dict!A:C, 2, FALSE)</f>
        <v>1973_2</v>
      </c>
      <c r="I755" s="102" t="str">
        <f ca="1">VLOOKUP($G755, survey_codes_dict!A:D, 4, FALSE)</f>
        <v>1973_1</v>
      </c>
      <c r="J755" s="102" t="str">
        <f t="shared" ca="1" si="22"/>
        <v>1973_2__d49</v>
      </c>
      <c r="K755" s="102" t="str">
        <f t="shared" ca="1" si="23"/>
        <v>1973_1__d49</v>
      </c>
      <c r="L755" s="102"/>
      <c r="M755" s="102"/>
      <c r="N755" s="102"/>
      <c r="O755" s="102"/>
      <c r="P755" s="102"/>
      <c r="Q755" s="102"/>
      <c r="R755" s="102"/>
      <c r="S755" s="101"/>
    </row>
    <row r="756" spans="1:19" ht="72" x14ac:dyDescent="0.3">
      <c r="A756" t="s">
        <v>4239</v>
      </c>
      <c r="B756" t="s">
        <v>4516</v>
      </c>
      <c r="C756" s="90" t="s">
        <v>4517</v>
      </c>
      <c r="D756" t="s">
        <v>5562</v>
      </c>
      <c r="E756" s="101" t="s">
        <v>6129</v>
      </c>
      <c r="F756" t="str" cm="1">
        <f t="array" aca="1" ref="F756" ca="1">INDIRECT("'" &amp; A756 &amp; "'!" &amp; B756)</f>
        <v>b95</v>
      </c>
      <c r="G756" t="str" cm="1">
        <f t="array" aca="1" ref="G756" ca="1">INDIRECT("'" &amp; A756 &amp; "'!" &amp; ADDRESS(1, COLUMN(INDIRECT("'" &amp; A756 &amp; "'!" &amp; B756))))</f>
        <v>1981 - 3</v>
      </c>
      <c r="H756" t="str">
        <f ca="1">VLOOKUP($G756, survey_codes_dict!A:C, 2, FALSE)</f>
        <v>1981_3</v>
      </c>
      <c r="I756" s="102">
        <f ca="1">VLOOKUP($G756, survey_codes_dict!A:D, 4, FALSE)</f>
        <v>0</v>
      </c>
      <c r="J756" s="102" t="str">
        <f t="shared" ca="1" si="22"/>
        <v>1981_3__b95</v>
      </c>
      <c r="K756" s="102" t="str">
        <f t="shared" ca="1" si="23"/>
        <v>0__b95</v>
      </c>
      <c r="L756" s="102"/>
      <c r="M756" s="102"/>
      <c r="N756" s="102"/>
      <c r="O756" s="102"/>
      <c r="P756" s="102"/>
      <c r="Q756" s="102"/>
      <c r="R756" s="102"/>
      <c r="S756" s="101"/>
    </row>
    <row r="757" spans="1:19" ht="86.4" x14ac:dyDescent="0.3">
      <c r="A757" t="s">
        <v>4239</v>
      </c>
      <c r="B757" t="s">
        <v>4518</v>
      </c>
      <c r="C757" s="90" t="s">
        <v>4519</v>
      </c>
      <c r="D757" t="s">
        <v>5562</v>
      </c>
      <c r="E757" s="101" t="s">
        <v>6130</v>
      </c>
      <c r="F757" t="str" cm="1">
        <f t="array" aca="1" ref="F757" ca="1">INDIRECT("'" &amp; A757 &amp; "'!" &amp; B757)</f>
        <v>d53</v>
      </c>
      <c r="G757" t="str" cm="1">
        <f t="array" aca="1" ref="G757" ca="1">INDIRECT("'" &amp; A757 &amp; "'!" &amp; ADDRESS(1, COLUMN(INDIRECT("'" &amp; A757 &amp; "'!" &amp; B757))))</f>
        <v>1973 - 2</v>
      </c>
      <c r="H757" t="str">
        <f ca="1">VLOOKUP($G757, survey_codes_dict!A:C, 2, FALSE)</f>
        <v>1973_2</v>
      </c>
      <c r="I757" s="102" t="str">
        <f ca="1">VLOOKUP($G757, survey_codes_dict!A:D, 4, FALSE)</f>
        <v>1973_1</v>
      </c>
      <c r="J757" s="102" t="str">
        <f t="shared" ca="1" si="22"/>
        <v>1973_2__d53</v>
      </c>
      <c r="K757" s="102" t="str">
        <f t="shared" ca="1" si="23"/>
        <v>1973_1__d53</v>
      </c>
      <c r="L757" s="102"/>
      <c r="M757" s="102"/>
      <c r="N757" s="102"/>
      <c r="O757" s="102"/>
      <c r="P757" s="102"/>
      <c r="Q757" s="102"/>
      <c r="R757" s="102"/>
      <c r="S757" s="101"/>
    </row>
    <row r="758" spans="1:19" ht="28.8" x14ac:dyDescent="0.3">
      <c r="A758" t="s">
        <v>4239</v>
      </c>
      <c r="B758" t="s">
        <v>4520</v>
      </c>
      <c r="C758" s="90" t="s">
        <v>4521</v>
      </c>
      <c r="D758" t="s">
        <v>5671</v>
      </c>
      <c r="E758" s="101" t="s">
        <v>5634</v>
      </c>
      <c r="F758" t="str" cm="1">
        <f t="array" aca="1" ref="F758" ca="1">INDIRECT("'" &amp; A758 &amp; "'!" &amp; B758)</f>
        <v>מדוע?</v>
      </c>
      <c r="G758" t="str" cm="1">
        <f t="array" aca="1" ref="G758" ca="1">INDIRECT("'" &amp; A758 &amp; "'!" &amp; ADDRESS(1, COLUMN(INDIRECT("'" &amp; A758 &amp; "'!" &amp; B758))))</f>
        <v>שאלה</v>
      </c>
      <c r="H758" t="e">
        <f ca="1">VLOOKUP($G758, survey_codes_dict!A:C, 2, FALSE)</f>
        <v>#N/A</v>
      </c>
      <c r="I758" s="102" t="e">
        <f ca="1">VLOOKUP($G758, survey_codes_dict!A:D, 4, FALSE)</f>
        <v>#N/A</v>
      </c>
      <c r="J758" s="102" t="e">
        <f t="shared" ca="1" si="22"/>
        <v>#N/A</v>
      </c>
      <c r="K758" s="102" t="e">
        <f t="shared" ca="1" si="23"/>
        <v>#N/A</v>
      </c>
      <c r="L758" s="102"/>
      <c r="M758" s="102"/>
      <c r="N758" s="102"/>
      <c r="O758" s="102"/>
      <c r="P758" s="102"/>
      <c r="Q758" s="102"/>
      <c r="R758" s="102"/>
      <c r="S758" s="102"/>
    </row>
    <row r="759" spans="1:19" ht="28.8" x14ac:dyDescent="0.3">
      <c r="A759" t="s">
        <v>4239</v>
      </c>
      <c r="B759" t="s">
        <v>3761</v>
      </c>
      <c r="C759" s="90" t="s">
        <v>4522</v>
      </c>
      <c r="D759" t="s">
        <v>5672</v>
      </c>
      <c r="E759" s="101" t="s">
        <v>5635</v>
      </c>
      <c r="F759" t="str" cm="1">
        <f t="array" aca="1" ref="F759" ca="1">INDIRECT("'" &amp; A759 &amp; "'!" &amp; B759)</f>
        <v>b62</v>
      </c>
      <c r="G759" t="str" cm="1">
        <f t="array" aca="1" ref="G759" ca="1">INDIRECT("'" &amp; A759 &amp; "'!" &amp; ADDRESS(1, COLUMN(INDIRECT("'" &amp; A759 &amp; "'!" &amp; B759))))</f>
        <v>1969 - 2</v>
      </c>
      <c r="H759" t="str">
        <f ca="1">VLOOKUP($G759, survey_codes_dict!A:C, 2, FALSE)</f>
        <v>1969_2</v>
      </c>
      <c r="I759" s="102" t="str">
        <f ca="1">VLOOKUP($G759, survey_codes_dict!A:D, 4, FALSE)</f>
        <v>1969_1</v>
      </c>
      <c r="J759" s="102" t="str">
        <f t="shared" ca="1" si="22"/>
        <v>1969_2__b62</v>
      </c>
      <c r="K759" s="102" t="str">
        <f t="shared" ca="1" si="23"/>
        <v>1969_1__b62</v>
      </c>
      <c r="L759" s="102"/>
      <c r="M759" s="102"/>
      <c r="N759" s="102"/>
      <c r="O759" s="102"/>
      <c r="P759" s="102"/>
      <c r="Q759" s="102"/>
      <c r="R759" s="102"/>
      <c r="S759" s="101"/>
    </row>
    <row r="760" spans="1:19" ht="28.8" x14ac:dyDescent="0.3">
      <c r="A760" t="s">
        <v>4239</v>
      </c>
      <c r="B760" t="s">
        <v>4523</v>
      </c>
      <c r="C760" s="90" t="s">
        <v>4524</v>
      </c>
      <c r="D760" t="s">
        <v>5672</v>
      </c>
      <c r="E760" s="101" t="s">
        <v>5636</v>
      </c>
      <c r="F760" t="str" cm="1">
        <f t="array" aca="1" ref="F760" ca="1">INDIRECT("'" &amp; A760 &amp; "'!" &amp; B760)</f>
        <v>b67</v>
      </c>
      <c r="G760" t="str" cm="1">
        <f t="array" aca="1" ref="G760" ca="1">INDIRECT("'" &amp; A760 &amp; "'!" &amp; ADDRESS(1, COLUMN(INDIRECT("'" &amp; A760 &amp; "'!" &amp; B760))))</f>
        <v>1969 - 1</v>
      </c>
      <c r="H760" t="str">
        <f ca="1">VLOOKUP($G760, survey_codes_dict!A:C, 2, FALSE)</f>
        <v>1969_1</v>
      </c>
      <c r="I760" s="102">
        <f ca="1">VLOOKUP($G760, survey_codes_dict!A:D, 4, FALSE)</f>
        <v>0</v>
      </c>
      <c r="J760" s="102" t="str">
        <f t="shared" ca="1" si="22"/>
        <v>1969_1__b67</v>
      </c>
      <c r="K760" s="102" t="str">
        <f t="shared" ca="1" si="23"/>
        <v>0__b67</v>
      </c>
      <c r="L760" s="102"/>
      <c r="M760" s="102"/>
      <c r="N760" s="102"/>
      <c r="O760" s="102"/>
      <c r="P760" s="102"/>
      <c r="Q760" s="102"/>
      <c r="R760" s="102"/>
      <c r="S760" s="101"/>
    </row>
    <row r="761" spans="1:19" ht="230.4" x14ac:dyDescent="0.3">
      <c r="A761" t="s">
        <v>4239</v>
      </c>
      <c r="B761" t="s">
        <v>4525</v>
      </c>
      <c r="C761" s="90" t="s">
        <v>4526</v>
      </c>
      <c r="D761" t="s">
        <v>5562</v>
      </c>
      <c r="E761" s="101" t="s">
        <v>6131</v>
      </c>
      <c r="F761" t="str" cm="1">
        <f t="array" aca="1" ref="F761" ca="1">INDIRECT("'" &amp; A761 &amp; "'!" &amp; B761)</f>
        <v>a26</v>
      </c>
      <c r="G761" t="str" cm="1">
        <f t="array" aca="1" ref="G761" ca="1">INDIRECT("'" &amp; A761 &amp; "'!" &amp; ADDRESS(1, COLUMN(INDIRECT("'" &amp; A761 &amp; "'!" &amp; B761))))</f>
        <v>1981 - 2</v>
      </c>
      <c r="H761">
        <f ca="1">VLOOKUP($G761, survey_codes_dict!A:C, 2, FALSE)</f>
        <v>0</v>
      </c>
      <c r="I761" s="102" t="str">
        <f ca="1">VLOOKUP($G761, survey_codes_dict!A:D, 4, FALSE)</f>
        <v>1981_1</v>
      </c>
      <c r="J761" s="102" t="str">
        <f t="shared" ca="1" si="22"/>
        <v>0__a26</v>
      </c>
      <c r="K761" s="102" t="str">
        <f t="shared" ca="1" si="23"/>
        <v>1981_1__a26</v>
      </c>
      <c r="L761" s="102"/>
      <c r="M761" s="102"/>
      <c r="N761" s="102"/>
      <c r="O761" s="102"/>
      <c r="P761" s="102"/>
      <c r="Q761" s="102"/>
      <c r="R761" s="102"/>
      <c r="S761" s="101"/>
    </row>
    <row r="762" spans="1:19" ht="43.2" x14ac:dyDescent="0.3">
      <c r="A762" t="s">
        <v>4239</v>
      </c>
      <c r="B762" t="s">
        <v>4527</v>
      </c>
      <c r="C762" s="90" t="s">
        <v>4528</v>
      </c>
      <c r="D762" t="s">
        <v>5562</v>
      </c>
      <c r="E762" s="101" t="s">
        <v>6132</v>
      </c>
      <c r="F762" t="str" cm="1">
        <f t="array" aca="1" ref="F762" ca="1">INDIRECT("'" &amp; A762 &amp; "'!" &amp; B762)</f>
        <v>v34</v>
      </c>
      <c r="G762" t="str" cm="1">
        <f t="array" aca="1" ref="G762" ca="1">INDIRECT("'" &amp; A762 &amp; "'!" &amp; ADDRESS(1, COLUMN(INDIRECT("'" &amp; A762 &amp; "'!" &amp; B762))))</f>
        <v>1973 - 1</v>
      </c>
      <c r="H762" t="str">
        <f ca="1">VLOOKUP($G762, survey_codes_dict!A:C, 2, FALSE)</f>
        <v>1973_1</v>
      </c>
      <c r="I762" s="102" t="str">
        <f ca="1">VLOOKUP($G762, survey_codes_dict!A:D, 4, FALSE)</f>
        <v>1969_2</v>
      </c>
      <c r="J762" s="102" t="str">
        <f t="shared" ca="1" si="22"/>
        <v>1973_1__v34</v>
      </c>
      <c r="K762" s="102" t="str">
        <f t="shared" ca="1" si="23"/>
        <v>1969_2__v34</v>
      </c>
      <c r="L762" s="102"/>
      <c r="M762" s="102"/>
      <c r="N762" s="102"/>
      <c r="O762" s="102"/>
      <c r="P762" s="102"/>
      <c r="Q762" s="102"/>
      <c r="R762" s="102"/>
      <c r="S762" s="101"/>
    </row>
    <row r="763" spans="1:19" ht="187.2" x14ac:dyDescent="0.3">
      <c r="A763" t="s">
        <v>4239</v>
      </c>
      <c r="B763" t="s">
        <v>4529</v>
      </c>
      <c r="C763" s="90" t="s">
        <v>4530</v>
      </c>
      <c r="D763" t="s">
        <v>5562</v>
      </c>
      <c r="E763" s="101" t="s">
        <v>6133</v>
      </c>
      <c r="F763" t="str" cm="1">
        <f t="array" aca="1" ref="F763" ca="1">INDIRECT("'" &amp; A763 &amp; "'!" &amp; B763)</f>
        <v>a27</v>
      </c>
      <c r="G763" t="str" cm="1">
        <f t="array" aca="1" ref="G763" ca="1">INDIRECT("'" &amp; A763 &amp; "'!" &amp; ADDRESS(1, COLUMN(INDIRECT("'" &amp; A763 &amp; "'!" &amp; B763))))</f>
        <v>1981 - 2</v>
      </c>
      <c r="H763">
        <f ca="1">VLOOKUP($G763, survey_codes_dict!A:C, 2, FALSE)</f>
        <v>0</v>
      </c>
      <c r="I763" s="102" t="str">
        <f ca="1">VLOOKUP($G763, survey_codes_dict!A:D, 4, FALSE)</f>
        <v>1981_1</v>
      </c>
      <c r="J763" s="102" t="str">
        <f t="shared" ca="1" si="22"/>
        <v>0__a27</v>
      </c>
      <c r="K763" s="102" t="str">
        <f t="shared" ca="1" si="23"/>
        <v>1981_1__a27</v>
      </c>
      <c r="L763" s="102"/>
      <c r="M763" s="102"/>
      <c r="N763" s="102"/>
      <c r="O763" s="102"/>
      <c r="P763" s="102"/>
      <c r="Q763" s="102"/>
      <c r="R763" s="102"/>
      <c r="S763" s="101"/>
    </row>
    <row r="764" spans="1:19" ht="43.2" x14ac:dyDescent="0.3">
      <c r="A764" t="s">
        <v>4239</v>
      </c>
      <c r="B764" t="s">
        <v>4531</v>
      </c>
      <c r="C764" s="90" t="s">
        <v>4532</v>
      </c>
      <c r="D764" t="s">
        <v>5562</v>
      </c>
      <c r="E764" s="101" t="s">
        <v>6134</v>
      </c>
      <c r="F764" t="str" cm="1">
        <f t="array" aca="1" ref="F764" ca="1">INDIRECT("'" &amp; A764 &amp; "'!" &amp; B764)</f>
        <v>ומה הדבר הנוסף העשוי לעזור?</v>
      </c>
      <c r="G764" t="str" cm="1">
        <f t="array" aca="1" ref="G764" ca="1">INDIRECT("'" &amp; A764 &amp; "'!" &amp; ADDRESS(1, COLUMN(INDIRECT("'" &amp; A764 &amp; "'!" &amp; B764))))</f>
        <v>שאלה</v>
      </c>
      <c r="H764" t="e">
        <f ca="1">VLOOKUP($G764, survey_codes_dict!A:C, 2, FALSE)</f>
        <v>#N/A</v>
      </c>
      <c r="I764" s="102" t="e">
        <f ca="1">VLOOKUP($G764, survey_codes_dict!A:D, 4, FALSE)</f>
        <v>#N/A</v>
      </c>
      <c r="J764" s="102" t="e">
        <f t="shared" ca="1" si="22"/>
        <v>#N/A</v>
      </c>
      <c r="K764" s="102" t="e">
        <f t="shared" ca="1" si="23"/>
        <v>#N/A</v>
      </c>
      <c r="L764" s="102"/>
      <c r="M764" s="102"/>
      <c r="N764" s="102"/>
      <c r="O764" s="102"/>
      <c r="P764" s="102"/>
      <c r="Q764" s="102"/>
      <c r="R764" s="102"/>
      <c r="S764" s="102"/>
    </row>
    <row r="765" spans="1:19" ht="201.6" x14ac:dyDescent="0.3">
      <c r="A765" t="s">
        <v>4239</v>
      </c>
      <c r="B765" t="s">
        <v>4533</v>
      </c>
      <c r="C765" s="90" t="s">
        <v>4534</v>
      </c>
      <c r="D765" t="s">
        <v>5562</v>
      </c>
      <c r="E765" s="101" t="s">
        <v>6135</v>
      </c>
      <c r="F765" t="str" cm="1">
        <f t="array" aca="1" ref="F765" ca="1">INDIRECT("'" &amp; A765 &amp; "'!" &amp; B765)</f>
        <v>a29</v>
      </c>
      <c r="G765" t="str" cm="1">
        <f t="array" aca="1" ref="G765" ca="1">INDIRECT("'" &amp; A765 &amp; "'!" &amp; ADDRESS(1, COLUMN(INDIRECT("'" &amp; A765 &amp; "'!" &amp; B765))))</f>
        <v>1981 - 2</v>
      </c>
      <c r="H765">
        <f ca="1">VLOOKUP($G765, survey_codes_dict!A:C, 2, FALSE)</f>
        <v>0</v>
      </c>
      <c r="I765" s="102" t="str">
        <f ca="1">VLOOKUP($G765, survey_codes_dict!A:D, 4, FALSE)</f>
        <v>1981_1</v>
      </c>
      <c r="J765" s="102" t="str">
        <f t="shared" ca="1" si="22"/>
        <v>0__a29</v>
      </c>
      <c r="K765" s="102" t="str">
        <f t="shared" ca="1" si="23"/>
        <v>1981_1__a29</v>
      </c>
      <c r="L765" s="102"/>
      <c r="M765" s="102"/>
      <c r="N765" s="102"/>
      <c r="O765" s="102"/>
      <c r="P765" s="102"/>
      <c r="Q765" s="102"/>
      <c r="R765" s="102"/>
      <c r="S765" s="101"/>
    </row>
    <row r="766" spans="1:19" ht="28.8" x14ac:dyDescent="0.3">
      <c r="A766" t="s">
        <v>4239</v>
      </c>
      <c r="B766" t="s">
        <v>4535</v>
      </c>
      <c r="C766" s="90" t="s">
        <v>4536</v>
      </c>
      <c r="D766" t="s">
        <v>5675</v>
      </c>
      <c r="E766" s="101" t="s">
        <v>5637</v>
      </c>
      <c r="F766" t="str" cm="1">
        <f t="array" aca="1" ref="F766" ca="1">INDIRECT("'" &amp; A766 &amp; "'!" &amp; B766)</f>
        <v>v35</v>
      </c>
      <c r="G766" t="str" cm="1">
        <f t="array" aca="1" ref="G766" ca="1">INDIRECT("'" &amp; A766 &amp; "'!" &amp; ADDRESS(1, COLUMN(INDIRECT("'" &amp; A766 &amp; "'!" &amp; B766))))</f>
        <v>1973 - 1</v>
      </c>
      <c r="H766" t="str">
        <f ca="1">VLOOKUP($G766, survey_codes_dict!A:C, 2, FALSE)</f>
        <v>1973_1</v>
      </c>
      <c r="I766" s="102" t="str">
        <f ca="1">VLOOKUP($G766, survey_codes_dict!A:D, 4, FALSE)</f>
        <v>1969_2</v>
      </c>
      <c r="J766" s="102" t="str">
        <f t="shared" ca="1" si="22"/>
        <v>1973_1__v35</v>
      </c>
      <c r="K766" s="102" t="str">
        <f t="shared" ca="1" si="23"/>
        <v>1969_2__v35</v>
      </c>
      <c r="L766" s="102"/>
      <c r="M766" s="102"/>
      <c r="N766" s="102"/>
      <c r="O766" s="102"/>
      <c r="P766" s="102"/>
      <c r="Q766" s="102"/>
      <c r="R766" s="102"/>
      <c r="S766" s="101"/>
    </row>
    <row r="767" spans="1:19" ht="28.8" x14ac:dyDescent="0.3">
      <c r="A767" t="s">
        <v>4239</v>
      </c>
      <c r="B767" t="s">
        <v>4537</v>
      </c>
      <c r="C767" s="90" t="s">
        <v>4538</v>
      </c>
      <c r="D767" t="s">
        <v>5671</v>
      </c>
      <c r="E767" s="101" t="s">
        <v>5638</v>
      </c>
      <c r="F767" t="str" cm="1">
        <f t="array" aca="1" ref="F767" ca="1">INDIRECT("'" &amp; A767 &amp; "'!" &amp; B767)</f>
        <v>ומתוך אותה רשימה, מה עוד עשוי לעזור?</v>
      </c>
      <c r="G767" t="str" cm="1">
        <f t="array" aca="1" ref="G767" ca="1">INDIRECT("'" &amp; A767 &amp; "'!" &amp; ADDRESS(1, COLUMN(INDIRECT("'" &amp; A767 &amp; "'!" &amp; B767))))</f>
        <v>שאלה</v>
      </c>
      <c r="H767" t="e">
        <f ca="1">VLOOKUP($G767, survey_codes_dict!A:C, 2, FALSE)</f>
        <v>#N/A</v>
      </c>
      <c r="I767" s="102" t="e">
        <f ca="1">VLOOKUP($G767, survey_codes_dict!A:D, 4, FALSE)</f>
        <v>#N/A</v>
      </c>
      <c r="J767" s="102" t="e">
        <f t="shared" ca="1" si="22"/>
        <v>#N/A</v>
      </c>
      <c r="K767" s="102" t="e">
        <f t="shared" ca="1" si="23"/>
        <v>#N/A</v>
      </c>
      <c r="L767" s="102"/>
      <c r="M767" s="102"/>
      <c r="N767" s="102"/>
      <c r="O767" s="102"/>
      <c r="P767" s="102"/>
      <c r="Q767" s="102"/>
      <c r="R767" s="102"/>
      <c r="S767" s="102"/>
    </row>
    <row r="768" spans="1:19" ht="86.4" x14ac:dyDescent="0.3">
      <c r="A768" t="s">
        <v>4239</v>
      </c>
      <c r="B768" t="s">
        <v>4539</v>
      </c>
      <c r="C768" s="90" t="s">
        <v>4540</v>
      </c>
      <c r="D768" t="s">
        <v>5562</v>
      </c>
      <c r="E768" s="101" t="s">
        <v>6136</v>
      </c>
      <c r="F768" t="str" cm="1">
        <f t="array" aca="1" ref="F768" ca="1">INDIRECT("'" &amp; A768 &amp; "'!" &amp; B768)</f>
        <v>v111</v>
      </c>
      <c r="G768" t="str" cm="1">
        <f t="array" aca="1" ref="G768" ca="1">INDIRECT("'" &amp; A768 &amp; "'!" &amp; ADDRESS(1, COLUMN(INDIRECT("'" &amp; A768 &amp; "'!" &amp; B768))))</f>
        <v>1981 - 1</v>
      </c>
      <c r="H768" t="str">
        <f ca="1">VLOOKUP($G768, survey_codes_dict!A:C, 2, FALSE)</f>
        <v>1981_1</v>
      </c>
      <c r="I768" s="102" t="str">
        <f ca="1">VLOOKUP($G768, survey_codes_dict!A:D, 4, FALSE)</f>
        <v>1977_4</v>
      </c>
      <c r="J768" s="102" t="str">
        <f t="shared" ca="1" si="22"/>
        <v>1981_1__v111</v>
      </c>
      <c r="K768" s="102" t="str">
        <f t="shared" ca="1" si="23"/>
        <v>1977_4__v111</v>
      </c>
      <c r="L768" s="102"/>
      <c r="M768" s="102"/>
      <c r="N768" s="102"/>
      <c r="O768" s="102"/>
      <c r="P768" s="102"/>
      <c r="Q768" s="102"/>
      <c r="R768" s="102"/>
      <c r="S768" s="101"/>
    </row>
    <row r="769" spans="1:19" ht="57.6" x14ac:dyDescent="0.3">
      <c r="A769" t="s">
        <v>4239</v>
      </c>
      <c r="B769" t="s">
        <v>4541</v>
      </c>
      <c r="C769" s="90" t="s">
        <v>4542</v>
      </c>
      <c r="D769" t="s">
        <v>5562</v>
      </c>
      <c r="E769" s="101" t="s">
        <v>6137</v>
      </c>
      <c r="F769" t="str" cm="1">
        <f t="array" aca="1" ref="F769" ca="1">INDIRECT("'" &amp; A769 &amp; "'!" &amp; B769)</f>
        <v>v119</v>
      </c>
      <c r="G769" t="str" cm="1">
        <f t="array" aca="1" ref="G769" ca="1">INDIRECT("'" &amp; A769 &amp; "'!" &amp; ADDRESS(1, COLUMN(INDIRECT("'" &amp; A769 &amp; "'!" &amp; B769))))</f>
        <v>1981 - 1</v>
      </c>
      <c r="H769" t="str">
        <f ca="1">VLOOKUP($G769, survey_codes_dict!A:C, 2, FALSE)</f>
        <v>1981_1</v>
      </c>
      <c r="I769" s="102" t="str">
        <f ca="1">VLOOKUP($G769, survey_codes_dict!A:D, 4, FALSE)</f>
        <v>1977_4</v>
      </c>
      <c r="J769" s="102" t="str">
        <f t="shared" ca="1" si="22"/>
        <v>1981_1__v119</v>
      </c>
      <c r="K769" s="102" t="str">
        <f t="shared" ca="1" si="23"/>
        <v>1977_4__v119</v>
      </c>
      <c r="L769" s="102"/>
      <c r="M769" s="102"/>
      <c r="N769" s="102"/>
      <c r="O769" s="102"/>
      <c r="P769" s="102"/>
      <c r="Q769" s="102"/>
      <c r="R769" s="102"/>
      <c r="S769" s="101"/>
    </row>
    <row r="770" spans="1:19" ht="72" x14ac:dyDescent="0.3">
      <c r="A770" t="s">
        <v>4239</v>
      </c>
      <c r="B770" t="s">
        <v>4543</v>
      </c>
      <c r="C770" s="90" t="s">
        <v>4544</v>
      </c>
      <c r="D770" t="s">
        <v>5562</v>
      </c>
      <c r="E770" s="101" t="s">
        <v>6138</v>
      </c>
      <c r="F770" t="str" cm="1">
        <f t="array" aca="1" ref="F770" ca="1">INDIRECT("'" &amp; A770 &amp; "'!" &amp; B770)</f>
        <v>v129</v>
      </c>
      <c r="G770" t="str" cm="1">
        <f t="array" aca="1" ref="G770" ca="1">INDIRECT("'" &amp; A770 &amp; "'!" &amp; ADDRESS(1, COLUMN(INDIRECT("'" &amp; A770 &amp; "'!" &amp; B770))))</f>
        <v>1981 - 1</v>
      </c>
      <c r="H770" t="str">
        <f ca="1">VLOOKUP($G770, survey_codes_dict!A:C, 2, FALSE)</f>
        <v>1981_1</v>
      </c>
      <c r="I770" s="102" t="str">
        <f ca="1">VLOOKUP($G770, survey_codes_dict!A:D, 4, FALSE)</f>
        <v>1977_4</v>
      </c>
      <c r="J770" s="102" t="str">
        <f t="shared" ref="J770:J833" ca="1" si="24">_xlfn.CONCAT($H770, "__", F770)</f>
        <v>1981_1__v129</v>
      </c>
      <c r="K770" s="102" t="str">
        <f t="shared" ref="K770:K833" ca="1" si="25">_xlfn.CONCAT($I770, "__", F770)</f>
        <v>1977_4__v129</v>
      </c>
      <c r="L770" s="102"/>
      <c r="M770" s="102"/>
      <c r="N770" s="102"/>
      <c r="O770" s="102"/>
      <c r="P770" s="102"/>
      <c r="Q770" s="102"/>
      <c r="R770" s="102"/>
      <c r="S770" s="101"/>
    </row>
    <row r="771" spans="1:19" ht="72" x14ac:dyDescent="0.3">
      <c r="A771" t="s">
        <v>4239</v>
      </c>
      <c r="B771" t="s">
        <v>4545</v>
      </c>
      <c r="C771" s="90" t="s">
        <v>4546</v>
      </c>
      <c r="D771" t="s">
        <v>5562</v>
      </c>
      <c r="E771" s="101" t="s">
        <v>6139</v>
      </c>
      <c r="F771" t="str" cm="1">
        <f t="array" aca="1" ref="F771" ca="1">INDIRECT("'" &amp; A771 &amp; "'!" &amp; B771)</f>
        <v>v132</v>
      </c>
      <c r="G771" t="str" cm="1">
        <f t="array" aca="1" ref="G771" ca="1">INDIRECT("'" &amp; A771 &amp; "'!" &amp; ADDRESS(1, COLUMN(INDIRECT("'" &amp; A771 &amp; "'!" &amp; B771))))</f>
        <v>1981 - 1</v>
      </c>
      <c r="H771" t="str">
        <f ca="1">VLOOKUP($G771, survey_codes_dict!A:C, 2, FALSE)</f>
        <v>1981_1</v>
      </c>
      <c r="I771" s="102" t="str">
        <f ca="1">VLOOKUP($G771, survey_codes_dict!A:D, 4, FALSE)</f>
        <v>1977_4</v>
      </c>
      <c r="J771" s="102" t="str">
        <f t="shared" ca="1" si="24"/>
        <v>1981_1__v132</v>
      </c>
      <c r="K771" s="102" t="str">
        <f t="shared" ca="1" si="25"/>
        <v>1977_4__v132</v>
      </c>
      <c r="L771" s="102"/>
      <c r="M771" s="102"/>
      <c r="N771" s="102"/>
      <c r="O771" s="102"/>
      <c r="P771" s="102"/>
      <c r="Q771" s="102"/>
      <c r="R771" s="102"/>
      <c r="S771" s="101"/>
    </row>
    <row r="772" spans="1:19" ht="144" x14ac:dyDescent="0.3">
      <c r="A772" t="s">
        <v>4239</v>
      </c>
      <c r="B772" t="s">
        <v>4547</v>
      </c>
      <c r="C772" s="90" t="s">
        <v>4548</v>
      </c>
      <c r="D772" t="s">
        <v>5562</v>
      </c>
      <c r="E772" s="101" t="s">
        <v>6140</v>
      </c>
      <c r="F772" t="str" cm="1">
        <f t="array" aca="1" ref="F772" ca="1">INDIRECT("'" &amp; A772 &amp; "'!" &amp; B772)</f>
        <v>c8</v>
      </c>
      <c r="G772" t="str" cm="1">
        <f t="array" aca="1" ref="G772" ca="1">INDIRECT("'" &amp; A772 &amp; "'!" &amp; ADDRESS(1, COLUMN(INDIRECT("'" &amp; A772 &amp; "'!" &amp; B772))))</f>
        <v>1977 - 4</v>
      </c>
      <c r="H772" t="str">
        <f ca="1">VLOOKUP($G772, survey_codes_dict!A:C, 2, FALSE)</f>
        <v>1977_4</v>
      </c>
      <c r="I772" s="102" t="str">
        <f ca="1">VLOOKUP($G772, survey_codes_dict!A:D, 4, FALSE)</f>
        <v>1977_3</v>
      </c>
      <c r="J772" s="102" t="str">
        <f t="shared" ca="1" si="24"/>
        <v>1977_4__c8</v>
      </c>
      <c r="K772" s="102" t="str">
        <f t="shared" ca="1" si="25"/>
        <v>1977_3__c8</v>
      </c>
      <c r="L772" s="102"/>
      <c r="M772" s="102"/>
      <c r="N772" s="102"/>
      <c r="O772" s="102"/>
      <c r="P772" s="102"/>
      <c r="Q772" s="102"/>
      <c r="R772" s="102"/>
      <c r="S772" s="101"/>
    </row>
    <row r="773" spans="1:19" ht="144" x14ac:dyDescent="0.3">
      <c r="A773" t="s">
        <v>4239</v>
      </c>
      <c r="B773" t="s">
        <v>4549</v>
      </c>
      <c r="C773" s="90" t="s">
        <v>3584</v>
      </c>
      <c r="D773" t="s">
        <v>5562</v>
      </c>
      <c r="E773" s="101" t="s">
        <v>5791</v>
      </c>
      <c r="F773" t="str" cm="1">
        <f t="array" aca="1" ref="F773" ca="1">INDIRECT("'" &amp; A773 &amp; "'!" &amp; B773)</f>
        <v>c9</v>
      </c>
      <c r="G773" t="str" cm="1">
        <f t="array" aca="1" ref="G773" ca="1">INDIRECT("'" &amp; A773 &amp; "'!" &amp; ADDRESS(1, COLUMN(INDIRECT("'" &amp; A773 &amp; "'!" &amp; B773))))</f>
        <v>1977 - 4</v>
      </c>
      <c r="H773" t="str">
        <f ca="1">VLOOKUP($G773, survey_codes_dict!A:C, 2, FALSE)</f>
        <v>1977_4</v>
      </c>
      <c r="I773" s="102" t="str">
        <f ca="1">VLOOKUP($G773, survey_codes_dict!A:D, 4, FALSE)</f>
        <v>1977_3</v>
      </c>
      <c r="J773" s="102" t="str">
        <f t="shared" ca="1" si="24"/>
        <v>1977_4__c9</v>
      </c>
      <c r="K773" s="102" t="str">
        <f t="shared" ca="1" si="25"/>
        <v>1977_3__c9</v>
      </c>
      <c r="L773" s="102"/>
      <c r="M773" s="102"/>
      <c r="N773" s="102"/>
      <c r="O773" s="102"/>
      <c r="P773" s="102"/>
      <c r="Q773" s="102"/>
      <c r="R773" s="102"/>
      <c r="S773" s="101"/>
    </row>
    <row r="774" spans="1:19" ht="72" x14ac:dyDescent="0.3">
      <c r="A774" t="s">
        <v>4239</v>
      </c>
      <c r="B774" t="s">
        <v>4550</v>
      </c>
      <c r="C774" s="90" t="s">
        <v>4551</v>
      </c>
      <c r="D774" t="s">
        <v>5562</v>
      </c>
      <c r="E774" s="101" t="s">
        <v>6141</v>
      </c>
      <c r="F774" t="str" cm="1">
        <f t="array" aca="1" ref="F774" ca="1">INDIRECT("'" &amp; A774 &amp; "'!" &amp; B774)</f>
        <v>c12</v>
      </c>
      <c r="G774" t="str" cm="1">
        <f t="array" aca="1" ref="G774" ca="1">INDIRECT("'" &amp; A774 &amp; "'!" &amp; ADDRESS(1, COLUMN(INDIRECT("'" &amp; A774 &amp; "'!" &amp; B774))))</f>
        <v>1977 - 4</v>
      </c>
      <c r="H774" t="str">
        <f ca="1">VLOOKUP($G774, survey_codes_dict!A:C, 2, FALSE)</f>
        <v>1977_4</v>
      </c>
      <c r="I774" s="102" t="str">
        <f ca="1">VLOOKUP($G774, survey_codes_dict!A:D, 4, FALSE)</f>
        <v>1977_3</v>
      </c>
      <c r="J774" s="102" t="str">
        <f t="shared" ca="1" si="24"/>
        <v>1977_4__c12</v>
      </c>
      <c r="K774" s="102" t="str">
        <f t="shared" ca="1" si="25"/>
        <v>1977_3__c12</v>
      </c>
      <c r="L774" s="102"/>
      <c r="M774" s="102"/>
      <c r="N774" s="102"/>
      <c r="O774" s="102"/>
      <c r="P774" s="102"/>
      <c r="Q774" s="102"/>
      <c r="R774" s="102"/>
      <c r="S774" s="101"/>
    </row>
    <row r="775" spans="1:19" ht="72" x14ac:dyDescent="0.3">
      <c r="A775" t="s">
        <v>4239</v>
      </c>
      <c r="B775" t="s">
        <v>4552</v>
      </c>
      <c r="C775" s="90" t="s">
        <v>4553</v>
      </c>
      <c r="D775" t="s">
        <v>5562</v>
      </c>
      <c r="E775" s="101" t="s">
        <v>6142</v>
      </c>
      <c r="F775" t="str" cm="1">
        <f t="array" aca="1" ref="F775" ca="1">INDIRECT("'" &amp; A775 &amp; "'!" &amp; B775)</f>
        <v>v17</v>
      </c>
      <c r="G775" t="str" cm="1">
        <f t="array" aca="1" ref="G775" ca="1">INDIRECT("'" &amp; A775 &amp; "'!" &amp; ADDRESS(1, COLUMN(INDIRECT("'" &amp; A775 &amp; "'!" &amp; B775))))</f>
        <v>1977 - 1</v>
      </c>
      <c r="H775" t="str">
        <f ca="1">VLOOKUP($G775, survey_codes_dict!A:C, 2, FALSE)</f>
        <v>1977_1</v>
      </c>
      <c r="I775" s="102" t="str">
        <f ca="1">VLOOKUP($G775, survey_codes_dict!A:D, 4, FALSE)</f>
        <v>1973_5</v>
      </c>
      <c r="J775" s="102" t="str">
        <f t="shared" ca="1" si="24"/>
        <v>1977_1__v17</v>
      </c>
      <c r="K775" s="102" t="str">
        <f t="shared" ca="1" si="25"/>
        <v>1973_5__v17</v>
      </c>
      <c r="L775" s="102"/>
      <c r="M775" s="102"/>
      <c r="N775" s="102"/>
      <c r="O775" s="102"/>
      <c r="P775" s="102"/>
      <c r="Q775" s="102"/>
      <c r="R775" s="102"/>
      <c r="S775" s="101"/>
    </row>
    <row r="776" spans="1:19" ht="72" x14ac:dyDescent="0.3">
      <c r="A776" t="s">
        <v>4239</v>
      </c>
      <c r="B776" t="s">
        <v>4554</v>
      </c>
      <c r="C776" s="90" t="s">
        <v>3925</v>
      </c>
      <c r="D776" t="s">
        <v>5562</v>
      </c>
      <c r="E776" s="101" t="s">
        <v>5925</v>
      </c>
      <c r="F776" t="str" cm="1">
        <f t="array" aca="1" ref="F776" ca="1">INDIRECT("'" &amp; A776 &amp; "'!" &amp; B776)</f>
        <v>v47</v>
      </c>
      <c r="G776" t="str" cm="1">
        <f t="array" aca="1" ref="G776" ca="1">INDIRECT("'" &amp; A776 &amp; "'!" &amp; ADDRESS(1, COLUMN(INDIRECT("'" &amp; A776 &amp; "'!" &amp; B776))))</f>
        <v>1973 - 1</v>
      </c>
      <c r="H776" t="str">
        <f ca="1">VLOOKUP($G776, survey_codes_dict!A:C, 2, FALSE)</f>
        <v>1973_1</v>
      </c>
      <c r="I776" s="102" t="str">
        <f ca="1">VLOOKUP($G776, survey_codes_dict!A:D, 4, FALSE)</f>
        <v>1969_2</v>
      </c>
      <c r="J776" s="102" t="str">
        <f t="shared" ca="1" si="24"/>
        <v>1973_1__v47</v>
      </c>
      <c r="K776" s="102" t="str">
        <f t="shared" ca="1" si="25"/>
        <v>1969_2__v47</v>
      </c>
      <c r="L776" s="102"/>
      <c r="M776" s="102"/>
      <c r="N776" s="102"/>
      <c r="O776" s="102"/>
      <c r="P776" s="102"/>
      <c r="Q776" s="102"/>
      <c r="R776" s="102"/>
      <c r="S776" s="101"/>
    </row>
    <row r="777" spans="1:19" ht="115.2" x14ac:dyDescent="0.3">
      <c r="A777" t="s">
        <v>4239</v>
      </c>
      <c r="B777" t="s">
        <v>4555</v>
      </c>
      <c r="C777" s="90" t="s">
        <v>4556</v>
      </c>
      <c r="D777" t="s">
        <v>5562</v>
      </c>
      <c r="E777" s="101" t="s">
        <v>6143</v>
      </c>
      <c r="F777" t="str" cm="1">
        <f t="array" aca="1" ref="F777" ca="1">INDIRECT("'" &amp; A777 &amp; "'!" &amp; B777)</f>
        <v>v87</v>
      </c>
      <c r="G777" t="str" cm="1">
        <f t="array" aca="1" ref="G777" ca="1">INDIRECT("'" &amp; A777 &amp; "'!" &amp; ADDRESS(1, COLUMN(INDIRECT("'" &amp; A777 &amp; "'!" &amp; B777))))</f>
        <v>1977 - 1</v>
      </c>
      <c r="H777" t="str">
        <f ca="1">VLOOKUP($G777, survey_codes_dict!A:C, 2, FALSE)</f>
        <v>1977_1</v>
      </c>
      <c r="I777" s="102" t="str">
        <f ca="1">VLOOKUP($G777, survey_codes_dict!A:D, 4, FALSE)</f>
        <v>1973_5</v>
      </c>
      <c r="J777" s="102" t="str">
        <f t="shared" ca="1" si="24"/>
        <v>1977_1__v87</v>
      </c>
      <c r="K777" s="102" t="str">
        <f t="shared" ca="1" si="25"/>
        <v>1973_5__v87</v>
      </c>
      <c r="L777" s="102"/>
      <c r="M777" s="102"/>
      <c r="N777" s="102"/>
      <c r="O777" s="102"/>
      <c r="P777" s="102"/>
      <c r="Q777" s="102"/>
      <c r="R777" s="102"/>
      <c r="S777" s="101"/>
    </row>
    <row r="778" spans="1:19" ht="72" x14ac:dyDescent="0.3">
      <c r="A778" t="s">
        <v>4239</v>
      </c>
      <c r="B778" t="s">
        <v>4557</v>
      </c>
      <c r="C778" s="90" t="s">
        <v>4558</v>
      </c>
      <c r="D778" t="s">
        <v>5562</v>
      </c>
      <c r="E778" s="101" t="s">
        <v>6144</v>
      </c>
      <c r="F778" t="str" cm="1">
        <f t="array" aca="1" ref="F778" ca="1">INDIRECT("'" &amp; A778 &amp; "'!" &amp; B778)</f>
        <v>b44</v>
      </c>
      <c r="G778" t="str" cm="1">
        <f t="array" aca="1" ref="G778" ca="1">INDIRECT("'" &amp; A778 &amp; "'!" &amp; ADDRESS(1, COLUMN(INDIRECT("'" &amp; A778 &amp; "'!" &amp; B778))))</f>
        <v>1969 - 2</v>
      </c>
      <c r="H778" t="str">
        <f ca="1">VLOOKUP($G778, survey_codes_dict!A:C, 2, FALSE)</f>
        <v>1969_2</v>
      </c>
      <c r="I778" s="102" t="str">
        <f ca="1">VLOOKUP($G778, survey_codes_dict!A:D, 4, FALSE)</f>
        <v>1969_1</v>
      </c>
      <c r="J778" s="102" t="str">
        <f t="shared" ca="1" si="24"/>
        <v>1969_2__b44</v>
      </c>
      <c r="K778" s="102" t="str">
        <f t="shared" ca="1" si="25"/>
        <v>1969_1__b44</v>
      </c>
      <c r="L778" s="102"/>
      <c r="M778" s="102"/>
      <c r="N778" s="102"/>
      <c r="O778" s="102"/>
      <c r="P778" s="102"/>
      <c r="Q778" s="102"/>
      <c r="R778" s="102"/>
      <c r="S778" s="101"/>
    </row>
    <row r="779" spans="1:19" ht="144" x14ac:dyDescent="0.3">
      <c r="A779" t="s">
        <v>4239</v>
      </c>
      <c r="B779" t="s">
        <v>4559</v>
      </c>
      <c r="C779" s="90" t="s">
        <v>4560</v>
      </c>
      <c r="D779" t="s">
        <v>5562</v>
      </c>
      <c r="E779" s="101" t="s">
        <v>6145</v>
      </c>
      <c r="F779" t="str" cm="1">
        <f t="array" aca="1" ref="F779" ca="1">INDIRECT("'" &amp; A779 &amp; "'!" &amp; B779)</f>
        <v>v88</v>
      </c>
      <c r="G779" t="str" cm="1">
        <f t="array" aca="1" ref="G779" ca="1">INDIRECT("'" &amp; A779 &amp; "'!" &amp; ADDRESS(1, COLUMN(INDIRECT("'" &amp; A779 &amp; "'!" &amp; B779))))</f>
        <v>1977 - 1</v>
      </c>
      <c r="H779" t="str">
        <f ca="1">VLOOKUP($G779, survey_codes_dict!A:C, 2, FALSE)</f>
        <v>1977_1</v>
      </c>
      <c r="I779" s="102" t="str">
        <f ca="1">VLOOKUP($G779, survey_codes_dict!A:D, 4, FALSE)</f>
        <v>1973_5</v>
      </c>
      <c r="J779" s="102" t="str">
        <f t="shared" ca="1" si="24"/>
        <v>1977_1__v88</v>
      </c>
      <c r="K779" s="102" t="str">
        <f t="shared" ca="1" si="25"/>
        <v>1973_5__v88</v>
      </c>
      <c r="L779" s="102"/>
      <c r="M779" s="102"/>
      <c r="N779" s="102"/>
      <c r="O779" s="102"/>
      <c r="P779" s="102"/>
      <c r="Q779" s="102"/>
      <c r="R779" s="102"/>
      <c r="S779" s="101"/>
    </row>
    <row r="780" spans="1:19" ht="72" x14ac:dyDescent="0.3">
      <c r="A780" t="s">
        <v>4239</v>
      </c>
      <c r="B780" t="s">
        <v>4561</v>
      </c>
      <c r="C780" s="90" t="s">
        <v>4562</v>
      </c>
      <c r="D780" t="s">
        <v>5562</v>
      </c>
      <c r="E780" s="101" t="s">
        <v>6146</v>
      </c>
      <c r="F780" t="str" cm="1">
        <f t="array" aca="1" ref="F780" ca="1">INDIRECT("'" &amp; A780 &amp; "'!" &amp; B780)</f>
        <v>b46</v>
      </c>
      <c r="G780" t="str" cm="1">
        <f t="array" aca="1" ref="G780" ca="1">INDIRECT("'" &amp; A780 &amp; "'!" &amp; ADDRESS(1, COLUMN(INDIRECT("'" &amp; A780 &amp; "'!" &amp; B780))))</f>
        <v>1969 - 2</v>
      </c>
      <c r="H780" t="str">
        <f ca="1">VLOOKUP($G780, survey_codes_dict!A:C, 2, FALSE)</f>
        <v>1969_2</v>
      </c>
      <c r="I780" s="102" t="str">
        <f ca="1">VLOOKUP($G780, survey_codes_dict!A:D, 4, FALSE)</f>
        <v>1969_1</v>
      </c>
      <c r="J780" s="102" t="str">
        <f t="shared" ca="1" si="24"/>
        <v>1969_2__b46</v>
      </c>
      <c r="K780" s="102" t="str">
        <f t="shared" ca="1" si="25"/>
        <v>1969_1__b46</v>
      </c>
      <c r="L780" s="102"/>
      <c r="M780" s="102"/>
      <c r="N780" s="102"/>
      <c r="O780" s="102"/>
      <c r="P780" s="102"/>
      <c r="Q780" s="102"/>
      <c r="R780" s="102"/>
      <c r="S780" s="101"/>
    </row>
    <row r="781" spans="1:19" ht="57.6" x14ac:dyDescent="0.3">
      <c r="A781" t="s">
        <v>4239</v>
      </c>
      <c r="B781" t="s">
        <v>4563</v>
      </c>
      <c r="C781" s="90" t="s">
        <v>4564</v>
      </c>
      <c r="D781" t="s">
        <v>5562</v>
      </c>
      <c r="E781" s="101" t="s">
        <v>6147</v>
      </c>
      <c r="F781" t="str" cm="1">
        <f t="array" aca="1" ref="F781" ca="1">INDIRECT("'" &amp; A781 &amp; "'!" &amp; B781)</f>
        <v>v108</v>
      </c>
      <c r="G781" t="str" cm="1">
        <f t="array" aca="1" ref="G781" ca="1">INDIRECT("'" &amp; A781 &amp; "'!" &amp; ADDRESS(1, COLUMN(INDIRECT("'" &amp; A781 &amp; "'!" &amp; B781))))</f>
        <v>1977 - 1</v>
      </c>
      <c r="H781" t="str">
        <f ca="1">VLOOKUP($G781, survey_codes_dict!A:C, 2, FALSE)</f>
        <v>1977_1</v>
      </c>
      <c r="I781" s="102" t="str">
        <f ca="1">VLOOKUP($G781, survey_codes_dict!A:D, 4, FALSE)</f>
        <v>1973_5</v>
      </c>
      <c r="J781" s="102" t="str">
        <f t="shared" ca="1" si="24"/>
        <v>1977_1__v108</v>
      </c>
      <c r="K781" s="102" t="str">
        <f t="shared" ca="1" si="25"/>
        <v>1973_5__v108</v>
      </c>
      <c r="L781" s="102"/>
      <c r="M781" s="102"/>
      <c r="N781" s="102"/>
      <c r="O781" s="102"/>
      <c r="P781" s="102"/>
      <c r="Q781" s="102"/>
      <c r="R781" s="102"/>
      <c r="S781" s="101"/>
    </row>
    <row r="782" spans="1:19" ht="72" x14ac:dyDescent="0.3">
      <c r="A782" t="s">
        <v>4239</v>
      </c>
      <c r="B782" t="s">
        <v>4565</v>
      </c>
      <c r="C782" s="90" t="s">
        <v>4566</v>
      </c>
      <c r="D782" t="s">
        <v>5562</v>
      </c>
      <c r="E782" s="101" t="s">
        <v>6148</v>
      </c>
      <c r="F782" t="str" cm="1">
        <f t="array" aca="1" ref="F782" ca="1">INDIRECT("'" &amp; A782 &amp; "'!" &amp; B782)</f>
        <v>h26</v>
      </c>
      <c r="G782" t="str" cm="1">
        <f t="array" aca="1" ref="G782" ca="1">INDIRECT("'" &amp; A782 &amp; "'!" &amp; ADDRESS(1, COLUMN(INDIRECT("'" &amp; A782 &amp; "'!" &amp; B782))))</f>
        <v>1973 - 5</v>
      </c>
      <c r="H782" t="str">
        <f ca="1">VLOOKUP($G782, survey_codes_dict!A:C, 2, FALSE)</f>
        <v>1973_5</v>
      </c>
      <c r="I782" s="102" t="str">
        <f ca="1">VLOOKUP($G782, survey_codes_dict!A:D, 4, FALSE)</f>
        <v>1973_4</v>
      </c>
      <c r="J782" s="102" t="str">
        <f t="shared" ca="1" si="24"/>
        <v>1973_5__h26</v>
      </c>
      <c r="K782" s="102" t="str">
        <f t="shared" ca="1" si="25"/>
        <v>1973_4__h26</v>
      </c>
      <c r="L782" s="102"/>
      <c r="M782" s="102"/>
      <c r="N782" s="102"/>
      <c r="O782" s="102"/>
      <c r="P782" s="102"/>
      <c r="Q782" s="102"/>
      <c r="R782" s="102"/>
      <c r="S782" s="101"/>
    </row>
    <row r="783" spans="1:19" ht="57.6" x14ac:dyDescent="0.3">
      <c r="A783" t="s">
        <v>4239</v>
      </c>
      <c r="B783" t="s">
        <v>4567</v>
      </c>
      <c r="C783" s="90" t="s">
        <v>4568</v>
      </c>
      <c r="D783" t="s">
        <v>5562</v>
      </c>
      <c r="E783" s="101" t="s">
        <v>6149</v>
      </c>
      <c r="F783" t="str" cm="1">
        <f t="array" aca="1" ref="F783" ca="1">INDIRECT("'" &amp; A783 &amp; "'!" &amp; B783)</f>
        <v>h27</v>
      </c>
      <c r="G783" t="str" cm="1">
        <f t="array" aca="1" ref="G783" ca="1">INDIRECT("'" &amp; A783 &amp; "'!" &amp; ADDRESS(1, COLUMN(INDIRECT("'" &amp; A783 &amp; "'!" &amp; B783))))</f>
        <v>1973 - 5</v>
      </c>
      <c r="H783" t="str">
        <f ca="1">VLOOKUP($G783, survey_codes_dict!A:C, 2, FALSE)</f>
        <v>1973_5</v>
      </c>
      <c r="I783" s="102" t="str">
        <f ca="1">VLOOKUP($G783, survey_codes_dict!A:D, 4, FALSE)</f>
        <v>1973_4</v>
      </c>
      <c r="J783" s="102" t="str">
        <f t="shared" ca="1" si="24"/>
        <v>1973_5__h27</v>
      </c>
      <c r="K783" s="102" t="str">
        <f t="shared" ca="1" si="25"/>
        <v>1973_4__h27</v>
      </c>
      <c r="L783" s="102"/>
      <c r="M783" s="102"/>
      <c r="N783" s="102"/>
      <c r="O783" s="102"/>
      <c r="P783" s="102"/>
      <c r="Q783" s="102"/>
      <c r="R783" s="102"/>
      <c r="S783" s="101"/>
    </row>
    <row r="784" spans="1:19" ht="57.6" x14ac:dyDescent="0.3">
      <c r="A784" t="s">
        <v>4239</v>
      </c>
      <c r="B784" t="s">
        <v>4569</v>
      </c>
      <c r="C784" s="90" t="s">
        <v>4570</v>
      </c>
      <c r="D784" t="s">
        <v>5562</v>
      </c>
      <c r="E784" s="101" t="s">
        <v>6150</v>
      </c>
      <c r="F784" t="str" cm="1">
        <f t="array" aca="1" ref="F784" ca="1">INDIRECT("'" &amp; A784 &amp; "'!" &amp; B784)</f>
        <v>f25</v>
      </c>
      <c r="G784" t="str" cm="1">
        <f t="array" aca="1" ref="G784" ca="1">INDIRECT("'" &amp; A784 &amp; "'!" &amp; ADDRESS(1, COLUMN(INDIRECT("'" &amp; A784 &amp; "'!" &amp; B784))))</f>
        <v>1973 - 3</v>
      </c>
      <c r="H784" t="str">
        <f ca="1">VLOOKUP($G784, survey_codes_dict!A:C, 2, FALSE)</f>
        <v>1973_3</v>
      </c>
      <c r="I784" s="102" t="str">
        <f ca="1">VLOOKUP($G784, survey_codes_dict!A:D, 4, FALSE)</f>
        <v>1973_2</v>
      </c>
      <c r="J784" s="102" t="str">
        <f t="shared" ca="1" si="24"/>
        <v>1973_3__f25</v>
      </c>
      <c r="K784" s="102" t="str">
        <f t="shared" ca="1" si="25"/>
        <v>1973_2__f25</v>
      </c>
      <c r="L784" s="102"/>
      <c r="M784" s="102"/>
      <c r="N784" s="102"/>
      <c r="O784" s="102"/>
      <c r="P784" s="102"/>
      <c r="Q784" s="102"/>
      <c r="R784" s="102"/>
      <c r="S784" s="101"/>
    </row>
    <row r="785" spans="1:19" ht="72" x14ac:dyDescent="0.3">
      <c r="A785" t="s">
        <v>4239</v>
      </c>
      <c r="B785" t="s">
        <v>4571</v>
      </c>
      <c r="C785" s="90" t="s">
        <v>4572</v>
      </c>
      <c r="D785" t="s">
        <v>5562</v>
      </c>
      <c r="E785" s="101" t="s">
        <v>6151</v>
      </c>
      <c r="F785" t="str" cm="1">
        <f t="array" aca="1" ref="F785" ca="1">INDIRECT("'" &amp; A785 &amp; "'!" &amp; B785)</f>
        <v>h30</v>
      </c>
      <c r="G785" t="str" cm="1">
        <f t="array" aca="1" ref="G785" ca="1">INDIRECT("'" &amp; A785 &amp; "'!" &amp; ADDRESS(1, COLUMN(INDIRECT("'" &amp; A785 &amp; "'!" &amp; B785))))</f>
        <v>1973 - 5</v>
      </c>
      <c r="H785" t="str">
        <f ca="1">VLOOKUP($G785, survey_codes_dict!A:C, 2, FALSE)</f>
        <v>1973_5</v>
      </c>
      <c r="I785" s="102" t="str">
        <f ca="1">VLOOKUP($G785, survey_codes_dict!A:D, 4, FALSE)</f>
        <v>1973_4</v>
      </c>
      <c r="J785" s="102" t="str">
        <f t="shared" ca="1" si="24"/>
        <v>1973_5__h30</v>
      </c>
      <c r="K785" s="102" t="str">
        <f t="shared" ca="1" si="25"/>
        <v>1973_4__h30</v>
      </c>
      <c r="L785" s="102"/>
      <c r="M785" s="102"/>
      <c r="N785" s="102"/>
      <c r="O785" s="102"/>
      <c r="P785" s="102"/>
      <c r="Q785" s="102"/>
      <c r="R785" s="102"/>
      <c r="S785" s="101"/>
    </row>
    <row r="786" spans="1:19" ht="72" x14ac:dyDescent="0.3">
      <c r="A786" t="s">
        <v>4239</v>
      </c>
      <c r="B786" t="s">
        <v>4573</v>
      </c>
      <c r="C786" s="90" t="s">
        <v>3778</v>
      </c>
      <c r="D786" t="s">
        <v>5562</v>
      </c>
      <c r="E786" s="101" t="s">
        <v>5869</v>
      </c>
      <c r="F786" t="str" cm="1">
        <f t="array" aca="1" ref="F786" ca="1">INDIRECT("'" &amp; A786 &amp; "'!" &amp; B786)</f>
        <v>h31</v>
      </c>
      <c r="G786" t="str" cm="1">
        <f t="array" aca="1" ref="G786" ca="1">INDIRECT("'" &amp; A786 &amp; "'!" &amp; ADDRESS(1, COLUMN(INDIRECT("'" &amp; A786 &amp; "'!" &amp; B786))))</f>
        <v>1973 - 5</v>
      </c>
      <c r="H786" t="str">
        <f ca="1">VLOOKUP($G786, survey_codes_dict!A:C, 2, FALSE)</f>
        <v>1973_5</v>
      </c>
      <c r="I786" s="102" t="str">
        <f ca="1">VLOOKUP($G786, survey_codes_dict!A:D, 4, FALSE)</f>
        <v>1973_4</v>
      </c>
      <c r="J786" s="102" t="str">
        <f t="shared" ca="1" si="24"/>
        <v>1973_5__h31</v>
      </c>
      <c r="K786" s="102" t="str">
        <f t="shared" ca="1" si="25"/>
        <v>1973_4__h31</v>
      </c>
      <c r="L786" s="102"/>
      <c r="M786" s="102"/>
      <c r="N786" s="102"/>
      <c r="O786" s="102"/>
      <c r="P786" s="102"/>
      <c r="Q786" s="102"/>
      <c r="R786" s="102"/>
      <c r="S786" s="101"/>
    </row>
    <row r="787" spans="1:19" ht="216" x14ac:dyDescent="0.3">
      <c r="A787" t="s">
        <v>4239</v>
      </c>
      <c r="B787" t="s">
        <v>4574</v>
      </c>
      <c r="C787" s="90" t="s">
        <v>4575</v>
      </c>
      <c r="D787" t="s">
        <v>5562</v>
      </c>
      <c r="E787" s="101" t="s">
        <v>6152</v>
      </c>
      <c r="F787" t="str" cm="1">
        <f t="array" aca="1" ref="F787" ca="1">INDIRECT("'" &amp; A787 &amp; "'!" &amp; B787)</f>
        <v>h32</v>
      </c>
      <c r="G787" t="str" cm="1">
        <f t="array" aca="1" ref="G787" ca="1">INDIRECT("'" &amp; A787 &amp; "'!" &amp; ADDRESS(1, COLUMN(INDIRECT("'" &amp; A787 &amp; "'!" &amp; B787))))</f>
        <v>1973 - 5</v>
      </c>
      <c r="H787" t="str">
        <f ca="1">VLOOKUP($G787, survey_codes_dict!A:C, 2, FALSE)</f>
        <v>1973_5</v>
      </c>
      <c r="I787" s="102" t="str">
        <f ca="1">VLOOKUP($G787, survey_codes_dict!A:D, 4, FALSE)</f>
        <v>1973_4</v>
      </c>
      <c r="J787" s="102" t="str">
        <f t="shared" ca="1" si="24"/>
        <v>1973_5__h32</v>
      </c>
      <c r="K787" s="102" t="str">
        <f t="shared" ca="1" si="25"/>
        <v>1973_4__h32</v>
      </c>
      <c r="L787" s="102"/>
      <c r="M787" s="102"/>
      <c r="N787" s="102"/>
      <c r="O787" s="102"/>
      <c r="P787" s="102"/>
      <c r="Q787" s="102"/>
      <c r="R787" s="102"/>
      <c r="S787" s="101"/>
    </row>
    <row r="788" spans="1:19" ht="187.2" x14ac:dyDescent="0.3">
      <c r="A788" t="s">
        <v>4239</v>
      </c>
      <c r="B788" t="s">
        <v>4576</v>
      </c>
      <c r="C788" s="90" t="s">
        <v>4577</v>
      </c>
      <c r="D788" t="s">
        <v>5562</v>
      </c>
      <c r="E788" s="101" t="s">
        <v>6153</v>
      </c>
      <c r="F788" t="str" cm="1">
        <f t="array" aca="1" ref="F788" ca="1">INDIRECT("'" &amp; A788 &amp; "'!" &amp; B788)</f>
        <v>v13</v>
      </c>
      <c r="G788" t="str" cm="1">
        <f t="array" aca="1" ref="G788" ca="1">INDIRECT("'" &amp; A788 &amp; "'!" &amp; ADDRESS(1, COLUMN(INDIRECT("'" &amp; A788 &amp; "'!" &amp; B788))))</f>
        <v>1973 - 1</v>
      </c>
      <c r="H788" t="str">
        <f ca="1">VLOOKUP($G788, survey_codes_dict!A:C, 2, FALSE)</f>
        <v>1973_1</v>
      </c>
      <c r="I788" s="102" t="str">
        <f ca="1">VLOOKUP($G788, survey_codes_dict!A:D, 4, FALSE)</f>
        <v>1969_2</v>
      </c>
      <c r="J788" s="102" t="str">
        <f t="shared" ca="1" si="24"/>
        <v>1973_1__v13</v>
      </c>
      <c r="K788" s="102" t="str">
        <f t="shared" ca="1" si="25"/>
        <v>1969_2__v13</v>
      </c>
      <c r="L788" s="102"/>
      <c r="M788" s="102"/>
      <c r="N788" s="102"/>
      <c r="O788" s="102"/>
      <c r="P788" s="102"/>
      <c r="Q788" s="102"/>
      <c r="R788" s="102"/>
      <c r="S788" s="101"/>
    </row>
    <row r="789" spans="1:19" ht="57.6" x14ac:dyDescent="0.3">
      <c r="A789" t="s">
        <v>4239</v>
      </c>
      <c r="B789" t="s">
        <v>4578</v>
      </c>
      <c r="C789" s="90" t="s">
        <v>4579</v>
      </c>
      <c r="D789" t="s">
        <v>5562</v>
      </c>
      <c r="E789" s="101" t="s">
        <v>6154</v>
      </c>
      <c r="F789" t="str" cm="1">
        <f t="array" aca="1" ref="F789" ca="1">INDIRECT("'" &amp; A789 &amp; "'!" &amp; B789)</f>
        <v>b49</v>
      </c>
      <c r="G789" t="str" cm="1">
        <f t="array" aca="1" ref="G789" ca="1">INDIRECT("'" &amp; A789 &amp; "'!" &amp; ADDRESS(1, COLUMN(INDIRECT("'" &amp; A789 &amp; "'!" &amp; B789))))</f>
        <v>1969 - 2</v>
      </c>
      <c r="H789" t="str">
        <f ca="1">VLOOKUP($G789, survey_codes_dict!A:C, 2, FALSE)</f>
        <v>1969_2</v>
      </c>
      <c r="I789" s="102" t="str">
        <f ca="1">VLOOKUP($G789, survey_codes_dict!A:D, 4, FALSE)</f>
        <v>1969_1</v>
      </c>
      <c r="J789" s="102" t="str">
        <f t="shared" ca="1" si="24"/>
        <v>1969_2__b49</v>
      </c>
      <c r="K789" s="102" t="str">
        <f t="shared" ca="1" si="25"/>
        <v>1969_1__b49</v>
      </c>
      <c r="L789" s="102"/>
      <c r="M789" s="102"/>
      <c r="N789" s="102"/>
      <c r="O789" s="102"/>
      <c r="P789" s="102"/>
      <c r="Q789" s="102"/>
      <c r="R789" s="102"/>
      <c r="S789" s="101"/>
    </row>
    <row r="790" spans="1:19" ht="28.8" x14ac:dyDescent="0.3">
      <c r="A790" t="s">
        <v>4239</v>
      </c>
      <c r="B790" t="s">
        <v>4580</v>
      </c>
      <c r="C790" s="90" t="s">
        <v>4581</v>
      </c>
      <c r="D790" t="s">
        <v>5660</v>
      </c>
      <c r="E790" s="101" t="s">
        <v>6155</v>
      </c>
      <c r="F790" t="str" cm="1">
        <f t="array" aca="1" ref="F790" ca="1">INDIRECT("'" &amp; A790 &amp; "'!" &amp; B790)</f>
        <v>c8</v>
      </c>
      <c r="G790" t="str" cm="1">
        <f t="array" aca="1" ref="G790" ca="1">INDIRECT("'" &amp; A790 &amp; "'!" &amp; ADDRESS(1, COLUMN(INDIRECT("'" &amp; A790 &amp; "'!" &amp; B790))))</f>
        <v>1969 - 3</v>
      </c>
      <c r="H790" t="e">
        <f ca="1">VLOOKUP($G790, survey_codes_dict!A:C, 2, FALSE)</f>
        <v>#N/A</v>
      </c>
      <c r="I790" s="102" t="e">
        <f ca="1">VLOOKUP($G790, survey_codes_dict!A:D, 4, FALSE)</f>
        <v>#N/A</v>
      </c>
      <c r="J790" s="102" t="e">
        <f t="shared" ca="1" si="24"/>
        <v>#N/A</v>
      </c>
      <c r="K790" s="102" t="e">
        <f t="shared" ca="1" si="25"/>
        <v>#N/A</v>
      </c>
      <c r="L790" s="102"/>
      <c r="M790" s="102"/>
      <c r="N790" s="102"/>
      <c r="O790" s="102"/>
      <c r="P790" s="102"/>
      <c r="Q790" s="102"/>
      <c r="R790" s="102"/>
      <c r="S790" s="101"/>
    </row>
    <row r="791" spans="1:19" ht="115.2" x14ac:dyDescent="0.3">
      <c r="A791" t="s">
        <v>4239</v>
      </c>
      <c r="B791" t="s">
        <v>4582</v>
      </c>
      <c r="C791" s="90" t="s">
        <v>4583</v>
      </c>
      <c r="D791" t="s">
        <v>5562</v>
      </c>
      <c r="E791" s="101" t="s">
        <v>6156</v>
      </c>
      <c r="F791" t="str" cm="1">
        <f t="array" aca="1" ref="F791" ca="1">INDIRECT("'" &amp; A791 &amp; "'!" &amp; B791)</f>
        <v>c4</v>
      </c>
      <c r="G791" t="str" cm="1">
        <f t="array" aca="1" ref="G791" ca="1">INDIRECT("'" &amp; A791 &amp; "'!" &amp; ADDRESS(1, COLUMN(INDIRECT("'" &amp; A791 &amp; "'!" &amp; B791))))</f>
        <v>1969 - 3</v>
      </c>
      <c r="H791" t="e">
        <f ca="1">VLOOKUP($G791, survey_codes_dict!A:C, 2, FALSE)</f>
        <v>#N/A</v>
      </c>
      <c r="I791" s="102" t="e">
        <f ca="1">VLOOKUP($G791, survey_codes_dict!A:D, 4, FALSE)</f>
        <v>#N/A</v>
      </c>
      <c r="J791" s="102" t="e">
        <f t="shared" ca="1" si="24"/>
        <v>#N/A</v>
      </c>
      <c r="K791" s="102" t="e">
        <f t="shared" ca="1" si="25"/>
        <v>#N/A</v>
      </c>
      <c r="L791" s="102"/>
      <c r="M791" s="102"/>
      <c r="N791" s="102"/>
      <c r="O791" s="102"/>
      <c r="P791" s="102"/>
      <c r="Q791" s="102"/>
      <c r="R791" s="102"/>
      <c r="S791" s="101"/>
    </row>
    <row r="792" spans="1:19" ht="100.8" x14ac:dyDescent="0.3">
      <c r="A792" t="s">
        <v>4239</v>
      </c>
      <c r="B792" t="s">
        <v>4584</v>
      </c>
      <c r="C792" s="90" t="s">
        <v>4585</v>
      </c>
      <c r="D792" t="s">
        <v>5562</v>
      </c>
      <c r="E792" s="101" t="s">
        <v>6157</v>
      </c>
      <c r="F792" t="str" cm="1">
        <f t="array" aca="1" ref="F792" ca="1">INDIRECT("'" &amp; A792 &amp; "'!" &amp; B792)</f>
        <v>c5</v>
      </c>
      <c r="G792" t="str" cm="1">
        <f t="array" aca="1" ref="G792" ca="1">INDIRECT("'" &amp; A792 &amp; "'!" &amp; ADDRESS(1, COLUMN(INDIRECT("'" &amp; A792 &amp; "'!" &amp; B792))))</f>
        <v>1969 - 3</v>
      </c>
      <c r="H792" t="e">
        <f ca="1">VLOOKUP($G792, survey_codes_dict!A:C, 2, FALSE)</f>
        <v>#N/A</v>
      </c>
      <c r="I792" s="102" t="e">
        <f ca="1">VLOOKUP($G792, survey_codes_dict!A:D, 4, FALSE)</f>
        <v>#N/A</v>
      </c>
      <c r="J792" s="102" t="e">
        <f t="shared" ca="1" si="24"/>
        <v>#N/A</v>
      </c>
      <c r="K792" s="102" t="e">
        <f t="shared" ca="1" si="25"/>
        <v>#N/A</v>
      </c>
      <c r="L792" s="102"/>
      <c r="M792" s="102"/>
      <c r="N792" s="102"/>
      <c r="O792" s="102"/>
      <c r="P792" s="102"/>
      <c r="Q792" s="102"/>
      <c r="R792" s="102"/>
      <c r="S792" s="101"/>
    </row>
    <row r="793" spans="1:19" ht="115.2" x14ac:dyDescent="0.3">
      <c r="A793" t="s">
        <v>4239</v>
      </c>
      <c r="B793" t="s">
        <v>4586</v>
      </c>
      <c r="C793" s="90" t="s">
        <v>4587</v>
      </c>
      <c r="D793" t="s">
        <v>5562</v>
      </c>
      <c r="E793" s="101" t="s">
        <v>6158</v>
      </c>
      <c r="F793" t="str" cm="1">
        <f t="array" aca="1" ref="F793" ca="1">INDIRECT("'" &amp; A793 &amp; "'!" &amp; B793)</f>
        <v>h55</v>
      </c>
      <c r="G793" t="str" cm="1">
        <f t="array" aca="1" ref="G793" ca="1">INDIRECT("'" &amp; A793 &amp; "'!" &amp; ADDRESS(1, COLUMN(INDIRECT("'" &amp; A793 &amp; "'!" &amp; B793))))</f>
        <v>1973 - 5</v>
      </c>
      <c r="H793" t="str">
        <f ca="1">VLOOKUP($G793, survey_codes_dict!A:C, 2, FALSE)</f>
        <v>1973_5</v>
      </c>
      <c r="I793" s="102" t="str">
        <f ca="1">VLOOKUP($G793, survey_codes_dict!A:D, 4, FALSE)</f>
        <v>1973_4</v>
      </c>
      <c r="J793" s="102" t="str">
        <f t="shared" ca="1" si="24"/>
        <v>1973_5__h55</v>
      </c>
      <c r="K793" s="102" t="str">
        <f t="shared" ca="1" si="25"/>
        <v>1973_4__h55</v>
      </c>
      <c r="L793" s="102"/>
      <c r="M793" s="102"/>
      <c r="N793" s="102"/>
      <c r="O793" s="102"/>
      <c r="P793" s="102"/>
      <c r="Q793" s="102"/>
      <c r="R793" s="102"/>
      <c r="S793" s="101"/>
    </row>
    <row r="794" spans="1:19" ht="115.2" x14ac:dyDescent="0.3">
      <c r="A794" t="s">
        <v>4239</v>
      </c>
      <c r="B794" t="s">
        <v>4588</v>
      </c>
      <c r="C794" s="90" t="s">
        <v>4589</v>
      </c>
      <c r="D794" t="s">
        <v>5562</v>
      </c>
      <c r="E794" s="101" t="s">
        <v>6159</v>
      </c>
      <c r="F794" t="str" cm="1">
        <f t="array" aca="1" ref="F794" ca="1">INDIRECT("'" &amp; A794 &amp; "'!" &amp; B794)</f>
        <v>b54</v>
      </c>
      <c r="G794" t="str" cm="1">
        <f t="array" aca="1" ref="G794" ca="1">INDIRECT("'" &amp; A794 &amp; "'!" &amp; ADDRESS(1, COLUMN(INDIRECT("'" &amp; A794 &amp; "'!" &amp; B794))))</f>
        <v>1969 - 3</v>
      </c>
      <c r="H794" t="e">
        <f ca="1">VLOOKUP($G794, survey_codes_dict!A:C, 2, FALSE)</f>
        <v>#N/A</v>
      </c>
      <c r="I794" s="102" t="e">
        <f ca="1">VLOOKUP($G794, survey_codes_dict!A:D, 4, FALSE)</f>
        <v>#N/A</v>
      </c>
      <c r="J794" s="102" t="e">
        <f t="shared" ca="1" si="24"/>
        <v>#N/A</v>
      </c>
      <c r="K794" s="102" t="e">
        <f t="shared" ca="1" si="25"/>
        <v>#N/A</v>
      </c>
      <c r="L794" s="102"/>
      <c r="M794" s="102"/>
      <c r="N794" s="102"/>
      <c r="O794" s="102"/>
      <c r="P794" s="102"/>
      <c r="Q794" s="102"/>
      <c r="R794" s="102"/>
      <c r="S794" s="101"/>
    </row>
    <row r="795" spans="1:19" ht="86.4" x14ac:dyDescent="0.3">
      <c r="A795" t="s">
        <v>4239</v>
      </c>
      <c r="B795" t="s">
        <v>4590</v>
      </c>
      <c r="C795" s="90" t="s">
        <v>4591</v>
      </c>
      <c r="D795" t="s">
        <v>5562</v>
      </c>
      <c r="E795" s="101" t="s">
        <v>6160</v>
      </c>
      <c r="F795" t="str" cm="1">
        <f t="array" aca="1" ref="F795" ca="1">INDIRECT("'" &amp; A795 &amp; "'!" &amp; B795)</f>
        <v>g28</v>
      </c>
      <c r="G795" t="str" cm="1">
        <f t="array" aca="1" ref="G795" ca="1">INDIRECT("'" &amp; A795 &amp; "'!" &amp; ADDRESS(1, COLUMN(INDIRECT("'" &amp; A795 &amp; "'!" &amp; B795))))</f>
        <v>1973 - 4</v>
      </c>
      <c r="H795" t="str">
        <f ca="1">VLOOKUP($G795, survey_codes_dict!A:C, 2, FALSE)</f>
        <v>1973_4</v>
      </c>
      <c r="I795" s="102" t="str">
        <f ca="1">VLOOKUP($G795, survey_codes_dict!A:D, 4, FALSE)</f>
        <v>1973_3</v>
      </c>
      <c r="J795" s="102" t="str">
        <f t="shared" ca="1" si="24"/>
        <v>1973_4__g28</v>
      </c>
      <c r="K795" s="102" t="str">
        <f t="shared" ca="1" si="25"/>
        <v>1973_3__g28</v>
      </c>
      <c r="L795" s="102"/>
      <c r="M795" s="102"/>
      <c r="N795" s="102"/>
      <c r="O795" s="102"/>
      <c r="P795" s="102"/>
      <c r="Q795" s="102"/>
      <c r="R795" s="102"/>
      <c r="S795" s="101"/>
    </row>
    <row r="796" spans="1:19" ht="86.4" x14ac:dyDescent="0.3">
      <c r="A796" t="s">
        <v>4239</v>
      </c>
      <c r="B796" t="s">
        <v>4592</v>
      </c>
      <c r="C796" s="90" t="s">
        <v>4593</v>
      </c>
      <c r="D796" t="s">
        <v>5562</v>
      </c>
      <c r="E796" s="101" t="s">
        <v>6161</v>
      </c>
      <c r="F796" t="str" cm="1">
        <f t="array" aca="1" ref="F796" ca="1">INDIRECT("'" &amp; A796 &amp; "'!" &amp; B796)</f>
        <v>g29</v>
      </c>
      <c r="G796" t="str" cm="1">
        <f t="array" aca="1" ref="G796" ca="1">INDIRECT("'" &amp; A796 &amp; "'!" &amp; ADDRESS(1, COLUMN(INDIRECT("'" &amp; A796 &amp; "'!" &amp; B796))))</f>
        <v>1973 - 4</v>
      </c>
      <c r="H796" t="str">
        <f ca="1">VLOOKUP($G796, survey_codes_dict!A:C, 2, FALSE)</f>
        <v>1973_4</v>
      </c>
      <c r="I796" s="102" t="str">
        <f ca="1">VLOOKUP($G796, survey_codes_dict!A:D, 4, FALSE)</f>
        <v>1973_3</v>
      </c>
      <c r="J796" s="102" t="str">
        <f t="shared" ca="1" si="24"/>
        <v>1973_4__g29</v>
      </c>
      <c r="K796" s="102" t="str">
        <f t="shared" ca="1" si="25"/>
        <v>1973_3__g29</v>
      </c>
      <c r="L796" s="102"/>
      <c r="M796" s="102"/>
      <c r="N796" s="102"/>
      <c r="O796" s="102"/>
      <c r="P796" s="102"/>
      <c r="Q796" s="102"/>
      <c r="R796" s="102"/>
      <c r="S796" s="101"/>
    </row>
    <row r="797" spans="1:19" ht="28.8" x14ac:dyDescent="0.3">
      <c r="A797" t="s">
        <v>4239</v>
      </c>
      <c r="B797" t="s">
        <v>4594</v>
      </c>
      <c r="C797" s="90" t="s">
        <v>3706</v>
      </c>
      <c r="D797" t="s">
        <v>5663</v>
      </c>
      <c r="E797" s="101" t="s">
        <v>5576</v>
      </c>
      <c r="F797" t="str" cm="1">
        <f t="array" aca="1" ref="F797" ca="1">INDIRECT("'" &amp; A797 &amp; "'!" &amp; B797)</f>
        <v>האם את מתחשבת ברצונו של בעלך בהחלטתך בעד מי להצביע?</v>
      </c>
      <c r="G797" t="str" cm="1">
        <f t="array" aca="1" ref="G797" ca="1">INDIRECT("'" &amp; A797 &amp; "'!" &amp; ADDRESS(1, COLUMN(INDIRECT("'" &amp; A797 &amp; "'!" &amp; B797))))</f>
        <v>שאלה</v>
      </c>
      <c r="H797" t="e">
        <f ca="1">VLOOKUP($G797, survey_codes_dict!A:C, 2, FALSE)</f>
        <v>#N/A</v>
      </c>
      <c r="I797" s="102" t="e">
        <f ca="1">VLOOKUP($G797, survey_codes_dict!A:D, 4, FALSE)</f>
        <v>#N/A</v>
      </c>
      <c r="J797" s="102" t="e">
        <f t="shared" ca="1" si="24"/>
        <v>#N/A</v>
      </c>
      <c r="K797" s="102" t="e">
        <f t="shared" ca="1" si="25"/>
        <v>#N/A</v>
      </c>
      <c r="L797" s="102"/>
      <c r="M797" s="102"/>
      <c r="N797" s="102"/>
      <c r="O797" s="102"/>
      <c r="P797" s="102"/>
      <c r="Q797" s="102"/>
      <c r="R797" s="102"/>
      <c r="S797" s="102"/>
    </row>
    <row r="798" spans="1:19" ht="129.6" x14ac:dyDescent="0.3">
      <c r="A798" t="s">
        <v>4239</v>
      </c>
      <c r="B798" t="s">
        <v>4595</v>
      </c>
      <c r="C798" s="90" t="s">
        <v>4596</v>
      </c>
      <c r="D798" t="s">
        <v>5562</v>
      </c>
      <c r="E798" s="101" t="s">
        <v>6162</v>
      </c>
      <c r="F798" t="str" cm="1">
        <f t="array" aca="1" ref="F798" ca="1">INDIRECT("'" &amp; A798 &amp; "'!" &amp; B798)</f>
        <v>g30</v>
      </c>
      <c r="G798" t="str" cm="1">
        <f t="array" aca="1" ref="G798" ca="1">INDIRECT("'" &amp; A798 &amp; "'!" &amp; ADDRESS(1, COLUMN(INDIRECT("'" &amp; A798 &amp; "'!" &amp; B798))))</f>
        <v>1973 - 4</v>
      </c>
      <c r="H798" t="str">
        <f ca="1">VLOOKUP($G798, survey_codes_dict!A:C, 2, FALSE)</f>
        <v>1973_4</v>
      </c>
      <c r="I798" s="102" t="str">
        <f ca="1">VLOOKUP($G798, survey_codes_dict!A:D, 4, FALSE)</f>
        <v>1973_3</v>
      </c>
      <c r="J798" s="102" t="str">
        <f t="shared" ca="1" si="24"/>
        <v>1973_4__g30</v>
      </c>
      <c r="K798" s="102" t="str">
        <f t="shared" ca="1" si="25"/>
        <v>1973_3__g30</v>
      </c>
      <c r="L798" s="102"/>
      <c r="M798" s="102"/>
      <c r="N798" s="102"/>
      <c r="O798" s="102"/>
      <c r="P798" s="102"/>
      <c r="Q798" s="102"/>
      <c r="R798" s="102"/>
      <c r="S798" s="101"/>
    </row>
    <row r="799" spans="1:19" ht="72" x14ac:dyDescent="0.3">
      <c r="A799" t="s">
        <v>4239</v>
      </c>
      <c r="B799" t="s">
        <v>4597</v>
      </c>
      <c r="C799" s="90" t="s">
        <v>3712</v>
      </c>
      <c r="D799" t="s">
        <v>5562</v>
      </c>
      <c r="E799" s="101" t="s">
        <v>5848</v>
      </c>
      <c r="F799" t="str" cm="1">
        <f t="array" aca="1" ref="F799" ca="1">INDIRECT("'" &amp; A799 &amp; "'!" &amp; B799)</f>
        <v>g36</v>
      </c>
      <c r="G799" t="str" cm="1">
        <f t="array" aca="1" ref="G799" ca="1">INDIRECT("'" &amp; A799 &amp; "'!" &amp; ADDRESS(1, COLUMN(INDIRECT("'" &amp; A799 &amp; "'!" &amp; B799))))</f>
        <v>1973 - 4</v>
      </c>
      <c r="H799" t="str">
        <f ca="1">VLOOKUP($G799, survey_codes_dict!A:C, 2, FALSE)</f>
        <v>1973_4</v>
      </c>
      <c r="I799" s="102" t="str">
        <f ca="1">VLOOKUP($G799, survey_codes_dict!A:D, 4, FALSE)</f>
        <v>1973_3</v>
      </c>
      <c r="J799" s="102" t="str">
        <f t="shared" ca="1" si="24"/>
        <v>1973_4__g36</v>
      </c>
      <c r="K799" s="102" t="str">
        <f t="shared" ca="1" si="25"/>
        <v>1973_3__g36</v>
      </c>
      <c r="L799" s="102"/>
      <c r="M799" s="102"/>
      <c r="N799" s="102"/>
      <c r="O799" s="102"/>
      <c r="P799" s="102"/>
      <c r="Q799" s="102"/>
      <c r="R799" s="102"/>
      <c r="S799" s="101"/>
    </row>
    <row r="800" spans="1:19" ht="57.6" x14ac:dyDescent="0.3">
      <c r="A800" t="s">
        <v>4239</v>
      </c>
      <c r="B800" t="s">
        <v>4598</v>
      </c>
      <c r="C800" s="90" t="s">
        <v>4599</v>
      </c>
      <c r="D800" t="s">
        <v>5562</v>
      </c>
      <c r="E800" s="101" t="s">
        <v>6163</v>
      </c>
      <c r="F800" t="str" cm="1">
        <f t="array" aca="1" ref="F800" ca="1">INDIRECT("'" &amp; A800 &amp; "'!" &amp; B800)</f>
        <v>g42</v>
      </c>
      <c r="G800" t="str" cm="1">
        <f t="array" aca="1" ref="G800" ca="1">INDIRECT("'" &amp; A800 &amp; "'!" &amp; ADDRESS(1, COLUMN(INDIRECT("'" &amp; A800 &amp; "'!" &amp; B800))))</f>
        <v>1973 - 4</v>
      </c>
      <c r="H800" t="str">
        <f ca="1">VLOOKUP($G800, survey_codes_dict!A:C, 2, FALSE)</f>
        <v>1973_4</v>
      </c>
      <c r="I800" s="102" t="str">
        <f ca="1">VLOOKUP($G800, survey_codes_dict!A:D, 4, FALSE)</f>
        <v>1973_3</v>
      </c>
      <c r="J800" s="102" t="str">
        <f t="shared" ca="1" si="24"/>
        <v>1973_4__g42</v>
      </c>
      <c r="K800" s="102" t="str">
        <f t="shared" ca="1" si="25"/>
        <v>1973_3__g42</v>
      </c>
      <c r="L800" s="102"/>
      <c r="M800" s="102"/>
      <c r="N800" s="102"/>
      <c r="O800" s="102"/>
      <c r="P800" s="102"/>
      <c r="Q800" s="102"/>
      <c r="R800" s="102"/>
      <c r="S800" s="101"/>
    </row>
    <row r="801" spans="1:19" ht="72" x14ac:dyDescent="0.3">
      <c r="A801" t="s">
        <v>4239</v>
      </c>
      <c r="B801" t="s">
        <v>4600</v>
      </c>
      <c r="C801" s="90" t="s">
        <v>4601</v>
      </c>
      <c r="D801" t="s">
        <v>5562</v>
      </c>
      <c r="E801" s="101" t="s">
        <v>6164</v>
      </c>
      <c r="F801" t="str" cm="1">
        <f t="array" aca="1" ref="F801" ca="1">INDIRECT("'" &amp; A801 &amp; "'!" &amp; B801)</f>
        <v>c17</v>
      </c>
      <c r="G801" t="str" cm="1">
        <f t="array" aca="1" ref="G801" ca="1">INDIRECT("'" &amp; A801 &amp; "'!" &amp; ADDRESS(1, COLUMN(INDIRECT("'" &amp; A801 &amp; "'!" &amp; B801))))</f>
        <v>1969 - 3</v>
      </c>
      <c r="H801" t="e">
        <f ca="1">VLOOKUP($G801, survey_codes_dict!A:C, 2, FALSE)</f>
        <v>#N/A</v>
      </c>
      <c r="I801" s="102" t="e">
        <f ca="1">VLOOKUP($G801, survey_codes_dict!A:D, 4, FALSE)</f>
        <v>#N/A</v>
      </c>
      <c r="J801" s="102" t="e">
        <f t="shared" ca="1" si="24"/>
        <v>#N/A</v>
      </c>
      <c r="K801" s="102" t="e">
        <f t="shared" ca="1" si="25"/>
        <v>#N/A</v>
      </c>
      <c r="L801" s="102"/>
      <c r="M801" s="102"/>
      <c r="N801" s="102"/>
      <c r="O801" s="102"/>
      <c r="P801" s="102"/>
      <c r="Q801" s="102"/>
      <c r="R801" s="102"/>
      <c r="S801" s="101"/>
    </row>
    <row r="802" spans="1:19" ht="72" x14ac:dyDescent="0.3">
      <c r="A802" t="s">
        <v>4239</v>
      </c>
      <c r="B802" t="s">
        <v>4602</v>
      </c>
      <c r="C802" s="90" t="s">
        <v>4603</v>
      </c>
      <c r="D802" t="s">
        <v>5562</v>
      </c>
      <c r="E802" s="101" t="s">
        <v>6165</v>
      </c>
      <c r="F802" t="str" cm="1">
        <f t="array" aca="1" ref="F802" ca="1">INDIRECT("'" &amp; A802 &amp; "'!" &amp; B802)</f>
        <v>g44</v>
      </c>
      <c r="G802" t="str" cm="1">
        <f t="array" aca="1" ref="G802" ca="1">INDIRECT("'" &amp; A802 &amp; "'!" &amp; ADDRESS(1, COLUMN(INDIRECT("'" &amp; A802 &amp; "'!" &amp; B802))))</f>
        <v>1973 - 4</v>
      </c>
      <c r="H802" t="str">
        <f ca="1">VLOOKUP($G802, survey_codes_dict!A:C, 2, FALSE)</f>
        <v>1973_4</v>
      </c>
      <c r="I802" s="102" t="str">
        <f ca="1">VLOOKUP($G802, survey_codes_dict!A:D, 4, FALSE)</f>
        <v>1973_3</v>
      </c>
      <c r="J802" s="102" t="str">
        <f t="shared" ca="1" si="24"/>
        <v>1973_4__g44</v>
      </c>
      <c r="K802" s="102" t="str">
        <f t="shared" ca="1" si="25"/>
        <v>1973_3__g44</v>
      </c>
      <c r="L802" s="102"/>
      <c r="M802" s="102"/>
      <c r="N802" s="102"/>
      <c r="O802" s="102"/>
      <c r="P802" s="102"/>
      <c r="Q802" s="102"/>
      <c r="R802" s="102"/>
      <c r="S802" s="101"/>
    </row>
    <row r="803" spans="1:19" ht="43.2" x14ac:dyDescent="0.3">
      <c r="A803" t="s">
        <v>4239</v>
      </c>
      <c r="B803" t="s">
        <v>4604</v>
      </c>
      <c r="C803" s="90" t="s">
        <v>4605</v>
      </c>
      <c r="D803" t="s">
        <v>5562</v>
      </c>
      <c r="E803" s="101" t="s">
        <v>6166</v>
      </c>
      <c r="F803" t="str" cm="1">
        <f t="array" aca="1" ref="F803" ca="1">INDIRECT("'" &amp; A803 &amp; "'!" &amp; B803)</f>
        <v>g45</v>
      </c>
      <c r="G803" t="str" cm="1">
        <f t="array" aca="1" ref="G803" ca="1">INDIRECT("'" &amp; A803 &amp; "'!" &amp; ADDRESS(1, COLUMN(INDIRECT("'" &amp; A803 &amp; "'!" &amp; B803))))</f>
        <v>1973 - 4</v>
      </c>
      <c r="H803" t="str">
        <f ca="1">VLOOKUP($G803, survey_codes_dict!A:C, 2, FALSE)</f>
        <v>1973_4</v>
      </c>
      <c r="I803" s="102" t="str">
        <f ca="1">VLOOKUP($G803, survey_codes_dict!A:D, 4, FALSE)</f>
        <v>1973_3</v>
      </c>
      <c r="J803" s="102" t="str">
        <f t="shared" ca="1" si="24"/>
        <v>1973_4__g45</v>
      </c>
      <c r="K803" s="102" t="str">
        <f t="shared" ca="1" si="25"/>
        <v>1973_3__g45</v>
      </c>
      <c r="L803" s="102"/>
      <c r="M803" s="102"/>
      <c r="N803" s="102"/>
      <c r="O803" s="102"/>
      <c r="P803" s="102"/>
      <c r="Q803" s="102"/>
      <c r="R803" s="102"/>
      <c r="S803" s="101"/>
    </row>
    <row r="804" spans="1:19" ht="57.6" x14ac:dyDescent="0.3">
      <c r="A804" t="s">
        <v>4239</v>
      </c>
      <c r="B804" t="s">
        <v>4606</v>
      </c>
      <c r="C804" s="90" t="s">
        <v>4607</v>
      </c>
      <c r="D804" t="s">
        <v>5562</v>
      </c>
      <c r="E804" s="101" t="s">
        <v>6167</v>
      </c>
      <c r="F804" t="str" cm="1">
        <f t="array" aca="1" ref="F804" ca="1">INDIRECT("'" &amp; A804 &amp; "'!" &amp; B804)</f>
        <v>f26</v>
      </c>
      <c r="G804" t="str" cm="1">
        <f t="array" aca="1" ref="G804" ca="1">INDIRECT("'" &amp; A804 &amp; "'!" &amp; ADDRESS(1, COLUMN(INDIRECT("'" &amp; A804 &amp; "'!" &amp; B804))))</f>
        <v>1973 - 3</v>
      </c>
      <c r="H804" t="str">
        <f ca="1">VLOOKUP($G804, survey_codes_dict!A:C, 2, FALSE)</f>
        <v>1973_3</v>
      </c>
      <c r="I804" s="102" t="str">
        <f ca="1">VLOOKUP($G804, survey_codes_dict!A:D, 4, FALSE)</f>
        <v>1973_2</v>
      </c>
      <c r="J804" s="102" t="str">
        <f t="shared" ca="1" si="24"/>
        <v>1973_3__f26</v>
      </c>
      <c r="K804" s="102" t="str">
        <f t="shared" ca="1" si="25"/>
        <v>1973_2__f26</v>
      </c>
      <c r="L804" s="102"/>
      <c r="M804" s="102"/>
      <c r="N804" s="102"/>
      <c r="O804" s="102"/>
      <c r="P804" s="102"/>
      <c r="Q804" s="102"/>
      <c r="R804" s="102"/>
      <c r="S804" s="101"/>
    </row>
    <row r="805" spans="1:19" ht="72" x14ac:dyDescent="0.3">
      <c r="A805" t="s">
        <v>4239</v>
      </c>
      <c r="B805" t="s">
        <v>4608</v>
      </c>
      <c r="C805" s="90" t="s">
        <v>3712</v>
      </c>
      <c r="D805" t="s">
        <v>5562</v>
      </c>
      <c r="E805" s="101" t="s">
        <v>5848</v>
      </c>
      <c r="F805" t="str" cm="1">
        <f t="array" aca="1" ref="F805" ca="1">INDIRECT("'" &amp; A805 &amp; "'!" &amp; B805)</f>
        <v>e9</v>
      </c>
      <c r="G805" t="str" cm="1">
        <f t="array" aca="1" ref="G805" ca="1">INDIRECT("'" &amp; A805 &amp; "'!" &amp; ADDRESS(1, COLUMN(INDIRECT("'" &amp; A805 &amp; "'!" &amp; B805))))</f>
        <v>1973 - 2</v>
      </c>
      <c r="H805" t="str">
        <f ca="1">VLOOKUP($G805, survey_codes_dict!A:C, 2, FALSE)</f>
        <v>1973_2</v>
      </c>
      <c r="I805" s="102" t="str">
        <f ca="1">VLOOKUP($G805, survey_codes_dict!A:D, 4, FALSE)</f>
        <v>1973_1</v>
      </c>
      <c r="J805" s="102" t="str">
        <f t="shared" ca="1" si="24"/>
        <v>1973_2__e9</v>
      </c>
      <c r="K805" s="102" t="str">
        <f t="shared" ca="1" si="25"/>
        <v>1973_1__e9</v>
      </c>
      <c r="L805" s="102"/>
      <c r="M805" s="102"/>
      <c r="N805" s="102"/>
      <c r="O805" s="102"/>
      <c r="P805" s="102"/>
      <c r="Q805" s="102"/>
      <c r="R805" s="102"/>
      <c r="S805" s="101"/>
    </row>
    <row r="806" spans="1:19" ht="43.2" x14ac:dyDescent="0.3">
      <c r="A806" t="s">
        <v>4239</v>
      </c>
      <c r="B806" t="s">
        <v>4609</v>
      </c>
      <c r="C806" s="90" t="s">
        <v>3383</v>
      </c>
      <c r="D806" t="s">
        <v>5562</v>
      </c>
      <c r="E806" s="101" t="s">
        <v>5706</v>
      </c>
      <c r="F806" t="str" cm="1">
        <f t="array" aca="1" ref="F806" ca="1">INDIRECT("'" &amp; A806 &amp; "'!" &amp; B806)</f>
        <v>c35</v>
      </c>
      <c r="G806" t="str" cm="1">
        <f t="array" aca="1" ref="G806" ca="1">INDIRECT("'" &amp; A806 &amp; "'!" &amp; ADDRESS(1, COLUMN(INDIRECT("'" &amp; A806 &amp; "'!" &amp; B806))))</f>
        <v>1973 - 2</v>
      </c>
      <c r="H806" t="str">
        <f ca="1">VLOOKUP($G806, survey_codes_dict!A:C, 2, FALSE)</f>
        <v>1973_2</v>
      </c>
      <c r="I806" s="102" t="str">
        <f ca="1">VLOOKUP($G806, survey_codes_dict!A:D, 4, FALSE)</f>
        <v>1973_1</v>
      </c>
      <c r="J806" s="102" t="str">
        <f t="shared" ca="1" si="24"/>
        <v>1973_2__c35</v>
      </c>
      <c r="K806" s="102" t="str">
        <f t="shared" ca="1" si="25"/>
        <v>1973_1__c35</v>
      </c>
      <c r="L806" s="102"/>
      <c r="M806" s="102"/>
      <c r="N806" s="102"/>
      <c r="O806" s="102"/>
      <c r="P806" s="102"/>
      <c r="Q806" s="102"/>
      <c r="R806" s="102"/>
      <c r="S806" s="101"/>
    </row>
    <row r="807" spans="1:19" ht="28.8" x14ac:dyDescent="0.3">
      <c r="A807" t="s">
        <v>4239</v>
      </c>
      <c r="B807" t="s">
        <v>4610</v>
      </c>
      <c r="C807" s="90" t="s">
        <v>4611</v>
      </c>
      <c r="D807" t="s">
        <v>5668</v>
      </c>
      <c r="E807" s="101" t="s">
        <v>5639</v>
      </c>
      <c r="F807" t="str" cm="1">
        <f t="array" aca="1" ref="F807" ca="1">INDIRECT("'" &amp; A807 &amp; "'!" &amp; B807)</f>
        <v>c36</v>
      </c>
      <c r="G807" t="str" cm="1">
        <f t="array" aca="1" ref="G807" ca="1">INDIRECT("'" &amp; A807 &amp; "'!" &amp; ADDRESS(1, COLUMN(INDIRECT("'" &amp; A807 &amp; "'!" &amp; B807))))</f>
        <v>1973 - 2</v>
      </c>
      <c r="H807" t="str">
        <f ca="1">VLOOKUP($G807, survey_codes_dict!A:C, 2, FALSE)</f>
        <v>1973_2</v>
      </c>
      <c r="I807" s="102" t="str">
        <f ca="1">VLOOKUP($G807, survey_codes_dict!A:D, 4, FALSE)</f>
        <v>1973_1</v>
      </c>
      <c r="J807" s="102" t="str">
        <f t="shared" ca="1" si="24"/>
        <v>1973_2__c36</v>
      </c>
      <c r="K807" s="102" t="str">
        <f t="shared" ca="1" si="25"/>
        <v>1973_1__c36</v>
      </c>
      <c r="L807" s="102"/>
      <c r="M807" s="102"/>
      <c r="N807" s="102"/>
      <c r="O807" s="102"/>
      <c r="P807" s="102"/>
      <c r="Q807" s="102"/>
      <c r="R807" s="102"/>
      <c r="S807" s="101"/>
    </row>
    <row r="808" spans="1:19" ht="28.8" x14ac:dyDescent="0.3">
      <c r="A808" t="s">
        <v>4239</v>
      </c>
      <c r="B808" t="s">
        <v>4612</v>
      </c>
      <c r="C808" s="90" t="s">
        <v>4613</v>
      </c>
      <c r="D808" t="s">
        <v>5671</v>
      </c>
      <c r="E808" s="101" t="s">
        <v>5640</v>
      </c>
      <c r="F808" t="str" cm="1">
        <f t="array" aca="1" ref="F808" ca="1">INDIRECT("'" &amp; A808 &amp; "'!" &amp; B808)</f>
        <v>האם אתה מזדהה עם עמדה של מפלגה מסויימת לגבי הבעיה הראשונה שציינת? האם הזדהות זו משפיעה על הצבעתך?</v>
      </c>
      <c r="G808" t="str" cm="1">
        <f t="array" aca="1" ref="G808" ca="1">INDIRECT("'" &amp; A808 &amp; "'!" &amp; ADDRESS(1, COLUMN(INDIRECT("'" &amp; A808 &amp; "'!" &amp; B808))))</f>
        <v>שאלה</v>
      </c>
      <c r="H808" t="e">
        <f ca="1">VLOOKUP($G808, survey_codes_dict!A:C, 2, FALSE)</f>
        <v>#N/A</v>
      </c>
      <c r="I808" s="102" t="e">
        <f ca="1">VLOOKUP($G808, survey_codes_dict!A:D, 4, FALSE)</f>
        <v>#N/A</v>
      </c>
      <c r="J808" s="102" t="e">
        <f t="shared" ca="1" si="24"/>
        <v>#N/A</v>
      </c>
      <c r="K808" s="102" t="e">
        <f t="shared" ca="1" si="25"/>
        <v>#N/A</v>
      </c>
      <c r="L808" s="102"/>
      <c r="M808" s="102"/>
      <c r="N808" s="102"/>
      <c r="O808" s="102"/>
      <c r="P808" s="102"/>
      <c r="Q808" s="102"/>
      <c r="R808" s="102"/>
      <c r="S808" s="102"/>
    </row>
    <row r="809" spans="1:19" ht="86.4" x14ac:dyDescent="0.3">
      <c r="A809" t="s">
        <v>4239</v>
      </c>
      <c r="B809" t="s">
        <v>4614</v>
      </c>
      <c r="C809" s="90" t="s">
        <v>4615</v>
      </c>
      <c r="D809" t="s">
        <v>5562</v>
      </c>
      <c r="E809" s="101" t="s">
        <v>6168</v>
      </c>
      <c r="F809" t="str" cm="1">
        <f t="array" aca="1" ref="F809" ca="1">INDIRECT("'" &amp; A809 &amp; "'!" &amp; B809)</f>
        <v>c56</v>
      </c>
      <c r="G809" t="str" cm="1">
        <f t="array" aca="1" ref="G809" ca="1">INDIRECT("'" &amp; A809 &amp; "'!" &amp; ADDRESS(1, COLUMN(INDIRECT("'" &amp; A809 &amp; "'!" &amp; B809))))</f>
        <v>1973 - 2</v>
      </c>
      <c r="H809" t="str">
        <f ca="1">VLOOKUP($G809, survey_codes_dict!A:C, 2, FALSE)</f>
        <v>1973_2</v>
      </c>
      <c r="I809" s="102" t="str">
        <f ca="1">VLOOKUP($G809, survey_codes_dict!A:D, 4, FALSE)</f>
        <v>1973_1</v>
      </c>
      <c r="J809" s="102" t="str">
        <f t="shared" ca="1" si="24"/>
        <v>1973_2__c56</v>
      </c>
      <c r="K809" s="102" t="str">
        <f t="shared" ca="1" si="25"/>
        <v>1973_1__c56</v>
      </c>
      <c r="L809" s="102"/>
      <c r="M809" s="102"/>
      <c r="N809" s="102"/>
      <c r="O809" s="102"/>
      <c r="P809" s="102"/>
      <c r="Q809" s="102"/>
      <c r="R809" s="102"/>
      <c r="S809" s="101"/>
    </row>
    <row r="810" spans="1:19" ht="43.2" x14ac:dyDescent="0.3">
      <c r="A810" t="s">
        <v>4239</v>
      </c>
      <c r="B810" t="s">
        <v>4616</v>
      </c>
      <c r="C810" s="90" t="s">
        <v>4617</v>
      </c>
      <c r="D810" t="s">
        <v>5562</v>
      </c>
      <c r="E810" s="101" t="s">
        <v>6169</v>
      </c>
      <c r="F810" t="str" cm="1">
        <f t="array" aca="1" ref="F810" ca="1">INDIRECT("'" &amp; A810 &amp; "'!" &amp; B810)</f>
        <v>האם אתה מזדהה עם עמדה של מפלגה מסויימת לגבי הבעיה השנייה שציינת? האם הזדהות זו משפיעה על הצבעתך?</v>
      </c>
      <c r="G810" t="str" cm="1">
        <f t="array" aca="1" ref="G810" ca="1">INDIRECT("'" &amp; A810 &amp; "'!" &amp; ADDRESS(1, COLUMN(INDIRECT("'" &amp; A810 &amp; "'!" &amp; B810))))</f>
        <v>שאלה</v>
      </c>
      <c r="H810" t="e">
        <f ca="1">VLOOKUP($G810, survey_codes_dict!A:C, 2, FALSE)</f>
        <v>#N/A</v>
      </c>
      <c r="I810" s="102" t="e">
        <f ca="1">VLOOKUP($G810, survey_codes_dict!A:D, 4, FALSE)</f>
        <v>#N/A</v>
      </c>
      <c r="J810" s="102" t="e">
        <f t="shared" ca="1" si="24"/>
        <v>#N/A</v>
      </c>
      <c r="K810" s="102" t="e">
        <f t="shared" ca="1" si="25"/>
        <v>#N/A</v>
      </c>
      <c r="L810" s="102"/>
      <c r="M810" s="102"/>
      <c r="N810" s="102"/>
      <c r="O810" s="102"/>
      <c r="P810" s="102"/>
      <c r="Q810" s="102"/>
      <c r="R810" s="102"/>
      <c r="S810" s="102"/>
    </row>
    <row r="811" spans="1:19" ht="86.4" x14ac:dyDescent="0.3">
      <c r="A811" t="s">
        <v>4239</v>
      </c>
      <c r="B811" t="s">
        <v>4618</v>
      </c>
      <c r="C811" s="90" t="s">
        <v>4615</v>
      </c>
      <c r="D811" t="s">
        <v>5562</v>
      </c>
      <c r="E811" s="101" t="s">
        <v>6168</v>
      </c>
      <c r="F811" t="str" cm="1">
        <f t="array" aca="1" ref="F811" ca="1">INDIRECT("'" &amp; A811 &amp; "'!" &amp; B811)</f>
        <v>c57</v>
      </c>
      <c r="G811" t="str" cm="1">
        <f t="array" aca="1" ref="G811" ca="1">INDIRECT("'" &amp; A811 &amp; "'!" &amp; ADDRESS(1, COLUMN(INDIRECT("'" &amp; A811 &amp; "'!" &amp; B811))))</f>
        <v>1973 - 2</v>
      </c>
      <c r="H811" t="str">
        <f ca="1">VLOOKUP($G811, survey_codes_dict!A:C, 2, FALSE)</f>
        <v>1973_2</v>
      </c>
      <c r="I811" s="102" t="str">
        <f ca="1">VLOOKUP($G811, survey_codes_dict!A:D, 4, FALSE)</f>
        <v>1973_1</v>
      </c>
      <c r="J811" s="102" t="str">
        <f t="shared" ca="1" si="24"/>
        <v>1973_2__c57</v>
      </c>
      <c r="K811" s="102" t="str">
        <f t="shared" ca="1" si="25"/>
        <v>1973_1__c57</v>
      </c>
      <c r="L811" s="102"/>
      <c r="M811" s="102"/>
      <c r="N811" s="102"/>
      <c r="O811" s="102"/>
      <c r="P811" s="102"/>
      <c r="Q811" s="102"/>
      <c r="R811" s="102"/>
      <c r="S811" s="101"/>
    </row>
    <row r="812" spans="1:19" ht="72" x14ac:dyDescent="0.3">
      <c r="A812" t="s">
        <v>4239</v>
      </c>
      <c r="B812" t="s">
        <v>4619</v>
      </c>
      <c r="C812" s="90" t="s">
        <v>4620</v>
      </c>
      <c r="D812" t="s">
        <v>5562</v>
      </c>
      <c r="E812" s="101" t="s">
        <v>6170</v>
      </c>
      <c r="F812" t="str" cm="1">
        <f t="array" aca="1" ref="F812" ca="1">INDIRECT("'" &amp; A812 &amp; "'!" &amp; B812)</f>
        <v>d37</v>
      </c>
      <c r="G812" t="str" cm="1">
        <f t="array" aca="1" ref="G812" ca="1">INDIRECT("'" &amp; A812 &amp; "'!" &amp; ADDRESS(1, COLUMN(INDIRECT("'" &amp; A812 &amp; "'!" &amp; B812))))</f>
        <v>1973 - 2</v>
      </c>
      <c r="H812" t="str">
        <f ca="1">VLOOKUP($G812, survey_codes_dict!A:C, 2, FALSE)</f>
        <v>1973_2</v>
      </c>
      <c r="I812" s="102" t="str">
        <f ca="1">VLOOKUP($G812, survey_codes_dict!A:D, 4, FALSE)</f>
        <v>1973_1</v>
      </c>
      <c r="J812" s="102" t="str">
        <f t="shared" ca="1" si="24"/>
        <v>1973_2__d37</v>
      </c>
      <c r="K812" s="102" t="str">
        <f t="shared" ca="1" si="25"/>
        <v>1973_1__d37</v>
      </c>
      <c r="L812" s="102"/>
      <c r="M812" s="102"/>
      <c r="N812" s="102"/>
      <c r="O812" s="102"/>
      <c r="P812" s="102"/>
      <c r="Q812" s="102"/>
      <c r="R812" s="102"/>
      <c r="S812" s="101"/>
    </row>
    <row r="813" spans="1:19" ht="72" x14ac:dyDescent="0.3">
      <c r="A813" t="s">
        <v>4239</v>
      </c>
      <c r="B813" t="s">
        <v>4621</v>
      </c>
      <c r="C813" s="90" t="s">
        <v>4622</v>
      </c>
      <c r="D813" t="s">
        <v>5562</v>
      </c>
      <c r="E813" s="101" t="s">
        <v>6171</v>
      </c>
      <c r="F813" t="str" cm="1">
        <f t="array" aca="1" ref="F813" ca="1">INDIRECT("'" &amp; A813 &amp; "'!" &amp; B813)</f>
        <v>c11</v>
      </c>
      <c r="G813" t="str" cm="1">
        <f t="array" aca="1" ref="G813" ca="1">INDIRECT("'" &amp; A813 &amp; "'!" &amp; ADDRESS(1, COLUMN(INDIRECT("'" &amp; A813 &amp; "'!" &amp; B813))))</f>
        <v>1969 - 3</v>
      </c>
      <c r="H813" t="e">
        <f ca="1">VLOOKUP($G813, survey_codes_dict!A:C, 2, FALSE)</f>
        <v>#N/A</v>
      </c>
      <c r="I813" s="102" t="e">
        <f ca="1">VLOOKUP($G813, survey_codes_dict!A:D, 4, FALSE)</f>
        <v>#N/A</v>
      </c>
      <c r="J813" s="102" t="e">
        <f t="shared" ca="1" si="24"/>
        <v>#N/A</v>
      </c>
      <c r="K813" s="102" t="e">
        <f t="shared" ca="1" si="25"/>
        <v>#N/A</v>
      </c>
      <c r="L813" s="102"/>
      <c r="M813" s="102"/>
      <c r="N813" s="102"/>
      <c r="O813" s="102"/>
      <c r="P813" s="102"/>
      <c r="Q813" s="102"/>
      <c r="R813" s="102"/>
      <c r="S813" s="101"/>
    </row>
    <row r="814" spans="1:19" ht="72" x14ac:dyDescent="0.3">
      <c r="A814" t="s">
        <v>4239</v>
      </c>
      <c r="B814" t="s">
        <v>4623</v>
      </c>
      <c r="C814" s="90" t="s">
        <v>4624</v>
      </c>
      <c r="D814" t="s">
        <v>5562</v>
      </c>
      <c r="E814" s="101" t="s">
        <v>6172</v>
      </c>
      <c r="F814" t="str" cm="1">
        <f t="array" aca="1" ref="F814" ca="1">INDIRECT("'" &amp; A814 &amp; "'!" &amp; B814)</f>
        <v>v609</v>
      </c>
      <c r="G814" cm="1">
        <f t="array" aca="1" ref="G814" ca="1">INDIRECT("'" &amp; A814 &amp; "'!" &amp; ADDRESS(1, COLUMN(INDIRECT("'" &amp; A814 &amp; "'!" &amp; B814))))</f>
        <v>2021</v>
      </c>
      <c r="H814" t="e">
        <f ca="1">VLOOKUP($G814, survey_codes_dict!A:C, 2, FALSE)</f>
        <v>#N/A</v>
      </c>
      <c r="I814" s="102" t="e">
        <f ca="1">VLOOKUP($G814, survey_codes_dict!A:D, 4, FALSE)</f>
        <v>#N/A</v>
      </c>
      <c r="J814" s="102" t="e">
        <f t="shared" ca="1" si="24"/>
        <v>#N/A</v>
      </c>
      <c r="K814" s="102" t="e">
        <f t="shared" ca="1" si="25"/>
        <v>#N/A</v>
      </c>
      <c r="L814" s="102"/>
      <c r="M814" s="102"/>
      <c r="N814" s="102"/>
      <c r="O814" s="102"/>
      <c r="P814" s="102"/>
      <c r="Q814" s="102"/>
      <c r="R814" s="102"/>
      <c r="S814" s="102"/>
    </row>
    <row r="815" spans="1:19" ht="43.2" x14ac:dyDescent="0.3">
      <c r="A815" t="s">
        <v>4625</v>
      </c>
      <c r="B815" t="s">
        <v>3564</v>
      </c>
      <c r="C815" s="90" t="s">
        <v>4626</v>
      </c>
      <c r="D815" t="s">
        <v>5562</v>
      </c>
      <c r="E815" s="101" t="s">
        <v>6173</v>
      </c>
      <c r="F815" t="str" cm="1">
        <f t="array" aca="1" ref="F815" ca="1">INDIRECT("'" &amp; A815 &amp; "'!" &amp; B815)</f>
        <v>b19</v>
      </c>
      <c r="G815" cm="1">
        <f t="array" aca="1" ref="G815" ca="1">INDIRECT("'" &amp; A815 &amp; "'!" &amp; ADDRESS(1, COLUMN(INDIRECT("'" &amp; A815 &amp; "'!" &amp; B815))))</f>
        <v>2001</v>
      </c>
      <c r="H815" t="str">
        <f ca="1">VLOOKUP($G815, survey_codes_dict!A:C, 2, FALSE)</f>
        <v>2001</v>
      </c>
      <c r="I815" s="102" t="str">
        <f ca="1">VLOOKUP($G815, survey_codes_dict!A:D, 4, FALSE)</f>
        <v>1999_1</v>
      </c>
      <c r="J815" s="102" t="str">
        <f t="shared" ca="1" si="24"/>
        <v>2001__b19</v>
      </c>
      <c r="K815" s="102" t="str">
        <f t="shared" ca="1" si="25"/>
        <v>1999_1__b19</v>
      </c>
      <c r="L815" s="102"/>
      <c r="M815" s="102"/>
      <c r="N815" s="102"/>
      <c r="O815" s="102"/>
      <c r="P815" s="102"/>
      <c r="Q815" s="102"/>
      <c r="R815" s="102"/>
      <c r="S815" s="101"/>
    </row>
    <row r="816" spans="1:19" ht="57.6" x14ac:dyDescent="0.3">
      <c r="A816" t="s">
        <v>4625</v>
      </c>
      <c r="B816" t="s">
        <v>3566</v>
      </c>
      <c r="C816" s="90" t="s">
        <v>4627</v>
      </c>
      <c r="D816" t="s">
        <v>5562</v>
      </c>
      <c r="E816" s="101" t="s">
        <v>6174</v>
      </c>
      <c r="F816" t="str" cm="1">
        <f t="array" aca="1" ref="F816" ca="1">INDIRECT("'" &amp; A816 &amp; "'!" &amp; B816)</f>
        <v>c15</v>
      </c>
      <c r="G816" cm="1">
        <f t="array" aca="1" ref="G816" ca="1">INDIRECT("'" &amp; A816 &amp; "'!" &amp; ADDRESS(1, COLUMN(INDIRECT("'" &amp; A816 &amp; "'!" &amp; B816))))</f>
        <v>1999</v>
      </c>
      <c r="H816" t="str">
        <f ca="1">VLOOKUP($G816, survey_codes_dict!A:C, 2, FALSE)</f>
        <v>1999_1</v>
      </c>
      <c r="I816" s="102" t="str">
        <f ca="1">VLOOKUP($G816, survey_codes_dict!A:D, 4, FALSE)</f>
        <v>1996_Jews</v>
      </c>
      <c r="J816" s="102" t="str">
        <f t="shared" ca="1" si="24"/>
        <v>1999_1__c15</v>
      </c>
      <c r="K816" s="102" t="str">
        <f t="shared" ca="1" si="25"/>
        <v>1996_Jews__c15</v>
      </c>
      <c r="L816" s="102"/>
      <c r="M816" s="102"/>
      <c r="N816" s="102"/>
      <c r="O816" s="102"/>
      <c r="P816" s="102"/>
      <c r="Q816" s="102"/>
      <c r="R816" s="102"/>
      <c r="S816" s="101"/>
    </row>
    <row r="817" spans="1:19" ht="57.6" x14ac:dyDescent="0.3">
      <c r="A817" t="s">
        <v>4625</v>
      </c>
      <c r="B817" t="s">
        <v>4628</v>
      </c>
      <c r="C817" s="90" t="s">
        <v>4629</v>
      </c>
      <c r="D817" t="s">
        <v>5562</v>
      </c>
      <c r="E817" s="101" t="s">
        <v>6175</v>
      </c>
      <c r="F817" t="str" cm="1">
        <f t="array" aca="1" ref="F817" ca="1">INDIRECT("'" &amp; A817 &amp; "'!" &amp; B817)</f>
        <v>ccc35</v>
      </c>
      <c r="G817" cm="1">
        <f t="array" aca="1" ref="G817" ca="1">INDIRECT("'" &amp; A817 &amp; "'!" &amp; ADDRESS(1, COLUMN(INDIRECT("'" &amp; A817 &amp; "'!" &amp; B817))))</f>
        <v>1996</v>
      </c>
      <c r="H817" t="str">
        <f ca="1">VLOOKUP($G817, survey_codes_dict!A:C, 2, FALSE)</f>
        <v>1996_Jews</v>
      </c>
      <c r="I817" s="102" t="str">
        <f ca="1">VLOOKUP($G817, survey_codes_dict!A:D, 4, FALSE)</f>
        <v>1992</v>
      </c>
      <c r="J817" s="102" t="str">
        <f t="shared" ca="1" si="24"/>
        <v>1996_Jews__ccc35</v>
      </c>
      <c r="K817" s="102" t="str">
        <f t="shared" ca="1" si="25"/>
        <v>1992__ccc35</v>
      </c>
      <c r="L817" s="102"/>
      <c r="M817" s="102"/>
      <c r="N817" s="102"/>
      <c r="O817" s="102"/>
      <c r="P817" s="102"/>
      <c r="Q817" s="102"/>
      <c r="R817" s="102"/>
      <c r="S817" s="101"/>
    </row>
    <row r="818" spans="1:19" ht="129.6" x14ac:dyDescent="0.3">
      <c r="A818" t="s">
        <v>4625</v>
      </c>
      <c r="B818" t="s">
        <v>3571</v>
      </c>
      <c r="C818" s="90" t="s">
        <v>4630</v>
      </c>
      <c r="D818" t="s">
        <v>5562</v>
      </c>
      <c r="E818" s="101" t="s">
        <v>6176</v>
      </c>
      <c r="F818" t="str" cm="1">
        <f t="array" aca="1" ref="F818" ca="1">INDIRECT("'" &amp; A818 &amp; "'!" &amp; B818)</f>
        <v>v60</v>
      </c>
      <c r="G818" cm="1">
        <f t="array" aca="1" ref="G818" ca="1">INDIRECT("'" &amp; A818 &amp; "'!" &amp; ADDRESS(1, COLUMN(INDIRECT("'" &amp; A818 &amp; "'!" &amp; B818))))</f>
        <v>1999</v>
      </c>
      <c r="H818" t="str">
        <f ca="1">VLOOKUP($G818, survey_codes_dict!A:C, 2, FALSE)</f>
        <v>1999_1</v>
      </c>
      <c r="I818" s="102" t="str">
        <f ca="1">VLOOKUP($G818, survey_codes_dict!A:D, 4, FALSE)</f>
        <v>1996_Jews</v>
      </c>
      <c r="J818" s="102" t="str">
        <f t="shared" ca="1" si="24"/>
        <v>1999_1__v60</v>
      </c>
      <c r="K818" s="102" t="str">
        <f t="shared" ca="1" si="25"/>
        <v>1996_Jews__v60</v>
      </c>
      <c r="L818" s="102"/>
      <c r="M818" s="102"/>
      <c r="N818" s="102"/>
      <c r="O818" s="102"/>
      <c r="P818" s="102"/>
      <c r="Q818" s="102"/>
      <c r="R818" s="102"/>
      <c r="S818" s="101"/>
    </row>
    <row r="819" spans="1:19" ht="57.6" x14ac:dyDescent="0.3">
      <c r="A819" t="s">
        <v>4625</v>
      </c>
      <c r="B819" t="s">
        <v>4631</v>
      </c>
      <c r="C819" s="90" t="s">
        <v>4632</v>
      </c>
      <c r="D819" t="s">
        <v>5562</v>
      </c>
      <c r="E819" s="101" t="s">
        <v>6177</v>
      </c>
      <c r="F819" t="str" cm="1">
        <f t="array" aca="1" ref="F819" ca="1">INDIRECT("'" &amp; A819 &amp; "'!" &amp; B819)</f>
        <v>v158</v>
      </c>
      <c r="G819" cm="1">
        <f t="array" aca="1" ref="G819" ca="1">INDIRECT("'" &amp; A819 &amp; "'!" &amp; ADDRESS(1, COLUMN(INDIRECT("'" &amp; A819 &amp; "'!" &amp; B819))))</f>
        <v>2009</v>
      </c>
      <c r="H819" t="e">
        <f ca="1">VLOOKUP($G819, survey_codes_dict!A:C, 2, FALSE)</f>
        <v>#N/A</v>
      </c>
      <c r="I819" s="102" t="e">
        <f ca="1">VLOOKUP($G819, survey_codes_dict!A:D, 4, FALSE)</f>
        <v>#N/A</v>
      </c>
      <c r="J819" s="102" t="e">
        <f t="shared" ca="1" si="24"/>
        <v>#N/A</v>
      </c>
      <c r="K819" s="102" t="e">
        <f t="shared" ca="1" si="25"/>
        <v>#N/A</v>
      </c>
      <c r="L819" s="102"/>
      <c r="M819" s="102"/>
      <c r="N819" s="102"/>
      <c r="O819" s="102"/>
      <c r="P819" s="102"/>
      <c r="Q819" s="102"/>
      <c r="R819" s="102"/>
      <c r="S819" s="102"/>
    </row>
    <row r="820" spans="1:19" ht="57.6" x14ac:dyDescent="0.3">
      <c r="A820" t="s">
        <v>4625</v>
      </c>
      <c r="B820" t="s">
        <v>4633</v>
      </c>
      <c r="C820" s="90" t="s">
        <v>4632</v>
      </c>
      <c r="D820" t="s">
        <v>5562</v>
      </c>
      <c r="E820" s="101" t="s">
        <v>6177</v>
      </c>
      <c r="F820" t="str" cm="1">
        <f t="array" aca="1" ref="F820" ca="1">INDIRECT("'" &amp; A820 &amp; "'!" &amp; B820)</f>
        <v>v159</v>
      </c>
      <c r="G820" cm="1">
        <f t="array" aca="1" ref="G820" ca="1">INDIRECT("'" &amp; A820 &amp; "'!" &amp; ADDRESS(1, COLUMN(INDIRECT("'" &amp; A820 &amp; "'!" &amp; B820))))</f>
        <v>2009</v>
      </c>
      <c r="H820" t="e">
        <f ca="1">VLOOKUP($G820, survey_codes_dict!A:C, 2, FALSE)</f>
        <v>#N/A</v>
      </c>
      <c r="I820" s="102" t="e">
        <f ca="1">VLOOKUP($G820, survey_codes_dict!A:D, 4, FALSE)</f>
        <v>#N/A</v>
      </c>
      <c r="J820" s="102" t="e">
        <f t="shared" ca="1" si="24"/>
        <v>#N/A</v>
      </c>
      <c r="K820" s="102" t="e">
        <f t="shared" ca="1" si="25"/>
        <v>#N/A</v>
      </c>
      <c r="L820" s="102"/>
      <c r="M820" s="102"/>
      <c r="N820" s="102"/>
      <c r="O820" s="102"/>
      <c r="P820" s="102"/>
      <c r="Q820" s="102"/>
      <c r="R820" s="102"/>
      <c r="S820" s="102"/>
    </row>
    <row r="821" spans="1:19" ht="57.6" x14ac:dyDescent="0.3">
      <c r="A821" t="s">
        <v>4625</v>
      </c>
      <c r="B821" t="s">
        <v>4634</v>
      </c>
      <c r="C821" s="90" t="s">
        <v>4632</v>
      </c>
      <c r="D821" t="s">
        <v>5562</v>
      </c>
      <c r="E821" s="101" t="s">
        <v>6177</v>
      </c>
      <c r="F821" t="str" cm="1">
        <f t="array" aca="1" ref="F821" ca="1">INDIRECT("'" &amp; A821 &amp; "'!" &amp; B821)</f>
        <v>v160</v>
      </c>
      <c r="G821" cm="1">
        <f t="array" aca="1" ref="G821" ca="1">INDIRECT("'" &amp; A821 &amp; "'!" &amp; ADDRESS(1, COLUMN(INDIRECT("'" &amp; A821 &amp; "'!" &amp; B821))))</f>
        <v>2009</v>
      </c>
      <c r="H821" t="e">
        <f ca="1">VLOOKUP($G821, survey_codes_dict!A:C, 2, FALSE)</f>
        <v>#N/A</v>
      </c>
      <c r="I821" s="102" t="e">
        <f ca="1">VLOOKUP($G821, survey_codes_dict!A:D, 4, FALSE)</f>
        <v>#N/A</v>
      </c>
      <c r="J821" s="102" t="e">
        <f t="shared" ca="1" si="24"/>
        <v>#N/A</v>
      </c>
      <c r="K821" s="102" t="e">
        <f t="shared" ca="1" si="25"/>
        <v>#N/A</v>
      </c>
      <c r="L821" s="102"/>
      <c r="M821" s="102"/>
      <c r="N821" s="102"/>
      <c r="O821" s="102"/>
      <c r="P821" s="102"/>
      <c r="Q821" s="102"/>
      <c r="R821" s="102"/>
      <c r="S821" s="102"/>
    </row>
    <row r="822" spans="1:19" ht="57.6" x14ac:dyDescent="0.3">
      <c r="A822" t="s">
        <v>4625</v>
      </c>
      <c r="B822" t="s">
        <v>4635</v>
      </c>
      <c r="C822" s="90" t="s">
        <v>4636</v>
      </c>
      <c r="D822" t="s">
        <v>5562</v>
      </c>
      <c r="E822" s="101" t="s">
        <v>6178</v>
      </c>
      <c r="F822" t="str" cm="1">
        <f t="array" aca="1" ref="F822" ca="1">INDIRECT("'" &amp; A822 &amp; "'!" &amp; B822)</f>
        <v>ccc36</v>
      </c>
      <c r="G822" cm="1">
        <f t="array" aca="1" ref="G822" ca="1">INDIRECT("'" &amp; A822 &amp; "'!" &amp; ADDRESS(1, COLUMN(INDIRECT("'" &amp; A822 &amp; "'!" &amp; B822))))</f>
        <v>1996</v>
      </c>
      <c r="H822" t="str">
        <f ca="1">VLOOKUP($G822, survey_codes_dict!A:C, 2, FALSE)</f>
        <v>1996_Jews</v>
      </c>
      <c r="I822" s="102" t="str">
        <f ca="1">VLOOKUP($G822, survey_codes_dict!A:D, 4, FALSE)</f>
        <v>1992</v>
      </c>
      <c r="J822" s="102" t="str">
        <f t="shared" ca="1" si="24"/>
        <v>1996_Jews__ccc36</v>
      </c>
      <c r="K822" s="102" t="str">
        <f t="shared" ca="1" si="25"/>
        <v>1992__ccc36</v>
      </c>
      <c r="L822" s="102"/>
      <c r="M822" s="102"/>
      <c r="N822" s="102"/>
      <c r="O822" s="102"/>
      <c r="P822" s="102"/>
      <c r="Q822" s="102"/>
      <c r="R822" s="102"/>
      <c r="S822" s="101"/>
    </row>
    <row r="823" spans="1:19" ht="144" x14ac:dyDescent="0.3">
      <c r="A823" t="s">
        <v>4625</v>
      </c>
      <c r="B823" t="s">
        <v>4637</v>
      </c>
      <c r="C823" s="90" t="s">
        <v>4638</v>
      </c>
      <c r="D823" t="s">
        <v>5562</v>
      </c>
      <c r="E823" s="101" t="s">
        <v>6179</v>
      </c>
      <c r="F823" t="str" cm="1">
        <f t="array" aca="1" ref="F823" ca="1">INDIRECT("'" &amp; A823 &amp; "'!" &amp; B823)</f>
        <v>i39</v>
      </c>
      <c r="G823" cm="1">
        <f t="array" aca="1" ref="G823" ca="1">INDIRECT("'" &amp; A823 &amp; "'!" &amp; ADDRESS(1, COLUMN(INDIRECT("'" &amp; A823 &amp; "'!" &amp; B823))))</f>
        <v>1992</v>
      </c>
      <c r="H823" t="str">
        <f ca="1">VLOOKUP($G823, survey_codes_dict!A:C, 2, FALSE)</f>
        <v>1992</v>
      </c>
      <c r="I823" s="102" t="str">
        <f ca="1">VLOOKUP($G823, survey_codes_dict!A:D, 4, FALSE)</f>
        <v>1988_N=873</v>
      </c>
      <c r="J823" s="102" t="str">
        <f t="shared" ca="1" si="24"/>
        <v>1992__i39</v>
      </c>
      <c r="K823" s="102" t="str">
        <f t="shared" ca="1" si="25"/>
        <v>1988_N=873__i39</v>
      </c>
      <c r="L823" s="102"/>
      <c r="M823" s="102"/>
      <c r="N823" s="102"/>
      <c r="O823" s="102"/>
      <c r="P823" s="102"/>
      <c r="Q823" s="102"/>
      <c r="R823" s="102"/>
      <c r="S823" s="101"/>
    </row>
    <row r="824" spans="1:19" ht="115.2" x14ac:dyDescent="0.3">
      <c r="A824" t="s">
        <v>4625</v>
      </c>
      <c r="B824" t="s">
        <v>4068</v>
      </c>
      <c r="C824" s="90" t="s">
        <v>4639</v>
      </c>
      <c r="D824" t="s">
        <v>5562</v>
      </c>
      <c r="E824" s="101" t="s">
        <v>6180</v>
      </c>
      <c r="F824" t="str" cm="1">
        <f t="array" aca="1" ref="F824" ca="1">INDIRECT("'" &amp; A824 &amp; "'!" &amp; B824)</f>
        <v>i40</v>
      </c>
      <c r="G824" cm="1">
        <f t="array" aca="1" ref="G824" ca="1">INDIRECT("'" &amp; A824 &amp; "'!" &amp; ADDRESS(1, COLUMN(INDIRECT("'" &amp; A824 &amp; "'!" &amp; B824))))</f>
        <v>1992</v>
      </c>
      <c r="H824" t="str">
        <f ca="1">VLOOKUP($G824, survey_codes_dict!A:C, 2, FALSE)</f>
        <v>1992</v>
      </c>
      <c r="I824" s="102" t="str">
        <f ca="1">VLOOKUP($G824, survey_codes_dict!A:D, 4, FALSE)</f>
        <v>1988_N=873</v>
      </c>
      <c r="J824" s="102" t="str">
        <f t="shared" ca="1" si="24"/>
        <v>1992__i40</v>
      </c>
      <c r="K824" s="102" t="str">
        <f t="shared" ca="1" si="25"/>
        <v>1988_N=873__i40</v>
      </c>
      <c r="L824" s="102"/>
      <c r="M824" s="102"/>
      <c r="N824" s="102"/>
      <c r="O824" s="102"/>
      <c r="P824" s="102"/>
      <c r="Q824" s="102"/>
      <c r="R824" s="102"/>
      <c r="S824" s="101"/>
    </row>
    <row r="825" spans="1:19" ht="129.6" x14ac:dyDescent="0.3">
      <c r="A825" t="s">
        <v>4625</v>
      </c>
      <c r="B825" t="s">
        <v>4640</v>
      </c>
      <c r="C825" s="90" t="s">
        <v>4641</v>
      </c>
      <c r="D825" t="s">
        <v>5562</v>
      </c>
      <c r="E825" s="101" t="s">
        <v>6181</v>
      </c>
      <c r="F825" t="str" cm="1">
        <f t="array" aca="1" ref="F825" ca="1">INDIRECT("'" &amp; A825 &amp; "'!" &amp; B825)</f>
        <v>b106</v>
      </c>
      <c r="G825" t="str" cm="1">
        <f t="array" aca="1" ref="G825" ca="1">INDIRECT("'" &amp; A825 &amp; "'!" &amp; ADDRESS(1, COLUMN(INDIRECT("'" &amp; A825 &amp; "'!" &amp; B825))))</f>
        <v>1981 - 3</v>
      </c>
      <c r="H825" t="str">
        <f ca="1">VLOOKUP($G825, survey_codes_dict!A:C, 2, FALSE)</f>
        <v>1981_3</v>
      </c>
      <c r="I825" s="102">
        <f ca="1">VLOOKUP($G825, survey_codes_dict!A:D, 4, FALSE)</f>
        <v>0</v>
      </c>
      <c r="J825" s="102" t="str">
        <f t="shared" ca="1" si="24"/>
        <v>1981_3__b106</v>
      </c>
      <c r="K825" s="102" t="str">
        <f t="shared" ca="1" si="25"/>
        <v>0__b106</v>
      </c>
      <c r="L825" s="102"/>
      <c r="M825" s="102"/>
      <c r="N825" s="102"/>
      <c r="O825" s="102"/>
      <c r="P825" s="102"/>
      <c r="Q825" s="102"/>
      <c r="R825" s="102"/>
      <c r="S825" s="101"/>
    </row>
    <row r="826" spans="1:19" ht="57.6" x14ac:dyDescent="0.3">
      <c r="A826" t="s">
        <v>4625</v>
      </c>
      <c r="B826" t="s">
        <v>4642</v>
      </c>
      <c r="C826" s="90" t="s">
        <v>4643</v>
      </c>
      <c r="D826" t="s">
        <v>5562</v>
      </c>
      <c r="E826" s="101" t="s">
        <v>6182</v>
      </c>
      <c r="F826" t="str" cm="1">
        <f t="array" aca="1" ref="F826" ca="1">INDIRECT("'" &amp; A826 &amp; "'!" &amp; B826)</f>
        <v>b75</v>
      </c>
      <c r="G826" cm="1">
        <f t="array" aca="1" ref="G826" ca="1">INDIRECT("'" &amp; A826 &amp; "'!" &amp; ADDRESS(1, COLUMN(INDIRECT("'" &amp; A826 &amp; "'!" &amp; B826))))</f>
        <v>2006</v>
      </c>
      <c r="H826" t="str">
        <f ca="1">VLOOKUP($G826, survey_codes_dict!A:C, 2, FALSE)</f>
        <v>2006</v>
      </c>
      <c r="I826" s="102" t="str">
        <f ca="1">VLOOKUP($G826, survey_codes_dict!A:D, 4, FALSE)</f>
        <v>2003</v>
      </c>
      <c r="J826" s="102" t="str">
        <f t="shared" ca="1" si="24"/>
        <v>2006__b75</v>
      </c>
      <c r="K826" s="102" t="str">
        <f t="shared" ca="1" si="25"/>
        <v>2003__b75</v>
      </c>
      <c r="L826" s="102"/>
      <c r="M826" s="102"/>
      <c r="N826" s="102"/>
      <c r="O826" s="102"/>
      <c r="P826" s="102"/>
      <c r="Q826" s="102"/>
      <c r="R826" s="102"/>
      <c r="S826" s="101"/>
    </row>
    <row r="827" spans="1:19" ht="57.6" x14ac:dyDescent="0.3">
      <c r="A827" t="s">
        <v>4625</v>
      </c>
      <c r="B827" t="s">
        <v>4644</v>
      </c>
      <c r="C827" s="90" t="s">
        <v>4645</v>
      </c>
      <c r="D827" t="s">
        <v>5562</v>
      </c>
      <c r="E827" s="101" t="s">
        <v>6183</v>
      </c>
      <c r="F827" t="str" cm="1">
        <f t="array" aca="1" ref="F827" ca="1">INDIRECT("'" &amp; A827 &amp; "'!" &amp; B827)</f>
        <v>c6</v>
      </c>
      <c r="G827" cm="1">
        <f t="array" aca="1" ref="G827" ca="1">INDIRECT("'" &amp; A827 &amp; "'!" &amp; ADDRESS(1, COLUMN(INDIRECT("'" &amp; A827 &amp; "'!" &amp; B827))))</f>
        <v>2006</v>
      </c>
      <c r="H827" t="str">
        <f ca="1">VLOOKUP($G827, survey_codes_dict!A:C, 2, FALSE)</f>
        <v>2006</v>
      </c>
      <c r="I827" s="102" t="str">
        <f ca="1">VLOOKUP($G827, survey_codes_dict!A:D, 4, FALSE)</f>
        <v>2003</v>
      </c>
      <c r="J827" s="102" t="str">
        <f t="shared" ca="1" si="24"/>
        <v>2006__c6</v>
      </c>
      <c r="K827" s="102" t="str">
        <f t="shared" ca="1" si="25"/>
        <v>2003__c6</v>
      </c>
      <c r="L827" s="102"/>
      <c r="M827" s="102"/>
      <c r="N827" s="102"/>
      <c r="O827" s="102"/>
      <c r="P827" s="102"/>
      <c r="Q827" s="102"/>
      <c r="R827" s="102"/>
      <c r="S827" s="101"/>
    </row>
    <row r="828" spans="1:19" ht="57.6" x14ac:dyDescent="0.3">
      <c r="A828" t="s">
        <v>4625</v>
      </c>
      <c r="B828" t="s">
        <v>4646</v>
      </c>
      <c r="C828" s="90" t="s">
        <v>4647</v>
      </c>
      <c r="D828" t="s">
        <v>5562</v>
      </c>
      <c r="E828" s="101" t="s">
        <v>6184</v>
      </c>
      <c r="F828" t="str" cm="1">
        <f t="array" aca="1" ref="F828" ca="1">INDIRECT("'" &amp; A828 &amp; "'!" &amp; B828)</f>
        <v>c27</v>
      </c>
      <c r="G828" cm="1">
        <f t="array" aca="1" ref="G828" ca="1">INDIRECT("'" &amp; A828 &amp; "'!" &amp; ADDRESS(1, COLUMN(INDIRECT("'" &amp; A828 &amp; "'!" &amp; B828))))</f>
        <v>2006</v>
      </c>
      <c r="H828" t="str">
        <f ca="1">VLOOKUP($G828, survey_codes_dict!A:C, 2, FALSE)</f>
        <v>2006</v>
      </c>
      <c r="I828" s="102" t="str">
        <f ca="1">VLOOKUP($G828, survey_codes_dict!A:D, 4, FALSE)</f>
        <v>2003</v>
      </c>
      <c r="J828" s="102" t="str">
        <f t="shared" ca="1" si="24"/>
        <v>2006__c27</v>
      </c>
      <c r="K828" s="102" t="str">
        <f t="shared" ca="1" si="25"/>
        <v>2003__c27</v>
      </c>
      <c r="L828" s="102"/>
      <c r="M828" s="102"/>
      <c r="N828" s="102"/>
      <c r="O828" s="102"/>
      <c r="P828" s="102"/>
      <c r="Q828" s="102"/>
      <c r="R828" s="102"/>
      <c r="S828" s="101"/>
    </row>
    <row r="829" spans="1:19" ht="144" x14ac:dyDescent="0.3">
      <c r="A829" t="s">
        <v>4625</v>
      </c>
      <c r="B829" t="s">
        <v>4648</v>
      </c>
      <c r="C829" s="90" t="s">
        <v>4649</v>
      </c>
      <c r="D829" t="s">
        <v>5562</v>
      </c>
      <c r="E829" s="101" t="s">
        <v>6185</v>
      </c>
      <c r="F829" t="str" cm="1">
        <f t="array" aca="1" ref="F829" ca="1">INDIRECT("'" &amp; A829 &amp; "'!" &amp; B829)</f>
        <v>b8</v>
      </c>
      <c r="G829" t="str" cm="1">
        <f t="array" aca="1" ref="G829" ca="1">INDIRECT("'" &amp; A829 &amp; "'!" &amp; ADDRESS(1, COLUMN(INDIRECT("'" &amp; A829 &amp; "'!" &amp; B829))))</f>
        <v>1977 - 3</v>
      </c>
      <c r="H829" t="str">
        <f ca="1">VLOOKUP($G829, survey_codes_dict!A:C, 2, FALSE)</f>
        <v>1977_3</v>
      </c>
      <c r="I829" s="102" t="str">
        <f ca="1">VLOOKUP($G829, survey_codes_dict!A:D, 4, FALSE)</f>
        <v>1977_2</v>
      </c>
      <c r="J829" s="102" t="str">
        <f t="shared" ca="1" si="24"/>
        <v>1977_3__b8</v>
      </c>
      <c r="K829" s="102" t="str">
        <f t="shared" ca="1" si="25"/>
        <v>1977_2__b8</v>
      </c>
      <c r="L829" s="102"/>
      <c r="M829" s="102"/>
      <c r="N829" s="102"/>
      <c r="O829" s="102"/>
      <c r="P829" s="102"/>
      <c r="Q829" s="102"/>
      <c r="R829" s="102"/>
      <c r="S829" s="101"/>
    </row>
    <row r="830" spans="1:19" ht="144" x14ac:dyDescent="0.3">
      <c r="A830" t="s">
        <v>4625</v>
      </c>
      <c r="B830" t="s">
        <v>4650</v>
      </c>
      <c r="C830" s="90" t="s">
        <v>4651</v>
      </c>
      <c r="D830" t="s">
        <v>5562</v>
      </c>
      <c r="E830" s="101" t="s">
        <v>6186</v>
      </c>
      <c r="F830" t="str" cm="1">
        <f t="array" aca="1" ref="F830" ca="1">INDIRECT("'" &amp; A830 &amp; "'!" &amp; B830)</f>
        <v>c9</v>
      </c>
      <c r="G830" cm="1">
        <f t="array" aca="1" ref="G830" ca="1">INDIRECT("'" &amp; A830 &amp; "'!" &amp; ADDRESS(1, COLUMN(INDIRECT("'" &amp; A830 &amp; "'!" &amp; B830))))</f>
        <v>1999</v>
      </c>
      <c r="H830" t="str">
        <f ca="1">VLOOKUP($G830, survey_codes_dict!A:C, 2, FALSE)</f>
        <v>1999_1</v>
      </c>
      <c r="I830" s="102" t="str">
        <f ca="1">VLOOKUP($G830, survey_codes_dict!A:D, 4, FALSE)</f>
        <v>1996_Jews</v>
      </c>
      <c r="J830" s="102" t="str">
        <f t="shared" ca="1" si="24"/>
        <v>1999_1__c9</v>
      </c>
      <c r="K830" s="102" t="str">
        <f t="shared" ca="1" si="25"/>
        <v>1996_Jews__c9</v>
      </c>
      <c r="L830" s="102"/>
      <c r="M830" s="102"/>
      <c r="N830" s="102"/>
      <c r="O830" s="102"/>
      <c r="P830" s="102"/>
      <c r="Q830" s="102"/>
      <c r="R830" s="102"/>
      <c r="S830" s="101"/>
    </row>
    <row r="831" spans="1:19" ht="115.2" x14ac:dyDescent="0.3">
      <c r="A831" t="s">
        <v>4625</v>
      </c>
      <c r="B831" t="s">
        <v>4652</v>
      </c>
      <c r="C831" s="90" t="s">
        <v>4653</v>
      </c>
      <c r="D831" t="s">
        <v>5562</v>
      </c>
      <c r="E831" s="101" t="s">
        <v>6187</v>
      </c>
      <c r="F831" t="str" cm="1">
        <f t="array" aca="1" ref="F831" ca="1">INDIRECT("'" &amp; A831 &amp; "'!" &amp; B831)</f>
        <v>b70</v>
      </c>
      <c r="G831" t="str" cm="1">
        <f t="array" aca="1" ref="G831" ca="1">INDIRECT("'" &amp; A831 &amp; "'!" &amp; ADDRESS(1, COLUMN(INDIRECT("'" &amp; A831 &amp; "'!" &amp; B831))))</f>
        <v>1988*</v>
      </c>
      <c r="H831" t="str">
        <f ca="1">VLOOKUP($G831, survey_codes_dict!A:C, 2, FALSE)</f>
        <v>1988_N=873</v>
      </c>
      <c r="I831" s="102" t="str">
        <f ca="1">VLOOKUP($G831, survey_codes_dict!A:D, 4, FALSE)</f>
        <v>1988_Panel_N=416</v>
      </c>
      <c r="J831" s="102" t="str">
        <f t="shared" ca="1" si="24"/>
        <v>1988_N=873__b70</v>
      </c>
      <c r="K831" s="102" t="str">
        <f t="shared" ca="1" si="25"/>
        <v>1988_Panel_N=416__b70</v>
      </c>
      <c r="L831" s="102"/>
      <c r="M831" s="102"/>
      <c r="N831" s="102"/>
      <c r="O831" s="102"/>
      <c r="P831" s="102"/>
      <c r="Q831" s="102"/>
      <c r="R831" s="102"/>
      <c r="S831" s="101"/>
    </row>
    <row r="832" spans="1:19" ht="72" x14ac:dyDescent="0.3">
      <c r="A832" t="s">
        <v>4625</v>
      </c>
      <c r="B832" t="s">
        <v>3938</v>
      </c>
      <c r="C832" s="90" t="s">
        <v>4654</v>
      </c>
      <c r="D832" t="s">
        <v>5562</v>
      </c>
      <c r="E832" s="101" t="s">
        <v>6188</v>
      </c>
      <c r="F832" t="str" cm="1">
        <f t="array" aca="1" ref="F832" ca="1">INDIRECT("'" &amp; A832 &amp; "'!" &amp; B832)</f>
        <v>g49</v>
      </c>
      <c r="G832" t="str" cm="1">
        <f t="array" aca="1" ref="G832" ca="1">INDIRECT("'" &amp; A832 &amp; "'!" &amp; ADDRESS(1, COLUMN(INDIRECT("'" &amp; A832 &amp; "'!" &amp; B832))))</f>
        <v>1973 - 4</v>
      </c>
      <c r="H832" t="str">
        <f ca="1">VLOOKUP($G832, survey_codes_dict!A:C, 2, FALSE)</f>
        <v>1973_4</v>
      </c>
      <c r="I832" s="102" t="str">
        <f ca="1">VLOOKUP($G832, survey_codes_dict!A:D, 4, FALSE)</f>
        <v>1973_3</v>
      </c>
      <c r="J832" s="102" t="str">
        <f t="shared" ca="1" si="24"/>
        <v>1973_4__g49</v>
      </c>
      <c r="K832" s="102" t="str">
        <f t="shared" ca="1" si="25"/>
        <v>1973_3__g49</v>
      </c>
      <c r="L832" s="102"/>
      <c r="M832" s="102"/>
      <c r="N832" s="102"/>
      <c r="O832" s="102"/>
      <c r="P832" s="102"/>
      <c r="Q832" s="102"/>
      <c r="R832" s="102"/>
      <c r="S832" s="101"/>
    </row>
    <row r="833" spans="1:19" ht="72" x14ac:dyDescent="0.3">
      <c r="A833" t="s">
        <v>4625</v>
      </c>
      <c r="B833" t="s">
        <v>4655</v>
      </c>
      <c r="C833" s="90" t="s">
        <v>4656</v>
      </c>
      <c r="D833" t="s">
        <v>5562</v>
      </c>
      <c r="E833" s="101" t="s">
        <v>6189</v>
      </c>
      <c r="F833" t="str" cm="1">
        <f t="array" aca="1" ref="F833" ca="1">INDIRECT("'" &amp; A833 &amp; "'!" &amp; B833)</f>
        <v>f9</v>
      </c>
      <c r="G833" t="str" cm="1">
        <f t="array" aca="1" ref="G833" ca="1">INDIRECT("'" &amp; A833 &amp; "'!" &amp; ADDRESS(1, COLUMN(INDIRECT("'" &amp; A833 &amp; "'!" &amp; B833))))</f>
        <v>1973 - 3</v>
      </c>
      <c r="H833" t="str">
        <f ca="1">VLOOKUP($G833, survey_codes_dict!A:C, 2, FALSE)</f>
        <v>1973_3</v>
      </c>
      <c r="I833" s="102" t="str">
        <f ca="1">VLOOKUP($G833, survey_codes_dict!A:D, 4, FALSE)</f>
        <v>1973_2</v>
      </c>
      <c r="J833" s="102" t="str">
        <f t="shared" ca="1" si="24"/>
        <v>1973_3__f9</v>
      </c>
      <c r="K833" s="102" t="str">
        <f t="shared" ca="1" si="25"/>
        <v>1973_2__f9</v>
      </c>
      <c r="L833" s="102"/>
      <c r="M833" s="102"/>
      <c r="N833" s="102"/>
      <c r="O833" s="102"/>
      <c r="P833" s="102"/>
      <c r="Q833" s="102"/>
      <c r="R833" s="102"/>
      <c r="S833" s="101"/>
    </row>
    <row r="834" spans="1:19" ht="100.8" x14ac:dyDescent="0.3">
      <c r="A834" t="s">
        <v>4625</v>
      </c>
      <c r="B834" t="s">
        <v>4657</v>
      </c>
      <c r="C834" s="90" t="s">
        <v>4658</v>
      </c>
      <c r="D834" t="s">
        <v>5562</v>
      </c>
      <c r="E834" s="101" t="s">
        <v>6190</v>
      </c>
      <c r="F834" t="str" cm="1">
        <f t="array" aca="1" ref="F834" ca="1">INDIRECT("'" &amp; A834 &amp; "'!" &amp; B834)</f>
        <v>v106</v>
      </c>
      <c r="G834" cm="1">
        <f t="array" aca="1" ref="G834" ca="1">INDIRECT("'" &amp; A834 &amp; "'!" &amp; ADDRESS(1, COLUMN(INDIRECT("'" &amp; A834 &amp; "'!" &amp; B834))))</f>
        <v>2022</v>
      </c>
      <c r="H834" t="e">
        <f ca="1">VLOOKUP($G834, survey_codes_dict!A:C, 2, FALSE)</f>
        <v>#N/A</v>
      </c>
      <c r="I834" s="102" t="e">
        <f ca="1">VLOOKUP($G834, survey_codes_dict!A:D, 4, FALSE)</f>
        <v>#N/A</v>
      </c>
      <c r="J834" s="102" t="e">
        <f t="shared" ref="J834:J897" ca="1" si="26">_xlfn.CONCAT($H834, "__", F834)</f>
        <v>#N/A</v>
      </c>
      <c r="K834" s="102" t="e">
        <f t="shared" ref="K834:K897" ca="1" si="27">_xlfn.CONCAT($I834, "__", F834)</f>
        <v>#N/A</v>
      </c>
      <c r="L834" s="102"/>
      <c r="M834" s="102"/>
      <c r="N834" s="102"/>
      <c r="O834" s="102"/>
      <c r="P834" s="102"/>
      <c r="Q834" s="102"/>
      <c r="R834" s="102"/>
      <c r="S834" s="101"/>
    </row>
    <row r="835" spans="1:19" ht="216" x14ac:dyDescent="0.3">
      <c r="A835" t="s">
        <v>4625</v>
      </c>
      <c r="B835" t="s">
        <v>4659</v>
      </c>
      <c r="C835" s="90" t="s">
        <v>4660</v>
      </c>
      <c r="D835" t="s">
        <v>5562</v>
      </c>
      <c r="E835" s="101" t="s">
        <v>6191</v>
      </c>
      <c r="F835" t="str" cm="1">
        <f t="array" aca="1" ref="F835" ca="1">INDIRECT("'" &amp; A835 &amp; "'!" &amp; B835)</f>
        <v>v106</v>
      </c>
      <c r="G835" cm="1">
        <f t="array" aca="1" ref="G835" ca="1">INDIRECT("'" &amp; A835 &amp; "'!" &amp; ADDRESS(1, COLUMN(INDIRECT("'" &amp; A835 &amp; "'!" &amp; B835))))</f>
        <v>2021</v>
      </c>
      <c r="H835" t="e">
        <f ca="1">VLOOKUP($G835, survey_codes_dict!A:C, 2, FALSE)</f>
        <v>#N/A</v>
      </c>
      <c r="I835" s="102" t="e">
        <f ca="1">VLOOKUP($G835, survey_codes_dict!A:D, 4, FALSE)</f>
        <v>#N/A</v>
      </c>
      <c r="J835" s="102" t="e">
        <f t="shared" ca="1" si="26"/>
        <v>#N/A</v>
      </c>
      <c r="K835" s="102" t="e">
        <f t="shared" ca="1" si="27"/>
        <v>#N/A</v>
      </c>
      <c r="L835" s="102"/>
      <c r="M835" s="102"/>
      <c r="N835" s="102"/>
      <c r="O835" s="102"/>
      <c r="P835" s="102"/>
      <c r="Q835" s="102"/>
      <c r="R835" s="102"/>
      <c r="S835" s="101"/>
    </row>
    <row r="836" spans="1:19" ht="216" x14ac:dyDescent="0.3">
      <c r="A836" t="s">
        <v>4625</v>
      </c>
      <c r="B836" t="s">
        <v>4661</v>
      </c>
      <c r="C836" s="90" t="s">
        <v>4662</v>
      </c>
      <c r="D836" t="s">
        <v>5562</v>
      </c>
      <c r="E836" s="101" t="s">
        <v>6192</v>
      </c>
      <c r="F836" t="str" cm="1">
        <f t="array" aca="1" ref="F836" ca="1">INDIRECT("'" &amp; A836 &amp; "'!" &amp; B836)</f>
        <v>v106</v>
      </c>
      <c r="G836" cm="1">
        <f t="array" aca="1" ref="G836" ca="1">INDIRECT("'" &amp; A836 &amp; "'!" &amp; ADDRESS(1, COLUMN(INDIRECT("'" &amp; A836 &amp; "'!" &amp; B836))))</f>
        <v>2020</v>
      </c>
      <c r="H836" t="e">
        <f ca="1">VLOOKUP($G836, survey_codes_dict!A:C, 2, FALSE)</f>
        <v>#N/A</v>
      </c>
      <c r="I836" s="102" t="e">
        <f ca="1">VLOOKUP($G836, survey_codes_dict!A:D, 4, FALSE)</f>
        <v>#N/A</v>
      </c>
      <c r="J836" s="102" t="e">
        <f t="shared" ca="1" si="26"/>
        <v>#N/A</v>
      </c>
      <c r="K836" s="102" t="e">
        <f t="shared" ca="1" si="27"/>
        <v>#N/A</v>
      </c>
      <c r="L836" s="102"/>
      <c r="M836" s="102"/>
      <c r="N836" s="102"/>
      <c r="O836" s="102"/>
      <c r="P836" s="102"/>
      <c r="Q836" s="102"/>
      <c r="R836" s="102"/>
      <c r="S836" s="101"/>
    </row>
    <row r="837" spans="1:19" ht="187.2" x14ac:dyDescent="0.3">
      <c r="A837" t="s">
        <v>4625</v>
      </c>
      <c r="B837" t="s">
        <v>4663</v>
      </c>
      <c r="C837" s="90" t="s">
        <v>4664</v>
      </c>
      <c r="D837" t="s">
        <v>5562</v>
      </c>
      <c r="E837" s="101" t="s">
        <v>6193</v>
      </c>
      <c r="F837" t="str" cm="1">
        <f t="array" aca="1" ref="F837" ca="1">INDIRECT("'" &amp; A837 &amp; "'!" &amp; B837)</f>
        <v>v106</v>
      </c>
      <c r="G837" cm="1">
        <f t="array" aca="1" ref="G837" ca="1">INDIRECT("'" &amp; A837 &amp; "'!" &amp; ADDRESS(1, COLUMN(INDIRECT("'" &amp; A837 &amp; "'!" &amp; B837))))</f>
        <v>43556</v>
      </c>
      <c r="H837" t="e">
        <f ca="1">VLOOKUP($G837, survey_codes_dict!A:C, 2, FALSE)</f>
        <v>#N/A</v>
      </c>
      <c r="I837" s="102" t="e">
        <f ca="1">VLOOKUP($G837, survey_codes_dict!A:D, 4, FALSE)</f>
        <v>#N/A</v>
      </c>
      <c r="J837" s="102" t="e">
        <f t="shared" ca="1" si="26"/>
        <v>#N/A</v>
      </c>
      <c r="K837" s="102" t="e">
        <f t="shared" ca="1" si="27"/>
        <v>#N/A</v>
      </c>
      <c r="L837" s="102"/>
      <c r="M837" s="102"/>
      <c r="N837" s="102"/>
      <c r="O837" s="102"/>
      <c r="P837" s="102"/>
      <c r="Q837" s="102"/>
      <c r="R837" s="102"/>
      <c r="S837" s="101"/>
    </row>
    <row r="838" spans="1:19" ht="72" x14ac:dyDescent="0.3">
      <c r="A838" t="s">
        <v>4625</v>
      </c>
      <c r="B838" t="s">
        <v>4665</v>
      </c>
      <c r="C838" s="90" t="s">
        <v>4666</v>
      </c>
      <c r="D838" t="s">
        <v>5562</v>
      </c>
      <c r="E838" s="101" t="s">
        <v>6194</v>
      </c>
      <c r="F838" t="str" cm="1">
        <f t="array" aca="1" ref="F838" ca="1">INDIRECT("'" &amp; A838 &amp; "'!" &amp; B838)</f>
        <v>v99</v>
      </c>
      <c r="G838" cm="1">
        <f t="array" aca="1" ref="G838" ca="1">INDIRECT("'" &amp; A838 &amp; "'!" &amp; ADDRESS(1, COLUMN(INDIRECT("'" &amp; A838 &amp; "'!" &amp; B838))))</f>
        <v>2015</v>
      </c>
      <c r="H838" t="e">
        <f ca="1">VLOOKUP($G838, survey_codes_dict!A:C, 2, FALSE)</f>
        <v>#N/A</v>
      </c>
      <c r="I838" s="102" t="e">
        <f ca="1">VLOOKUP($G838, survey_codes_dict!A:D, 4, FALSE)</f>
        <v>#N/A</v>
      </c>
      <c r="J838" s="102" t="e">
        <f t="shared" ca="1" si="26"/>
        <v>#N/A</v>
      </c>
      <c r="K838" s="102" t="e">
        <f t="shared" ca="1" si="27"/>
        <v>#N/A</v>
      </c>
      <c r="L838" s="102"/>
      <c r="M838" s="102"/>
      <c r="N838" s="102"/>
      <c r="O838" s="102"/>
      <c r="P838" s="102"/>
      <c r="Q838" s="102"/>
      <c r="R838" s="102"/>
      <c r="S838" s="101"/>
    </row>
    <row r="839" spans="1:19" ht="72" x14ac:dyDescent="0.3">
      <c r="A839" t="s">
        <v>4625</v>
      </c>
      <c r="B839" t="s">
        <v>4667</v>
      </c>
      <c r="C839" s="90" t="s">
        <v>4668</v>
      </c>
      <c r="D839" t="s">
        <v>5562</v>
      </c>
      <c r="E839" s="101" t="s">
        <v>6195</v>
      </c>
      <c r="F839" t="str" cm="1">
        <f t="array" aca="1" ref="F839" ca="1">INDIRECT("'" &amp; A839 &amp; "'!" &amp; B839)</f>
        <v>v107</v>
      </c>
      <c r="G839" cm="1">
        <f t="array" aca="1" ref="G839" ca="1">INDIRECT("'" &amp; A839 &amp; "'!" &amp; ADDRESS(1, COLUMN(INDIRECT("'" &amp; A839 &amp; "'!" &amp; B839))))</f>
        <v>2022</v>
      </c>
      <c r="H839" t="e">
        <f ca="1">VLOOKUP($G839, survey_codes_dict!A:C, 2, FALSE)</f>
        <v>#N/A</v>
      </c>
      <c r="I839" s="102" t="e">
        <f ca="1">VLOOKUP($G839, survey_codes_dict!A:D, 4, FALSE)</f>
        <v>#N/A</v>
      </c>
      <c r="J839" s="102" t="e">
        <f t="shared" ca="1" si="26"/>
        <v>#N/A</v>
      </c>
      <c r="K839" s="102" t="e">
        <f t="shared" ca="1" si="27"/>
        <v>#N/A</v>
      </c>
      <c r="L839" s="102"/>
      <c r="M839" s="102"/>
      <c r="N839" s="102"/>
      <c r="O839" s="102"/>
      <c r="P839" s="102"/>
      <c r="Q839" s="102"/>
      <c r="R839" s="102"/>
      <c r="S839" s="101"/>
    </row>
    <row r="840" spans="1:19" ht="216" x14ac:dyDescent="0.3">
      <c r="A840" t="s">
        <v>4625</v>
      </c>
      <c r="B840" t="s">
        <v>4669</v>
      </c>
      <c r="C840" s="90" t="s">
        <v>4660</v>
      </c>
      <c r="D840" t="s">
        <v>5562</v>
      </c>
      <c r="E840" s="101" t="s">
        <v>6191</v>
      </c>
      <c r="F840" t="str" cm="1">
        <f t="array" aca="1" ref="F840" ca="1">INDIRECT("'" &amp; A840 &amp; "'!" &amp; B840)</f>
        <v>v107</v>
      </c>
      <c r="G840" cm="1">
        <f t="array" aca="1" ref="G840" ca="1">INDIRECT("'" &amp; A840 &amp; "'!" &amp; ADDRESS(1, COLUMN(INDIRECT("'" &amp; A840 &amp; "'!" &amp; B840))))</f>
        <v>2021</v>
      </c>
      <c r="H840" t="e">
        <f ca="1">VLOOKUP($G840, survey_codes_dict!A:C, 2, FALSE)</f>
        <v>#N/A</v>
      </c>
      <c r="I840" s="102" t="e">
        <f ca="1">VLOOKUP($G840, survey_codes_dict!A:D, 4, FALSE)</f>
        <v>#N/A</v>
      </c>
      <c r="J840" s="102" t="e">
        <f t="shared" ca="1" si="26"/>
        <v>#N/A</v>
      </c>
      <c r="K840" s="102" t="e">
        <f t="shared" ca="1" si="27"/>
        <v>#N/A</v>
      </c>
      <c r="L840" s="102"/>
      <c r="M840" s="102"/>
      <c r="N840" s="102"/>
      <c r="O840" s="102"/>
      <c r="P840" s="102"/>
      <c r="Q840" s="102"/>
      <c r="R840" s="102"/>
      <c r="S840" s="101"/>
    </row>
    <row r="841" spans="1:19" ht="187.2" x14ac:dyDescent="0.3">
      <c r="A841" t="s">
        <v>4625</v>
      </c>
      <c r="B841" t="s">
        <v>4670</v>
      </c>
      <c r="C841" s="90" t="s">
        <v>4664</v>
      </c>
      <c r="D841" t="s">
        <v>5562</v>
      </c>
      <c r="E841" s="101" t="s">
        <v>6193</v>
      </c>
      <c r="F841" t="str" cm="1">
        <f t="array" aca="1" ref="F841" ca="1">INDIRECT("'" &amp; A841 &amp; "'!" &amp; B841)</f>
        <v>v107</v>
      </c>
      <c r="G841" cm="1">
        <f t="array" aca="1" ref="G841" ca="1">INDIRECT("'" &amp; A841 &amp; "'!" &amp; ADDRESS(1, COLUMN(INDIRECT("'" &amp; A841 &amp; "'!" &amp; B841))))</f>
        <v>2020</v>
      </c>
      <c r="H841" t="e">
        <f ca="1">VLOOKUP($G841, survey_codes_dict!A:C, 2, FALSE)</f>
        <v>#N/A</v>
      </c>
      <c r="I841" s="102" t="e">
        <f ca="1">VLOOKUP($G841, survey_codes_dict!A:D, 4, FALSE)</f>
        <v>#N/A</v>
      </c>
      <c r="J841" s="102" t="e">
        <f t="shared" ca="1" si="26"/>
        <v>#N/A</v>
      </c>
      <c r="K841" s="102" t="e">
        <f t="shared" ca="1" si="27"/>
        <v>#N/A</v>
      </c>
      <c r="L841" s="102"/>
      <c r="M841" s="102"/>
      <c r="N841" s="102"/>
      <c r="O841" s="102"/>
      <c r="P841" s="102"/>
      <c r="Q841" s="102"/>
      <c r="R841" s="102"/>
      <c r="S841" s="101"/>
    </row>
    <row r="842" spans="1:19" ht="115.2" x14ac:dyDescent="0.3">
      <c r="A842" t="s">
        <v>4625</v>
      </c>
      <c r="B842" t="s">
        <v>4671</v>
      </c>
      <c r="C842" s="90" t="s">
        <v>4672</v>
      </c>
      <c r="D842" t="s">
        <v>5562</v>
      </c>
      <c r="E842" s="101" t="s">
        <v>6196</v>
      </c>
      <c r="F842" t="str" cm="1">
        <f t="array" aca="1" ref="F842" ca="1">INDIRECT("'" &amp; A842 &amp; "'!" &amp; B842)</f>
        <v>E4_after</v>
      </c>
      <c r="G842" cm="1">
        <f t="array" aca="1" ref="G842" ca="1">INDIRECT("'" &amp; A842 &amp; "'!" &amp; ADDRESS(1, COLUMN(INDIRECT("'" &amp; A842 &amp; "'!" &amp; B842))))</f>
        <v>2020</v>
      </c>
      <c r="H842" t="e">
        <f ca="1">VLOOKUP($G842, survey_codes_dict!A:C, 2, FALSE)</f>
        <v>#N/A</v>
      </c>
      <c r="I842" s="102" t="e">
        <f ca="1">VLOOKUP($G842, survey_codes_dict!A:D, 4, FALSE)</f>
        <v>#N/A</v>
      </c>
      <c r="J842" s="102" t="e">
        <f t="shared" ca="1" si="26"/>
        <v>#N/A</v>
      </c>
      <c r="K842" s="102" t="e">
        <f t="shared" ca="1" si="27"/>
        <v>#N/A</v>
      </c>
      <c r="L842" s="102"/>
      <c r="M842" s="102"/>
      <c r="N842" s="102"/>
      <c r="O842" s="102"/>
      <c r="P842" s="102"/>
      <c r="Q842" s="102"/>
      <c r="R842" s="102"/>
      <c r="S842" s="102"/>
    </row>
    <row r="843" spans="1:19" ht="86.4" x14ac:dyDescent="0.3">
      <c r="A843" t="s">
        <v>4625</v>
      </c>
      <c r="B843" t="s">
        <v>4673</v>
      </c>
      <c r="C843" s="90" t="s">
        <v>4389</v>
      </c>
      <c r="D843" t="s">
        <v>5562</v>
      </c>
      <c r="E843" s="101" t="s">
        <v>6087</v>
      </c>
      <c r="F843" t="str" cm="1">
        <f t="array" aca="1" ref="F843" ca="1">INDIRECT("'" &amp; A843 &amp; "'!" &amp; B843)</f>
        <v>v4_after</v>
      </c>
      <c r="G843" cm="1">
        <f t="array" aca="1" ref="G843" ca="1">INDIRECT("'" &amp; A843 &amp; "'!" &amp; ADDRESS(1, COLUMN(INDIRECT("'" &amp; A843 &amp; "'!" &amp; B843))))</f>
        <v>43556</v>
      </c>
      <c r="H843" t="e">
        <f ca="1">VLOOKUP($G843, survey_codes_dict!A:C, 2, FALSE)</f>
        <v>#N/A</v>
      </c>
      <c r="I843" s="102" t="e">
        <f ca="1">VLOOKUP($G843, survey_codes_dict!A:D, 4, FALSE)</f>
        <v>#N/A</v>
      </c>
      <c r="J843" s="102" t="e">
        <f t="shared" ca="1" si="26"/>
        <v>#N/A</v>
      </c>
      <c r="K843" s="102" t="e">
        <f t="shared" ca="1" si="27"/>
        <v>#N/A</v>
      </c>
      <c r="L843" s="102"/>
      <c r="M843" s="102"/>
      <c r="N843" s="102"/>
      <c r="O843" s="102"/>
      <c r="P843" s="102"/>
      <c r="Q843" s="102"/>
      <c r="R843" s="102"/>
      <c r="S843" s="102"/>
    </row>
    <row r="844" spans="1:19" ht="172.8" x14ac:dyDescent="0.3">
      <c r="A844" t="s">
        <v>4625</v>
      </c>
      <c r="B844" t="s">
        <v>4674</v>
      </c>
      <c r="C844" s="90" t="s">
        <v>4675</v>
      </c>
      <c r="D844" t="s">
        <v>5562</v>
      </c>
      <c r="E844" s="101" t="s">
        <v>6197</v>
      </c>
      <c r="F844" t="str" cm="1">
        <f t="array" aca="1" ref="F844" ca="1">INDIRECT("'" &amp; A844 &amp; "'!" &amp; B844)</f>
        <v>F9</v>
      </c>
      <c r="G844" cm="1">
        <f t="array" aca="1" ref="G844" ca="1">INDIRECT("'" &amp; A844 &amp; "'!" &amp; ADDRESS(1, COLUMN(INDIRECT("'" &amp; A844 &amp; "'!" &amp; B844))))</f>
        <v>2022</v>
      </c>
      <c r="H844" t="e">
        <f ca="1">VLOOKUP($G844, survey_codes_dict!A:C, 2, FALSE)</f>
        <v>#N/A</v>
      </c>
      <c r="I844" s="102" t="e">
        <f ca="1">VLOOKUP($G844, survey_codes_dict!A:D, 4, FALSE)</f>
        <v>#N/A</v>
      </c>
      <c r="J844" s="102" t="e">
        <f t="shared" ca="1" si="26"/>
        <v>#N/A</v>
      </c>
      <c r="K844" s="102" t="e">
        <f t="shared" ca="1" si="27"/>
        <v>#N/A</v>
      </c>
      <c r="L844" s="102"/>
      <c r="M844" s="102"/>
      <c r="N844" s="102"/>
      <c r="O844" s="102"/>
      <c r="P844" s="102"/>
      <c r="Q844" s="102"/>
      <c r="R844" s="102"/>
      <c r="S844" s="101"/>
    </row>
    <row r="845" spans="1:19" ht="302.39999999999998" x14ac:dyDescent="0.3">
      <c r="A845" t="s">
        <v>4625</v>
      </c>
      <c r="B845" t="s">
        <v>4676</v>
      </c>
      <c r="C845" s="90" t="s">
        <v>4677</v>
      </c>
      <c r="D845" t="s">
        <v>5562</v>
      </c>
      <c r="E845" s="101" t="s">
        <v>6198</v>
      </c>
      <c r="F845" t="str" cm="1">
        <f t="array" aca="1" ref="F845" ca="1">INDIRECT("'" &amp; A845 &amp; "'!" &amp; B845)</f>
        <v>F9</v>
      </c>
      <c r="G845" cm="1">
        <f t="array" aca="1" ref="G845" ca="1">INDIRECT("'" &amp; A845 &amp; "'!" &amp; ADDRESS(1, COLUMN(INDIRECT("'" &amp; A845 &amp; "'!" &amp; B845))))</f>
        <v>2021</v>
      </c>
      <c r="H845" t="e">
        <f ca="1">VLOOKUP($G845, survey_codes_dict!A:C, 2, FALSE)</f>
        <v>#N/A</v>
      </c>
      <c r="I845" s="102" t="e">
        <f ca="1">VLOOKUP($G845, survey_codes_dict!A:D, 4, FALSE)</f>
        <v>#N/A</v>
      </c>
      <c r="J845" s="102" t="e">
        <f t="shared" ca="1" si="26"/>
        <v>#N/A</v>
      </c>
      <c r="K845" s="102" t="e">
        <f t="shared" ca="1" si="27"/>
        <v>#N/A</v>
      </c>
      <c r="L845" s="102"/>
      <c r="M845" s="102"/>
      <c r="N845" s="102"/>
      <c r="O845" s="102"/>
      <c r="P845" s="102"/>
      <c r="Q845" s="102"/>
      <c r="R845" s="102"/>
      <c r="S845" s="101"/>
    </row>
    <row r="846" spans="1:19" ht="244.8" x14ac:dyDescent="0.3">
      <c r="A846" t="s">
        <v>4625</v>
      </c>
      <c r="B846" t="s">
        <v>4678</v>
      </c>
      <c r="C846" s="90" t="s">
        <v>4679</v>
      </c>
      <c r="D846" t="s">
        <v>5562</v>
      </c>
      <c r="E846" s="101" t="s">
        <v>6199</v>
      </c>
      <c r="F846" t="str" cm="1">
        <f t="array" aca="1" ref="F846" ca="1">INDIRECT("'" &amp; A846 &amp; "'!" &amp; B846)</f>
        <v>E9_after</v>
      </c>
      <c r="G846" cm="1">
        <f t="array" aca="1" ref="G846" ca="1">INDIRECT("'" &amp; A846 &amp; "'!" &amp; ADDRESS(1, COLUMN(INDIRECT("'" &amp; A846 &amp; "'!" &amp; B846))))</f>
        <v>2020</v>
      </c>
      <c r="H846" t="e">
        <f ca="1">VLOOKUP($G846, survey_codes_dict!A:C, 2, FALSE)</f>
        <v>#N/A</v>
      </c>
      <c r="I846" s="102" t="e">
        <f ca="1">VLOOKUP($G846, survey_codes_dict!A:D, 4, FALSE)</f>
        <v>#N/A</v>
      </c>
      <c r="J846" s="102" t="e">
        <f t="shared" ca="1" si="26"/>
        <v>#N/A</v>
      </c>
      <c r="K846" s="102" t="e">
        <f t="shared" ca="1" si="27"/>
        <v>#N/A</v>
      </c>
      <c r="L846" s="102"/>
      <c r="M846" s="102"/>
      <c r="N846" s="102"/>
      <c r="O846" s="102"/>
      <c r="P846" s="102"/>
      <c r="Q846" s="102"/>
      <c r="R846" s="102"/>
      <c r="S846" s="102"/>
    </row>
    <row r="847" spans="1:19" ht="244.8" x14ac:dyDescent="0.3">
      <c r="A847" t="s">
        <v>4625</v>
      </c>
      <c r="B847" t="s">
        <v>4680</v>
      </c>
      <c r="C847" s="90" t="s">
        <v>4681</v>
      </c>
      <c r="D847" t="s">
        <v>5562</v>
      </c>
      <c r="E847" s="101" t="s">
        <v>6200</v>
      </c>
      <c r="F847" t="str" cm="1">
        <f t="array" aca="1" ref="F847" ca="1">INDIRECT("'" &amp; A847 &amp; "'!" &amp; B847)</f>
        <v>D9</v>
      </c>
      <c r="G847" cm="1">
        <f t="array" aca="1" ref="G847" ca="1">INDIRECT("'" &amp; A847 &amp; "'!" &amp; ADDRESS(1, COLUMN(INDIRECT("'" &amp; A847 &amp; "'!" &amp; B847))))</f>
        <v>43709</v>
      </c>
      <c r="H847" t="e">
        <f ca="1">VLOOKUP($G847, survey_codes_dict!A:C, 2, FALSE)</f>
        <v>#N/A</v>
      </c>
      <c r="I847" s="102" t="e">
        <f ca="1">VLOOKUP($G847, survey_codes_dict!A:D, 4, FALSE)</f>
        <v>#N/A</v>
      </c>
      <c r="J847" s="102" t="e">
        <f t="shared" ca="1" si="26"/>
        <v>#N/A</v>
      </c>
      <c r="K847" s="102" t="e">
        <f t="shared" ca="1" si="27"/>
        <v>#N/A</v>
      </c>
      <c r="L847" s="102"/>
      <c r="M847" s="102"/>
      <c r="N847" s="102"/>
      <c r="O847" s="102"/>
      <c r="P847" s="102"/>
      <c r="Q847" s="102"/>
      <c r="R847" s="102"/>
      <c r="S847" s="101"/>
    </row>
    <row r="848" spans="1:19" ht="100.8" x14ac:dyDescent="0.3">
      <c r="A848" t="s">
        <v>4625</v>
      </c>
      <c r="B848" t="s">
        <v>4682</v>
      </c>
      <c r="C848" s="90" t="s">
        <v>4683</v>
      </c>
      <c r="D848" t="s">
        <v>5562</v>
      </c>
      <c r="E848" s="101" t="s">
        <v>6201</v>
      </c>
      <c r="F848" t="str" cm="1">
        <f t="array" aca="1" ref="F848" ca="1">INDIRECT("'" &amp; A848 &amp; "'!" &amp; B848)</f>
        <v>v9_after</v>
      </c>
      <c r="G848" cm="1">
        <f t="array" aca="1" ref="G848" ca="1">INDIRECT("'" &amp; A848 &amp; "'!" &amp; ADDRESS(1, COLUMN(INDIRECT("'" &amp; A848 &amp; "'!" &amp; B848))))</f>
        <v>43556</v>
      </c>
      <c r="H848" t="e">
        <f ca="1">VLOOKUP($G848, survey_codes_dict!A:C, 2, FALSE)</f>
        <v>#N/A</v>
      </c>
      <c r="I848" s="102" t="e">
        <f ca="1">VLOOKUP($G848, survey_codes_dict!A:D, 4, FALSE)</f>
        <v>#N/A</v>
      </c>
      <c r="J848" s="102" t="e">
        <f t="shared" ca="1" si="26"/>
        <v>#N/A</v>
      </c>
      <c r="K848" s="102" t="e">
        <f t="shared" ca="1" si="27"/>
        <v>#N/A</v>
      </c>
      <c r="L848" s="102"/>
      <c r="M848" s="102"/>
      <c r="N848" s="102"/>
      <c r="O848" s="102"/>
      <c r="P848" s="102"/>
      <c r="Q848" s="102"/>
      <c r="R848" s="102"/>
      <c r="S848" s="102"/>
    </row>
    <row r="849" spans="1:19" ht="129.6" x14ac:dyDescent="0.3">
      <c r="A849" t="s">
        <v>4625</v>
      </c>
      <c r="B849" t="s">
        <v>4684</v>
      </c>
      <c r="C849" s="90" t="s">
        <v>4685</v>
      </c>
      <c r="D849" t="s">
        <v>5562</v>
      </c>
      <c r="E849" s="101" t="s">
        <v>6202</v>
      </c>
      <c r="F849" t="str" cm="1">
        <f t="array" aca="1" ref="F849" ca="1">INDIRECT("'" &amp; A849 &amp; "'!" &amp; B849)</f>
        <v>after_v9</v>
      </c>
      <c r="G849" cm="1">
        <f t="array" aca="1" ref="G849" ca="1">INDIRECT("'" &amp; A849 &amp; "'!" &amp; ADDRESS(1, COLUMN(INDIRECT("'" &amp; A849 &amp; "'!" &amp; B849))))</f>
        <v>2015</v>
      </c>
      <c r="H849" t="e">
        <f ca="1">VLOOKUP($G849, survey_codes_dict!A:C, 2, FALSE)</f>
        <v>#N/A</v>
      </c>
      <c r="I849" s="102" t="e">
        <f ca="1">VLOOKUP($G849, survey_codes_dict!A:D, 4, FALSE)</f>
        <v>#N/A</v>
      </c>
      <c r="J849" s="102" t="e">
        <f t="shared" ca="1" si="26"/>
        <v>#N/A</v>
      </c>
      <c r="K849" s="102" t="e">
        <f t="shared" ca="1" si="27"/>
        <v>#N/A</v>
      </c>
      <c r="L849" s="102"/>
      <c r="M849" s="102"/>
      <c r="N849" s="102"/>
      <c r="O849" s="102"/>
      <c r="P849" s="102"/>
      <c r="Q849" s="102"/>
      <c r="R849" s="102"/>
      <c r="S849" s="102"/>
    </row>
    <row r="850" spans="1:19" ht="115.2" x14ac:dyDescent="0.3">
      <c r="A850" t="s">
        <v>4625</v>
      </c>
      <c r="B850" t="s">
        <v>3504</v>
      </c>
      <c r="C850" s="90" t="s">
        <v>4686</v>
      </c>
      <c r="D850" t="s">
        <v>5562</v>
      </c>
      <c r="E850" s="101" t="s">
        <v>6203</v>
      </c>
      <c r="F850" t="str" cm="1">
        <f t="array" aca="1" ref="F850" ca="1">INDIRECT("'" &amp; A850 &amp; "'!" &amp; B850)</f>
        <v>a_v16</v>
      </c>
      <c r="G850" cm="1">
        <f t="array" aca="1" ref="G850" ca="1">INDIRECT("'" &amp; A850 &amp; "'!" &amp; ADDRESS(1, COLUMN(INDIRECT("'" &amp; A850 &amp; "'!" &amp; B850))))</f>
        <v>2013</v>
      </c>
      <c r="H850" t="e">
        <f ca="1">VLOOKUP($G850, survey_codes_dict!A:C, 2, FALSE)</f>
        <v>#N/A</v>
      </c>
      <c r="I850" s="102" t="e">
        <f ca="1">VLOOKUP($G850, survey_codes_dict!A:D, 4, FALSE)</f>
        <v>#N/A</v>
      </c>
      <c r="J850" s="102" t="e">
        <f t="shared" ca="1" si="26"/>
        <v>#N/A</v>
      </c>
      <c r="K850" s="102" t="e">
        <f t="shared" ca="1" si="27"/>
        <v>#N/A</v>
      </c>
      <c r="L850" s="102"/>
      <c r="M850" s="102"/>
      <c r="N850" s="102"/>
      <c r="O850" s="102"/>
      <c r="P850" s="102"/>
      <c r="Q850" s="102"/>
      <c r="R850" s="102"/>
      <c r="S850" s="102"/>
    </row>
    <row r="851" spans="1:19" ht="129.6" x14ac:dyDescent="0.3">
      <c r="A851" t="s">
        <v>4625</v>
      </c>
      <c r="B851" t="s">
        <v>4687</v>
      </c>
      <c r="C851" s="90" t="s">
        <v>4688</v>
      </c>
      <c r="D851" t="s">
        <v>5562</v>
      </c>
      <c r="E851" s="101" t="s">
        <v>6204</v>
      </c>
      <c r="F851" t="str" cm="1">
        <f t="array" aca="1" ref="F851" ca="1">INDIRECT("'" &amp; A851 &amp; "'!" &amp; B851)</f>
        <v>q5</v>
      </c>
      <c r="G851" cm="1">
        <f t="array" aca="1" ref="G851" ca="1">INDIRECT("'" &amp; A851 &amp; "'!" &amp; ADDRESS(1, COLUMN(INDIRECT("'" &amp; A851 &amp; "'!" &amp; B851))))</f>
        <v>2009</v>
      </c>
      <c r="H851" t="e">
        <f ca="1">VLOOKUP($G851, survey_codes_dict!A:C, 2, FALSE)</f>
        <v>#N/A</v>
      </c>
      <c r="I851" s="102" t="e">
        <f ca="1">VLOOKUP($G851, survey_codes_dict!A:D, 4, FALSE)</f>
        <v>#N/A</v>
      </c>
      <c r="J851" s="102" t="e">
        <f t="shared" ca="1" si="26"/>
        <v>#N/A</v>
      </c>
      <c r="K851" s="102" t="e">
        <f t="shared" ca="1" si="27"/>
        <v>#N/A</v>
      </c>
      <c r="L851" s="102"/>
      <c r="M851" s="102"/>
      <c r="N851" s="102"/>
      <c r="O851" s="102"/>
      <c r="P851" s="102"/>
      <c r="Q851" s="102"/>
      <c r="R851" s="102"/>
      <c r="S851" s="102"/>
    </row>
    <row r="852" spans="1:19" ht="28.8" x14ac:dyDescent="0.3">
      <c r="A852" t="s">
        <v>4625</v>
      </c>
      <c r="B852" t="s">
        <v>4689</v>
      </c>
      <c r="C852" s="90" t="s">
        <v>3348</v>
      </c>
      <c r="D852" t="s">
        <v>5675</v>
      </c>
      <c r="E852" s="101" t="s">
        <v>5566</v>
      </c>
      <c r="F852" t="str" cm="1">
        <f t="array" aca="1" ref="F852" ca="1">INDIRECT("'" &amp; A852 &amp; "'!" &amp; B852)</f>
        <v>d8</v>
      </c>
      <c r="G852" cm="1">
        <f t="array" aca="1" ref="G852" ca="1">INDIRECT("'" &amp; A852 &amp; "'!" &amp; ADDRESS(1, COLUMN(INDIRECT("'" &amp; A852 &amp; "'!" &amp; B852))))</f>
        <v>2006</v>
      </c>
      <c r="H852" t="str">
        <f ca="1">VLOOKUP($G852, survey_codes_dict!A:C, 2, FALSE)</f>
        <v>2006</v>
      </c>
      <c r="I852" s="102" t="str">
        <f ca="1">VLOOKUP($G852, survey_codes_dict!A:D, 4, FALSE)</f>
        <v>2003</v>
      </c>
      <c r="J852" s="102" t="str">
        <f t="shared" ca="1" si="26"/>
        <v>2006__d8</v>
      </c>
      <c r="K852" s="102" t="str">
        <f t="shared" ca="1" si="27"/>
        <v>2003__d8</v>
      </c>
      <c r="L852" s="102"/>
      <c r="M852" s="102"/>
      <c r="N852" s="102"/>
      <c r="O852" s="102"/>
      <c r="P852" s="102"/>
      <c r="Q852" s="102"/>
      <c r="R852" s="102"/>
      <c r="S852" s="101"/>
    </row>
    <row r="853" spans="1:19" ht="72" x14ac:dyDescent="0.3">
      <c r="A853" t="s">
        <v>4625</v>
      </c>
      <c r="B853" t="s">
        <v>4690</v>
      </c>
      <c r="C853" s="90" t="s">
        <v>4691</v>
      </c>
      <c r="D853" t="s">
        <v>5562</v>
      </c>
      <c r="E853" s="101" t="s">
        <v>6205</v>
      </c>
      <c r="F853" t="str" cm="1">
        <f t="array" aca="1" ref="F853" ca="1">INDIRECT("'" &amp; A853 &amp; "'!" &amp; B853)</f>
        <v>q6</v>
      </c>
      <c r="G853" cm="1">
        <f t="array" aca="1" ref="G853" ca="1">INDIRECT("'" &amp; A853 &amp; "'!" &amp; ADDRESS(1, COLUMN(INDIRECT("'" &amp; A853 &amp; "'!" &amp; B853))))</f>
        <v>2009</v>
      </c>
      <c r="H853" t="e">
        <f ca="1">VLOOKUP($G853, survey_codes_dict!A:C, 2, FALSE)</f>
        <v>#N/A</v>
      </c>
      <c r="I853" s="102" t="e">
        <f ca="1">VLOOKUP($G853, survey_codes_dict!A:D, 4, FALSE)</f>
        <v>#N/A</v>
      </c>
      <c r="J853" s="102" t="e">
        <f t="shared" ca="1" si="26"/>
        <v>#N/A</v>
      </c>
      <c r="K853" s="102" t="e">
        <f t="shared" ca="1" si="27"/>
        <v>#N/A</v>
      </c>
      <c r="L853" s="102"/>
      <c r="M853" s="102"/>
      <c r="N853" s="102"/>
      <c r="O853" s="102"/>
      <c r="P853" s="102"/>
      <c r="Q853" s="102"/>
      <c r="R853" s="102"/>
      <c r="S853" s="102"/>
    </row>
    <row r="854" spans="1:19" ht="72" x14ac:dyDescent="0.3">
      <c r="A854" t="s">
        <v>4625</v>
      </c>
      <c r="B854" t="s">
        <v>4692</v>
      </c>
      <c r="C854" s="90" t="s">
        <v>4693</v>
      </c>
      <c r="D854" t="s">
        <v>5562</v>
      </c>
      <c r="E854" s="101" t="s">
        <v>6206</v>
      </c>
      <c r="F854" t="str" cm="1">
        <f t="array" aca="1" ref="F854" ca="1">INDIRECT("'" &amp; A854 &amp; "'!" &amp; B854)</f>
        <v>c11</v>
      </c>
      <c r="G854" t="str" cm="1">
        <f t="array" aca="1" ref="G854" ca="1">INDIRECT("'" &amp; A854 &amp; "'!" &amp; ADDRESS(1, COLUMN(INDIRECT("'" &amp; A854 &amp; "'!" &amp; B854))))</f>
        <v>1977 - 4</v>
      </c>
      <c r="H854" t="str">
        <f ca="1">VLOOKUP($G854, survey_codes_dict!A:C, 2, FALSE)</f>
        <v>1977_4</v>
      </c>
      <c r="I854" s="102" t="str">
        <f ca="1">VLOOKUP($G854, survey_codes_dict!A:D, 4, FALSE)</f>
        <v>1977_3</v>
      </c>
      <c r="J854" s="102" t="str">
        <f t="shared" ca="1" si="26"/>
        <v>1977_4__c11</v>
      </c>
      <c r="K854" s="102" t="str">
        <f t="shared" ca="1" si="27"/>
        <v>1977_3__c11</v>
      </c>
      <c r="L854" s="102"/>
      <c r="M854" s="102"/>
      <c r="N854" s="102"/>
      <c r="O854" s="102"/>
      <c r="P854" s="102"/>
      <c r="Q854" s="102"/>
      <c r="R854" s="102"/>
      <c r="S854" s="101"/>
    </row>
    <row r="855" spans="1:19" ht="72" x14ac:dyDescent="0.3">
      <c r="A855" t="s">
        <v>4625</v>
      </c>
      <c r="B855" t="s">
        <v>4694</v>
      </c>
      <c r="C855" s="90" t="s">
        <v>4695</v>
      </c>
      <c r="D855" t="s">
        <v>5562</v>
      </c>
      <c r="E855" s="101" t="s">
        <v>6207</v>
      </c>
      <c r="F855" t="str" cm="1">
        <f t="array" aca="1" ref="F855" ca="1">INDIRECT("'" &amp; A855 &amp; "'!" &amp; B855)</f>
        <v>N2</v>
      </c>
      <c r="G855" cm="1">
        <f t="array" aca="1" ref="G855" ca="1">INDIRECT("'" &amp; A855 &amp; "'!" &amp; ADDRESS(1, COLUMN(INDIRECT("'" &amp; A855 &amp; "'!" &amp; B855))))</f>
        <v>2021</v>
      </c>
      <c r="H855" t="e">
        <f ca="1">VLOOKUP($G855, survey_codes_dict!A:C, 2, FALSE)</f>
        <v>#N/A</v>
      </c>
      <c r="I855" s="102" t="e">
        <f ca="1">VLOOKUP($G855, survey_codes_dict!A:D, 4, FALSE)</f>
        <v>#N/A</v>
      </c>
      <c r="J855" s="102" t="e">
        <f t="shared" ca="1" si="26"/>
        <v>#N/A</v>
      </c>
      <c r="K855" s="102" t="e">
        <f t="shared" ca="1" si="27"/>
        <v>#N/A</v>
      </c>
      <c r="L855" s="102"/>
      <c r="M855" s="102"/>
      <c r="N855" s="102"/>
      <c r="O855" s="102"/>
      <c r="P855" s="102"/>
      <c r="Q855" s="102"/>
      <c r="R855" s="102"/>
      <c r="S855" s="102"/>
    </row>
    <row r="856" spans="1:19" ht="72" x14ac:dyDescent="0.3">
      <c r="A856" t="s">
        <v>4625</v>
      </c>
      <c r="B856" t="s">
        <v>4696</v>
      </c>
      <c r="C856" s="90" t="s">
        <v>4697</v>
      </c>
      <c r="D856" t="s">
        <v>5562</v>
      </c>
      <c r="E856" s="101" t="s">
        <v>6208</v>
      </c>
      <c r="F856" t="str" cm="1">
        <f t="array" aca="1" ref="F856" ca="1">INDIRECT("'" &amp; A856 &amp; "'!" &amp; B856)</f>
        <v>v161</v>
      </c>
      <c r="G856" cm="1">
        <f t="array" aca="1" ref="G856" ca="1">INDIRECT("'" &amp; A856 &amp; "'!" &amp; ADDRESS(1, COLUMN(INDIRECT("'" &amp; A856 &amp; "'!" &amp; B856))))</f>
        <v>2009</v>
      </c>
      <c r="H856" t="e">
        <f ca="1">VLOOKUP($G856, survey_codes_dict!A:C, 2, FALSE)</f>
        <v>#N/A</v>
      </c>
      <c r="I856" s="102" t="e">
        <f ca="1">VLOOKUP($G856, survey_codes_dict!A:D, 4, FALSE)</f>
        <v>#N/A</v>
      </c>
      <c r="J856" s="102" t="e">
        <f t="shared" ca="1" si="26"/>
        <v>#N/A</v>
      </c>
      <c r="K856" s="102" t="e">
        <f t="shared" ca="1" si="27"/>
        <v>#N/A</v>
      </c>
      <c r="L856" s="102"/>
      <c r="M856" s="102"/>
      <c r="N856" s="102"/>
      <c r="O856" s="102"/>
      <c r="P856" s="102"/>
      <c r="Q856" s="102"/>
      <c r="R856" s="102"/>
      <c r="S856" s="102"/>
    </row>
    <row r="857" spans="1:19" ht="115.2" x14ac:dyDescent="0.3">
      <c r="A857" t="s">
        <v>4625</v>
      </c>
      <c r="B857" t="s">
        <v>4698</v>
      </c>
      <c r="C857" s="90" t="s">
        <v>4699</v>
      </c>
      <c r="D857" t="s">
        <v>5562</v>
      </c>
      <c r="E857" s="101" t="s">
        <v>6209</v>
      </c>
      <c r="F857" t="str" cm="1">
        <f t="array" aca="1" ref="F857" ca="1">INDIRECT("'" &amp; A857 &amp; "'!" &amp; B857)</f>
        <v>b49</v>
      </c>
      <c r="G857" t="str" cm="1">
        <f t="array" aca="1" ref="G857" ca="1">INDIRECT("'" &amp; A857 &amp; "'!" &amp; ADDRESS(1, COLUMN(INDIRECT("'" &amp; A857 &amp; "'!" &amp; B857))))</f>
        <v>1988*</v>
      </c>
      <c r="H857" t="str">
        <f ca="1">VLOOKUP($G857, survey_codes_dict!A:C, 2, FALSE)</f>
        <v>1988_N=873</v>
      </c>
      <c r="I857" s="102" t="str">
        <f ca="1">VLOOKUP($G857, survey_codes_dict!A:D, 4, FALSE)</f>
        <v>1988_Panel_N=416</v>
      </c>
      <c r="J857" s="102" t="str">
        <f t="shared" ca="1" si="26"/>
        <v>1988_N=873__b49</v>
      </c>
      <c r="K857" s="102" t="str">
        <f t="shared" ca="1" si="27"/>
        <v>1988_Panel_N=416__b49</v>
      </c>
      <c r="L857" s="102"/>
      <c r="M857" s="102"/>
      <c r="N857" s="102"/>
      <c r="O857" s="102"/>
      <c r="P857" s="102"/>
      <c r="Q857" s="102"/>
      <c r="R857" s="102"/>
      <c r="S857" s="101"/>
    </row>
    <row r="858" spans="1:19" ht="72" x14ac:dyDescent="0.3">
      <c r="A858" t="s">
        <v>4625</v>
      </c>
      <c r="B858" t="s">
        <v>4700</v>
      </c>
      <c r="C858" s="90" t="s">
        <v>4701</v>
      </c>
      <c r="D858" t="s">
        <v>5562</v>
      </c>
      <c r="E858" s="101" t="s">
        <v>6210</v>
      </c>
      <c r="F858" t="str" cm="1">
        <f t="array" aca="1" ref="F858" ca="1">INDIRECT("'" &amp; A858 &amp; "'!" &amp; B858)</f>
        <v>b105</v>
      </c>
      <c r="G858" t="str" cm="1">
        <f t="array" aca="1" ref="G858" ca="1">INDIRECT("'" &amp; A858 &amp; "'!" &amp; ADDRESS(1, COLUMN(INDIRECT("'" &amp; A858 &amp; "'!" &amp; B858))))</f>
        <v>1981 - 3</v>
      </c>
      <c r="H858" t="str">
        <f ca="1">VLOOKUP($G858, survey_codes_dict!A:C, 2, FALSE)</f>
        <v>1981_3</v>
      </c>
      <c r="I858" s="102">
        <f ca="1">VLOOKUP($G858, survey_codes_dict!A:D, 4, FALSE)</f>
        <v>0</v>
      </c>
      <c r="J858" s="102" t="str">
        <f t="shared" ca="1" si="26"/>
        <v>1981_3__b105</v>
      </c>
      <c r="K858" s="102" t="str">
        <f t="shared" ca="1" si="27"/>
        <v>0__b105</v>
      </c>
      <c r="L858" s="102"/>
      <c r="M858" s="102"/>
      <c r="N858" s="102"/>
      <c r="O858" s="102"/>
      <c r="P858" s="102"/>
      <c r="Q858" s="102"/>
      <c r="R858" s="102"/>
      <c r="S858" s="101"/>
    </row>
    <row r="859" spans="1:19" ht="43.2" x14ac:dyDescent="0.3">
      <c r="A859" t="s">
        <v>4625</v>
      </c>
      <c r="B859" t="s">
        <v>4702</v>
      </c>
      <c r="C859" s="90" t="s">
        <v>4703</v>
      </c>
      <c r="D859" t="s">
        <v>5562</v>
      </c>
      <c r="E859" s="101" t="s">
        <v>6211</v>
      </c>
      <c r="F859" t="str" cm="1">
        <f t="array" aca="1" ref="F859" ca="1">INDIRECT("'" &amp; A859 &amp; "'!" &amp; B859)</f>
        <v>a116</v>
      </c>
      <c r="G859" t="str" cm="1">
        <f t="array" aca="1" ref="G859" ca="1">INDIRECT("'" &amp; A859 &amp; "'!" &amp; ADDRESS(1, COLUMN(INDIRECT("'" &amp; A859 &amp; "'!" &amp; B859))))</f>
        <v>1981 - 2</v>
      </c>
      <c r="H859">
        <f ca="1">VLOOKUP($G859, survey_codes_dict!A:C, 2, FALSE)</f>
        <v>0</v>
      </c>
      <c r="I859" s="102" t="str">
        <f ca="1">VLOOKUP($G859, survey_codes_dict!A:D, 4, FALSE)</f>
        <v>1981_1</v>
      </c>
      <c r="J859" s="102" t="str">
        <f t="shared" ca="1" si="26"/>
        <v>0__a116</v>
      </c>
      <c r="K859" s="102" t="str">
        <f t="shared" ca="1" si="27"/>
        <v>1981_1__a116</v>
      </c>
      <c r="L859" s="102"/>
      <c r="M859" s="102"/>
      <c r="N859" s="102"/>
      <c r="O859" s="102"/>
      <c r="P859" s="102"/>
      <c r="Q859" s="102"/>
      <c r="R859" s="102"/>
      <c r="S859" s="101"/>
    </row>
    <row r="860" spans="1:19" ht="43.2" x14ac:dyDescent="0.3">
      <c r="A860" t="s">
        <v>4625</v>
      </c>
      <c r="B860" t="s">
        <v>4704</v>
      </c>
      <c r="C860" s="90" t="s">
        <v>4705</v>
      </c>
      <c r="D860" t="s">
        <v>5562</v>
      </c>
      <c r="E860" s="101" t="s">
        <v>6212</v>
      </c>
      <c r="F860" t="str" cm="1">
        <f t="array" aca="1" ref="F860" ca="1">INDIRECT("'" &amp; A860 &amp; "'!" &amp; B860)</f>
        <v>v95</v>
      </c>
      <c r="G860" t="str" cm="1">
        <f t="array" aca="1" ref="G860" ca="1">INDIRECT("'" &amp; A860 &amp; "'!" &amp; ADDRESS(1, COLUMN(INDIRECT("'" &amp; A860 &amp; "'!" &amp; B860))))</f>
        <v>1977 - 1</v>
      </c>
      <c r="H860" t="str">
        <f ca="1">VLOOKUP($G860, survey_codes_dict!A:C, 2, FALSE)</f>
        <v>1977_1</v>
      </c>
      <c r="I860" s="102" t="str">
        <f ca="1">VLOOKUP($G860, survey_codes_dict!A:D, 4, FALSE)</f>
        <v>1973_5</v>
      </c>
      <c r="J860" s="102" t="str">
        <f t="shared" ca="1" si="26"/>
        <v>1977_1__v95</v>
      </c>
      <c r="K860" s="102" t="str">
        <f t="shared" ca="1" si="27"/>
        <v>1973_5__v95</v>
      </c>
      <c r="L860" s="102"/>
      <c r="M860" s="102"/>
      <c r="N860" s="102"/>
      <c r="O860" s="102"/>
      <c r="P860" s="102"/>
      <c r="Q860" s="102"/>
      <c r="R860" s="102"/>
      <c r="S860" s="101"/>
    </row>
    <row r="861" spans="1:19" ht="144" x14ac:dyDescent="0.3">
      <c r="A861" t="s">
        <v>4625</v>
      </c>
      <c r="B861" t="s">
        <v>4706</v>
      </c>
      <c r="C861" s="90" t="s">
        <v>4707</v>
      </c>
      <c r="D861" t="s">
        <v>5562</v>
      </c>
      <c r="E861" s="101" t="s">
        <v>6213</v>
      </c>
      <c r="F861" t="str" cm="1">
        <f t="array" aca="1" ref="F861" ca="1">INDIRECT("'" &amp; A861 &amp; "'!" &amp; B861)</f>
        <v>h38</v>
      </c>
      <c r="G861" t="str" cm="1">
        <f t="array" aca="1" ref="G861" ca="1">INDIRECT("'" &amp; A861 &amp; "'!" &amp; ADDRESS(1, COLUMN(INDIRECT("'" &amp; A861 &amp; "'!" &amp; B861))))</f>
        <v>1973 - 5</v>
      </c>
      <c r="H861" t="str">
        <f ca="1">VLOOKUP($G861, survey_codes_dict!A:C, 2, FALSE)</f>
        <v>1973_5</v>
      </c>
      <c r="I861" s="102" t="str">
        <f ca="1">VLOOKUP($G861, survey_codes_dict!A:D, 4, FALSE)</f>
        <v>1973_4</v>
      </c>
      <c r="J861" s="102" t="str">
        <f t="shared" ca="1" si="26"/>
        <v>1973_5__h38</v>
      </c>
      <c r="K861" s="102" t="str">
        <f t="shared" ca="1" si="27"/>
        <v>1973_4__h38</v>
      </c>
      <c r="L861" s="102"/>
      <c r="M861" s="102"/>
      <c r="N861" s="102"/>
      <c r="O861" s="102"/>
      <c r="P861" s="102"/>
      <c r="Q861" s="102"/>
      <c r="R861" s="102"/>
      <c r="S861" s="101"/>
    </row>
    <row r="862" spans="1:19" ht="86.4" x14ac:dyDescent="0.3">
      <c r="A862" t="s">
        <v>4625</v>
      </c>
      <c r="B862" t="s">
        <v>4708</v>
      </c>
      <c r="C862" s="90" t="s">
        <v>4709</v>
      </c>
      <c r="D862" t="s">
        <v>5562</v>
      </c>
      <c r="E862" s="101" t="s">
        <v>6214</v>
      </c>
      <c r="F862" t="str" cm="1">
        <f t="array" aca="1" ref="F862" ca="1">INDIRECT("'" &amp; A862 &amp; "'!" &amp; B862)</f>
        <v>f35</v>
      </c>
      <c r="G862" t="str" cm="1">
        <f t="array" aca="1" ref="G862" ca="1">INDIRECT("'" &amp; A862 &amp; "'!" &amp; ADDRESS(1, COLUMN(INDIRECT("'" &amp; A862 &amp; "'!" &amp; B862))))</f>
        <v>1973 - 3</v>
      </c>
      <c r="H862" t="str">
        <f ca="1">VLOOKUP($G862, survey_codes_dict!A:C, 2, FALSE)</f>
        <v>1973_3</v>
      </c>
      <c r="I862" s="102" t="str">
        <f ca="1">VLOOKUP($G862, survey_codes_dict!A:D, 4, FALSE)</f>
        <v>1973_2</v>
      </c>
      <c r="J862" s="102" t="str">
        <f t="shared" ca="1" si="26"/>
        <v>1973_3__f35</v>
      </c>
      <c r="K862" s="102" t="str">
        <f t="shared" ca="1" si="27"/>
        <v>1973_2__f35</v>
      </c>
      <c r="L862" s="102"/>
      <c r="M862" s="102"/>
      <c r="N862" s="102"/>
      <c r="O862" s="102"/>
      <c r="P862" s="102"/>
      <c r="Q862" s="102"/>
      <c r="R862" s="102"/>
      <c r="S862" s="101"/>
    </row>
    <row r="863" spans="1:19" ht="129.6" x14ac:dyDescent="0.3">
      <c r="A863" t="s">
        <v>4625</v>
      </c>
      <c r="B863" t="s">
        <v>4710</v>
      </c>
      <c r="C863" s="90" t="s">
        <v>4711</v>
      </c>
      <c r="D863" t="s">
        <v>5562</v>
      </c>
      <c r="E863" s="101" t="s">
        <v>6215</v>
      </c>
      <c r="F863" t="str" cm="1">
        <f t="array" aca="1" ref="F863" ca="1">INDIRECT("'" &amp; A863 &amp; "'!" &amp; B863)</f>
        <v>b53</v>
      </c>
      <c r="G863" t="str" cm="1">
        <f t="array" aca="1" ref="G863" ca="1">INDIRECT("'" &amp; A863 &amp; "'!" &amp; ADDRESS(1, COLUMN(INDIRECT("'" &amp; A863 &amp; "'!" &amp; B863))))</f>
        <v>1969 - 3</v>
      </c>
      <c r="H863" t="e">
        <f ca="1">VLOOKUP($G863, survey_codes_dict!A:C, 2, FALSE)</f>
        <v>#N/A</v>
      </c>
      <c r="I863" s="102" t="e">
        <f ca="1">VLOOKUP($G863, survey_codes_dict!A:D, 4, FALSE)</f>
        <v>#N/A</v>
      </c>
      <c r="J863" s="102" t="e">
        <f t="shared" ca="1" si="26"/>
        <v>#N/A</v>
      </c>
      <c r="K863" s="102" t="e">
        <f t="shared" ca="1" si="27"/>
        <v>#N/A</v>
      </c>
      <c r="L863" s="102"/>
      <c r="M863" s="102"/>
      <c r="N863" s="102"/>
      <c r="O863" s="102"/>
      <c r="P863" s="102"/>
      <c r="Q863" s="102"/>
      <c r="R863" s="102"/>
      <c r="S863" s="101"/>
    </row>
    <row r="864" spans="1:19" ht="230.4" x14ac:dyDescent="0.3">
      <c r="A864" t="s">
        <v>4712</v>
      </c>
      <c r="B864" t="s">
        <v>4713</v>
      </c>
      <c r="C864" s="90" t="s">
        <v>4714</v>
      </c>
      <c r="D864" t="s">
        <v>5562</v>
      </c>
      <c r="E864" s="101" t="s">
        <v>6216</v>
      </c>
      <c r="F864" t="str" cm="1">
        <f t="array" aca="1" ref="F864" ca="1">INDIRECT("'" &amp; A864 &amp; "'!" &amp; B864)</f>
        <v>F7</v>
      </c>
      <c r="G864" cm="1">
        <f t="array" aca="1" ref="G864" ca="1">INDIRECT("'" &amp; A864 &amp; "'!" &amp; ADDRESS(1, COLUMN(INDIRECT("'" &amp; A864 &amp; "'!" &amp; B864))))</f>
        <v>2022</v>
      </c>
      <c r="H864" t="e">
        <f ca="1">VLOOKUP($G864, survey_codes_dict!A:C, 2, FALSE)</f>
        <v>#N/A</v>
      </c>
      <c r="I864" s="102" t="e">
        <f ca="1">VLOOKUP($G864, survey_codes_dict!A:D, 4, FALSE)</f>
        <v>#N/A</v>
      </c>
      <c r="J864" s="102" t="e">
        <f t="shared" ca="1" si="26"/>
        <v>#N/A</v>
      </c>
      <c r="K864" s="102" t="e">
        <f t="shared" ca="1" si="27"/>
        <v>#N/A</v>
      </c>
      <c r="L864" s="102"/>
      <c r="M864" s="102"/>
      <c r="N864" s="102"/>
      <c r="O864" s="102"/>
      <c r="P864" s="102"/>
      <c r="Q864" s="102"/>
      <c r="R864" s="102"/>
      <c r="S864" s="101"/>
    </row>
    <row r="865" spans="1:19" ht="216" x14ac:dyDescent="0.3">
      <c r="A865" t="s">
        <v>4712</v>
      </c>
      <c r="B865" t="s">
        <v>3562</v>
      </c>
      <c r="C865" s="90" t="s">
        <v>4715</v>
      </c>
      <c r="D865" t="s">
        <v>5562</v>
      </c>
      <c r="E865" s="101" t="s">
        <v>6217</v>
      </c>
      <c r="F865" t="str" cm="1">
        <f t="array" aca="1" ref="F865" ca="1">INDIRECT("'" &amp; A865 &amp; "'!" &amp; B865)</f>
        <v>E7_after</v>
      </c>
      <c r="G865" cm="1">
        <f t="array" aca="1" ref="G865" ca="1">INDIRECT("'" &amp; A865 &amp; "'!" &amp; ADDRESS(1, COLUMN(INDIRECT("'" &amp; A865 &amp; "'!" &amp; B865))))</f>
        <v>2020</v>
      </c>
      <c r="H865" t="e">
        <f ca="1">VLOOKUP($G865, survey_codes_dict!A:C, 2, FALSE)</f>
        <v>#N/A</v>
      </c>
      <c r="I865" s="102" t="e">
        <f ca="1">VLOOKUP($G865, survey_codes_dict!A:D, 4, FALSE)</f>
        <v>#N/A</v>
      </c>
      <c r="J865" s="102" t="e">
        <f t="shared" ca="1" si="26"/>
        <v>#N/A</v>
      </c>
      <c r="K865" s="102" t="e">
        <f t="shared" ca="1" si="27"/>
        <v>#N/A</v>
      </c>
      <c r="L865" s="102"/>
      <c r="M865" s="102"/>
      <c r="N865" s="102"/>
      <c r="O865" s="102"/>
      <c r="P865" s="102"/>
      <c r="Q865" s="102"/>
      <c r="R865" s="102"/>
      <c r="S865" s="102"/>
    </row>
    <row r="866" spans="1:19" ht="129.6" x14ac:dyDescent="0.3">
      <c r="A866" t="s">
        <v>4712</v>
      </c>
      <c r="B866" t="s">
        <v>4716</v>
      </c>
      <c r="C866" s="90" t="s">
        <v>4717</v>
      </c>
      <c r="D866" t="s">
        <v>5562</v>
      </c>
      <c r="E866" s="101" t="s">
        <v>6218</v>
      </c>
      <c r="F866" t="str" cm="1">
        <f t="array" aca="1" ref="F866" ca="1">INDIRECT("'" &amp; A866 &amp; "'!" &amp; B866)</f>
        <v>v7_after</v>
      </c>
      <c r="G866" cm="1">
        <f t="array" aca="1" ref="G866" ca="1">INDIRECT("'" &amp; A866 &amp; "'!" &amp; ADDRESS(1, COLUMN(INDIRECT("'" &amp; A866 &amp; "'!" &amp; B866))))</f>
        <v>43556</v>
      </c>
      <c r="H866" t="e">
        <f ca="1">VLOOKUP($G866, survey_codes_dict!A:C, 2, FALSE)</f>
        <v>#N/A</v>
      </c>
      <c r="I866" s="102" t="e">
        <f ca="1">VLOOKUP($G866, survey_codes_dict!A:D, 4, FALSE)</f>
        <v>#N/A</v>
      </c>
      <c r="J866" s="102" t="e">
        <f t="shared" ca="1" si="26"/>
        <v>#N/A</v>
      </c>
      <c r="K866" s="102" t="e">
        <f t="shared" ca="1" si="27"/>
        <v>#N/A</v>
      </c>
      <c r="L866" s="102"/>
      <c r="M866" s="102"/>
      <c r="N866" s="102"/>
      <c r="O866" s="102"/>
      <c r="P866" s="102"/>
      <c r="Q866" s="102"/>
      <c r="R866" s="102"/>
      <c r="S866" s="102"/>
    </row>
    <row r="867" spans="1:19" ht="129.6" x14ac:dyDescent="0.3">
      <c r="A867" t="s">
        <v>4712</v>
      </c>
      <c r="B867" t="s">
        <v>3849</v>
      </c>
      <c r="C867" s="90" t="s">
        <v>4718</v>
      </c>
      <c r="D867" t="s">
        <v>5562</v>
      </c>
      <c r="E867" s="101" t="s">
        <v>6219</v>
      </c>
      <c r="F867" t="str" cm="1">
        <f t="array" aca="1" ref="F867" ca="1">INDIRECT("'" &amp; A867 &amp; "'!" &amp; B867)</f>
        <v>after_v8</v>
      </c>
      <c r="G867" cm="1">
        <f t="array" aca="1" ref="G867" ca="1">INDIRECT("'" &amp; A867 &amp; "'!" &amp; ADDRESS(1, COLUMN(INDIRECT("'" &amp; A867 &amp; "'!" &amp; B867))))</f>
        <v>2015</v>
      </c>
      <c r="H867" t="e">
        <f ca="1">VLOOKUP($G867, survey_codes_dict!A:C, 2, FALSE)</f>
        <v>#N/A</v>
      </c>
      <c r="I867" s="102" t="e">
        <f ca="1">VLOOKUP($G867, survey_codes_dict!A:D, 4, FALSE)</f>
        <v>#N/A</v>
      </c>
      <c r="J867" s="102" t="e">
        <f t="shared" ca="1" si="26"/>
        <v>#N/A</v>
      </c>
      <c r="K867" s="102" t="e">
        <f t="shared" ca="1" si="27"/>
        <v>#N/A</v>
      </c>
      <c r="L867" s="102"/>
      <c r="M867" s="102"/>
      <c r="N867" s="102"/>
      <c r="O867" s="102"/>
      <c r="P867" s="102"/>
      <c r="Q867" s="102"/>
      <c r="R867" s="102"/>
      <c r="S867" s="102"/>
    </row>
    <row r="868" spans="1:19" ht="115.2" x14ac:dyDescent="0.3">
      <c r="A868" t="s">
        <v>4712</v>
      </c>
      <c r="B868" t="s">
        <v>3946</v>
      </c>
      <c r="C868" s="90" t="s">
        <v>4719</v>
      </c>
      <c r="D868" t="s">
        <v>5562</v>
      </c>
      <c r="E868" s="101" t="s">
        <v>6220</v>
      </c>
      <c r="F868" t="str" cm="1">
        <f t="array" aca="1" ref="F868" ca="1">INDIRECT("'" &amp; A868 &amp; "'!" &amp; B868)</f>
        <v>a_v15</v>
      </c>
      <c r="G868" cm="1">
        <f t="array" aca="1" ref="G868" ca="1">INDIRECT("'" &amp; A868 &amp; "'!" &amp; ADDRESS(1, COLUMN(INDIRECT("'" &amp; A868 &amp; "'!" &amp; B868))))</f>
        <v>2013</v>
      </c>
      <c r="H868" t="e">
        <f ca="1">VLOOKUP($G868, survey_codes_dict!A:C, 2, FALSE)</f>
        <v>#N/A</v>
      </c>
      <c r="I868" s="102" t="e">
        <f ca="1">VLOOKUP($G868, survey_codes_dict!A:D, 4, FALSE)</f>
        <v>#N/A</v>
      </c>
      <c r="J868" s="102" t="e">
        <f t="shared" ca="1" si="26"/>
        <v>#N/A</v>
      </c>
      <c r="K868" s="102" t="e">
        <f t="shared" ca="1" si="27"/>
        <v>#N/A</v>
      </c>
      <c r="L868" s="102"/>
      <c r="M868" s="102"/>
      <c r="N868" s="102"/>
      <c r="O868" s="102"/>
      <c r="P868" s="102"/>
      <c r="Q868" s="102"/>
      <c r="R868" s="102"/>
      <c r="S868" s="102"/>
    </row>
    <row r="869" spans="1:19" ht="100.8" x14ac:dyDescent="0.3">
      <c r="A869" t="s">
        <v>4712</v>
      </c>
      <c r="B869" t="s">
        <v>4059</v>
      </c>
      <c r="C869" s="90" t="s">
        <v>4720</v>
      </c>
      <c r="D869" t="s">
        <v>5562</v>
      </c>
      <c r="E869" s="101" t="s">
        <v>6221</v>
      </c>
      <c r="F869" t="str" cm="1">
        <f t="array" aca="1" ref="F869" ca="1">INDIRECT("'" &amp; A869 &amp; "'!" &amp; B869)</f>
        <v>q20</v>
      </c>
      <c r="G869" cm="1">
        <f t="array" aca="1" ref="G869" ca="1">INDIRECT("'" &amp; A869 &amp; "'!" &amp; ADDRESS(1, COLUMN(INDIRECT("'" &amp; A869 &amp; "'!" &amp; B869))))</f>
        <v>2009</v>
      </c>
      <c r="H869" t="e">
        <f ca="1">VLOOKUP($G869, survey_codes_dict!A:C, 2, FALSE)</f>
        <v>#N/A</v>
      </c>
      <c r="I869" s="102" t="e">
        <f ca="1">VLOOKUP($G869, survey_codes_dict!A:D, 4, FALSE)</f>
        <v>#N/A</v>
      </c>
      <c r="J869" s="102" t="e">
        <f t="shared" ca="1" si="26"/>
        <v>#N/A</v>
      </c>
      <c r="K869" s="102" t="e">
        <f t="shared" ca="1" si="27"/>
        <v>#N/A</v>
      </c>
      <c r="L869" s="102"/>
      <c r="M869" s="102"/>
      <c r="N869" s="102"/>
      <c r="O869" s="102"/>
      <c r="P869" s="102"/>
      <c r="Q869" s="102"/>
      <c r="R869" s="102"/>
      <c r="S869" s="102"/>
    </row>
    <row r="870" spans="1:19" ht="86.4" x14ac:dyDescent="0.3">
      <c r="A870" t="s">
        <v>4712</v>
      </c>
      <c r="B870" t="s">
        <v>3566</v>
      </c>
      <c r="C870" s="90" t="s">
        <v>4721</v>
      </c>
      <c r="D870" t="s">
        <v>5562</v>
      </c>
      <c r="E870" s="101" t="s">
        <v>6222</v>
      </c>
      <c r="F870" t="str" cm="1">
        <f t="array" aca="1" ref="F870" ca="1">INDIRECT("'" &amp; A870 &amp; "'!" &amp; B870)</f>
        <v>d21</v>
      </c>
      <c r="G870" cm="1">
        <f t="array" aca="1" ref="G870" ca="1">INDIRECT("'" &amp; A870 &amp; "'!" &amp; ADDRESS(1, COLUMN(INDIRECT("'" &amp; A870 &amp; "'!" &amp; B870))))</f>
        <v>1999</v>
      </c>
      <c r="H870" t="str">
        <f ca="1">VLOOKUP($G870, survey_codes_dict!A:C, 2, FALSE)</f>
        <v>1999_1</v>
      </c>
      <c r="I870" s="102" t="str">
        <f ca="1">VLOOKUP($G870, survey_codes_dict!A:D, 4, FALSE)</f>
        <v>1996_Jews</v>
      </c>
      <c r="J870" s="102" t="str">
        <f t="shared" ca="1" si="26"/>
        <v>1999_1__d21</v>
      </c>
      <c r="K870" s="102" t="str">
        <f t="shared" ca="1" si="27"/>
        <v>1996_Jews__d21</v>
      </c>
      <c r="L870" s="102"/>
      <c r="M870" s="102"/>
      <c r="N870" s="102"/>
      <c r="O870" s="102"/>
      <c r="P870" s="102"/>
      <c r="Q870" s="102"/>
      <c r="R870" s="102"/>
      <c r="S870" s="101"/>
    </row>
    <row r="871" spans="1:19" ht="86.4" x14ac:dyDescent="0.3">
      <c r="A871" t="s">
        <v>4712</v>
      </c>
      <c r="B871" t="s">
        <v>3568</v>
      </c>
      <c r="C871" s="90" t="s">
        <v>4722</v>
      </c>
      <c r="D871" t="s">
        <v>5562</v>
      </c>
      <c r="E871" s="101" t="s">
        <v>6223</v>
      </c>
      <c r="F871" t="str" cm="1">
        <f t="array" aca="1" ref="F871" ca="1">INDIRECT("'" &amp; A871 &amp; "'!" &amp; B871)</f>
        <v>v6A_after</v>
      </c>
      <c r="G871" cm="1">
        <f t="array" aca="1" ref="G871" ca="1">INDIRECT("'" &amp; A871 &amp; "'!" &amp; ADDRESS(1, COLUMN(INDIRECT("'" &amp; A871 &amp; "'!" &amp; B871))))</f>
        <v>43556</v>
      </c>
      <c r="H871" t="e">
        <f ca="1">VLOOKUP($G871, survey_codes_dict!A:C, 2, FALSE)</f>
        <v>#N/A</v>
      </c>
      <c r="I871" s="102" t="e">
        <f ca="1">VLOOKUP($G871, survey_codes_dict!A:D, 4, FALSE)</f>
        <v>#N/A</v>
      </c>
      <c r="J871" s="102" t="e">
        <f t="shared" ca="1" si="26"/>
        <v>#N/A</v>
      </c>
      <c r="K871" s="102" t="e">
        <f t="shared" ca="1" si="27"/>
        <v>#N/A</v>
      </c>
      <c r="L871" s="102"/>
      <c r="M871" s="102"/>
      <c r="N871" s="102"/>
      <c r="O871" s="102"/>
      <c r="P871" s="102"/>
      <c r="Q871" s="102"/>
      <c r="R871" s="102"/>
      <c r="S871" s="102"/>
    </row>
    <row r="872" spans="1:19" ht="43.2" x14ac:dyDescent="0.3">
      <c r="A872" t="s">
        <v>4712</v>
      </c>
      <c r="B872" t="s">
        <v>3571</v>
      </c>
      <c r="C872" s="90" t="s">
        <v>4723</v>
      </c>
      <c r="D872" t="s">
        <v>5562</v>
      </c>
      <c r="E872" s="101" t="s">
        <v>6224</v>
      </c>
      <c r="F872" t="str" cm="1">
        <f t="array" aca="1" ref="F872" ca="1">INDIRECT("'" &amp; A872 &amp; "'!" &amp; B872)</f>
        <v>d17</v>
      </c>
      <c r="G872" cm="1">
        <f t="array" aca="1" ref="G872" ca="1">INDIRECT("'" &amp; A872 &amp; "'!" &amp; ADDRESS(1, COLUMN(INDIRECT("'" &amp; A872 &amp; "'!" &amp; B872))))</f>
        <v>1999</v>
      </c>
      <c r="H872" t="str">
        <f ca="1">VLOOKUP($G872, survey_codes_dict!A:C, 2, FALSE)</f>
        <v>1999_1</v>
      </c>
      <c r="I872" s="102" t="str">
        <f ca="1">VLOOKUP($G872, survey_codes_dict!A:D, 4, FALSE)</f>
        <v>1996_Jews</v>
      </c>
      <c r="J872" s="102" t="str">
        <f t="shared" ca="1" si="26"/>
        <v>1999_1__d17</v>
      </c>
      <c r="K872" s="102" t="str">
        <f t="shared" ca="1" si="27"/>
        <v>1996_Jews__d17</v>
      </c>
      <c r="L872" s="102"/>
      <c r="M872" s="102"/>
      <c r="N872" s="102"/>
      <c r="O872" s="102"/>
      <c r="P872" s="102"/>
      <c r="Q872" s="102"/>
      <c r="R872" s="102"/>
      <c r="S872" s="101"/>
    </row>
    <row r="873" spans="1:19" ht="43.2" x14ac:dyDescent="0.3">
      <c r="A873" t="s">
        <v>4712</v>
      </c>
      <c r="B873" t="s">
        <v>4724</v>
      </c>
      <c r="C873" s="90" t="s">
        <v>4725</v>
      </c>
      <c r="D873" t="s">
        <v>5562</v>
      </c>
      <c r="E873" s="101" t="s">
        <v>6225</v>
      </c>
      <c r="F873" t="str" cm="1">
        <f t="array" aca="1" ref="F873" ca="1">INDIRECT("'" &amp; A873 &amp; "'!" &amp; B873)</f>
        <v>d26</v>
      </c>
      <c r="G873" cm="1">
        <f t="array" aca="1" ref="G873" ca="1">INDIRECT("'" &amp; A873 &amp; "'!" &amp; ADDRESS(1, COLUMN(INDIRECT("'" &amp; A873 &amp; "'!" &amp; B873))))</f>
        <v>2006</v>
      </c>
      <c r="H873" t="str">
        <f ca="1">VLOOKUP($G873, survey_codes_dict!A:C, 2, FALSE)</f>
        <v>2006</v>
      </c>
      <c r="I873" s="102" t="str">
        <f ca="1">VLOOKUP($G873, survey_codes_dict!A:D, 4, FALSE)</f>
        <v>2003</v>
      </c>
      <c r="J873" s="102" t="str">
        <f t="shared" ca="1" si="26"/>
        <v>2006__d26</v>
      </c>
      <c r="K873" s="102" t="str">
        <f t="shared" ca="1" si="27"/>
        <v>2003__d26</v>
      </c>
      <c r="L873" s="102"/>
      <c r="M873" s="102"/>
      <c r="N873" s="102"/>
      <c r="O873" s="102"/>
      <c r="P873" s="102"/>
      <c r="Q873" s="102"/>
      <c r="R873" s="102"/>
      <c r="S873" s="101"/>
    </row>
    <row r="874" spans="1:19" ht="43.2" x14ac:dyDescent="0.3">
      <c r="A874" t="s">
        <v>4712</v>
      </c>
      <c r="B874" t="s">
        <v>4726</v>
      </c>
      <c r="C874" s="90" t="s">
        <v>4727</v>
      </c>
      <c r="D874" t="s">
        <v>5562</v>
      </c>
      <c r="E874" s="101" t="s">
        <v>6226</v>
      </c>
      <c r="F874" t="str" cm="1">
        <f t="array" aca="1" ref="F874" ca="1">INDIRECT("'" &amp; A874 &amp; "'!" &amp; B874)</f>
        <v>a_v7A</v>
      </c>
      <c r="G874" cm="1">
        <f t="array" aca="1" ref="G874" ca="1">INDIRECT("'" &amp; A874 &amp; "'!" &amp; ADDRESS(1, COLUMN(INDIRECT("'" &amp; A874 &amp; "'!" &amp; B874))))</f>
        <v>2013</v>
      </c>
      <c r="H874" t="e">
        <f ca="1">VLOOKUP($G874, survey_codes_dict!A:C, 2, FALSE)</f>
        <v>#N/A</v>
      </c>
      <c r="I874" s="102" t="e">
        <f ca="1">VLOOKUP($G874, survey_codes_dict!A:D, 4, FALSE)</f>
        <v>#N/A</v>
      </c>
      <c r="J874" s="102" t="e">
        <f t="shared" ca="1" si="26"/>
        <v>#N/A</v>
      </c>
      <c r="K874" s="102" t="e">
        <f t="shared" ca="1" si="27"/>
        <v>#N/A</v>
      </c>
      <c r="L874" s="102"/>
      <c r="M874" s="102"/>
      <c r="N874" s="102"/>
      <c r="O874" s="102"/>
      <c r="P874" s="102"/>
      <c r="Q874" s="102"/>
      <c r="R874" s="102"/>
      <c r="S874" s="102"/>
    </row>
    <row r="875" spans="1:19" ht="28.8" x14ac:dyDescent="0.3">
      <c r="A875" t="s">
        <v>4712</v>
      </c>
      <c r="B875" t="s">
        <v>3876</v>
      </c>
      <c r="C875" s="90" t="s">
        <v>4728</v>
      </c>
      <c r="D875" t="s">
        <v>5660</v>
      </c>
      <c r="E875" s="101" t="s">
        <v>5641</v>
      </c>
      <c r="F875" t="str" cm="1">
        <f t="array" aca="1" ref="F875" ca="1">INDIRECT("'" &amp; A875 &amp; "'!" &amp; B875)</f>
        <v>v6I_after</v>
      </c>
      <c r="G875" cm="1">
        <f t="array" aca="1" ref="G875" ca="1">INDIRECT("'" &amp; A875 &amp; "'!" &amp; ADDRESS(1, COLUMN(INDIRECT("'" &amp; A875 &amp; "'!" &amp; B875))))</f>
        <v>43556</v>
      </c>
      <c r="H875" t="e">
        <f ca="1">VLOOKUP($G875, survey_codes_dict!A:C, 2, FALSE)</f>
        <v>#N/A</v>
      </c>
      <c r="I875" s="102" t="e">
        <f ca="1">VLOOKUP($G875, survey_codes_dict!A:D, 4, FALSE)</f>
        <v>#N/A</v>
      </c>
      <c r="J875" s="102" t="e">
        <f t="shared" ca="1" si="26"/>
        <v>#N/A</v>
      </c>
      <c r="K875" s="102" t="e">
        <f t="shared" ca="1" si="27"/>
        <v>#N/A</v>
      </c>
      <c r="L875" s="102"/>
      <c r="M875" s="102"/>
      <c r="N875" s="102"/>
      <c r="O875" s="102"/>
      <c r="P875" s="102"/>
      <c r="Q875" s="102"/>
      <c r="R875" s="102"/>
      <c r="S875" s="102"/>
    </row>
    <row r="876" spans="1:19" ht="28.8" x14ac:dyDescent="0.3">
      <c r="A876" t="s">
        <v>4712</v>
      </c>
      <c r="B876" t="s">
        <v>4729</v>
      </c>
      <c r="C876" s="90" t="s">
        <v>4730</v>
      </c>
      <c r="D876" t="s">
        <v>5660</v>
      </c>
      <c r="E876" s="101" t="s">
        <v>5642</v>
      </c>
      <c r="F876" t="str" cm="1">
        <f t="array" aca="1" ref="F876" ca="1">INDIRECT("'" &amp; A876 &amp; "'!" &amp; B876)</f>
        <v>d25</v>
      </c>
      <c r="G876" cm="1">
        <f t="array" aca="1" ref="G876" ca="1">INDIRECT("'" &amp; A876 &amp; "'!" &amp; ADDRESS(1, COLUMN(INDIRECT("'" &amp; A876 &amp; "'!" &amp; B876))))</f>
        <v>2006</v>
      </c>
      <c r="H876" t="str">
        <f ca="1">VLOOKUP($G876, survey_codes_dict!A:C, 2, FALSE)</f>
        <v>2006</v>
      </c>
      <c r="I876" s="102" t="str">
        <f ca="1">VLOOKUP($G876, survey_codes_dict!A:D, 4, FALSE)</f>
        <v>2003</v>
      </c>
      <c r="J876" s="102" t="str">
        <f t="shared" ca="1" si="26"/>
        <v>2006__d25</v>
      </c>
      <c r="K876" s="102" t="str">
        <f t="shared" ca="1" si="27"/>
        <v>2003__d25</v>
      </c>
      <c r="L876" s="102"/>
      <c r="M876" s="102"/>
      <c r="N876" s="102"/>
      <c r="O876" s="102"/>
      <c r="P876" s="102"/>
      <c r="Q876" s="102"/>
      <c r="R876" s="102"/>
      <c r="S876" s="101"/>
    </row>
    <row r="877" spans="1:19" ht="57.6" x14ac:dyDescent="0.3">
      <c r="A877" t="s">
        <v>4712</v>
      </c>
      <c r="B877" t="s">
        <v>4731</v>
      </c>
      <c r="C877" s="90" t="s">
        <v>4732</v>
      </c>
      <c r="D877" t="s">
        <v>5562</v>
      </c>
      <c r="E877" s="101" t="s">
        <v>6227</v>
      </c>
      <c r="F877" t="str" cm="1">
        <f t="array" aca="1" ref="F877" ca="1">INDIRECT("'" &amp; A877 &amp; "'!" &amp; B877)</f>
        <v>q13</v>
      </c>
      <c r="G877" cm="1">
        <f t="array" aca="1" ref="G877" ca="1">INDIRECT("'" &amp; A877 &amp; "'!" &amp; ADDRESS(1, COLUMN(INDIRECT("'" &amp; A877 &amp; "'!" &amp; B877))))</f>
        <v>2009</v>
      </c>
      <c r="H877" t="e">
        <f ca="1">VLOOKUP($G877, survey_codes_dict!A:C, 2, FALSE)</f>
        <v>#N/A</v>
      </c>
      <c r="I877" s="102" t="e">
        <f ca="1">VLOOKUP($G877, survey_codes_dict!A:D, 4, FALSE)</f>
        <v>#N/A</v>
      </c>
      <c r="J877" s="102" t="e">
        <f t="shared" ca="1" si="26"/>
        <v>#N/A</v>
      </c>
      <c r="K877" s="102" t="e">
        <f t="shared" ca="1" si="27"/>
        <v>#N/A</v>
      </c>
      <c r="L877" s="102"/>
      <c r="M877" s="102"/>
      <c r="N877" s="102"/>
      <c r="O877" s="102"/>
      <c r="P877" s="102"/>
      <c r="Q877" s="102"/>
      <c r="R877" s="102"/>
      <c r="S877" s="102"/>
    </row>
    <row r="878" spans="1:19" ht="57.6" x14ac:dyDescent="0.3">
      <c r="A878" t="s">
        <v>4712</v>
      </c>
      <c r="B878" t="s">
        <v>4733</v>
      </c>
      <c r="C878" s="90" t="s">
        <v>4734</v>
      </c>
      <c r="D878" t="s">
        <v>5562</v>
      </c>
      <c r="E878" s="101" t="s">
        <v>6228</v>
      </c>
      <c r="F878" t="str" cm="1">
        <f t="array" aca="1" ref="F878" ca="1">INDIRECT("'" &amp; A878 &amp; "'!" &amp; B878)</f>
        <v>a_v11</v>
      </c>
      <c r="G878" cm="1">
        <f t="array" aca="1" ref="G878" ca="1">INDIRECT("'" &amp; A878 &amp; "'!" &amp; ADDRESS(1, COLUMN(INDIRECT("'" &amp; A878 &amp; "'!" &amp; B878))))</f>
        <v>2013</v>
      </c>
      <c r="H878" t="e">
        <f ca="1">VLOOKUP($G878, survey_codes_dict!A:C, 2, FALSE)</f>
        <v>#N/A</v>
      </c>
      <c r="I878" s="102" t="e">
        <f ca="1">VLOOKUP($G878, survey_codes_dict!A:D, 4, FALSE)</f>
        <v>#N/A</v>
      </c>
      <c r="J878" s="102" t="e">
        <f t="shared" ca="1" si="26"/>
        <v>#N/A</v>
      </c>
      <c r="K878" s="102" t="e">
        <f t="shared" ca="1" si="27"/>
        <v>#N/A</v>
      </c>
      <c r="L878" s="102"/>
      <c r="M878" s="102"/>
      <c r="N878" s="102"/>
      <c r="O878" s="102"/>
      <c r="P878" s="102"/>
      <c r="Q878" s="102"/>
      <c r="R878" s="102"/>
      <c r="S878" s="102"/>
    </row>
    <row r="879" spans="1:19" ht="57.6" x14ac:dyDescent="0.3">
      <c r="A879" t="s">
        <v>4712</v>
      </c>
      <c r="B879" t="s">
        <v>3611</v>
      </c>
      <c r="C879" s="90" t="s">
        <v>4735</v>
      </c>
      <c r="D879" t="s">
        <v>5562</v>
      </c>
      <c r="E879" s="101" t="s">
        <v>6229</v>
      </c>
      <c r="F879" t="str" cm="1">
        <f t="array" aca="1" ref="F879" ca="1">INDIRECT("'" &amp; A879 &amp; "'!" &amp; B879)</f>
        <v>a_v13</v>
      </c>
      <c r="G879" cm="1">
        <f t="array" aca="1" ref="G879" ca="1">INDIRECT("'" &amp; A879 &amp; "'!" &amp; ADDRESS(1, COLUMN(INDIRECT("'" &amp; A879 &amp; "'!" &amp; B879))))</f>
        <v>2013</v>
      </c>
      <c r="H879" t="e">
        <f ca="1">VLOOKUP($G879, survey_codes_dict!A:C, 2, FALSE)</f>
        <v>#N/A</v>
      </c>
      <c r="I879" s="102" t="e">
        <f ca="1">VLOOKUP($G879, survey_codes_dict!A:D, 4, FALSE)</f>
        <v>#N/A</v>
      </c>
      <c r="J879" s="102" t="e">
        <f t="shared" ca="1" si="26"/>
        <v>#N/A</v>
      </c>
      <c r="K879" s="102" t="e">
        <f t="shared" ca="1" si="27"/>
        <v>#N/A</v>
      </c>
      <c r="L879" s="102"/>
      <c r="M879" s="102"/>
      <c r="N879" s="102"/>
      <c r="O879" s="102"/>
      <c r="P879" s="102"/>
      <c r="Q879" s="102"/>
      <c r="R879" s="102"/>
      <c r="S879" s="102"/>
    </row>
    <row r="880" spans="1:19" ht="86.4" x14ac:dyDescent="0.3">
      <c r="A880" t="s">
        <v>4712</v>
      </c>
      <c r="B880" t="s">
        <v>4736</v>
      </c>
      <c r="C880" s="90" t="s">
        <v>4722</v>
      </c>
      <c r="D880" t="s">
        <v>5562</v>
      </c>
      <c r="E880" s="101" t="s">
        <v>6223</v>
      </c>
      <c r="F880" t="str" cm="1">
        <f t="array" aca="1" ref="F880" ca="1">INDIRECT("'" &amp; A880 &amp; "'!" &amp; B880)</f>
        <v>d15</v>
      </c>
      <c r="G880" cm="1">
        <f t="array" aca="1" ref="G880" ca="1">INDIRECT("'" &amp; A880 &amp; "'!" &amp; ADDRESS(1, COLUMN(INDIRECT("'" &amp; A880 &amp; "'!" &amp; B880))))</f>
        <v>1999</v>
      </c>
      <c r="H880" t="str">
        <f ca="1">VLOOKUP($G880, survey_codes_dict!A:C, 2, FALSE)</f>
        <v>1999_1</v>
      </c>
      <c r="I880" s="102" t="str">
        <f ca="1">VLOOKUP($G880, survey_codes_dict!A:D, 4, FALSE)</f>
        <v>1996_Jews</v>
      </c>
      <c r="J880" s="102" t="str">
        <f t="shared" ca="1" si="26"/>
        <v>1999_1__d15</v>
      </c>
      <c r="K880" s="102" t="str">
        <f t="shared" ca="1" si="27"/>
        <v>1996_Jews__d15</v>
      </c>
      <c r="L880" s="102"/>
      <c r="M880" s="102"/>
      <c r="N880" s="102"/>
      <c r="O880" s="102"/>
      <c r="P880" s="102"/>
      <c r="Q880" s="102"/>
      <c r="R880" s="102"/>
      <c r="S880" s="101"/>
    </row>
    <row r="881" spans="1:19" ht="72" x14ac:dyDescent="0.3">
      <c r="A881" t="s">
        <v>4712</v>
      </c>
      <c r="B881" t="s">
        <v>3449</v>
      </c>
      <c r="C881" s="90" t="s">
        <v>4737</v>
      </c>
      <c r="D881" t="s">
        <v>5562</v>
      </c>
      <c r="E881" s="101" t="s">
        <v>6230</v>
      </c>
      <c r="F881" t="str" cm="1">
        <f t="array" aca="1" ref="F881" ca="1">INDIRECT("'" &amp; A881 &amp; "'!" &amp; B881)</f>
        <v>d29</v>
      </c>
      <c r="G881" cm="1">
        <f t="array" aca="1" ref="G881" ca="1">INDIRECT("'" &amp; A881 &amp; "'!" &amp; ADDRESS(1, COLUMN(INDIRECT("'" &amp; A881 &amp; "'!" &amp; B881))))</f>
        <v>2006</v>
      </c>
      <c r="H881" t="str">
        <f ca="1">VLOOKUP($G881, survey_codes_dict!A:C, 2, FALSE)</f>
        <v>2006</v>
      </c>
      <c r="I881" s="102" t="str">
        <f ca="1">VLOOKUP($G881, survey_codes_dict!A:D, 4, FALSE)</f>
        <v>2003</v>
      </c>
      <c r="J881" s="102" t="str">
        <f t="shared" ca="1" si="26"/>
        <v>2006__d29</v>
      </c>
      <c r="K881" s="102" t="str">
        <f t="shared" ca="1" si="27"/>
        <v>2003__d29</v>
      </c>
      <c r="L881" s="102"/>
      <c r="M881" s="102"/>
      <c r="N881" s="102"/>
      <c r="O881" s="102"/>
      <c r="P881" s="102"/>
      <c r="Q881" s="102"/>
      <c r="R881" s="102"/>
      <c r="S881" s="101"/>
    </row>
    <row r="882" spans="1:19" ht="57.6" x14ac:dyDescent="0.3">
      <c r="A882" t="s">
        <v>4712</v>
      </c>
      <c r="B882" t="s">
        <v>4738</v>
      </c>
      <c r="C882" s="90" t="s">
        <v>4739</v>
      </c>
      <c r="D882" t="s">
        <v>5562</v>
      </c>
      <c r="E882" s="101" t="s">
        <v>6231</v>
      </c>
      <c r="F882" t="str" cm="1">
        <f t="array" aca="1" ref="F882" ca="1">INDIRECT("'" &amp; A882 &amp; "'!" &amp; B882)</f>
        <v>b12</v>
      </c>
      <c r="G882" cm="1">
        <f t="array" aca="1" ref="G882" ca="1">INDIRECT("'" &amp; A882 &amp; "'!" &amp; ADDRESS(1, COLUMN(INDIRECT("'" &amp; A882 &amp; "'!" &amp; B882))))</f>
        <v>2001</v>
      </c>
      <c r="H882" t="str">
        <f ca="1">VLOOKUP($G882, survey_codes_dict!A:C, 2, FALSE)</f>
        <v>2001</v>
      </c>
      <c r="I882" s="102" t="str">
        <f ca="1">VLOOKUP($G882, survey_codes_dict!A:D, 4, FALSE)</f>
        <v>1999_1</v>
      </c>
      <c r="J882" s="102" t="str">
        <f t="shared" ca="1" si="26"/>
        <v>2001__b12</v>
      </c>
      <c r="K882" s="102" t="str">
        <f t="shared" ca="1" si="27"/>
        <v>1999_1__b12</v>
      </c>
      <c r="L882" s="102"/>
      <c r="M882" s="102"/>
      <c r="N882" s="102"/>
      <c r="O882" s="102"/>
      <c r="P882" s="102"/>
      <c r="Q882" s="102"/>
      <c r="R882" s="102"/>
      <c r="S882" s="101"/>
    </row>
    <row r="883" spans="1:19" ht="57.6" x14ac:dyDescent="0.3">
      <c r="A883" t="s">
        <v>4712</v>
      </c>
      <c r="B883" t="s">
        <v>4740</v>
      </c>
      <c r="C883" s="90" t="s">
        <v>4741</v>
      </c>
      <c r="D883" t="s">
        <v>5562</v>
      </c>
      <c r="E883" s="101" t="s">
        <v>6232</v>
      </c>
      <c r="F883" t="str" cm="1">
        <f t="array" aca="1" ref="F883" ca="1">INDIRECT("'" &amp; A883 &amp; "'!" &amp; B883)</f>
        <v>c10</v>
      </c>
      <c r="G883" cm="1">
        <f t="array" aca="1" ref="G883" ca="1">INDIRECT("'" &amp; A883 &amp; "'!" &amp; ADDRESS(1, COLUMN(INDIRECT("'" &amp; A883 &amp; "'!" &amp; B883))))</f>
        <v>1999</v>
      </c>
      <c r="H883" t="str">
        <f ca="1">VLOOKUP($G883, survey_codes_dict!A:C, 2, FALSE)</f>
        <v>1999_1</v>
      </c>
      <c r="I883" s="102" t="str">
        <f ca="1">VLOOKUP($G883, survey_codes_dict!A:D, 4, FALSE)</f>
        <v>1996_Jews</v>
      </c>
      <c r="J883" s="102" t="str">
        <f t="shared" ca="1" si="26"/>
        <v>1999_1__c10</v>
      </c>
      <c r="K883" s="102" t="str">
        <f t="shared" ca="1" si="27"/>
        <v>1996_Jews__c10</v>
      </c>
      <c r="L883" s="102"/>
      <c r="M883" s="102"/>
      <c r="N883" s="102"/>
      <c r="O883" s="102"/>
      <c r="P883" s="102"/>
      <c r="Q883" s="102"/>
      <c r="R883" s="102"/>
      <c r="S883" s="101"/>
    </row>
    <row r="884" spans="1:19" ht="57.6" x14ac:dyDescent="0.3">
      <c r="A884" t="s">
        <v>4712</v>
      </c>
      <c r="B884" t="s">
        <v>4742</v>
      </c>
      <c r="C884" s="90" t="s">
        <v>4741</v>
      </c>
      <c r="D884" t="s">
        <v>5562</v>
      </c>
      <c r="E884" s="101" t="s">
        <v>6232</v>
      </c>
      <c r="F884" t="str" cm="1">
        <f t="array" aca="1" ref="F884" ca="1">INDIRECT("'" &amp; A884 &amp; "'!" &amp; B884)</f>
        <v>ccc21</v>
      </c>
      <c r="G884" cm="1">
        <f t="array" aca="1" ref="G884" ca="1">INDIRECT("'" &amp; A884 &amp; "'!" &amp; ADDRESS(1, COLUMN(INDIRECT("'" &amp; A884 &amp; "'!" &amp; B884))))</f>
        <v>1996</v>
      </c>
      <c r="H884" t="str">
        <f ca="1">VLOOKUP($G884, survey_codes_dict!A:C, 2, FALSE)</f>
        <v>1996_Jews</v>
      </c>
      <c r="I884" s="102" t="str">
        <f ca="1">VLOOKUP($G884, survey_codes_dict!A:D, 4, FALSE)</f>
        <v>1992</v>
      </c>
      <c r="J884" s="102" t="str">
        <f t="shared" ca="1" si="26"/>
        <v>1996_Jews__ccc21</v>
      </c>
      <c r="K884" s="102" t="str">
        <f t="shared" ca="1" si="27"/>
        <v>1992__ccc21</v>
      </c>
      <c r="L884" s="102"/>
      <c r="M884" s="102"/>
      <c r="N884" s="102"/>
      <c r="O884" s="102"/>
      <c r="P884" s="102"/>
      <c r="Q884" s="102"/>
      <c r="R884" s="102"/>
      <c r="S884" s="101"/>
    </row>
    <row r="885" spans="1:19" ht="72" x14ac:dyDescent="0.3">
      <c r="A885" t="s">
        <v>4712</v>
      </c>
      <c r="B885" t="s">
        <v>4743</v>
      </c>
      <c r="C885" s="90" t="s">
        <v>4744</v>
      </c>
      <c r="D885" t="s">
        <v>5562</v>
      </c>
      <c r="E885" s="101" t="s">
        <v>6233</v>
      </c>
      <c r="F885" t="str" cm="1">
        <f t="array" aca="1" ref="F885" ca="1">INDIRECT("'" &amp; A885 &amp; "'!" &amp; B885)</f>
        <v>ccc22</v>
      </c>
      <c r="G885" cm="1">
        <f t="array" aca="1" ref="G885" ca="1">INDIRECT("'" &amp; A885 &amp; "'!" &amp; ADDRESS(1, COLUMN(INDIRECT("'" &amp; A885 &amp; "'!" &amp; B885))))</f>
        <v>1996</v>
      </c>
      <c r="H885" t="str">
        <f ca="1">VLOOKUP($G885, survey_codes_dict!A:C, 2, FALSE)</f>
        <v>1996_Jews</v>
      </c>
      <c r="I885" s="102" t="str">
        <f ca="1">VLOOKUP($G885, survey_codes_dict!A:D, 4, FALSE)</f>
        <v>1992</v>
      </c>
      <c r="J885" s="102" t="str">
        <f t="shared" ca="1" si="26"/>
        <v>1996_Jews__ccc22</v>
      </c>
      <c r="K885" s="102" t="str">
        <f t="shared" ca="1" si="27"/>
        <v>1992__ccc22</v>
      </c>
      <c r="L885" s="102"/>
      <c r="M885" s="102"/>
      <c r="N885" s="102"/>
      <c r="O885" s="102"/>
      <c r="P885" s="102"/>
      <c r="Q885" s="102"/>
      <c r="R885" s="102"/>
      <c r="S885" s="101"/>
    </row>
    <row r="886" spans="1:19" ht="129.6" x14ac:dyDescent="0.3">
      <c r="A886" t="s">
        <v>4712</v>
      </c>
      <c r="B886" t="s">
        <v>4085</v>
      </c>
      <c r="C886" s="90" t="s">
        <v>4745</v>
      </c>
      <c r="D886" t="s">
        <v>5562</v>
      </c>
      <c r="E886" s="101" t="s">
        <v>6234</v>
      </c>
      <c r="F886" t="str" cm="1">
        <f t="array" aca="1" ref="F886" ca="1">INDIRECT("'" &amp; A886 &amp; "'!" &amp; B886)</f>
        <v>v133</v>
      </c>
      <c r="G886" cm="1">
        <f t="array" aca="1" ref="G886" ca="1">INDIRECT("'" &amp; A886 &amp; "'!" &amp; ADDRESS(1, COLUMN(INDIRECT("'" &amp; A886 &amp; "'!" &amp; B886))))</f>
        <v>2009</v>
      </c>
      <c r="H886" t="e">
        <f ca="1">VLOOKUP($G886, survey_codes_dict!A:C, 2, FALSE)</f>
        <v>#N/A</v>
      </c>
      <c r="I886" s="102" t="e">
        <f ca="1">VLOOKUP($G886, survey_codes_dict!A:D, 4, FALSE)</f>
        <v>#N/A</v>
      </c>
      <c r="J886" s="102" t="e">
        <f t="shared" ca="1" si="26"/>
        <v>#N/A</v>
      </c>
      <c r="K886" s="102" t="e">
        <f t="shared" ca="1" si="27"/>
        <v>#N/A</v>
      </c>
      <c r="L886" s="102"/>
      <c r="M886" s="102"/>
      <c r="N886" s="102"/>
      <c r="O886" s="102"/>
      <c r="P886" s="102"/>
      <c r="Q886" s="102"/>
      <c r="R886" s="102"/>
      <c r="S886" s="101"/>
    </row>
    <row r="887" spans="1:19" ht="172.8" x14ac:dyDescent="0.3">
      <c r="A887" t="s">
        <v>4712</v>
      </c>
      <c r="B887" t="s">
        <v>4746</v>
      </c>
      <c r="C887" s="90" t="s">
        <v>4747</v>
      </c>
      <c r="D887" t="s">
        <v>5562</v>
      </c>
      <c r="E887" s="101" t="s">
        <v>6235</v>
      </c>
      <c r="F887" t="str" cm="1">
        <f t="array" aca="1" ref="F887" ca="1">INDIRECT("'" &amp; A887 &amp; "'!" &amp; B887)</f>
        <v>c14</v>
      </c>
      <c r="G887" t="str" cm="1">
        <f t="array" aca="1" ref="G887" ca="1">INDIRECT("'" &amp; A887 &amp; "'!" &amp; ADDRESS(1, COLUMN(INDIRECT("'" &amp; A887 &amp; "'!" &amp; B887))))</f>
        <v>1988*</v>
      </c>
      <c r="H887" t="str">
        <f ca="1">VLOOKUP($G887, survey_codes_dict!A:C, 2, FALSE)</f>
        <v>1988_N=873</v>
      </c>
      <c r="I887" s="102" t="str">
        <f ca="1">VLOOKUP($G887, survey_codes_dict!A:D, 4, FALSE)</f>
        <v>1988_Panel_N=416</v>
      </c>
      <c r="J887" s="102" t="str">
        <f t="shared" ca="1" si="26"/>
        <v>1988_N=873__c14</v>
      </c>
      <c r="K887" s="102" t="str">
        <f t="shared" ca="1" si="27"/>
        <v>1988_Panel_N=416__c14</v>
      </c>
      <c r="L887" s="102"/>
      <c r="M887" s="102"/>
      <c r="N887" s="102"/>
      <c r="O887" s="102"/>
      <c r="P887" s="102"/>
      <c r="Q887" s="102"/>
      <c r="R887" s="102"/>
      <c r="S887" s="101"/>
    </row>
    <row r="888" spans="1:19" ht="72" x14ac:dyDescent="0.3">
      <c r="A888" t="s">
        <v>4712</v>
      </c>
      <c r="B888" t="s">
        <v>4748</v>
      </c>
      <c r="C888" s="90" t="s">
        <v>4749</v>
      </c>
      <c r="D888" t="s">
        <v>5562</v>
      </c>
      <c r="E888" s="101" t="s">
        <v>6236</v>
      </c>
      <c r="F888" t="str" cm="1">
        <f t="array" aca="1" ref="F888" ca="1">INDIRECT("'" &amp; A888 &amp; "'!" &amp; B888)</f>
        <v>v13</v>
      </c>
      <c r="G888" cm="1">
        <f t="array" aca="1" ref="G888" ca="1">INDIRECT("'" &amp; A888 &amp; "'!" &amp; ADDRESS(1, COLUMN(INDIRECT("'" &amp; A888 &amp; "'!" &amp; B888))))</f>
        <v>1984</v>
      </c>
      <c r="H888" t="str">
        <f ca="1">VLOOKUP($G888, survey_codes_dict!A:C, 2, FALSE)</f>
        <v>1984</v>
      </c>
      <c r="I888" s="102" t="str">
        <f ca="1">VLOOKUP($G888, survey_codes_dict!A:D, 4, FALSE)</f>
        <v>1981_3</v>
      </c>
      <c r="J888" s="102" t="str">
        <f t="shared" ca="1" si="26"/>
        <v>1984__v13</v>
      </c>
      <c r="K888" s="102" t="str">
        <f t="shared" ca="1" si="27"/>
        <v>1981_3__v13</v>
      </c>
      <c r="L888" s="102"/>
      <c r="M888" s="102"/>
      <c r="N888" s="102"/>
      <c r="O888" s="102"/>
      <c r="P888" s="102"/>
      <c r="Q888" s="102"/>
      <c r="R888" s="102"/>
      <c r="S888" s="101"/>
    </row>
    <row r="889" spans="1:19" ht="72" x14ac:dyDescent="0.3">
      <c r="A889" t="s">
        <v>4712</v>
      </c>
      <c r="B889" t="s">
        <v>4750</v>
      </c>
      <c r="C889" s="90" t="s">
        <v>4751</v>
      </c>
      <c r="D889" t="s">
        <v>5562</v>
      </c>
      <c r="E889" s="101" t="s">
        <v>6237</v>
      </c>
      <c r="F889" t="str" cm="1">
        <f t="array" aca="1" ref="F889" ca="1">INDIRECT("'" &amp; A889 &amp; "'!" &amp; B889)</f>
        <v>b54</v>
      </c>
      <c r="G889" t="str" cm="1">
        <f t="array" aca="1" ref="G889" ca="1">INDIRECT("'" &amp; A889 &amp; "'!" &amp; ADDRESS(1, COLUMN(INDIRECT("'" &amp; A889 &amp; "'!" &amp; B889))))</f>
        <v>1988*</v>
      </c>
      <c r="H889" t="str">
        <f ca="1">VLOOKUP($G889, survey_codes_dict!A:C, 2, FALSE)</f>
        <v>1988_N=873</v>
      </c>
      <c r="I889" s="102" t="str">
        <f ca="1">VLOOKUP($G889, survey_codes_dict!A:D, 4, FALSE)</f>
        <v>1988_Panel_N=416</v>
      </c>
      <c r="J889" s="102" t="str">
        <f t="shared" ca="1" si="26"/>
        <v>1988_N=873__b54</v>
      </c>
      <c r="K889" s="102" t="str">
        <f t="shared" ca="1" si="27"/>
        <v>1988_Panel_N=416__b54</v>
      </c>
      <c r="L889" s="102"/>
      <c r="M889" s="102"/>
      <c r="N889" s="102"/>
      <c r="O889" s="102"/>
      <c r="P889" s="102"/>
      <c r="Q889" s="102"/>
      <c r="R889" s="102"/>
      <c r="S889" s="101"/>
    </row>
    <row r="890" spans="1:19" ht="72" x14ac:dyDescent="0.3">
      <c r="A890" t="s">
        <v>4712</v>
      </c>
      <c r="B890" t="s">
        <v>4752</v>
      </c>
      <c r="C890" s="90" t="s">
        <v>3712</v>
      </c>
      <c r="D890" t="s">
        <v>5562</v>
      </c>
      <c r="E890" s="101" t="s">
        <v>5848</v>
      </c>
      <c r="F890" t="str" cm="1">
        <f t="array" aca="1" ref="F890" ca="1">INDIRECT("'" &amp; A890 &amp; "'!" &amp; B890)</f>
        <v>v50</v>
      </c>
      <c r="G890" t="str" cm="1">
        <f t="array" aca="1" ref="G890" ca="1">INDIRECT("'" &amp; A890 &amp; "'!" &amp; ADDRESS(1, COLUMN(INDIRECT("'" &amp; A890 &amp; "'!" &amp; B890))))</f>
        <v>1973 - 1</v>
      </c>
      <c r="H890" t="str">
        <f ca="1">VLOOKUP($G890, survey_codes_dict!A:C, 2, FALSE)</f>
        <v>1973_1</v>
      </c>
      <c r="I890" s="102" t="str">
        <f ca="1">VLOOKUP($G890, survey_codes_dict!A:D, 4, FALSE)</f>
        <v>1969_2</v>
      </c>
      <c r="J890" s="102" t="str">
        <f t="shared" ca="1" si="26"/>
        <v>1973_1__v50</v>
      </c>
      <c r="K890" s="102" t="str">
        <f t="shared" ca="1" si="27"/>
        <v>1969_2__v50</v>
      </c>
      <c r="L890" s="102"/>
      <c r="M890" s="102"/>
      <c r="N890" s="102"/>
      <c r="O890" s="102"/>
      <c r="P890" s="102"/>
      <c r="Q890" s="102"/>
      <c r="R890" s="102"/>
      <c r="S890" s="101"/>
    </row>
    <row r="891" spans="1:19" ht="72" x14ac:dyDescent="0.3">
      <c r="A891" t="s">
        <v>4712</v>
      </c>
      <c r="B891" t="s">
        <v>4753</v>
      </c>
      <c r="C891" s="90" t="s">
        <v>4275</v>
      </c>
      <c r="D891" t="s">
        <v>5562</v>
      </c>
      <c r="E891" s="101" t="s">
        <v>6054</v>
      </c>
      <c r="F891" t="str" cm="1">
        <f t="array" aca="1" ref="F891" ca="1">INDIRECT("'" &amp; A891 &amp; "'!" &amp; B891)</f>
        <v>v23</v>
      </c>
      <c r="G891" t="str" cm="1">
        <f t="array" aca="1" ref="G891" ca="1">INDIRECT("'" &amp; A891 &amp; "'!" &amp; ADDRESS(1, COLUMN(INDIRECT("'" &amp; A891 &amp; "'!" &amp; B891))))</f>
        <v>1977 - 1</v>
      </c>
      <c r="H891" t="str">
        <f ca="1">VLOOKUP($G891, survey_codes_dict!A:C, 2, FALSE)</f>
        <v>1977_1</v>
      </c>
      <c r="I891" s="102" t="str">
        <f ca="1">VLOOKUP($G891, survey_codes_dict!A:D, 4, FALSE)</f>
        <v>1973_5</v>
      </c>
      <c r="J891" s="102" t="str">
        <f t="shared" ca="1" si="26"/>
        <v>1977_1__v23</v>
      </c>
      <c r="K891" s="102" t="str">
        <f t="shared" ca="1" si="27"/>
        <v>1973_5__v23</v>
      </c>
      <c r="L891" s="102"/>
      <c r="M891" s="102"/>
      <c r="N891" s="102"/>
      <c r="O891" s="102"/>
      <c r="P891" s="102"/>
      <c r="Q891" s="102"/>
      <c r="R891" s="102"/>
      <c r="S891" s="101"/>
    </row>
    <row r="892" spans="1:19" ht="72" x14ac:dyDescent="0.3">
      <c r="A892" t="s">
        <v>4712</v>
      </c>
      <c r="B892" t="s">
        <v>4754</v>
      </c>
      <c r="C892" s="90" t="s">
        <v>4755</v>
      </c>
      <c r="D892" t="s">
        <v>5562</v>
      </c>
      <c r="E892" s="101" t="s">
        <v>6238</v>
      </c>
      <c r="F892" t="str" cm="1">
        <f t="array" aca="1" ref="F892" ca="1">INDIRECT("'" &amp; A892 &amp; "'!" &amp; B892)</f>
        <v>b11</v>
      </c>
      <c r="G892" t="str" cm="1">
        <f t="array" aca="1" ref="G892" ca="1">INDIRECT("'" &amp; A892 &amp; "'!" &amp; ADDRESS(1, COLUMN(INDIRECT("'" &amp; A892 &amp; "'!" &amp; B892))))</f>
        <v>1981 - 3</v>
      </c>
      <c r="H892" t="str">
        <f ca="1">VLOOKUP($G892, survey_codes_dict!A:C, 2, FALSE)</f>
        <v>1981_3</v>
      </c>
      <c r="I892" s="102">
        <f ca="1">VLOOKUP($G892, survey_codes_dict!A:D, 4, FALSE)</f>
        <v>0</v>
      </c>
      <c r="J892" s="102" t="str">
        <f t="shared" ca="1" si="26"/>
        <v>1981_3__b11</v>
      </c>
      <c r="K892" s="102" t="str">
        <f t="shared" ca="1" si="27"/>
        <v>0__b11</v>
      </c>
      <c r="L892" s="102"/>
      <c r="M892" s="102"/>
      <c r="N892" s="102"/>
      <c r="O892" s="102"/>
      <c r="P892" s="102"/>
      <c r="Q892" s="102"/>
      <c r="R892" s="102"/>
      <c r="S892" s="101"/>
    </row>
    <row r="893" spans="1:19" ht="72" x14ac:dyDescent="0.3">
      <c r="A893" t="s">
        <v>4712</v>
      </c>
      <c r="B893" t="s">
        <v>4400</v>
      </c>
      <c r="C893" s="90" t="s">
        <v>3778</v>
      </c>
      <c r="D893" t="s">
        <v>5562</v>
      </c>
      <c r="E893" s="101" t="s">
        <v>5869</v>
      </c>
      <c r="F893" t="str" cm="1">
        <f t="array" aca="1" ref="F893" ca="1">INDIRECT("'" &amp; A893 &amp; "'!" &amp; B893)</f>
        <v>b25</v>
      </c>
      <c r="G893" t="str" cm="1">
        <f t="array" aca="1" ref="G893" ca="1">INDIRECT("'" &amp; A893 &amp; "'!" &amp; ADDRESS(1, COLUMN(INDIRECT("'" &amp; A893 &amp; "'!" &amp; B893))))</f>
        <v>1981 - 3</v>
      </c>
      <c r="H893" t="str">
        <f ca="1">VLOOKUP($G893, survey_codes_dict!A:C, 2, FALSE)</f>
        <v>1981_3</v>
      </c>
      <c r="I893" s="102">
        <f ca="1">VLOOKUP($G893, survey_codes_dict!A:D, 4, FALSE)</f>
        <v>0</v>
      </c>
      <c r="J893" s="102" t="str">
        <f t="shared" ca="1" si="26"/>
        <v>1981_3__b25</v>
      </c>
      <c r="K893" s="102" t="str">
        <f t="shared" ca="1" si="27"/>
        <v>0__b25</v>
      </c>
      <c r="L893" s="102"/>
      <c r="M893" s="102"/>
      <c r="N893" s="102"/>
      <c r="O893" s="102"/>
      <c r="P893" s="102"/>
      <c r="Q893" s="102"/>
      <c r="R893" s="102"/>
      <c r="S893" s="101"/>
    </row>
    <row r="894" spans="1:19" ht="100.8" x14ac:dyDescent="0.3">
      <c r="A894" t="s">
        <v>4712</v>
      </c>
      <c r="B894" t="s">
        <v>4756</v>
      </c>
      <c r="C894" s="90" t="s">
        <v>4757</v>
      </c>
      <c r="D894" t="s">
        <v>5562</v>
      </c>
      <c r="E894" s="101" t="s">
        <v>6239</v>
      </c>
      <c r="F894" t="str" cm="1">
        <f t="array" aca="1" ref="F894" ca="1">INDIRECT("'" &amp; A894 &amp; "'!" &amp; B894)</f>
        <v>a8</v>
      </c>
      <c r="G894" t="str" cm="1">
        <f t="array" aca="1" ref="G894" ca="1">INDIRECT("'" &amp; A894 &amp; "'!" &amp; ADDRESS(1, COLUMN(INDIRECT("'" &amp; A894 &amp; "'!" &amp; B894))))</f>
        <v>1981 - 2</v>
      </c>
      <c r="H894">
        <f ca="1">VLOOKUP($G894, survey_codes_dict!A:C, 2, FALSE)</f>
        <v>0</v>
      </c>
      <c r="I894" s="102" t="str">
        <f ca="1">VLOOKUP($G894, survey_codes_dict!A:D, 4, FALSE)</f>
        <v>1981_1</v>
      </c>
      <c r="J894" s="102" t="str">
        <f t="shared" ca="1" si="26"/>
        <v>0__a8</v>
      </c>
      <c r="K894" s="102" t="str">
        <f t="shared" ca="1" si="27"/>
        <v>1981_1__a8</v>
      </c>
      <c r="L894" s="102"/>
      <c r="M894" s="102"/>
      <c r="N894" s="102"/>
      <c r="O894" s="102"/>
      <c r="P894" s="102"/>
      <c r="Q894" s="102"/>
      <c r="R894" s="102"/>
      <c r="S894" s="101"/>
    </row>
    <row r="895" spans="1:19" ht="129.6" x14ac:dyDescent="0.3">
      <c r="A895" t="s">
        <v>4712</v>
      </c>
      <c r="B895" t="s">
        <v>4407</v>
      </c>
      <c r="C895" s="90" t="s">
        <v>4758</v>
      </c>
      <c r="D895" t="s">
        <v>5562</v>
      </c>
      <c r="E895" s="101" t="s">
        <v>6240</v>
      </c>
      <c r="F895" t="str" cm="1">
        <f t="array" aca="1" ref="F895" ca="1">INDIRECT("'" &amp; A895 &amp; "'!" &amp; B895)</f>
        <v>v107</v>
      </c>
      <c r="G895" t="str" cm="1">
        <f t="array" aca="1" ref="G895" ca="1">INDIRECT("'" &amp; A895 &amp; "'!" &amp; ADDRESS(1, COLUMN(INDIRECT("'" &amp; A895 &amp; "'!" &amp; B895))))</f>
        <v>1981 - 1</v>
      </c>
      <c r="H895" t="str">
        <f ca="1">VLOOKUP($G895, survey_codes_dict!A:C, 2, FALSE)</f>
        <v>1981_1</v>
      </c>
      <c r="I895" s="102" t="str">
        <f ca="1">VLOOKUP($G895, survey_codes_dict!A:D, 4, FALSE)</f>
        <v>1977_4</v>
      </c>
      <c r="J895" s="102" t="str">
        <f t="shared" ca="1" si="26"/>
        <v>1981_1__v107</v>
      </c>
      <c r="K895" s="102" t="str">
        <f t="shared" ca="1" si="27"/>
        <v>1977_4__v107</v>
      </c>
      <c r="L895" s="102"/>
      <c r="M895" s="102"/>
      <c r="N895" s="102"/>
      <c r="O895" s="102"/>
      <c r="P895" s="102"/>
      <c r="Q895" s="102"/>
      <c r="R895" s="102"/>
      <c r="S895" s="101"/>
    </row>
    <row r="896" spans="1:19" ht="72" x14ac:dyDescent="0.3">
      <c r="A896" t="s">
        <v>4712</v>
      </c>
      <c r="B896" t="s">
        <v>4759</v>
      </c>
      <c r="C896" s="90" t="s">
        <v>4760</v>
      </c>
      <c r="D896" t="s">
        <v>5562</v>
      </c>
      <c r="E896" s="101" t="s">
        <v>6241</v>
      </c>
      <c r="F896" t="str" cm="1">
        <f t="array" aca="1" ref="F896" ca="1">INDIRECT("'" &amp; A896 &amp; "'!" &amp; B896)</f>
        <v>a118</v>
      </c>
      <c r="G896" t="str" cm="1">
        <f t="array" aca="1" ref="G896" ca="1">INDIRECT("'" &amp; A896 &amp; "'!" &amp; ADDRESS(1, COLUMN(INDIRECT("'" &amp; A896 &amp; "'!" &amp; B896))))</f>
        <v>1981 - 2</v>
      </c>
      <c r="H896">
        <f ca="1">VLOOKUP($G896, survey_codes_dict!A:C, 2, FALSE)</f>
        <v>0</v>
      </c>
      <c r="I896" s="102" t="str">
        <f ca="1">VLOOKUP($G896, survey_codes_dict!A:D, 4, FALSE)</f>
        <v>1981_1</v>
      </c>
      <c r="J896" s="102" t="str">
        <f t="shared" ca="1" si="26"/>
        <v>0__a118</v>
      </c>
      <c r="K896" s="102" t="str">
        <f t="shared" ca="1" si="27"/>
        <v>1981_1__a118</v>
      </c>
      <c r="L896" s="102"/>
      <c r="M896" s="102"/>
      <c r="N896" s="102"/>
      <c r="O896" s="102"/>
      <c r="P896" s="102"/>
      <c r="Q896" s="102"/>
      <c r="R896" s="102"/>
      <c r="S896" s="101"/>
    </row>
    <row r="897" spans="1:19" ht="72" x14ac:dyDescent="0.3">
      <c r="A897" t="s">
        <v>4712</v>
      </c>
      <c r="B897" t="s">
        <v>4761</v>
      </c>
      <c r="C897" s="90" t="s">
        <v>4255</v>
      </c>
      <c r="D897" t="s">
        <v>5562</v>
      </c>
      <c r="E897" s="101" t="s">
        <v>6047</v>
      </c>
      <c r="F897" t="str" cm="1">
        <f t="array" aca="1" ref="F897" ca="1">INDIRECT("'" &amp; A897 &amp; "'!" &amp; B897)</f>
        <v>v18</v>
      </c>
      <c r="G897" t="str" cm="1">
        <f t="array" aca="1" ref="G897" ca="1">INDIRECT("'" &amp; A897 &amp; "'!" &amp; ADDRESS(1, COLUMN(INDIRECT("'" &amp; A897 &amp; "'!" &amp; B897))))</f>
        <v>1977 - 1</v>
      </c>
      <c r="H897" t="str">
        <f ca="1">VLOOKUP($G897, survey_codes_dict!A:C, 2, FALSE)</f>
        <v>1977_1</v>
      </c>
      <c r="I897" s="102" t="str">
        <f ca="1">VLOOKUP($G897, survey_codes_dict!A:D, 4, FALSE)</f>
        <v>1973_5</v>
      </c>
      <c r="J897" s="102" t="str">
        <f t="shared" ca="1" si="26"/>
        <v>1977_1__v18</v>
      </c>
      <c r="K897" s="102" t="str">
        <f t="shared" ca="1" si="27"/>
        <v>1973_5__v18</v>
      </c>
      <c r="L897" s="102"/>
      <c r="M897" s="102"/>
      <c r="N897" s="102"/>
      <c r="O897" s="102"/>
      <c r="P897" s="102"/>
      <c r="Q897" s="102"/>
      <c r="R897" s="102"/>
      <c r="S897" s="101"/>
    </row>
    <row r="898" spans="1:19" ht="72" x14ac:dyDescent="0.3">
      <c r="A898" t="s">
        <v>4712</v>
      </c>
      <c r="B898" t="s">
        <v>4762</v>
      </c>
      <c r="C898" s="90" t="s">
        <v>4763</v>
      </c>
      <c r="D898" t="s">
        <v>5562</v>
      </c>
      <c r="E898" s="101" t="s">
        <v>6242</v>
      </c>
      <c r="F898" t="str" cm="1">
        <f t="array" aca="1" ref="F898" ca="1">INDIRECT("'" &amp; A898 &amp; "'!" &amp; B898)</f>
        <v>v92</v>
      </c>
      <c r="G898" t="str" cm="1">
        <f t="array" aca="1" ref="G898" ca="1">INDIRECT("'" &amp; A898 &amp; "'!" &amp; ADDRESS(1, COLUMN(INDIRECT("'" &amp; A898 &amp; "'!" &amp; B898))))</f>
        <v>1977 - 1</v>
      </c>
      <c r="H898" t="str">
        <f ca="1">VLOOKUP($G898, survey_codes_dict!A:C, 2, FALSE)</f>
        <v>1977_1</v>
      </c>
      <c r="I898" s="102" t="str">
        <f ca="1">VLOOKUP($G898, survey_codes_dict!A:D, 4, FALSE)</f>
        <v>1973_5</v>
      </c>
      <c r="J898" s="102" t="str">
        <f t="shared" ref="J898:J961" ca="1" si="28">_xlfn.CONCAT($H898, "__", F898)</f>
        <v>1977_1__v92</v>
      </c>
      <c r="K898" s="102" t="str">
        <f t="shared" ref="K898:K961" ca="1" si="29">_xlfn.CONCAT($I898, "__", F898)</f>
        <v>1973_5__v92</v>
      </c>
      <c r="L898" s="102"/>
      <c r="M898" s="102"/>
      <c r="N898" s="102"/>
      <c r="O898" s="102"/>
      <c r="P898" s="102"/>
      <c r="Q898" s="102"/>
      <c r="R898" s="102"/>
      <c r="S898" s="101"/>
    </row>
    <row r="899" spans="1:19" ht="129.6" x14ac:dyDescent="0.3">
      <c r="A899" t="s">
        <v>4712</v>
      </c>
      <c r="B899" t="s">
        <v>4764</v>
      </c>
      <c r="C899" s="90" t="s">
        <v>4765</v>
      </c>
      <c r="D899" t="s">
        <v>5562</v>
      </c>
      <c r="E899" s="101" t="s">
        <v>6243</v>
      </c>
      <c r="F899" t="str" cm="1">
        <f t="array" aca="1" ref="F899" ca="1">INDIRECT("'" &amp; A899 &amp; "'!" &amp; B899)</f>
        <v>v93</v>
      </c>
      <c r="G899" t="str" cm="1">
        <f t="array" aca="1" ref="G899" ca="1">INDIRECT("'" &amp; A899 &amp; "'!" &amp; ADDRESS(1, COLUMN(INDIRECT("'" &amp; A899 &amp; "'!" &amp; B899))))</f>
        <v>1977 - 1</v>
      </c>
      <c r="H899" t="str">
        <f ca="1">VLOOKUP($G899, survey_codes_dict!A:C, 2, FALSE)</f>
        <v>1977_1</v>
      </c>
      <c r="I899" s="102" t="str">
        <f ca="1">VLOOKUP($G899, survey_codes_dict!A:D, 4, FALSE)</f>
        <v>1973_5</v>
      </c>
      <c r="J899" s="102" t="str">
        <f t="shared" ca="1" si="28"/>
        <v>1977_1__v93</v>
      </c>
      <c r="K899" s="102" t="str">
        <f t="shared" ca="1" si="29"/>
        <v>1973_5__v93</v>
      </c>
      <c r="L899" s="102"/>
      <c r="M899" s="102"/>
      <c r="N899" s="102"/>
      <c r="O899" s="102"/>
      <c r="P899" s="102"/>
      <c r="Q899" s="102"/>
      <c r="R899" s="102"/>
      <c r="S899" s="101"/>
    </row>
    <row r="900" spans="1:19" ht="72" x14ac:dyDescent="0.3">
      <c r="A900" t="s">
        <v>4712</v>
      </c>
      <c r="B900" t="s">
        <v>4766</v>
      </c>
      <c r="C900" s="90" t="s">
        <v>4767</v>
      </c>
      <c r="D900" t="s">
        <v>5562</v>
      </c>
      <c r="E900" s="101" t="s">
        <v>6244</v>
      </c>
      <c r="F900" t="str" cm="1">
        <f t="array" aca="1" ref="F900" ca="1">INDIRECT("'" &amp; A900 &amp; "'!" &amp; B900)</f>
        <v>f11</v>
      </c>
      <c r="G900" t="str" cm="1">
        <f t="array" aca="1" ref="G900" ca="1">INDIRECT("'" &amp; A900 &amp; "'!" &amp; ADDRESS(1, COLUMN(INDIRECT("'" &amp; A900 &amp; "'!" &amp; B900))))</f>
        <v>1973 - 3</v>
      </c>
      <c r="H900" t="str">
        <f ca="1">VLOOKUP($G900, survey_codes_dict!A:C, 2, FALSE)</f>
        <v>1973_3</v>
      </c>
      <c r="I900" s="102" t="str">
        <f ca="1">VLOOKUP($G900, survey_codes_dict!A:D, 4, FALSE)</f>
        <v>1973_2</v>
      </c>
      <c r="J900" s="102" t="str">
        <f t="shared" ca="1" si="28"/>
        <v>1973_3__f11</v>
      </c>
      <c r="K900" s="102" t="str">
        <f t="shared" ca="1" si="29"/>
        <v>1973_2__f11</v>
      </c>
      <c r="L900" s="102"/>
      <c r="M900" s="102"/>
      <c r="N900" s="102"/>
      <c r="O900" s="102"/>
      <c r="P900" s="102"/>
      <c r="Q900" s="102"/>
      <c r="R900" s="102"/>
      <c r="S900" s="101"/>
    </row>
    <row r="901" spans="1:19" ht="72" x14ac:dyDescent="0.3">
      <c r="A901" t="s">
        <v>4712</v>
      </c>
      <c r="B901" t="s">
        <v>4768</v>
      </c>
      <c r="C901" s="90" t="s">
        <v>4769</v>
      </c>
      <c r="D901" t="s">
        <v>5562</v>
      </c>
      <c r="E901" s="101" t="s">
        <v>6245</v>
      </c>
      <c r="F901" t="str" cm="1">
        <f t="array" aca="1" ref="F901" ca="1">INDIRECT("'" &amp; A901 &amp; "'!" &amp; B901)</f>
        <v>f12</v>
      </c>
      <c r="G901" t="str" cm="1">
        <f t="array" aca="1" ref="G901" ca="1">INDIRECT("'" &amp; A901 &amp; "'!" &amp; ADDRESS(1, COLUMN(INDIRECT("'" &amp; A901 &amp; "'!" &amp; B901))))</f>
        <v>1973 - 3</v>
      </c>
      <c r="H901" t="str">
        <f ca="1">VLOOKUP($G901, survey_codes_dict!A:C, 2, FALSE)</f>
        <v>1973_3</v>
      </c>
      <c r="I901" s="102" t="str">
        <f ca="1">VLOOKUP($G901, survey_codes_dict!A:D, 4, FALSE)</f>
        <v>1973_2</v>
      </c>
      <c r="J901" s="102" t="str">
        <f t="shared" ca="1" si="28"/>
        <v>1973_3__f12</v>
      </c>
      <c r="K901" s="102" t="str">
        <f t="shared" ca="1" si="29"/>
        <v>1973_2__f12</v>
      </c>
      <c r="L901" s="102"/>
      <c r="M901" s="102"/>
      <c r="N901" s="102"/>
      <c r="O901" s="102"/>
      <c r="P901" s="102"/>
      <c r="Q901" s="102"/>
      <c r="R901" s="102"/>
      <c r="S901" s="101"/>
    </row>
    <row r="902" spans="1:19" ht="28.8" x14ac:dyDescent="0.3">
      <c r="A902" t="s">
        <v>4712</v>
      </c>
      <c r="B902" t="s">
        <v>4770</v>
      </c>
      <c r="C902" s="90" t="s">
        <v>4771</v>
      </c>
      <c r="D902" t="s">
        <v>5671</v>
      </c>
      <c r="E902" s="101" t="s">
        <v>5644</v>
      </c>
      <c r="F902" t="str" cm="1">
        <f t="array" aca="1" ref="F902" ca="1">INDIRECT("'" &amp; A902 &amp; "'!" &amp; B902)</f>
        <v>לכמה זמן, לדעתך, צריך לדחות את הבחירות?</v>
      </c>
      <c r="G902" t="str" cm="1">
        <f t="array" aca="1" ref="G902" ca="1">INDIRECT("'" &amp; A902 &amp; "'!" &amp; ADDRESS(1, COLUMN(INDIRECT("'" &amp; A902 &amp; "'!" &amp; B902))))</f>
        <v>שאלה</v>
      </c>
      <c r="H902" t="e">
        <f ca="1">VLOOKUP($G902, survey_codes_dict!A:C, 2, FALSE)</f>
        <v>#N/A</v>
      </c>
      <c r="I902" s="102" t="e">
        <f ca="1">VLOOKUP($G902, survey_codes_dict!A:D, 4, FALSE)</f>
        <v>#N/A</v>
      </c>
      <c r="J902" s="102" t="e">
        <f t="shared" ca="1" si="28"/>
        <v>#N/A</v>
      </c>
      <c r="K902" s="102" t="e">
        <f t="shared" ca="1" si="29"/>
        <v>#N/A</v>
      </c>
      <c r="L902" s="102"/>
      <c r="M902" s="102"/>
      <c r="N902" s="102"/>
      <c r="O902" s="102"/>
      <c r="P902" s="102"/>
      <c r="Q902" s="102"/>
      <c r="R902" s="102"/>
      <c r="S902" s="102"/>
    </row>
    <row r="903" spans="1:19" ht="86.4" x14ac:dyDescent="0.3">
      <c r="A903" t="s">
        <v>4712</v>
      </c>
      <c r="B903" t="s">
        <v>4772</v>
      </c>
      <c r="C903" s="90" t="s">
        <v>4773</v>
      </c>
      <c r="D903" t="s">
        <v>5562</v>
      </c>
      <c r="E903" s="101" t="s">
        <v>6246</v>
      </c>
      <c r="F903" t="str" cm="1">
        <f t="array" aca="1" ref="F903" ca="1">INDIRECT("'" &amp; A903 &amp; "'!" &amp; B903)</f>
        <v>f13</v>
      </c>
      <c r="G903" t="str" cm="1">
        <f t="array" aca="1" ref="G903" ca="1">INDIRECT("'" &amp; A903 &amp; "'!" &amp; ADDRESS(1, COLUMN(INDIRECT("'" &amp; A903 &amp; "'!" &amp; B903))))</f>
        <v>1973 - 3</v>
      </c>
      <c r="H903" t="str">
        <f ca="1">VLOOKUP($G903, survey_codes_dict!A:C, 2, FALSE)</f>
        <v>1973_3</v>
      </c>
      <c r="I903" s="102" t="str">
        <f ca="1">VLOOKUP($G903, survey_codes_dict!A:D, 4, FALSE)</f>
        <v>1973_2</v>
      </c>
      <c r="J903" s="102" t="str">
        <f t="shared" ca="1" si="28"/>
        <v>1973_3__f13</v>
      </c>
      <c r="K903" s="102" t="str">
        <f t="shared" ca="1" si="29"/>
        <v>1973_2__f13</v>
      </c>
      <c r="L903" s="102"/>
      <c r="M903" s="102"/>
      <c r="N903" s="102"/>
      <c r="O903" s="102"/>
      <c r="P903" s="102"/>
      <c r="Q903" s="102"/>
      <c r="R903" s="102"/>
      <c r="S903" s="101"/>
    </row>
    <row r="904" spans="1:19" ht="43.2" x14ac:dyDescent="0.3">
      <c r="A904" t="s">
        <v>4712</v>
      </c>
      <c r="B904" t="s">
        <v>4774</v>
      </c>
      <c r="C904" s="90" t="s">
        <v>3383</v>
      </c>
      <c r="D904" t="s">
        <v>5562</v>
      </c>
      <c r="E904" s="101" t="s">
        <v>5706</v>
      </c>
      <c r="F904" t="str" cm="1">
        <f t="array" aca="1" ref="F904" ca="1">INDIRECT("'" &amp; A904 &amp; "'!" &amp; B904)</f>
        <v>d33</v>
      </c>
      <c r="G904" t="str" cm="1">
        <f t="array" aca="1" ref="G904" ca="1">INDIRECT("'" &amp; A904 &amp; "'!" &amp; ADDRESS(1, COLUMN(INDIRECT("'" &amp; A904 &amp; "'!" &amp; B904))))</f>
        <v>1973 - 2</v>
      </c>
      <c r="H904" t="str">
        <f ca="1">VLOOKUP($G904, survey_codes_dict!A:C, 2, FALSE)</f>
        <v>1973_2</v>
      </c>
      <c r="I904" s="102" t="str">
        <f ca="1">VLOOKUP($G904, survey_codes_dict!A:D, 4, FALSE)</f>
        <v>1973_1</v>
      </c>
      <c r="J904" s="102" t="str">
        <f t="shared" ca="1" si="28"/>
        <v>1973_2__d33</v>
      </c>
      <c r="K904" s="102" t="str">
        <f t="shared" ca="1" si="29"/>
        <v>1973_1__d33</v>
      </c>
      <c r="L904" s="102"/>
      <c r="M904" s="102"/>
      <c r="N904" s="102"/>
      <c r="O904" s="102"/>
      <c r="P904" s="102"/>
      <c r="Q904" s="102"/>
      <c r="R904" s="102"/>
      <c r="S904" s="101"/>
    </row>
    <row r="905" spans="1:19" ht="86.4" x14ac:dyDescent="0.3">
      <c r="A905" t="s">
        <v>4712</v>
      </c>
      <c r="B905" t="s">
        <v>4775</v>
      </c>
      <c r="C905" s="90" t="s">
        <v>4776</v>
      </c>
      <c r="D905" t="s">
        <v>5562</v>
      </c>
      <c r="E905" s="101" t="s">
        <v>6247</v>
      </c>
      <c r="F905" t="str" cm="1">
        <f t="array" aca="1" ref="F905" ca="1">INDIRECT("'" &amp; A905 &amp; "'!" &amp; B905)</f>
        <v>d34</v>
      </c>
      <c r="G905" t="str" cm="1">
        <f t="array" aca="1" ref="G905" ca="1">INDIRECT("'" &amp; A905 &amp; "'!" &amp; ADDRESS(1, COLUMN(INDIRECT("'" &amp; A905 &amp; "'!" &amp; B905))))</f>
        <v>1973 - 2</v>
      </c>
      <c r="H905" t="str">
        <f ca="1">VLOOKUP($G905, survey_codes_dict!A:C, 2, FALSE)</f>
        <v>1973_2</v>
      </c>
      <c r="I905" s="102" t="str">
        <f ca="1">VLOOKUP($G905, survey_codes_dict!A:D, 4, FALSE)</f>
        <v>1973_1</v>
      </c>
      <c r="J905" s="102" t="str">
        <f t="shared" ca="1" si="28"/>
        <v>1973_2__d34</v>
      </c>
      <c r="K905" s="102" t="str">
        <f t="shared" ca="1" si="29"/>
        <v>1973_1__d34</v>
      </c>
      <c r="L905" s="102"/>
      <c r="M905" s="102"/>
      <c r="N905" s="102"/>
      <c r="O905" s="102"/>
      <c r="P905" s="102"/>
      <c r="Q905" s="102"/>
      <c r="R905" s="102"/>
      <c r="S905" s="101"/>
    </row>
    <row r="906" spans="1:19" ht="72" x14ac:dyDescent="0.3">
      <c r="A906" t="s">
        <v>4712</v>
      </c>
      <c r="B906" t="s">
        <v>4777</v>
      </c>
      <c r="C906" s="90" t="s">
        <v>3732</v>
      </c>
      <c r="D906" t="s">
        <v>5562</v>
      </c>
      <c r="E906" s="101" t="s">
        <v>5854</v>
      </c>
      <c r="F906" t="str" cm="1">
        <f t="array" aca="1" ref="F906" ca="1">INDIRECT("'" &amp; A906 &amp; "'!" &amp; B906)</f>
        <v>d35</v>
      </c>
      <c r="G906" t="str" cm="1">
        <f t="array" aca="1" ref="G906" ca="1">INDIRECT("'" &amp; A906 &amp; "'!" &amp; ADDRESS(1, COLUMN(INDIRECT("'" &amp; A906 &amp; "'!" &amp; B906))))</f>
        <v>1973 - 2</v>
      </c>
      <c r="H906" t="str">
        <f ca="1">VLOOKUP($G906, survey_codes_dict!A:C, 2, FALSE)</f>
        <v>1973_2</v>
      </c>
      <c r="I906" s="102" t="str">
        <f ca="1">VLOOKUP($G906, survey_codes_dict!A:D, 4, FALSE)</f>
        <v>1973_1</v>
      </c>
      <c r="J906" s="102" t="str">
        <f t="shared" ca="1" si="28"/>
        <v>1973_2__d35</v>
      </c>
      <c r="K906" s="102" t="str">
        <f t="shared" ca="1" si="29"/>
        <v>1973_1__d35</v>
      </c>
      <c r="L906" s="102"/>
      <c r="M906" s="102"/>
      <c r="N906" s="102"/>
      <c r="O906" s="102"/>
      <c r="P906" s="102"/>
      <c r="Q906" s="102"/>
      <c r="R906" s="102"/>
      <c r="S906" s="101"/>
    </row>
    <row r="907" spans="1:19" ht="86.4" x14ac:dyDescent="0.3">
      <c r="A907" t="s">
        <v>4712</v>
      </c>
      <c r="B907" t="s">
        <v>4778</v>
      </c>
      <c r="C907" s="90" t="s">
        <v>4779</v>
      </c>
      <c r="D907" t="s">
        <v>5562</v>
      </c>
      <c r="E907" s="101" t="s">
        <v>6248</v>
      </c>
      <c r="F907" t="str" cm="1">
        <f t="array" aca="1" ref="F907" ca="1">INDIRECT("'" &amp; A907 &amp; "'!" &amp; B907)</f>
        <v>v26</v>
      </c>
      <c r="G907" t="str" cm="1">
        <f t="array" aca="1" ref="G907" ca="1">INDIRECT("'" &amp; A907 &amp; "'!" &amp; ADDRESS(1, COLUMN(INDIRECT("'" &amp; A907 &amp; "'!" &amp; B907))))</f>
        <v>1977 - 1</v>
      </c>
      <c r="H907" t="str">
        <f ca="1">VLOOKUP($G907, survey_codes_dict!A:C, 2, FALSE)</f>
        <v>1977_1</v>
      </c>
      <c r="I907" s="102" t="str">
        <f ca="1">VLOOKUP($G907, survey_codes_dict!A:D, 4, FALSE)</f>
        <v>1973_5</v>
      </c>
      <c r="J907" s="102" t="str">
        <f t="shared" ca="1" si="28"/>
        <v>1977_1__v26</v>
      </c>
      <c r="K907" s="102" t="str">
        <f t="shared" ca="1" si="29"/>
        <v>1973_5__v26</v>
      </c>
      <c r="L907" s="102"/>
      <c r="M907" s="102"/>
      <c r="N907" s="102"/>
      <c r="O907" s="102"/>
      <c r="P907" s="102"/>
      <c r="Q907" s="102"/>
      <c r="R907" s="102"/>
      <c r="S907" s="101"/>
    </row>
    <row r="908" spans="1:19" ht="158.4" x14ac:dyDescent="0.3">
      <c r="A908" t="s">
        <v>4712</v>
      </c>
      <c r="B908" t="s">
        <v>4780</v>
      </c>
      <c r="C908" s="90" t="s">
        <v>4781</v>
      </c>
      <c r="D908" t="s">
        <v>5562</v>
      </c>
      <c r="E908" s="101" t="s">
        <v>6249</v>
      </c>
      <c r="F908" t="str" cm="1">
        <f t="array" aca="1" ref="F908" ca="1">INDIRECT("'" &amp; A908 &amp; "'!" &amp; B908)</f>
        <v>v501</v>
      </c>
      <c r="G908" cm="1">
        <f t="array" aca="1" ref="G908" ca="1">INDIRECT("'" &amp; A908 &amp; "'!" &amp; ADDRESS(1, COLUMN(INDIRECT("'" &amp; A908 &amp; "'!" &amp; B908))))</f>
        <v>2020</v>
      </c>
      <c r="H908" t="e">
        <f ca="1">VLOOKUP($G908, survey_codes_dict!A:C, 2, FALSE)</f>
        <v>#N/A</v>
      </c>
      <c r="I908" s="102" t="e">
        <f ca="1">VLOOKUP($G908, survey_codes_dict!A:D, 4, FALSE)</f>
        <v>#N/A</v>
      </c>
      <c r="J908" s="102" t="e">
        <f t="shared" ca="1" si="28"/>
        <v>#N/A</v>
      </c>
      <c r="K908" s="102" t="e">
        <f t="shared" ca="1" si="29"/>
        <v>#N/A</v>
      </c>
      <c r="L908" s="102"/>
      <c r="M908" s="102"/>
      <c r="N908" s="102"/>
      <c r="O908" s="102"/>
      <c r="P908" s="102"/>
      <c r="Q908" s="102"/>
      <c r="R908" s="102"/>
      <c r="S908" s="102"/>
    </row>
    <row r="909" spans="1:19" ht="144" x14ac:dyDescent="0.3">
      <c r="A909" t="s">
        <v>4712</v>
      </c>
      <c r="B909" t="s">
        <v>4782</v>
      </c>
      <c r="C909" s="90" t="s">
        <v>4783</v>
      </c>
      <c r="D909" t="s">
        <v>5562</v>
      </c>
      <c r="E909" s="101" t="s">
        <v>6250</v>
      </c>
      <c r="F909" t="str" cm="1">
        <f t="array" aca="1" ref="F909" ca="1">INDIRECT("'" &amp; A909 &amp; "'!" &amp; B909)</f>
        <v>v601</v>
      </c>
      <c r="G909" cm="1">
        <f t="array" aca="1" ref="G909" ca="1">INDIRECT("'" &amp; A909 &amp; "'!" &amp; ADDRESS(1, COLUMN(INDIRECT("'" &amp; A909 &amp; "'!" &amp; B909))))</f>
        <v>2022</v>
      </c>
      <c r="H909" t="e">
        <f ca="1">VLOOKUP($G909, survey_codes_dict!A:C, 2, FALSE)</f>
        <v>#N/A</v>
      </c>
      <c r="I909" s="102" t="e">
        <f ca="1">VLOOKUP($G909, survey_codes_dict!A:D, 4, FALSE)</f>
        <v>#N/A</v>
      </c>
      <c r="J909" s="102" t="e">
        <f t="shared" ca="1" si="28"/>
        <v>#N/A</v>
      </c>
      <c r="K909" s="102" t="e">
        <f t="shared" ca="1" si="29"/>
        <v>#N/A</v>
      </c>
      <c r="L909" s="102"/>
      <c r="M909" s="102"/>
      <c r="N909" s="102"/>
      <c r="O909" s="102"/>
      <c r="P909" s="102"/>
      <c r="Q909" s="102"/>
      <c r="R909" s="102"/>
      <c r="S909" s="102"/>
    </row>
    <row r="910" spans="1:19" ht="158.4" x14ac:dyDescent="0.3">
      <c r="A910" t="s">
        <v>4712</v>
      </c>
      <c r="B910" t="s">
        <v>4784</v>
      </c>
      <c r="C910" s="90" t="s">
        <v>4785</v>
      </c>
      <c r="D910" t="s">
        <v>5562</v>
      </c>
      <c r="E910" s="101" t="s">
        <v>6251</v>
      </c>
      <c r="F910" t="str" cm="1">
        <f t="array" aca="1" ref="F910" ca="1">INDIRECT("'" &amp; A910 &amp; "'!" &amp; B910)</f>
        <v>v601</v>
      </c>
      <c r="G910" cm="1">
        <f t="array" aca="1" ref="G910" ca="1">INDIRECT("'" &amp; A910 &amp; "'!" &amp; ADDRESS(1, COLUMN(INDIRECT("'" &amp; A910 &amp; "'!" &amp; B910))))</f>
        <v>2021</v>
      </c>
      <c r="H910" t="e">
        <f ca="1">VLOOKUP($G910, survey_codes_dict!A:C, 2, FALSE)</f>
        <v>#N/A</v>
      </c>
      <c r="I910" s="102" t="e">
        <f ca="1">VLOOKUP($G910, survey_codes_dict!A:D, 4, FALSE)</f>
        <v>#N/A</v>
      </c>
      <c r="J910" s="102" t="e">
        <f t="shared" ca="1" si="28"/>
        <v>#N/A</v>
      </c>
      <c r="K910" s="102" t="e">
        <f t="shared" ca="1" si="29"/>
        <v>#N/A</v>
      </c>
      <c r="L910" s="102"/>
      <c r="M910" s="102"/>
      <c r="N910" s="102"/>
      <c r="O910" s="102"/>
      <c r="P910" s="102"/>
      <c r="Q910" s="102"/>
      <c r="R910" s="102"/>
      <c r="S910" s="102"/>
    </row>
    <row r="911" spans="1:19" ht="72" x14ac:dyDescent="0.3">
      <c r="A911" t="s">
        <v>4712</v>
      </c>
      <c r="B911" t="s">
        <v>4786</v>
      </c>
      <c r="C911" s="90" t="s">
        <v>4787</v>
      </c>
      <c r="D911" t="s">
        <v>5562</v>
      </c>
      <c r="E911" s="101" t="s">
        <v>6252</v>
      </c>
      <c r="F911" t="str" cm="1">
        <f t="array" aca="1" ref="F911" ca="1">INDIRECT("'" &amp; A911 &amp; "'!" &amp; B911)</f>
        <v>v604</v>
      </c>
      <c r="G911" cm="1">
        <f t="array" aca="1" ref="G911" ca="1">INDIRECT("'" &amp; A911 &amp; "'!" &amp; ADDRESS(1, COLUMN(INDIRECT("'" &amp; A911 &amp; "'!" &amp; B911))))</f>
        <v>2021</v>
      </c>
      <c r="H911" t="e">
        <f ca="1">VLOOKUP($G911, survey_codes_dict!A:C, 2, FALSE)</f>
        <v>#N/A</v>
      </c>
      <c r="I911" s="102" t="e">
        <f ca="1">VLOOKUP($G911, survey_codes_dict!A:D, 4, FALSE)</f>
        <v>#N/A</v>
      </c>
      <c r="J911" s="102" t="e">
        <f t="shared" ca="1" si="28"/>
        <v>#N/A</v>
      </c>
      <c r="K911" s="102" t="e">
        <f t="shared" ca="1" si="29"/>
        <v>#N/A</v>
      </c>
      <c r="L911" s="102"/>
      <c r="M911" s="102"/>
      <c r="N911" s="102"/>
      <c r="O911" s="102"/>
      <c r="P911" s="102"/>
      <c r="Q911" s="102"/>
      <c r="R911" s="102"/>
      <c r="S911" s="102"/>
    </row>
    <row r="912" spans="1:19" ht="100.8" x14ac:dyDescent="0.3">
      <c r="A912" t="s">
        <v>4712</v>
      </c>
      <c r="B912" t="s">
        <v>4788</v>
      </c>
      <c r="C912" s="90" t="s">
        <v>4789</v>
      </c>
      <c r="D912" t="s">
        <v>5562</v>
      </c>
      <c r="E912" s="101" t="s">
        <v>6253</v>
      </c>
      <c r="F912" t="str" cm="1">
        <f t="array" aca="1" ref="F912" ca="1">INDIRECT("'" &amp; A912 &amp; "'!" &amp; B912)</f>
        <v>v607</v>
      </c>
      <c r="G912" cm="1">
        <f t="array" aca="1" ref="G912" ca="1">INDIRECT("'" &amp; A912 &amp; "'!" &amp; ADDRESS(1, COLUMN(INDIRECT("'" &amp; A912 &amp; "'!" &amp; B912))))</f>
        <v>2021</v>
      </c>
      <c r="H912" t="e">
        <f ca="1">VLOOKUP($G912, survey_codes_dict!A:C, 2, FALSE)</f>
        <v>#N/A</v>
      </c>
      <c r="I912" s="102" t="e">
        <f ca="1">VLOOKUP($G912, survey_codes_dict!A:D, 4, FALSE)</f>
        <v>#N/A</v>
      </c>
      <c r="J912" s="102" t="e">
        <f t="shared" ca="1" si="28"/>
        <v>#N/A</v>
      </c>
      <c r="K912" s="102" t="e">
        <f t="shared" ca="1" si="29"/>
        <v>#N/A</v>
      </c>
      <c r="L912" s="102"/>
      <c r="M912" s="102"/>
      <c r="N912" s="102"/>
      <c r="O912" s="102"/>
      <c r="P912" s="102"/>
      <c r="Q912" s="102"/>
      <c r="R912" s="102"/>
      <c r="S912" s="102"/>
    </row>
    <row r="913" spans="1:19" ht="72" x14ac:dyDescent="0.3">
      <c r="A913" t="s">
        <v>4712</v>
      </c>
      <c r="B913" t="s">
        <v>4790</v>
      </c>
      <c r="C913" s="90" t="s">
        <v>3626</v>
      </c>
      <c r="D913" t="s">
        <v>5562</v>
      </c>
      <c r="E913" s="101" t="s">
        <v>5809</v>
      </c>
      <c r="F913" t="str" cm="1">
        <f t="array" aca="1" ref="F913" ca="1">INDIRECT("'" &amp; A913 &amp; "'!" &amp; B913)</f>
        <v>b13</v>
      </c>
      <c r="G913" cm="1">
        <f t="array" aca="1" ref="G913" ca="1">INDIRECT("'" &amp; A913 &amp; "'!" &amp; ADDRESS(1, COLUMN(INDIRECT("'" &amp; A913 &amp; "'!" &amp; B913))))</f>
        <v>2001</v>
      </c>
      <c r="H913" t="str">
        <f ca="1">VLOOKUP($G913, survey_codes_dict!A:C, 2, FALSE)</f>
        <v>2001</v>
      </c>
      <c r="I913" s="102" t="str">
        <f ca="1">VLOOKUP($G913, survey_codes_dict!A:D, 4, FALSE)</f>
        <v>1999_1</v>
      </c>
      <c r="J913" s="102" t="str">
        <f t="shared" ca="1" si="28"/>
        <v>2001__b13</v>
      </c>
      <c r="K913" s="102" t="str">
        <f t="shared" ca="1" si="29"/>
        <v>1999_1__b13</v>
      </c>
      <c r="L913" s="102"/>
      <c r="M913" s="102"/>
      <c r="N913" s="102"/>
      <c r="O913" s="102"/>
      <c r="P913" s="102"/>
      <c r="Q913" s="102"/>
      <c r="R913" s="102"/>
      <c r="S913" s="101"/>
    </row>
    <row r="914" spans="1:19" ht="72" x14ac:dyDescent="0.3">
      <c r="A914" t="s">
        <v>4712</v>
      </c>
      <c r="B914" t="s">
        <v>4791</v>
      </c>
      <c r="C914" s="90" t="s">
        <v>3628</v>
      </c>
      <c r="D914" t="s">
        <v>5562</v>
      </c>
      <c r="E914" s="101" t="s">
        <v>5810</v>
      </c>
      <c r="F914" t="str" cm="1">
        <f t="array" aca="1" ref="F914" ca="1">INDIRECT("'" &amp; A914 &amp; "'!" &amp; B914)</f>
        <v>c11</v>
      </c>
      <c r="G914" cm="1">
        <f t="array" aca="1" ref="G914" ca="1">INDIRECT("'" &amp; A914 &amp; "'!" &amp; ADDRESS(1, COLUMN(INDIRECT("'" &amp; A914 &amp; "'!" &amp; B914))))</f>
        <v>1999</v>
      </c>
      <c r="H914" t="str">
        <f ca="1">VLOOKUP($G914, survey_codes_dict!A:C, 2, FALSE)</f>
        <v>1999_1</v>
      </c>
      <c r="I914" s="102" t="str">
        <f ca="1">VLOOKUP($G914, survey_codes_dict!A:D, 4, FALSE)</f>
        <v>1996_Jews</v>
      </c>
      <c r="J914" s="102" t="str">
        <f t="shared" ca="1" si="28"/>
        <v>1999_1__c11</v>
      </c>
      <c r="K914" s="102" t="str">
        <f t="shared" ca="1" si="29"/>
        <v>1996_Jews__c11</v>
      </c>
      <c r="L914" s="102"/>
      <c r="M914" s="102"/>
      <c r="N914" s="102"/>
      <c r="O914" s="102"/>
      <c r="P914" s="102"/>
      <c r="Q914" s="102"/>
      <c r="R914" s="102"/>
      <c r="S914" s="101"/>
    </row>
    <row r="915" spans="1:19" ht="144" x14ac:dyDescent="0.3">
      <c r="A915" t="s">
        <v>4712</v>
      </c>
      <c r="B915" t="s">
        <v>4792</v>
      </c>
      <c r="C915" s="90" t="s">
        <v>4793</v>
      </c>
      <c r="D915" t="s">
        <v>5562</v>
      </c>
      <c r="E915" s="101" t="s">
        <v>6254</v>
      </c>
      <c r="F915" t="str" cm="1">
        <f t="array" aca="1" ref="F915" ca="1">INDIRECT("'" &amp; A915 &amp; "'!" &amp; B915)</f>
        <v>N1</v>
      </c>
      <c r="G915" cm="1">
        <f t="array" aca="1" ref="G915" ca="1">INDIRECT("'" &amp; A915 &amp; "'!" &amp; ADDRESS(1, COLUMN(INDIRECT("'" &amp; A915 &amp; "'!" &amp; B915))))</f>
        <v>2022</v>
      </c>
      <c r="H915" t="e">
        <f ca="1">VLOOKUP($G915, survey_codes_dict!A:C, 2, FALSE)</f>
        <v>#N/A</v>
      </c>
      <c r="I915" s="102" t="e">
        <f ca="1">VLOOKUP($G915, survey_codes_dict!A:D, 4, FALSE)</f>
        <v>#N/A</v>
      </c>
      <c r="J915" s="102" t="e">
        <f t="shared" ca="1" si="28"/>
        <v>#N/A</v>
      </c>
      <c r="K915" s="102" t="e">
        <f t="shared" ca="1" si="29"/>
        <v>#N/A</v>
      </c>
      <c r="L915" s="102"/>
      <c r="M915" s="102"/>
      <c r="N915" s="102"/>
      <c r="O915" s="102"/>
      <c r="P915" s="102"/>
      <c r="Q915" s="102"/>
      <c r="R915" s="102"/>
      <c r="S915" s="102"/>
    </row>
    <row r="916" spans="1:19" ht="100.8" x14ac:dyDescent="0.3">
      <c r="A916" t="s">
        <v>4712</v>
      </c>
      <c r="B916" t="s">
        <v>4794</v>
      </c>
      <c r="C916" s="90" t="s">
        <v>4795</v>
      </c>
      <c r="D916" t="s">
        <v>5562</v>
      </c>
      <c r="E916" s="101" t="s">
        <v>6255</v>
      </c>
      <c r="F916" t="str" cm="1">
        <f t="array" aca="1" ref="F916" ca="1">INDIRECT("'" &amp; A916 &amp; "'!" &amp; B916)</f>
        <v>N1</v>
      </c>
      <c r="G916" cm="1">
        <f t="array" aca="1" ref="G916" ca="1">INDIRECT("'" &amp; A916 &amp; "'!" &amp; ADDRESS(1, COLUMN(INDIRECT("'" &amp; A916 &amp; "'!" &amp; B916))))</f>
        <v>2021</v>
      </c>
      <c r="H916" t="e">
        <f ca="1">VLOOKUP($G916, survey_codes_dict!A:C, 2, FALSE)</f>
        <v>#N/A</v>
      </c>
      <c r="I916" s="102" t="e">
        <f ca="1">VLOOKUP($G916, survey_codes_dict!A:D, 4, FALSE)</f>
        <v>#N/A</v>
      </c>
      <c r="J916" s="102" t="e">
        <f t="shared" ca="1" si="28"/>
        <v>#N/A</v>
      </c>
      <c r="K916" s="102" t="e">
        <f t="shared" ca="1" si="29"/>
        <v>#N/A</v>
      </c>
      <c r="L916" s="102"/>
      <c r="M916" s="102"/>
      <c r="N916" s="102"/>
      <c r="O916" s="102"/>
      <c r="P916" s="102"/>
      <c r="Q916" s="102"/>
      <c r="R916" s="102"/>
      <c r="S916" s="102"/>
    </row>
    <row r="917" spans="1:19" ht="86.4" x14ac:dyDescent="0.3">
      <c r="A917" t="s">
        <v>4712</v>
      </c>
      <c r="B917" t="s">
        <v>4796</v>
      </c>
      <c r="C917" s="90" t="s">
        <v>4797</v>
      </c>
      <c r="D917" t="s">
        <v>5562</v>
      </c>
      <c r="E917" s="101" t="s">
        <v>6256</v>
      </c>
      <c r="F917" t="str" cm="1">
        <f t="array" aca="1" ref="F917" ca="1">INDIRECT("'" &amp; A917 &amp; "'!" &amp; B917)</f>
        <v>v705</v>
      </c>
      <c r="G917" cm="1">
        <f t="array" aca="1" ref="G917" ca="1">INDIRECT("'" &amp; A917 &amp; "'!" &amp; ADDRESS(1, COLUMN(INDIRECT("'" &amp; A917 &amp; "'!" &amp; B917))))</f>
        <v>2022</v>
      </c>
      <c r="H917" t="e">
        <f ca="1">VLOOKUP($G917, survey_codes_dict!A:C, 2, FALSE)</f>
        <v>#N/A</v>
      </c>
      <c r="I917" s="102" t="e">
        <f ca="1">VLOOKUP($G917, survey_codes_dict!A:D, 4, FALSE)</f>
        <v>#N/A</v>
      </c>
      <c r="J917" s="102" t="e">
        <f t="shared" ca="1" si="28"/>
        <v>#N/A</v>
      </c>
      <c r="K917" s="102" t="e">
        <f t="shared" ca="1" si="29"/>
        <v>#N/A</v>
      </c>
      <c r="L917" s="102"/>
      <c r="M917" s="102"/>
      <c r="N917" s="102"/>
      <c r="O917" s="102"/>
      <c r="P917" s="102"/>
      <c r="Q917" s="102"/>
      <c r="R917" s="102"/>
      <c r="S917" s="102"/>
    </row>
    <row r="918" spans="1:19" ht="100.8" x14ac:dyDescent="0.3">
      <c r="A918" t="s">
        <v>4798</v>
      </c>
      <c r="B918" t="s">
        <v>3562</v>
      </c>
      <c r="C918" s="90" t="s">
        <v>4799</v>
      </c>
      <c r="D918" t="s">
        <v>5562</v>
      </c>
      <c r="E918" s="101" t="s">
        <v>6257</v>
      </c>
      <c r="F918" t="str" cm="1">
        <f t="array" aca="1" ref="F918" ca="1">INDIRECT("'" &amp; A918 &amp; "'!" &amp; B918)</f>
        <v>v20</v>
      </c>
      <c r="G918" cm="1">
        <f t="array" aca="1" ref="G918" ca="1">INDIRECT("'" &amp; A918 &amp; "'!" &amp; ADDRESS(1, COLUMN(INDIRECT("'" &amp; A918 &amp; "'!" &amp; B918))))</f>
        <v>2020</v>
      </c>
      <c r="H918" t="e">
        <f ca="1">VLOOKUP($G918, survey_codes_dict!A:C, 2, FALSE)</f>
        <v>#N/A</v>
      </c>
      <c r="I918" s="102" t="e">
        <f ca="1">VLOOKUP($G918, survey_codes_dict!A:D, 4, FALSE)</f>
        <v>#N/A</v>
      </c>
      <c r="J918" s="102" t="e">
        <f t="shared" ca="1" si="28"/>
        <v>#N/A</v>
      </c>
      <c r="K918" s="102" t="e">
        <f t="shared" ca="1" si="29"/>
        <v>#N/A</v>
      </c>
      <c r="L918" s="102"/>
      <c r="M918" s="102"/>
      <c r="N918" s="102"/>
      <c r="O918" s="102"/>
      <c r="P918" s="102"/>
      <c r="Q918" s="102"/>
      <c r="R918" s="102"/>
      <c r="S918" s="101"/>
    </row>
    <row r="919" spans="1:19" ht="86.4" x14ac:dyDescent="0.3">
      <c r="A919" t="s">
        <v>4798</v>
      </c>
      <c r="B919" t="s">
        <v>4800</v>
      </c>
      <c r="C919" s="90" t="s">
        <v>4801</v>
      </c>
      <c r="D919" t="s">
        <v>5562</v>
      </c>
      <c r="E919" s="101" t="s">
        <v>6258</v>
      </c>
      <c r="F919" t="str" cm="1">
        <f t="array" aca="1" ref="F919" ca="1">INDIRECT("'" &amp; A919 &amp; "'!" &amp; B919)</f>
        <v>v47</v>
      </c>
      <c r="G919" cm="1">
        <f t="array" aca="1" ref="G919" ca="1">INDIRECT("'" &amp; A919 &amp; "'!" &amp; ADDRESS(1, COLUMN(INDIRECT("'" &amp; A919 &amp; "'!" &amp; B919))))</f>
        <v>2022</v>
      </c>
      <c r="H919" t="e">
        <f ca="1">VLOOKUP($G919, survey_codes_dict!A:C, 2, FALSE)</f>
        <v>#N/A</v>
      </c>
      <c r="I919" s="102" t="e">
        <f ca="1">VLOOKUP($G919, survey_codes_dict!A:D, 4, FALSE)</f>
        <v>#N/A</v>
      </c>
      <c r="J919" s="102" t="e">
        <f t="shared" ca="1" si="28"/>
        <v>#N/A</v>
      </c>
      <c r="K919" s="102" t="e">
        <f t="shared" ca="1" si="29"/>
        <v>#N/A</v>
      </c>
      <c r="L919" s="102"/>
      <c r="M919" s="102"/>
      <c r="N919" s="102"/>
      <c r="O919" s="102"/>
      <c r="P919" s="102"/>
      <c r="Q919" s="102"/>
      <c r="R919" s="102"/>
      <c r="S919" s="101"/>
    </row>
    <row r="920" spans="1:19" ht="72" x14ac:dyDescent="0.3">
      <c r="A920" t="s">
        <v>4798</v>
      </c>
      <c r="B920" t="s">
        <v>3858</v>
      </c>
      <c r="C920" s="90" t="s">
        <v>4802</v>
      </c>
      <c r="D920" t="s">
        <v>5562</v>
      </c>
      <c r="E920" s="101" t="s">
        <v>6259</v>
      </c>
      <c r="F920" t="str" cm="1">
        <f t="array" aca="1" ref="F920" ca="1">INDIRECT("'" &amp; A920 &amp; "'!" &amp; B920)</f>
        <v>v47</v>
      </c>
      <c r="G920" cm="1">
        <f t="array" aca="1" ref="G920" ca="1">INDIRECT("'" &amp; A920 &amp; "'!" &amp; ADDRESS(1, COLUMN(INDIRECT("'" &amp; A920 &amp; "'!" &amp; B920))))</f>
        <v>2020</v>
      </c>
      <c r="H920" t="e">
        <f ca="1">VLOOKUP($G920, survey_codes_dict!A:C, 2, FALSE)</f>
        <v>#N/A</v>
      </c>
      <c r="I920" s="102" t="e">
        <f ca="1">VLOOKUP($G920, survey_codes_dict!A:D, 4, FALSE)</f>
        <v>#N/A</v>
      </c>
      <c r="J920" s="102" t="e">
        <f t="shared" ca="1" si="28"/>
        <v>#N/A</v>
      </c>
      <c r="K920" s="102" t="e">
        <f t="shared" ca="1" si="29"/>
        <v>#N/A</v>
      </c>
      <c r="L920" s="102"/>
      <c r="M920" s="102"/>
      <c r="N920" s="102"/>
      <c r="O920" s="102"/>
      <c r="P920" s="102"/>
      <c r="Q920" s="102"/>
      <c r="R920" s="102"/>
      <c r="S920" s="101"/>
    </row>
    <row r="921" spans="1:19" ht="72" x14ac:dyDescent="0.3">
      <c r="A921" t="s">
        <v>4798</v>
      </c>
      <c r="B921" t="s">
        <v>4803</v>
      </c>
      <c r="C921" s="90" t="s">
        <v>4804</v>
      </c>
      <c r="D921" t="s">
        <v>5562</v>
      </c>
      <c r="E921" s="101" t="s">
        <v>6260</v>
      </c>
      <c r="F921" t="str" cm="1">
        <f t="array" aca="1" ref="F921" ca="1">INDIRECT("'" &amp; A921 &amp; "'!" &amp; B921)</f>
        <v>v57</v>
      </c>
      <c r="G921" cm="1">
        <f t="array" aca="1" ref="G921" ca="1">INDIRECT("'" &amp; A921 &amp; "'!" &amp; ADDRESS(1, COLUMN(INDIRECT("'" &amp; A921 &amp; "'!" &amp; B921))))</f>
        <v>2015</v>
      </c>
      <c r="H921" t="e">
        <f ca="1">VLOOKUP($G921, survey_codes_dict!A:C, 2, FALSE)</f>
        <v>#N/A</v>
      </c>
      <c r="I921" s="102" t="e">
        <f ca="1">VLOOKUP($G921, survey_codes_dict!A:D, 4, FALSE)</f>
        <v>#N/A</v>
      </c>
      <c r="J921" s="102" t="e">
        <f t="shared" ca="1" si="28"/>
        <v>#N/A</v>
      </c>
      <c r="K921" s="102" t="e">
        <f t="shared" ca="1" si="29"/>
        <v>#N/A</v>
      </c>
      <c r="L921" s="102"/>
      <c r="M921" s="102"/>
      <c r="N921" s="102"/>
      <c r="O921" s="102"/>
      <c r="P921" s="102"/>
      <c r="Q921" s="102"/>
      <c r="R921" s="102"/>
      <c r="S921" s="101"/>
    </row>
    <row r="922" spans="1:19" ht="57.6" x14ac:dyDescent="0.3">
      <c r="A922" t="s">
        <v>4798</v>
      </c>
      <c r="B922" t="s">
        <v>4256</v>
      </c>
      <c r="C922" s="90" t="s">
        <v>4805</v>
      </c>
      <c r="D922" t="s">
        <v>5562</v>
      </c>
      <c r="E922" s="101" t="s">
        <v>6261</v>
      </c>
      <c r="F922" t="str" cm="1">
        <f t="array" aca="1" ref="F922" ca="1">INDIRECT("'" &amp; A922 &amp; "'!" &amp; B922)</f>
        <v>v48</v>
      </c>
      <c r="G922" cm="1">
        <f t="array" aca="1" ref="G922" ca="1">INDIRECT("'" &amp; A922 &amp; "'!" &amp; ADDRESS(1, COLUMN(INDIRECT("'" &amp; A922 &amp; "'!" &amp; B922))))</f>
        <v>2013</v>
      </c>
      <c r="H922" t="e">
        <f ca="1">VLOOKUP($G922, survey_codes_dict!A:C, 2, FALSE)</f>
        <v>#N/A</v>
      </c>
      <c r="I922" s="102" t="e">
        <f ca="1">VLOOKUP($G922, survey_codes_dict!A:D, 4, FALSE)</f>
        <v>#N/A</v>
      </c>
      <c r="J922" s="102" t="e">
        <f t="shared" ca="1" si="28"/>
        <v>#N/A</v>
      </c>
      <c r="K922" s="102" t="e">
        <f t="shared" ca="1" si="29"/>
        <v>#N/A</v>
      </c>
      <c r="L922" s="102"/>
      <c r="M922" s="102"/>
      <c r="N922" s="102"/>
      <c r="O922" s="102"/>
      <c r="P922" s="102"/>
      <c r="Q922" s="102"/>
      <c r="R922" s="102"/>
      <c r="S922" s="101"/>
    </row>
    <row r="923" spans="1:19" ht="57.6" x14ac:dyDescent="0.3">
      <c r="A923" t="s">
        <v>4798</v>
      </c>
      <c r="B923" t="s">
        <v>4634</v>
      </c>
      <c r="C923" s="90" t="s">
        <v>4806</v>
      </c>
      <c r="D923" t="s">
        <v>5562</v>
      </c>
      <c r="E923" s="101" t="s">
        <v>6262</v>
      </c>
      <c r="F923" t="str" cm="1">
        <f t="array" aca="1" ref="F923" ca="1">INDIRECT("'" &amp; A923 &amp; "'!" &amp; B923)</f>
        <v>v72a</v>
      </c>
      <c r="G923" cm="1">
        <f t="array" aca="1" ref="G923" ca="1">INDIRECT("'" &amp; A923 &amp; "'!" &amp; ADDRESS(1, COLUMN(INDIRECT("'" &amp; A923 &amp; "'!" &amp; B923))))</f>
        <v>2009</v>
      </c>
      <c r="H923" t="e">
        <f ca="1">VLOOKUP($G923, survey_codes_dict!A:C, 2, FALSE)</f>
        <v>#N/A</v>
      </c>
      <c r="I923" s="102" t="e">
        <f ca="1">VLOOKUP($G923, survey_codes_dict!A:D, 4, FALSE)</f>
        <v>#N/A</v>
      </c>
      <c r="J923" s="102" t="e">
        <f t="shared" ca="1" si="28"/>
        <v>#N/A</v>
      </c>
      <c r="K923" s="102" t="e">
        <f t="shared" ca="1" si="29"/>
        <v>#N/A</v>
      </c>
      <c r="L923" s="102"/>
      <c r="M923" s="102"/>
      <c r="N923" s="102"/>
      <c r="O923" s="102"/>
      <c r="P923" s="102"/>
      <c r="Q923" s="102"/>
      <c r="R923" s="102"/>
      <c r="S923" s="102"/>
    </row>
    <row r="924" spans="1:19" ht="86.4" x14ac:dyDescent="0.3">
      <c r="A924" t="s">
        <v>4798</v>
      </c>
      <c r="B924" t="s">
        <v>4807</v>
      </c>
      <c r="C924" s="90" t="s">
        <v>4808</v>
      </c>
      <c r="D924" t="s">
        <v>5562</v>
      </c>
      <c r="E924" s="101" t="s">
        <v>6263</v>
      </c>
      <c r="F924" t="str" cm="1">
        <f t="array" aca="1" ref="F924" ca="1">INDIRECT("'" &amp; A924 &amp; "'!" &amp; B924)</f>
        <v>a78</v>
      </c>
      <c r="G924" cm="1">
        <f t="array" aca="1" ref="G924" ca="1">INDIRECT("'" &amp; A924 &amp; "'!" &amp; ADDRESS(1, COLUMN(INDIRECT("'" &amp; A924 &amp; "'!" &amp; B924))))</f>
        <v>2006</v>
      </c>
      <c r="H924" t="str">
        <f ca="1">VLOOKUP($G924, survey_codes_dict!A:C, 2, FALSE)</f>
        <v>2006</v>
      </c>
      <c r="I924" s="102" t="str">
        <f ca="1">VLOOKUP($G924, survey_codes_dict!A:D, 4, FALSE)</f>
        <v>2003</v>
      </c>
      <c r="J924" s="102" t="str">
        <f t="shared" ca="1" si="28"/>
        <v>2006__a78</v>
      </c>
      <c r="K924" s="102" t="str">
        <f t="shared" ca="1" si="29"/>
        <v>2003__a78</v>
      </c>
      <c r="L924" s="102"/>
      <c r="M924" s="102"/>
      <c r="N924" s="102"/>
      <c r="O924" s="102"/>
      <c r="P924" s="102"/>
      <c r="Q924" s="102"/>
      <c r="R924" s="102"/>
      <c r="S924" s="101"/>
    </row>
    <row r="925" spans="1:19" ht="72" x14ac:dyDescent="0.3">
      <c r="A925" t="s">
        <v>4798</v>
      </c>
      <c r="B925" t="s">
        <v>4809</v>
      </c>
      <c r="C925" s="90" t="s">
        <v>4810</v>
      </c>
      <c r="D925" t="s">
        <v>5562</v>
      </c>
      <c r="E925" s="101" t="s">
        <v>6264</v>
      </c>
      <c r="F925" t="str" cm="1">
        <f t="array" aca="1" ref="F925" ca="1">INDIRECT("'" &amp; A925 &amp; "'!" &amp; B925)</f>
        <v>a47</v>
      </c>
      <c r="G925" cm="1">
        <f t="array" aca="1" ref="G925" ca="1">INDIRECT("'" &amp; A925 &amp; "'!" &amp; ADDRESS(1, COLUMN(INDIRECT("'" &amp; A925 &amp; "'!" &amp; B925))))</f>
        <v>2003</v>
      </c>
      <c r="H925" t="str">
        <f ca="1">VLOOKUP($G925, survey_codes_dict!A:C, 2, FALSE)</f>
        <v>2003</v>
      </c>
      <c r="I925" s="102" t="str">
        <f ca="1">VLOOKUP($G925, survey_codes_dict!A:D, 4, FALSE)</f>
        <v>2001</v>
      </c>
      <c r="J925" s="102" t="str">
        <f t="shared" ca="1" si="28"/>
        <v>2003__a47</v>
      </c>
      <c r="K925" s="102" t="str">
        <f t="shared" ca="1" si="29"/>
        <v>2001__a47</v>
      </c>
      <c r="L925" s="102"/>
      <c r="M925" s="102"/>
      <c r="N925" s="102"/>
      <c r="O925" s="102"/>
      <c r="P925" s="102"/>
      <c r="Q925" s="102"/>
      <c r="R925" s="102"/>
      <c r="S925" s="101"/>
    </row>
    <row r="926" spans="1:19" ht="72" x14ac:dyDescent="0.3">
      <c r="A926" t="s">
        <v>4798</v>
      </c>
      <c r="B926" t="s">
        <v>4811</v>
      </c>
      <c r="C926" s="90" t="s">
        <v>4812</v>
      </c>
      <c r="D926" t="s">
        <v>5562</v>
      </c>
      <c r="E926" s="101" t="s">
        <v>6265</v>
      </c>
      <c r="F926" t="str" cm="1">
        <f t="array" aca="1" ref="F926" ca="1">INDIRECT("'" &amp; A926 &amp; "'!" &amp; B926)</f>
        <v>a64</v>
      </c>
      <c r="G926" cm="1">
        <f t="array" aca="1" ref="G926" ca="1">INDIRECT("'" &amp; A926 &amp; "'!" &amp; ADDRESS(1, COLUMN(INDIRECT("'" &amp; A926 &amp; "'!" &amp; B926))))</f>
        <v>2001</v>
      </c>
      <c r="H926" t="str">
        <f ca="1">VLOOKUP($G926, survey_codes_dict!A:C, 2, FALSE)</f>
        <v>2001</v>
      </c>
      <c r="I926" s="102" t="str">
        <f ca="1">VLOOKUP($G926, survey_codes_dict!A:D, 4, FALSE)</f>
        <v>1999_1</v>
      </c>
      <c r="J926" s="102" t="str">
        <f t="shared" ca="1" si="28"/>
        <v>2001__a64</v>
      </c>
      <c r="K926" s="102" t="str">
        <f t="shared" ca="1" si="29"/>
        <v>1999_1__a64</v>
      </c>
      <c r="L926" s="102"/>
      <c r="M926" s="102"/>
      <c r="N926" s="102"/>
      <c r="O926" s="102"/>
      <c r="P926" s="102"/>
      <c r="Q926" s="102"/>
      <c r="R926" s="102"/>
      <c r="S926" s="101"/>
    </row>
    <row r="927" spans="1:19" ht="86.4" x14ac:dyDescent="0.3">
      <c r="A927" t="s">
        <v>4798</v>
      </c>
      <c r="B927" t="s">
        <v>3862</v>
      </c>
      <c r="C927" s="90" t="s">
        <v>4813</v>
      </c>
      <c r="D927" t="s">
        <v>5562</v>
      </c>
      <c r="E927" s="101" t="s">
        <v>6266</v>
      </c>
      <c r="F927" t="str" cm="1">
        <f t="array" aca="1" ref="F927" ca="1">INDIRECT("'" &amp; A927 &amp; "'!" &amp; B927)</f>
        <v>i3</v>
      </c>
      <c r="G927" cm="1">
        <f t="array" aca="1" ref="G927" ca="1">INDIRECT("'" &amp; A927 &amp; "'!" &amp; ADDRESS(1, COLUMN(INDIRECT("'" &amp; A927 &amp; "'!" &amp; B927))))</f>
        <v>1999</v>
      </c>
      <c r="H927" t="str">
        <f ca="1">VLOOKUP($G927, survey_codes_dict!A:C, 2, FALSE)</f>
        <v>1999_1</v>
      </c>
      <c r="I927" s="102" t="str">
        <f ca="1">VLOOKUP($G927, survey_codes_dict!A:D, 4, FALSE)</f>
        <v>1996_Jews</v>
      </c>
      <c r="J927" s="102" t="str">
        <f t="shared" ca="1" si="28"/>
        <v>1999_1__i3</v>
      </c>
      <c r="K927" s="102" t="str">
        <f t="shared" ca="1" si="29"/>
        <v>1996_Jews__i3</v>
      </c>
      <c r="L927" s="102"/>
      <c r="M927" s="102"/>
      <c r="N927" s="102"/>
      <c r="O927" s="102"/>
      <c r="P927" s="102"/>
      <c r="Q927" s="102"/>
      <c r="R927" s="102"/>
      <c r="S927" s="101"/>
    </row>
    <row r="928" spans="1:19" ht="72" x14ac:dyDescent="0.3">
      <c r="A928" t="s">
        <v>4798</v>
      </c>
      <c r="B928" t="s">
        <v>4259</v>
      </c>
      <c r="C928" s="90" t="s">
        <v>4814</v>
      </c>
      <c r="D928" t="s">
        <v>5562</v>
      </c>
      <c r="E928" s="101" t="s">
        <v>6267</v>
      </c>
      <c r="F928" t="str" cm="1">
        <f t="array" aca="1" ref="F928" ca="1">INDIRECT("'" &amp; A928 &amp; "'!" &amp; B928)</f>
        <v>cc23</v>
      </c>
      <c r="G928" cm="1">
        <f t="array" aca="1" ref="G928" ca="1">INDIRECT("'" &amp; A928 &amp; "'!" &amp; ADDRESS(1, COLUMN(INDIRECT("'" &amp; A928 &amp; "'!" &amp; B928))))</f>
        <v>1996</v>
      </c>
      <c r="H928" t="str">
        <f ca="1">VLOOKUP($G928, survey_codes_dict!A:C, 2, FALSE)</f>
        <v>1996_Jews</v>
      </c>
      <c r="I928" s="102" t="str">
        <f ca="1">VLOOKUP($G928, survey_codes_dict!A:D, 4, FALSE)</f>
        <v>1992</v>
      </c>
      <c r="J928" s="102" t="str">
        <f t="shared" ca="1" si="28"/>
        <v>1996_Jews__cc23</v>
      </c>
      <c r="K928" s="102" t="str">
        <f t="shared" ca="1" si="29"/>
        <v>1992__cc23</v>
      </c>
      <c r="L928" s="102"/>
      <c r="M928" s="102"/>
      <c r="N928" s="102"/>
      <c r="O928" s="102"/>
      <c r="P928" s="102"/>
      <c r="Q928" s="102"/>
      <c r="R928" s="102"/>
      <c r="S928" s="101"/>
    </row>
    <row r="929" spans="1:19" ht="43.2" x14ac:dyDescent="0.3">
      <c r="A929" t="s">
        <v>4798</v>
      </c>
      <c r="B929" t="s">
        <v>4815</v>
      </c>
      <c r="C929" s="90" t="s">
        <v>4816</v>
      </c>
      <c r="D929" t="s">
        <v>5562</v>
      </c>
      <c r="E929" s="101" t="s">
        <v>6268</v>
      </c>
      <c r="F929" t="str" cm="1">
        <f t="array" aca="1" ref="F929" ca="1">INDIRECT("'" &amp; A929 &amp; "'!" &amp; B929)</f>
        <v>b18</v>
      </c>
      <c r="G929" t="str" cm="1">
        <f t="array" aca="1" ref="G929" ca="1">INDIRECT("'" &amp; A929 &amp; "'!" &amp; ADDRESS(1, COLUMN(INDIRECT("'" &amp; A929 &amp; "'!" &amp; B929))))</f>
        <v>1981 - 3</v>
      </c>
      <c r="H929" t="str">
        <f ca="1">VLOOKUP($G929, survey_codes_dict!A:C, 2, FALSE)</f>
        <v>1981_3</v>
      </c>
      <c r="I929" s="102">
        <f ca="1">VLOOKUP($G929, survey_codes_dict!A:D, 4, FALSE)</f>
        <v>0</v>
      </c>
      <c r="J929" s="102" t="str">
        <f t="shared" ca="1" si="28"/>
        <v>1981_3__b18</v>
      </c>
      <c r="K929" s="102" t="str">
        <f t="shared" ca="1" si="29"/>
        <v>0__b18</v>
      </c>
      <c r="L929" s="102"/>
      <c r="M929" s="102"/>
      <c r="N929" s="102"/>
      <c r="O929" s="102"/>
      <c r="P929" s="102"/>
      <c r="Q929" s="102"/>
      <c r="R929" s="102"/>
      <c r="S929" s="101"/>
    </row>
    <row r="930" spans="1:19" ht="57.6" x14ac:dyDescent="0.3">
      <c r="A930" t="s">
        <v>4798</v>
      </c>
      <c r="B930" t="s">
        <v>4265</v>
      </c>
      <c r="C930" s="90" t="s">
        <v>4805</v>
      </c>
      <c r="D930" t="s">
        <v>5562</v>
      </c>
      <c r="E930" s="101" t="s">
        <v>6261</v>
      </c>
      <c r="F930" t="str" cm="1">
        <f t="array" aca="1" ref="F930" ca="1">INDIRECT("'" &amp; A930 &amp; "'!" &amp; B930)</f>
        <v>v49</v>
      </c>
      <c r="G930" cm="1">
        <f t="array" aca="1" ref="G930" ca="1">INDIRECT("'" &amp; A930 &amp; "'!" &amp; ADDRESS(1, COLUMN(INDIRECT("'" &amp; A930 &amp; "'!" &amp; B930))))</f>
        <v>2013</v>
      </c>
      <c r="H930" t="e">
        <f ca="1">VLOOKUP($G930, survey_codes_dict!A:C, 2, FALSE)</f>
        <v>#N/A</v>
      </c>
      <c r="I930" s="102" t="e">
        <f ca="1">VLOOKUP($G930, survey_codes_dict!A:D, 4, FALSE)</f>
        <v>#N/A</v>
      </c>
      <c r="J930" s="102" t="e">
        <f t="shared" ca="1" si="28"/>
        <v>#N/A</v>
      </c>
      <c r="K930" s="102" t="e">
        <f t="shared" ca="1" si="29"/>
        <v>#N/A</v>
      </c>
      <c r="L930" s="102"/>
      <c r="M930" s="102"/>
      <c r="N930" s="102"/>
      <c r="O930" s="102"/>
      <c r="P930" s="102"/>
      <c r="Q930" s="102"/>
      <c r="R930" s="102"/>
      <c r="S930" s="101"/>
    </row>
    <row r="931" spans="1:19" ht="57.6" x14ac:dyDescent="0.3">
      <c r="A931" t="s">
        <v>4798</v>
      </c>
      <c r="B931" t="s">
        <v>3320</v>
      </c>
      <c r="C931" s="90" t="s">
        <v>4806</v>
      </c>
      <c r="D931" t="s">
        <v>5562</v>
      </c>
      <c r="E931" s="101" t="s">
        <v>6262</v>
      </c>
      <c r="F931" t="str" cm="1">
        <f t="array" aca="1" ref="F931" ca="1">INDIRECT("'" &amp; A931 &amp; "'!" &amp; B931)</f>
        <v>v73a</v>
      </c>
      <c r="G931" cm="1">
        <f t="array" aca="1" ref="G931" ca="1">INDIRECT("'" &amp; A931 &amp; "'!" &amp; ADDRESS(1, COLUMN(INDIRECT("'" &amp; A931 &amp; "'!" &amp; B931))))</f>
        <v>2009</v>
      </c>
      <c r="H931" t="e">
        <f ca="1">VLOOKUP($G931, survey_codes_dict!A:C, 2, FALSE)</f>
        <v>#N/A</v>
      </c>
      <c r="I931" s="102" t="e">
        <f ca="1">VLOOKUP($G931, survey_codes_dict!A:D, 4, FALSE)</f>
        <v>#N/A</v>
      </c>
      <c r="J931" s="102" t="e">
        <f t="shared" ca="1" si="28"/>
        <v>#N/A</v>
      </c>
      <c r="K931" s="102" t="e">
        <f t="shared" ca="1" si="29"/>
        <v>#N/A</v>
      </c>
      <c r="L931" s="102"/>
      <c r="M931" s="102"/>
      <c r="N931" s="102"/>
      <c r="O931" s="102"/>
      <c r="P931" s="102"/>
      <c r="Q931" s="102"/>
      <c r="R931" s="102"/>
      <c r="S931" s="102"/>
    </row>
    <row r="932" spans="1:19" ht="86.4" x14ac:dyDescent="0.3">
      <c r="A932" t="s">
        <v>4798</v>
      </c>
      <c r="B932" t="s">
        <v>4817</v>
      </c>
      <c r="C932" s="90" t="s">
        <v>4818</v>
      </c>
      <c r="D932" t="s">
        <v>5562</v>
      </c>
      <c r="E932" s="101" t="s">
        <v>6269</v>
      </c>
      <c r="F932" t="str" cm="1">
        <f t="array" aca="1" ref="F932" ca="1">INDIRECT("'" &amp; A932 &amp; "'!" &amp; B932)</f>
        <v>v9</v>
      </c>
      <c r="G932" cm="1">
        <f t="array" aca="1" ref="G932" ca="1">INDIRECT("'" &amp; A932 &amp; "'!" &amp; ADDRESS(1, COLUMN(INDIRECT("'" &amp; A932 &amp; "'!" &amp; B932))))</f>
        <v>43556</v>
      </c>
      <c r="H932" t="e">
        <f ca="1">VLOOKUP($G932, survey_codes_dict!A:C, 2, FALSE)</f>
        <v>#N/A</v>
      </c>
      <c r="I932" s="102" t="e">
        <f ca="1">VLOOKUP($G932, survey_codes_dict!A:D, 4, FALSE)</f>
        <v>#N/A</v>
      </c>
      <c r="J932" s="102" t="e">
        <f t="shared" ca="1" si="28"/>
        <v>#N/A</v>
      </c>
      <c r="K932" s="102" t="e">
        <f t="shared" ca="1" si="29"/>
        <v>#N/A</v>
      </c>
      <c r="L932" s="102"/>
      <c r="M932" s="102"/>
      <c r="N932" s="102"/>
      <c r="O932" s="102"/>
      <c r="P932" s="102"/>
      <c r="Q932" s="102"/>
      <c r="R932" s="102"/>
      <c r="S932" s="101"/>
    </row>
    <row r="933" spans="1:19" ht="57.6" x14ac:dyDescent="0.3">
      <c r="A933" t="s">
        <v>4798</v>
      </c>
      <c r="B933" t="s">
        <v>3792</v>
      </c>
      <c r="C933" s="90" t="s">
        <v>4819</v>
      </c>
      <c r="D933" t="s">
        <v>5562</v>
      </c>
      <c r="E933" s="101" t="s">
        <v>6270</v>
      </c>
      <c r="F933" t="str" cm="1">
        <f t="array" aca="1" ref="F933" ca="1">INDIRECT("'" &amp; A933 &amp; "'!" &amp; B933)</f>
        <v>v3</v>
      </c>
      <c r="G933" t="str" cm="1">
        <f t="array" aca="1" ref="G933" ca="1">INDIRECT("'" &amp; A933 &amp; "'!" &amp; ADDRESS(1, COLUMN(INDIRECT("'" &amp; A933 &amp; "'!" &amp; B933))))</f>
        <v>1973 - 1</v>
      </c>
      <c r="H933" t="str">
        <f ca="1">VLOOKUP($G933, survey_codes_dict!A:C, 2, FALSE)</f>
        <v>1973_1</v>
      </c>
      <c r="I933" s="102" t="str">
        <f ca="1">VLOOKUP($G933, survey_codes_dict!A:D, 4, FALSE)</f>
        <v>1969_2</v>
      </c>
      <c r="J933" s="102" t="str">
        <f t="shared" ca="1" si="28"/>
        <v>1973_1__v3</v>
      </c>
      <c r="K933" s="102" t="str">
        <f t="shared" ca="1" si="29"/>
        <v>1969_2__v3</v>
      </c>
      <c r="L933" s="102"/>
      <c r="M933" s="102"/>
      <c r="N933" s="102"/>
      <c r="O933" s="102"/>
      <c r="P933" s="102"/>
      <c r="Q933" s="102"/>
      <c r="R933" s="102"/>
      <c r="S933" s="101"/>
    </row>
    <row r="934" spans="1:19" ht="86.4" x14ac:dyDescent="0.3">
      <c r="A934" t="s">
        <v>4798</v>
      </c>
      <c r="B934" t="s">
        <v>3874</v>
      </c>
      <c r="C934" s="90" t="s">
        <v>4820</v>
      </c>
      <c r="D934" t="s">
        <v>5562</v>
      </c>
      <c r="E934" s="101" t="s">
        <v>6271</v>
      </c>
      <c r="F934" t="str" cm="1">
        <f t="array" aca="1" ref="F934" ca="1">INDIRECT("'" &amp; A934 &amp; "'!" &amp; B934)</f>
        <v>v10</v>
      </c>
      <c r="G934" cm="1">
        <f t="array" aca="1" ref="G934" ca="1">INDIRECT("'" &amp; A934 &amp; "'!" &amp; ADDRESS(1, COLUMN(INDIRECT("'" &amp; A934 &amp; "'!" &amp; B934))))</f>
        <v>43556</v>
      </c>
      <c r="H934" t="e">
        <f ca="1">VLOOKUP($G934, survey_codes_dict!A:C, 2, FALSE)</f>
        <v>#N/A</v>
      </c>
      <c r="I934" s="102" t="e">
        <f ca="1">VLOOKUP($G934, survey_codes_dict!A:D, 4, FALSE)</f>
        <v>#N/A</v>
      </c>
      <c r="J934" s="102" t="e">
        <f t="shared" ca="1" si="28"/>
        <v>#N/A</v>
      </c>
      <c r="K934" s="102" t="e">
        <f t="shared" ca="1" si="29"/>
        <v>#N/A</v>
      </c>
      <c r="L934" s="102"/>
      <c r="M934" s="102"/>
      <c r="N934" s="102"/>
      <c r="O934" s="102"/>
      <c r="P934" s="102"/>
      <c r="Q934" s="102"/>
      <c r="R934" s="102"/>
      <c r="S934" s="101"/>
    </row>
    <row r="935" spans="1:19" ht="57.6" x14ac:dyDescent="0.3">
      <c r="A935" t="s">
        <v>4798</v>
      </c>
      <c r="B935" t="s">
        <v>4821</v>
      </c>
      <c r="C935" s="90" t="s">
        <v>4822</v>
      </c>
      <c r="D935" t="s">
        <v>5562</v>
      </c>
      <c r="E935" s="101" t="s">
        <v>6272</v>
      </c>
      <c r="F935" t="str" cm="1">
        <f t="array" aca="1" ref="F935" ca="1">INDIRECT("'" &amp; A935 &amp; "'!" &amp; B935)</f>
        <v>v2</v>
      </c>
      <c r="G935" t="str" cm="1">
        <f t="array" aca="1" ref="G935" ca="1">INDIRECT("'" &amp; A935 &amp; "'!" &amp; ADDRESS(1, COLUMN(INDIRECT("'" &amp; A935 &amp; "'!" &amp; B935))))</f>
        <v>1973 - 1</v>
      </c>
      <c r="H935" t="str">
        <f ca="1">VLOOKUP($G935, survey_codes_dict!A:C, 2, FALSE)</f>
        <v>1973_1</v>
      </c>
      <c r="I935" s="102" t="str">
        <f ca="1">VLOOKUP($G935, survey_codes_dict!A:D, 4, FALSE)</f>
        <v>1969_2</v>
      </c>
      <c r="J935" s="102" t="str">
        <f t="shared" ca="1" si="28"/>
        <v>1973_1__v2</v>
      </c>
      <c r="K935" s="102" t="str">
        <f t="shared" ca="1" si="29"/>
        <v>1969_2__v2</v>
      </c>
      <c r="L935" s="102"/>
      <c r="M935" s="102"/>
      <c r="N935" s="102"/>
      <c r="O935" s="102"/>
      <c r="P935" s="102"/>
      <c r="Q935" s="102"/>
      <c r="R935" s="102"/>
      <c r="S935" s="101"/>
    </row>
    <row r="936" spans="1:19" ht="72" x14ac:dyDescent="0.3">
      <c r="A936" t="s">
        <v>4798</v>
      </c>
      <c r="B936" t="s">
        <v>3876</v>
      </c>
      <c r="C936" s="90" t="s">
        <v>4020</v>
      </c>
      <c r="D936" t="s">
        <v>5562</v>
      </c>
      <c r="E936" s="101" t="s">
        <v>5947</v>
      </c>
      <c r="F936" t="str" cm="1">
        <f t="array" aca="1" ref="F936" ca="1">INDIRECT("'" &amp; A936 &amp; "'!" &amp; B936)</f>
        <v>v23</v>
      </c>
      <c r="G936" cm="1">
        <f t="array" aca="1" ref="G936" ca="1">INDIRECT("'" &amp; A936 &amp; "'!" &amp; ADDRESS(1, COLUMN(INDIRECT("'" &amp; A936 &amp; "'!" &amp; B936))))</f>
        <v>43556</v>
      </c>
      <c r="H936" t="e">
        <f ca="1">VLOOKUP($G936, survey_codes_dict!A:C, 2, FALSE)</f>
        <v>#N/A</v>
      </c>
      <c r="I936" s="102" t="e">
        <f ca="1">VLOOKUP($G936, survey_codes_dict!A:D, 4, FALSE)</f>
        <v>#N/A</v>
      </c>
      <c r="J936" s="102" t="e">
        <f t="shared" ca="1" si="28"/>
        <v>#N/A</v>
      </c>
      <c r="K936" s="102" t="e">
        <f t="shared" ca="1" si="29"/>
        <v>#N/A</v>
      </c>
      <c r="L936" s="102"/>
      <c r="M936" s="102"/>
      <c r="N936" s="102"/>
      <c r="O936" s="102"/>
      <c r="P936" s="102"/>
      <c r="Q936" s="102"/>
      <c r="R936" s="102"/>
      <c r="S936" s="101"/>
    </row>
    <row r="937" spans="1:19" ht="115.2" x14ac:dyDescent="0.3">
      <c r="A937" t="s">
        <v>4798</v>
      </c>
      <c r="B937" t="s">
        <v>4823</v>
      </c>
      <c r="C937" s="90" t="s">
        <v>4824</v>
      </c>
      <c r="D937" t="s">
        <v>5562</v>
      </c>
      <c r="E937" s="101" t="s">
        <v>6273</v>
      </c>
      <c r="F937" t="str" cm="1">
        <f t="array" aca="1" ref="F937" ca="1">INDIRECT("'" &amp; A937 &amp; "'!" &amp; B937)</f>
        <v>v22</v>
      </c>
      <c r="G937" cm="1">
        <f t="array" aca="1" ref="G937" ca="1">INDIRECT("'" &amp; A937 &amp; "'!" &amp; ADDRESS(1, COLUMN(INDIRECT("'" &amp; A937 &amp; "'!" &amp; B937))))</f>
        <v>2015</v>
      </c>
      <c r="H937" t="e">
        <f ca="1">VLOOKUP($G937, survey_codes_dict!A:C, 2, FALSE)</f>
        <v>#N/A</v>
      </c>
      <c r="I937" s="102" t="e">
        <f ca="1">VLOOKUP($G937, survey_codes_dict!A:D, 4, FALSE)</f>
        <v>#N/A</v>
      </c>
      <c r="J937" s="102" t="e">
        <f t="shared" ca="1" si="28"/>
        <v>#N/A</v>
      </c>
      <c r="K937" s="102" t="e">
        <f t="shared" ca="1" si="29"/>
        <v>#N/A</v>
      </c>
      <c r="L937" s="102"/>
      <c r="M937" s="102"/>
      <c r="N937" s="102"/>
      <c r="O937" s="102"/>
      <c r="P937" s="102"/>
      <c r="Q937" s="102"/>
      <c r="R937" s="102"/>
      <c r="S937" s="101"/>
    </row>
    <row r="938" spans="1:19" ht="57.6" x14ac:dyDescent="0.3">
      <c r="A938" t="s">
        <v>4798</v>
      </c>
      <c r="B938" t="s">
        <v>4825</v>
      </c>
      <c r="C938" s="90" t="s">
        <v>4826</v>
      </c>
      <c r="D938" t="s">
        <v>5562</v>
      </c>
      <c r="E938" s="101" t="s">
        <v>6274</v>
      </c>
      <c r="F938" t="str" cm="1">
        <f t="array" aca="1" ref="F938" ca="1">INDIRECT("'" &amp; A938 &amp; "'!" &amp; B938)</f>
        <v>v72</v>
      </c>
      <c r="G938" cm="1">
        <f t="array" aca="1" ref="G938" ca="1">INDIRECT("'" &amp; A938 &amp; "'!" &amp; ADDRESS(1, COLUMN(INDIRECT("'" &amp; A938 &amp; "'!" &amp; B938))))</f>
        <v>2015</v>
      </c>
      <c r="H938" t="e">
        <f ca="1">VLOOKUP($G938, survey_codes_dict!A:C, 2, FALSE)</f>
        <v>#N/A</v>
      </c>
      <c r="I938" s="102" t="e">
        <f ca="1">VLOOKUP($G938, survey_codes_dict!A:D, 4, FALSE)</f>
        <v>#N/A</v>
      </c>
      <c r="J938" s="102" t="e">
        <f t="shared" ca="1" si="28"/>
        <v>#N/A</v>
      </c>
      <c r="K938" s="102" t="e">
        <f t="shared" ca="1" si="29"/>
        <v>#N/A</v>
      </c>
      <c r="L938" s="102"/>
      <c r="M938" s="102"/>
      <c r="N938" s="102"/>
      <c r="O938" s="102"/>
      <c r="P938" s="102"/>
      <c r="Q938" s="102"/>
      <c r="R938" s="102"/>
      <c r="S938" s="101"/>
    </row>
    <row r="939" spans="1:19" ht="72" x14ac:dyDescent="0.3">
      <c r="A939" t="s">
        <v>4798</v>
      </c>
      <c r="B939" t="s">
        <v>4827</v>
      </c>
      <c r="C939" s="90" t="s">
        <v>4828</v>
      </c>
      <c r="D939" t="s">
        <v>5562</v>
      </c>
      <c r="E939" s="101" t="s">
        <v>6275</v>
      </c>
      <c r="F939" t="str" cm="1">
        <f t="array" aca="1" ref="F939" ca="1">INDIRECT("'" &amp; A939 &amp; "'!" &amp; B939)</f>
        <v>v101</v>
      </c>
      <c r="G939" t="str" cm="1">
        <f t="array" aca="1" ref="G939" ca="1">INDIRECT("'" &amp; A939 &amp; "'!" &amp; ADDRESS(1, COLUMN(INDIRECT("'" &amp; A939 &amp; "'!" &amp; B939))))</f>
        <v>1987*</v>
      </c>
      <c r="H939" t="e">
        <f ca="1">VLOOKUP($G939, survey_codes_dict!A:C, 2, FALSE)</f>
        <v>#N/A</v>
      </c>
      <c r="I939" s="102" t="e">
        <f ca="1">VLOOKUP($G939, survey_codes_dict!A:D, 4, FALSE)</f>
        <v>#N/A</v>
      </c>
      <c r="J939" s="102" t="e">
        <f t="shared" ca="1" si="28"/>
        <v>#N/A</v>
      </c>
      <c r="K939" s="102" t="e">
        <f t="shared" ca="1" si="29"/>
        <v>#N/A</v>
      </c>
      <c r="L939" s="102"/>
      <c r="M939" s="102"/>
      <c r="N939" s="102"/>
      <c r="O939" s="102"/>
      <c r="P939" s="102"/>
      <c r="Q939" s="102"/>
      <c r="R939" s="102"/>
      <c r="S939" s="101"/>
    </row>
    <row r="940" spans="1:19" ht="57.6" x14ac:dyDescent="0.3">
      <c r="A940" t="s">
        <v>4798</v>
      </c>
      <c r="B940" t="s">
        <v>3878</v>
      </c>
      <c r="C940" s="90" t="s">
        <v>4829</v>
      </c>
      <c r="D940" t="s">
        <v>5562</v>
      </c>
      <c r="E940" s="101" t="s">
        <v>6276</v>
      </c>
      <c r="F940" t="str" cm="1">
        <f t="array" aca="1" ref="F940" ca="1">INDIRECT("'" &amp; A940 &amp; "'!" &amp; B940)</f>
        <v>v73</v>
      </c>
      <c r="G940" cm="1">
        <f t="array" aca="1" ref="G940" ca="1">INDIRECT("'" &amp; A940 &amp; "'!" &amp; ADDRESS(1, COLUMN(INDIRECT("'" &amp; A940 &amp; "'!" &amp; B940))))</f>
        <v>2015</v>
      </c>
      <c r="H940" t="e">
        <f ca="1">VLOOKUP($G940, survey_codes_dict!A:C, 2, FALSE)</f>
        <v>#N/A</v>
      </c>
      <c r="I940" s="102" t="e">
        <f ca="1">VLOOKUP($G940, survey_codes_dict!A:D, 4, FALSE)</f>
        <v>#N/A</v>
      </c>
      <c r="J940" s="102" t="e">
        <f t="shared" ca="1" si="28"/>
        <v>#N/A</v>
      </c>
      <c r="K940" s="102" t="e">
        <f t="shared" ca="1" si="29"/>
        <v>#N/A</v>
      </c>
      <c r="L940" s="102"/>
      <c r="M940" s="102"/>
      <c r="N940" s="102"/>
      <c r="O940" s="102"/>
      <c r="P940" s="102"/>
      <c r="Q940" s="102"/>
      <c r="R940" s="102"/>
      <c r="S940" s="101"/>
    </row>
    <row r="941" spans="1:19" ht="57.6" x14ac:dyDescent="0.3">
      <c r="A941" t="s">
        <v>4798</v>
      </c>
      <c r="B941" t="s">
        <v>4830</v>
      </c>
      <c r="C941" s="90" t="s">
        <v>4831</v>
      </c>
      <c r="D941" t="s">
        <v>5562</v>
      </c>
      <c r="E941" s="101" t="s">
        <v>6277</v>
      </c>
      <c r="F941" t="str" cm="1">
        <f t="array" aca="1" ref="F941" ca="1">INDIRECT("'" &amp; A941 &amp; "'!" &amp; B941)</f>
        <v>v72</v>
      </c>
      <c r="G941" cm="1">
        <f t="array" aca="1" ref="G941" ca="1">INDIRECT("'" &amp; A941 &amp; "'!" &amp; ADDRESS(1, COLUMN(INDIRECT("'" &amp; A941 &amp; "'!" &amp; B941))))</f>
        <v>2013</v>
      </c>
      <c r="H941" t="e">
        <f ca="1">VLOOKUP($G941, survey_codes_dict!A:C, 2, FALSE)</f>
        <v>#N/A</v>
      </c>
      <c r="I941" s="102" t="e">
        <f ca="1">VLOOKUP($G941, survey_codes_dict!A:D, 4, FALSE)</f>
        <v>#N/A</v>
      </c>
      <c r="J941" s="102" t="e">
        <f t="shared" ca="1" si="28"/>
        <v>#N/A</v>
      </c>
      <c r="K941" s="102" t="e">
        <f t="shared" ca="1" si="29"/>
        <v>#N/A</v>
      </c>
      <c r="L941" s="102"/>
      <c r="M941" s="102"/>
      <c r="N941" s="102"/>
      <c r="O941" s="102"/>
      <c r="P941" s="102"/>
      <c r="Q941" s="102"/>
      <c r="R941" s="102"/>
      <c r="S941" s="101"/>
    </row>
    <row r="942" spans="1:19" ht="43.2" x14ac:dyDescent="0.3">
      <c r="A942" t="s">
        <v>4798</v>
      </c>
      <c r="B942" t="s">
        <v>3390</v>
      </c>
      <c r="C942" s="90" t="s">
        <v>4832</v>
      </c>
      <c r="D942" t="s">
        <v>5562</v>
      </c>
      <c r="E942" s="101" t="s">
        <v>6278</v>
      </c>
      <c r="F942" t="str" cm="1">
        <f t="array" aca="1" ref="F942" ca="1">INDIRECT("'" &amp; A942 &amp; "'!" &amp; B942)</f>
        <v>i47</v>
      </c>
      <c r="G942" cm="1">
        <f t="array" aca="1" ref="G942" ca="1">INDIRECT("'" &amp; A942 &amp; "'!" &amp; ADDRESS(1, COLUMN(INDIRECT("'" &amp; A942 &amp; "'!" &amp; B942))))</f>
        <v>1999</v>
      </c>
      <c r="H942" t="str">
        <f ca="1">VLOOKUP($G942, survey_codes_dict!A:C, 2, FALSE)</f>
        <v>1999_1</v>
      </c>
      <c r="I942" s="102" t="str">
        <f ca="1">VLOOKUP($G942, survey_codes_dict!A:D, 4, FALSE)</f>
        <v>1996_Jews</v>
      </c>
      <c r="J942" s="102" t="str">
        <f t="shared" ca="1" si="28"/>
        <v>1999_1__i47</v>
      </c>
      <c r="K942" s="102" t="str">
        <f t="shared" ca="1" si="29"/>
        <v>1996_Jews__i47</v>
      </c>
      <c r="L942" s="102"/>
      <c r="M942" s="102"/>
      <c r="N942" s="102"/>
      <c r="O942" s="102"/>
      <c r="P942" s="102"/>
      <c r="Q942" s="102"/>
      <c r="R942" s="102"/>
      <c r="S942" s="101"/>
    </row>
    <row r="943" spans="1:19" ht="86.4" x14ac:dyDescent="0.3">
      <c r="A943" t="s">
        <v>4798</v>
      </c>
      <c r="B943" t="s">
        <v>4833</v>
      </c>
      <c r="C943" s="90" t="s">
        <v>4834</v>
      </c>
      <c r="D943" t="s">
        <v>5562</v>
      </c>
      <c r="E943" s="101" t="s">
        <v>6279</v>
      </c>
      <c r="F943" t="str" cm="1">
        <f t="array" aca="1" ref="F943" ca="1">INDIRECT("'" &amp; A943 &amp; "'!" &amp; B943)</f>
        <v>v81</v>
      </c>
      <c r="G943" cm="1">
        <f t="array" aca="1" ref="G943" ca="1">INDIRECT("'" &amp; A943 &amp; "'!" &amp; ADDRESS(1, COLUMN(INDIRECT("'" &amp; A943 &amp; "'!" &amp; B943))))</f>
        <v>2015</v>
      </c>
      <c r="H943" t="e">
        <f ca="1">VLOOKUP($G943, survey_codes_dict!A:C, 2, FALSE)</f>
        <v>#N/A</v>
      </c>
      <c r="I943" s="102" t="e">
        <f ca="1">VLOOKUP($G943, survey_codes_dict!A:D, 4, FALSE)</f>
        <v>#N/A</v>
      </c>
      <c r="J943" s="102" t="e">
        <f t="shared" ca="1" si="28"/>
        <v>#N/A</v>
      </c>
      <c r="K943" s="102" t="e">
        <f t="shared" ca="1" si="29"/>
        <v>#N/A</v>
      </c>
      <c r="L943" s="102"/>
      <c r="M943" s="102"/>
      <c r="N943" s="102"/>
      <c r="O943" s="102"/>
      <c r="P943" s="102"/>
      <c r="Q943" s="102"/>
      <c r="R943" s="102"/>
      <c r="S943" s="101"/>
    </row>
    <row r="944" spans="1:19" ht="86.4" x14ac:dyDescent="0.3">
      <c r="A944" t="s">
        <v>4798</v>
      </c>
      <c r="B944" t="s">
        <v>4835</v>
      </c>
      <c r="C944" s="90" t="s">
        <v>4836</v>
      </c>
      <c r="D944" t="s">
        <v>5562</v>
      </c>
      <c r="E944" s="101" t="s">
        <v>6280</v>
      </c>
      <c r="F944" t="str" cm="1">
        <f t="array" aca="1" ref="F944" ca="1">INDIRECT("'" &amp; A944 &amp; "'!" &amp; B944)</f>
        <v>v109</v>
      </c>
      <c r="G944" t="str" cm="1">
        <f t="array" aca="1" ref="G944" ca="1">INDIRECT("'" &amp; A944 &amp; "'!" &amp; ADDRESS(1, COLUMN(INDIRECT("'" &amp; A944 &amp; "'!" &amp; B944))))</f>
        <v>1987*</v>
      </c>
      <c r="H944" t="e">
        <f ca="1">VLOOKUP($G944, survey_codes_dict!A:C, 2, FALSE)</f>
        <v>#N/A</v>
      </c>
      <c r="I944" s="102" t="e">
        <f ca="1">VLOOKUP($G944, survey_codes_dict!A:D, 4, FALSE)</f>
        <v>#N/A</v>
      </c>
      <c r="J944" s="102" t="e">
        <f t="shared" ca="1" si="28"/>
        <v>#N/A</v>
      </c>
      <c r="K944" s="102" t="e">
        <f t="shared" ca="1" si="29"/>
        <v>#N/A</v>
      </c>
      <c r="L944" s="102"/>
      <c r="M944" s="102"/>
      <c r="N944" s="102"/>
      <c r="O944" s="102"/>
      <c r="P944" s="102"/>
      <c r="Q944" s="102"/>
      <c r="R944" s="102"/>
      <c r="S944" s="101"/>
    </row>
    <row r="945" spans="1:19" ht="57.6" x14ac:dyDescent="0.3">
      <c r="A945" t="s">
        <v>4798</v>
      </c>
      <c r="B945" t="s">
        <v>4837</v>
      </c>
      <c r="C945" s="90" t="s">
        <v>4838</v>
      </c>
      <c r="D945" t="s">
        <v>5562</v>
      </c>
      <c r="E945" s="101" t="s">
        <v>6281</v>
      </c>
      <c r="F945" t="str" cm="1">
        <f t="array" aca="1" ref="F945" ca="1">INDIRECT("'" &amp; A945 &amp; "'!" &amp; B945)</f>
        <v>v90</v>
      </c>
      <c r="G945" cm="1">
        <f t="array" aca="1" ref="G945" ca="1">INDIRECT("'" &amp; A945 &amp; "'!" &amp; ADDRESS(1, COLUMN(INDIRECT("'" &amp; A945 &amp; "'!" &amp; B945))))</f>
        <v>2015</v>
      </c>
      <c r="H945" t="e">
        <f ca="1">VLOOKUP($G945, survey_codes_dict!A:C, 2, FALSE)</f>
        <v>#N/A</v>
      </c>
      <c r="I945" s="102" t="e">
        <f ca="1">VLOOKUP($G945, survey_codes_dict!A:D, 4, FALSE)</f>
        <v>#N/A</v>
      </c>
      <c r="J945" s="102" t="e">
        <f t="shared" ca="1" si="28"/>
        <v>#N/A</v>
      </c>
      <c r="K945" s="102" t="e">
        <f t="shared" ca="1" si="29"/>
        <v>#N/A</v>
      </c>
      <c r="L945" s="102"/>
      <c r="M945" s="102"/>
      <c r="N945" s="102"/>
      <c r="O945" s="102"/>
      <c r="P945" s="102"/>
      <c r="Q945" s="102"/>
      <c r="R945" s="102"/>
      <c r="S945" s="101"/>
    </row>
    <row r="946" spans="1:19" ht="72" x14ac:dyDescent="0.3">
      <c r="A946" t="s">
        <v>4798</v>
      </c>
      <c r="B946" t="s">
        <v>4358</v>
      </c>
      <c r="C946" s="90" t="s">
        <v>4839</v>
      </c>
      <c r="D946" t="s">
        <v>5562</v>
      </c>
      <c r="E946" s="101" t="s">
        <v>6282</v>
      </c>
      <c r="F946" t="str" cm="1">
        <f t="array" aca="1" ref="F946" ca="1">INDIRECT("'" &amp; A946 &amp; "'!" &amp; B946)</f>
        <v>i52</v>
      </c>
      <c r="G946" cm="1">
        <f t="array" aca="1" ref="G946" ca="1">INDIRECT("'" &amp; A946 &amp; "'!" &amp; ADDRESS(1, COLUMN(INDIRECT("'" &amp; A946 &amp; "'!" &amp; B946))))</f>
        <v>1999</v>
      </c>
      <c r="H946" t="str">
        <f ca="1">VLOOKUP($G946, survey_codes_dict!A:C, 2, FALSE)</f>
        <v>1999_1</v>
      </c>
      <c r="I946" s="102" t="str">
        <f ca="1">VLOOKUP($G946, survey_codes_dict!A:D, 4, FALSE)</f>
        <v>1996_Jews</v>
      </c>
      <c r="J946" s="102" t="str">
        <f t="shared" ca="1" si="28"/>
        <v>1999_1__i52</v>
      </c>
      <c r="K946" s="102" t="str">
        <f t="shared" ca="1" si="29"/>
        <v>1996_Jews__i52</v>
      </c>
      <c r="L946" s="102"/>
      <c r="M946" s="102"/>
      <c r="N946" s="102"/>
      <c r="O946" s="102"/>
      <c r="P946" s="102"/>
      <c r="Q946" s="102"/>
      <c r="R946" s="102"/>
      <c r="S946" s="101"/>
    </row>
    <row r="947" spans="1:19" ht="86.4" x14ac:dyDescent="0.3">
      <c r="A947" t="s">
        <v>4798</v>
      </c>
      <c r="B947" t="s">
        <v>4360</v>
      </c>
      <c r="C947" s="90" t="s">
        <v>4840</v>
      </c>
      <c r="D947" t="s">
        <v>5562</v>
      </c>
      <c r="E947" s="101" t="s">
        <v>6283</v>
      </c>
      <c r="F947" t="str" cm="1">
        <f t="array" aca="1" ref="F947" ca="1">INDIRECT("'" &amp; A947 &amp; "'!" &amp; B947)</f>
        <v>i53</v>
      </c>
      <c r="G947" cm="1">
        <f t="array" aca="1" ref="G947" ca="1">INDIRECT("'" &amp; A947 &amp; "'!" &amp; ADDRESS(1, COLUMN(INDIRECT("'" &amp; A947 &amp; "'!" &amp; B947))))</f>
        <v>1999</v>
      </c>
      <c r="H947" t="str">
        <f ca="1">VLOOKUP($G947, survey_codes_dict!A:C, 2, FALSE)</f>
        <v>1999_1</v>
      </c>
      <c r="I947" s="102" t="str">
        <f ca="1">VLOOKUP($G947, survey_codes_dict!A:D, 4, FALSE)</f>
        <v>1996_Jews</v>
      </c>
      <c r="J947" s="102" t="str">
        <f t="shared" ca="1" si="28"/>
        <v>1999_1__i53</v>
      </c>
      <c r="K947" s="102" t="str">
        <f t="shared" ca="1" si="29"/>
        <v>1996_Jews__i53</v>
      </c>
      <c r="L947" s="102"/>
      <c r="M947" s="102"/>
      <c r="N947" s="102"/>
      <c r="O947" s="102"/>
      <c r="P947" s="102"/>
      <c r="Q947" s="102"/>
      <c r="R947" s="102"/>
      <c r="S947" s="101"/>
    </row>
    <row r="948" spans="1:19" ht="86.4" x14ac:dyDescent="0.3">
      <c r="A948" t="s">
        <v>4798</v>
      </c>
      <c r="B948" t="s">
        <v>4362</v>
      </c>
      <c r="C948" s="90" t="s">
        <v>4840</v>
      </c>
      <c r="D948" t="s">
        <v>5562</v>
      </c>
      <c r="E948" s="101" t="s">
        <v>6283</v>
      </c>
      <c r="F948" t="str" cm="1">
        <f t="array" aca="1" ref="F948" ca="1">INDIRECT("'" &amp; A948 &amp; "'!" &amp; B948)</f>
        <v>i54</v>
      </c>
      <c r="G948" cm="1">
        <f t="array" aca="1" ref="G948" ca="1">INDIRECT("'" &amp; A948 &amp; "'!" &amp; ADDRESS(1, COLUMN(INDIRECT("'" &amp; A948 &amp; "'!" &amp; B948))))</f>
        <v>1999</v>
      </c>
      <c r="H948" t="str">
        <f ca="1">VLOOKUP($G948, survey_codes_dict!A:C, 2, FALSE)</f>
        <v>1999_1</v>
      </c>
      <c r="I948" s="102" t="str">
        <f ca="1">VLOOKUP($G948, survey_codes_dict!A:D, 4, FALSE)</f>
        <v>1996_Jews</v>
      </c>
      <c r="J948" s="102" t="str">
        <f t="shared" ca="1" si="28"/>
        <v>1999_1__i54</v>
      </c>
      <c r="K948" s="102" t="str">
        <f t="shared" ca="1" si="29"/>
        <v>1996_Jews__i54</v>
      </c>
      <c r="L948" s="102"/>
      <c r="M948" s="102"/>
      <c r="N948" s="102"/>
      <c r="O948" s="102"/>
      <c r="P948" s="102"/>
      <c r="Q948" s="102"/>
      <c r="R948" s="102"/>
      <c r="S948" s="101"/>
    </row>
    <row r="949" spans="1:19" ht="57.6" x14ac:dyDescent="0.3">
      <c r="A949" t="s">
        <v>4798</v>
      </c>
      <c r="B949" t="s">
        <v>3647</v>
      </c>
      <c r="C949" s="90" t="s">
        <v>4841</v>
      </c>
      <c r="D949" t="s">
        <v>5562</v>
      </c>
      <c r="E949" s="101" t="s">
        <v>6284</v>
      </c>
      <c r="F949" t="str" cm="1">
        <f t="array" aca="1" ref="F949" ca="1">INDIRECT("'" &amp; A949 &amp; "'!" &amp; B949)</f>
        <v>v107</v>
      </c>
      <c r="G949" t="str" cm="1">
        <f t="array" aca="1" ref="G949" ca="1">INDIRECT("'" &amp; A949 &amp; "'!" &amp; ADDRESS(1, COLUMN(INDIRECT("'" &amp; A949 &amp; "'!" &amp; B949))))</f>
        <v>1987*</v>
      </c>
      <c r="H949" t="e">
        <f ca="1">VLOOKUP($G949, survey_codes_dict!A:C, 2, FALSE)</f>
        <v>#N/A</v>
      </c>
      <c r="I949" s="102" t="e">
        <f ca="1">VLOOKUP($G949, survey_codes_dict!A:D, 4, FALSE)</f>
        <v>#N/A</v>
      </c>
      <c r="J949" s="102" t="e">
        <f t="shared" ca="1" si="28"/>
        <v>#N/A</v>
      </c>
      <c r="K949" s="102" t="e">
        <f t="shared" ca="1" si="29"/>
        <v>#N/A</v>
      </c>
      <c r="L949" s="102"/>
      <c r="M949" s="102"/>
      <c r="N949" s="102"/>
      <c r="O949" s="102"/>
      <c r="P949" s="102"/>
      <c r="Q949" s="102"/>
      <c r="R949" s="102"/>
      <c r="S949" s="101"/>
    </row>
    <row r="950" spans="1:19" ht="57.6" x14ac:dyDescent="0.3">
      <c r="A950" t="s">
        <v>4798</v>
      </c>
      <c r="B950" t="s">
        <v>3649</v>
      </c>
      <c r="C950" s="90" t="s">
        <v>4841</v>
      </c>
      <c r="D950" t="s">
        <v>5562</v>
      </c>
      <c r="E950" s="101" t="s">
        <v>6284</v>
      </c>
      <c r="F950" t="str" cm="1">
        <f t="array" aca="1" ref="F950" ca="1">INDIRECT("'" &amp; A950 &amp; "'!" &amp; B950)</f>
        <v>v108</v>
      </c>
      <c r="G950" t="str" cm="1">
        <f t="array" aca="1" ref="G950" ca="1">INDIRECT("'" &amp; A950 &amp; "'!" &amp; ADDRESS(1, COLUMN(INDIRECT("'" &amp; A950 &amp; "'!" &amp; B950))))</f>
        <v>1987*</v>
      </c>
      <c r="H950" t="e">
        <f ca="1">VLOOKUP($G950, survey_codes_dict!A:C, 2, FALSE)</f>
        <v>#N/A</v>
      </c>
      <c r="I950" s="102" t="e">
        <f ca="1">VLOOKUP($G950, survey_codes_dict!A:D, 4, FALSE)</f>
        <v>#N/A</v>
      </c>
      <c r="J950" s="102" t="e">
        <f t="shared" ca="1" si="28"/>
        <v>#N/A</v>
      </c>
      <c r="K950" s="102" t="e">
        <f t="shared" ca="1" si="29"/>
        <v>#N/A</v>
      </c>
      <c r="L950" s="102"/>
      <c r="M950" s="102"/>
      <c r="N950" s="102"/>
      <c r="O950" s="102"/>
      <c r="P950" s="102"/>
      <c r="Q950" s="102"/>
      <c r="R950" s="102"/>
      <c r="S950" s="101"/>
    </row>
    <row r="951" spans="1:19" ht="144" x14ac:dyDescent="0.3">
      <c r="A951" t="s">
        <v>4798</v>
      </c>
      <c r="B951" t="s">
        <v>3651</v>
      </c>
      <c r="C951" s="90" t="s">
        <v>4842</v>
      </c>
      <c r="D951" t="s">
        <v>5562</v>
      </c>
      <c r="E951" s="101" t="s">
        <v>6285</v>
      </c>
      <c r="F951" t="str" cm="1">
        <f t="array" aca="1" ref="F951" ca="1">INDIRECT("'" &amp; A951 &amp; "'!" &amp; B951)</f>
        <v>a34</v>
      </c>
      <c r="G951" t="str" cm="1">
        <f t="array" aca="1" ref="G951" ca="1">INDIRECT("'" &amp; A951 &amp; "'!" &amp; ADDRESS(1, COLUMN(INDIRECT("'" &amp; A951 &amp; "'!" &amp; B951))))</f>
        <v>1987*</v>
      </c>
      <c r="H951" t="e">
        <f ca="1">VLOOKUP($G951, survey_codes_dict!A:C, 2, FALSE)</f>
        <v>#N/A</v>
      </c>
      <c r="I951" s="102" t="e">
        <f ca="1">VLOOKUP($G951, survey_codes_dict!A:D, 4, FALSE)</f>
        <v>#N/A</v>
      </c>
      <c r="J951" s="102" t="e">
        <f t="shared" ca="1" si="28"/>
        <v>#N/A</v>
      </c>
      <c r="K951" s="102" t="e">
        <f t="shared" ca="1" si="29"/>
        <v>#N/A</v>
      </c>
      <c r="L951" s="102"/>
      <c r="M951" s="102"/>
      <c r="N951" s="102"/>
      <c r="O951" s="102"/>
      <c r="P951" s="102"/>
      <c r="Q951" s="102"/>
      <c r="R951" s="102"/>
      <c r="S951" s="101"/>
    </row>
    <row r="952" spans="1:19" ht="43.2" x14ac:dyDescent="0.3">
      <c r="A952" t="s">
        <v>4798</v>
      </c>
      <c r="B952" t="s">
        <v>4843</v>
      </c>
      <c r="C952" s="90" t="s">
        <v>4844</v>
      </c>
      <c r="D952" t="s">
        <v>5562</v>
      </c>
      <c r="E952" s="101" t="s">
        <v>6286</v>
      </c>
      <c r="F952" t="str" cm="1">
        <f t="array" aca="1" ref="F952" ca="1">INDIRECT("'" &amp; A952 &amp; "'!" &amp; B952)</f>
        <v>c29</v>
      </c>
      <c r="G952" t="str" cm="1">
        <f t="array" aca="1" ref="G952" ca="1">INDIRECT("'" &amp; A952 &amp; "'!" &amp; ADDRESS(1, COLUMN(INDIRECT("'" &amp; A952 &amp; "'!" &amp; B952))))</f>
        <v>1988*</v>
      </c>
      <c r="H952" t="str">
        <f ca="1">VLOOKUP($G952, survey_codes_dict!A:C, 2, FALSE)</f>
        <v>1988_N=873</v>
      </c>
      <c r="I952" s="102" t="str">
        <f ca="1">VLOOKUP($G952, survey_codes_dict!A:D, 4, FALSE)</f>
        <v>1988_Panel_N=416</v>
      </c>
      <c r="J952" s="102" t="str">
        <f t="shared" ca="1" si="28"/>
        <v>1988_N=873__c29</v>
      </c>
      <c r="K952" s="102" t="str">
        <f t="shared" ca="1" si="29"/>
        <v>1988_Panel_N=416__c29</v>
      </c>
      <c r="L952" s="102"/>
      <c r="M952" s="102"/>
      <c r="N952" s="102"/>
      <c r="O952" s="102"/>
      <c r="P952" s="102"/>
      <c r="Q952" s="102"/>
      <c r="R952" s="102"/>
      <c r="S952" s="101"/>
    </row>
    <row r="953" spans="1:19" ht="57.6" x14ac:dyDescent="0.3">
      <c r="A953" t="s">
        <v>4798</v>
      </c>
      <c r="B953" t="s">
        <v>4845</v>
      </c>
      <c r="C953" s="90" t="s">
        <v>4846</v>
      </c>
      <c r="D953" t="s">
        <v>5562</v>
      </c>
      <c r="E953" s="101" t="s">
        <v>6287</v>
      </c>
      <c r="F953" t="str" cm="1">
        <f t="array" aca="1" ref="F953" ca="1">INDIRECT("'" &amp; A953 &amp; "'!" &amp; B953)</f>
        <v>c38</v>
      </c>
      <c r="G953" t="str" cm="1">
        <f t="array" aca="1" ref="G953" ca="1">INDIRECT("'" &amp; A953 &amp; "'!" &amp; ADDRESS(1, COLUMN(INDIRECT("'" &amp; A953 &amp; "'!" &amp; B953))))</f>
        <v>1988*</v>
      </c>
      <c r="H953" t="str">
        <f ca="1">VLOOKUP($G953, survey_codes_dict!A:C, 2, FALSE)</f>
        <v>1988_N=873</v>
      </c>
      <c r="I953" s="102" t="str">
        <f ca="1">VLOOKUP($G953, survey_codes_dict!A:D, 4, FALSE)</f>
        <v>1988_Panel_N=416</v>
      </c>
      <c r="J953" s="102" t="str">
        <f t="shared" ca="1" si="28"/>
        <v>1988_N=873__c38</v>
      </c>
      <c r="K953" s="102" t="str">
        <f t="shared" ca="1" si="29"/>
        <v>1988_Panel_N=416__c38</v>
      </c>
      <c r="L953" s="102"/>
      <c r="M953" s="102"/>
      <c r="N953" s="102"/>
      <c r="O953" s="102"/>
      <c r="P953" s="102"/>
      <c r="Q953" s="102"/>
      <c r="R953" s="102"/>
      <c r="S953" s="101"/>
    </row>
    <row r="954" spans="1:19" ht="86.4" x14ac:dyDescent="0.3">
      <c r="A954" t="s">
        <v>4798</v>
      </c>
      <c r="B954" t="s">
        <v>4847</v>
      </c>
      <c r="C954" s="90" t="s">
        <v>4848</v>
      </c>
      <c r="D954" t="s">
        <v>5562</v>
      </c>
      <c r="E954" s="101" t="s">
        <v>6288</v>
      </c>
      <c r="F954" t="str" cm="1">
        <f t="array" aca="1" ref="F954" ca="1">INDIRECT("'" &amp; A954 &amp; "'!" &amp; B954)</f>
        <v>v16</v>
      </c>
      <c r="G954" cm="1">
        <f t="array" aca="1" ref="G954" ca="1">INDIRECT("'" &amp; A954 &amp; "'!" &amp; ADDRESS(1, COLUMN(INDIRECT("'" &amp; A954 &amp; "'!" &amp; B954))))</f>
        <v>1984</v>
      </c>
      <c r="H954" t="str">
        <f ca="1">VLOOKUP($G954, survey_codes_dict!A:C, 2, FALSE)</f>
        <v>1984</v>
      </c>
      <c r="I954" s="102" t="str">
        <f ca="1">VLOOKUP($G954, survey_codes_dict!A:D, 4, FALSE)</f>
        <v>1981_3</v>
      </c>
      <c r="J954" s="102" t="str">
        <f t="shared" ca="1" si="28"/>
        <v>1984__v16</v>
      </c>
      <c r="K954" s="102" t="str">
        <f t="shared" ca="1" si="29"/>
        <v>1981_3__v16</v>
      </c>
      <c r="L954" s="102"/>
      <c r="M954" s="102"/>
      <c r="N954" s="102"/>
      <c r="O954" s="102"/>
      <c r="P954" s="102"/>
      <c r="Q954" s="102"/>
      <c r="R954" s="102"/>
      <c r="S954" s="101"/>
    </row>
    <row r="955" spans="1:19" ht="72" x14ac:dyDescent="0.3">
      <c r="A955" t="s">
        <v>4798</v>
      </c>
      <c r="B955" t="s">
        <v>4849</v>
      </c>
      <c r="C955" s="90" t="s">
        <v>4850</v>
      </c>
      <c r="D955" t="s">
        <v>5562</v>
      </c>
      <c r="E955" s="101" t="s">
        <v>6289</v>
      </c>
      <c r="F955" t="str" cm="1">
        <f t="array" aca="1" ref="F955" ca="1">INDIRECT("'" &amp; A955 &amp; "'!" &amp; B955)</f>
        <v>a19</v>
      </c>
      <c r="G955" cm="1">
        <f t="array" aca="1" ref="G955" ca="1">INDIRECT("'" &amp; A955 &amp; "'!" &amp; ADDRESS(1, COLUMN(INDIRECT("'" &amp; A955 &amp; "'!" &amp; B955))))</f>
        <v>1984</v>
      </c>
      <c r="H955" t="str">
        <f ca="1">VLOOKUP($G955, survey_codes_dict!A:C, 2, FALSE)</f>
        <v>1984</v>
      </c>
      <c r="I955" s="102" t="str">
        <f ca="1">VLOOKUP($G955, survey_codes_dict!A:D, 4, FALSE)</f>
        <v>1981_3</v>
      </c>
      <c r="J955" s="102" t="str">
        <f t="shared" ca="1" si="28"/>
        <v>1984__a19</v>
      </c>
      <c r="K955" s="102" t="str">
        <f t="shared" ca="1" si="29"/>
        <v>1981_3__a19</v>
      </c>
      <c r="L955" s="102"/>
      <c r="M955" s="102"/>
      <c r="N955" s="102"/>
      <c r="O955" s="102"/>
      <c r="P955" s="102"/>
      <c r="Q955" s="102"/>
      <c r="R955" s="102"/>
      <c r="S955" s="101"/>
    </row>
    <row r="956" spans="1:19" ht="57.6" x14ac:dyDescent="0.3">
      <c r="A956" t="s">
        <v>4798</v>
      </c>
      <c r="B956" t="s">
        <v>4851</v>
      </c>
      <c r="C956" s="90" t="s">
        <v>4852</v>
      </c>
      <c r="D956" t="s">
        <v>5562</v>
      </c>
      <c r="E956" s="101" t="s">
        <v>6290</v>
      </c>
      <c r="F956" t="str" cm="1">
        <f t="array" aca="1" ref="F956" ca="1">INDIRECT("'" &amp; A956 &amp; "'!" &amp; B956)</f>
        <v>a61</v>
      </c>
      <c r="G956" cm="1">
        <f t="array" aca="1" ref="G956" ca="1">INDIRECT("'" &amp; A956 &amp; "'!" &amp; ADDRESS(1, COLUMN(INDIRECT("'" &amp; A956 &amp; "'!" &amp; B956))))</f>
        <v>1984</v>
      </c>
      <c r="H956" t="str">
        <f ca="1">VLOOKUP($G956, survey_codes_dict!A:C, 2, FALSE)</f>
        <v>1984</v>
      </c>
      <c r="I956" s="102" t="str">
        <f ca="1">VLOOKUP($G956, survey_codes_dict!A:D, 4, FALSE)</f>
        <v>1981_3</v>
      </c>
      <c r="J956" s="102" t="str">
        <f t="shared" ca="1" si="28"/>
        <v>1984__a61</v>
      </c>
      <c r="K956" s="102" t="str">
        <f t="shared" ca="1" si="29"/>
        <v>1981_3__a61</v>
      </c>
      <c r="L956" s="102"/>
      <c r="M956" s="102"/>
      <c r="N956" s="102"/>
      <c r="O956" s="102"/>
      <c r="P956" s="102"/>
      <c r="Q956" s="102"/>
      <c r="R956" s="102"/>
      <c r="S956" s="101"/>
    </row>
    <row r="957" spans="1:19" ht="86.4" x14ac:dyDescent="0.3">
      <c r="A957" t="s">
        <v>4798</v>
      </c>
      <c r="B957" t="s">
        <v>4853</v>
      </c>
      <c r="C957" s="90" t="s">
        <v>4854</v>
      </c>
      <c r="D957" t="s">
        <v>5562</v>
      </c>
      <c r="E957" s="101" t="s">
        <v>6291</v>
      </c>
      <c r="F957" t="str" cm="1">
        <f t="array" aca="1" ref="F957" ca="1">INDIRECT("'" &amp; A957 &amp; "'!" &amp; B957)</f>
        <v>a62</v>
      </c>
      <c r="G957" cm="1">
        <f t="array" aca="1" ref="G957" ca="1">INDIRECT("'" &amp; A957 &amp; "'!" &amp; ADDRESS(1, COLUMN(INDIRECT("'" &amp; A957 &amp; "'!" &amp; B957))))</f>
        <v>1984</v>
      </c>
      <c r="H957" t="str">
        <f ca="1">VLOOKUP($G957, survey_codes_dict!A:C, 2, FALSE)</f>
        <v>1984</v>
      </c>
      <c r="I957" s="102" t="str">
        <f ca="1">VLOOKUP($G957, survey_codes_dict!A:D, 4, FALSE)</f>
        <v>1981_3</v>
      </c>
      <c r="J957" s="102" t="str">
        <f t="shared" ca="1" si="28"/>
        <v>1984__a62</v>
      </c>
      <c r="K957" s="102" t="str">
        <f t="shared" ca="1" si="29"/>
        <v>1981_3__a62</v>
      </c>
      <c r="L957" s="102"/>
      <c r="M957" s="102"/>
      <c r="N957" s="102"/>
      <c r="O957" s="102"/>
      <c r="P957" s="102"/>
      <c r="Q957" s="102"/>
      <c r="R957" s="102"/>
      <c r="S957" s="101"/>
    </row>
    <row r="958" spans="1:19" ht="86.4" x14ac:dyDescent="0.3">
      <c r="A958" t="s">
        <v>4798</v>
      </c>
      <c r="B958" t="s">
        <v>4855</v>
      </c>
      <c r="C958" s="90" t="s">
        <v>4854</v>
      </c>
      <c r="D958" t="s">
        <v>5562</v>
      </c>
      <c r="E958" s="101" t="s">
        <v>6291</v>
      </c>
      <c r="F958" t="str" cm="1">
        <f t="array" aca="1" ref="F958" ca="1">INDIRECT("'" &amp; A958 &amp; "'!" &amp; B958)</f>
        <v>a63</v>
      </c>
      <c r="G958" cm="1">
        <f t="array" aca="1" ref="G958" ca="1">INDIRECT("'" &amp; A958 &amp; "'!" &amp; ADDRESS(1, COLUMN(INDIRECT("'" &amp; A958 &amp; "'!" &amp; B958))))</f>
        <v>1984</v>
      </c>
      <c r="H958" t="str">
        <f ca="1">VLOOKUP($G958, survey_codes_dict!A:C, 2, FALSE)</f>
        <v>1984</v>
      </c>
      <c r="I958" s="102" t="str">
        <f ca="1">VLOOKUP($G958, survey_codes_dict!A:D, 4, FALSE)</f>
        <v>1981_3</v>
      </c>
      <c r="J958" s="102" t="str">
        <f t="shared" ca="1" si="28"/>
        <v>1984__a63</v>
      </c>
      <c r="K958" s="102" t="str">
        <f t="shared" ca="1" si="29"/>
        <v>1981_3__a63</v>
      </c>
      <c r="L958" s="102"/>
      <c r="M958" s="102"/>
      <c r="N958" s="102"/>
      <c r="O958" s="102"/>
      <c r="P958" s="102"/>
      <c r="Q958" s="102"/>
      <c r="R958" s="102"/>
      <c r="S958" s="101"/>
    </row>
    <row r="959" spans="1:19" ht="57.6" x14ac:dyDescent="0.3">
      <c r="A959" t="s">
        <v>4798</v>
      </c>
      <c r="B959" t="s">
        <v>4856</v>
      </c>
      <c r="C959" s="90" t="s">
        <v>4857</v>
      </c>
      <c r="D959" t="s">
        <v>5562</v>
      </c>
      <c r="E959" s="101" t="s">
        <v>6292</v>
      </c>
      <c r="F959" t="str" cm="1">
        <f t="array" aca="1" ref="F959" ca="1">INDIRECT("'" &amp; A959 &amp; "'!" &amp; B959)</f>
        <v>a64</v>
      </c>
      <c r="G959" cm="1">
        <f t="array" aca="1" ref="G959" ca="1">INDIRECT("'" &amp; A959 &amp; "'!" &amp; ADDRESS(1, COLUMN(INDIRECT("'" &amp; A959 &amp; "'!" &amp; B959))))</f>
        <v>1984</v>
      </c>
      <c r="H959" t="str">
        <f ca="1">VLOOKUP($G959, survey_codes_dict!A:C, 2, FALSE)</f>
        <v>1984</v>
      </c>
      <c r="I959" s="102" t="str">
        <f ca="1">VLOOKUP($G959, survey_codes_dict!A:D, 4, FALSE)</f>
        <v>1981_3</v>
      </c>
      <c r="J959" s="102" t="str">
        <f t="shared" ca="1" si="28"/>
        <v>1984__a64</v>
      </c>
      <c r="K959" s="102" t="str">
        <f t="shared" ca="1" si="29"/>
        <v>1981_3__a64</v>
      </c>
      <c r="L959" s="102"/>
      <c r="M959" s="102"/>
      <c r="N959" s="102"/>
      <c r="O959" s="102"/>
      <c r="P959" s="102"/>
      <c r="Q959" s="102"/>
      <c r="R959" s="102"/>
      <c r="S959" s="101"/>
    </row>
    <row r="960" spans="1:19" ht="100.8" x14ac:dyDescent="0.3">
      <c r="A960" t="s">
        <v>4798</v>
      </c>
      <c r="B960" t="s">
        <v>4858</v>
      </c>
      <c r="C960" s="90" t="s">
        <v>4859</v>
      </c>
      <c r="D960" t="s">
        <v>5562</v>
      </c>
      <c r="E960" s="101" t="s">
        <v>6293</v>
      </c>
      <c r="F960" t="str" cm="1">
        <f t="array" aca="1" ref="F960" ca="1">INDIRECT("'" &amp; A960 &amp; "'!" &amp; B960)</f>
        <v>b19</v>
      </c>
      <c r="G960" t="str" cm="1">
        <f t="array" aca="1" ref="G960" ca="1">INDIRECT("'" &amp; A960 &amp; "'!" &amp; ADDRESS(1, COLUMN(INDIRECT("'" &amp; A960 &amp; "'!" &amp; B960))))</f>
        <v>1981 - 3</v>
      </c>
      <c r="H960" t="str">
        <f ca="1">VLOOKUP($G960, survey_codes_dict!A:C, 2, FALSE)</f>
        <v>1981_3</v>
      </c>
      <c r="I960" s="102">
        <f ca="1">VLOOKUP($G960, survey_codes_dict!A:D, 4, FALSE)</f>
        <v>0</v>
      </c>
      <c r="J960" s="102" t="str">
        <f t="shared" ca="1" si="28"/>
        <v>1981_3__b19</v>
      </c>
      <c r="K960" s="102" t="str">
        <f t="shared" ca="1" si="29"/>
        <v>0__b19</v>
      </c>
      <c r="L960" s="102"/>
      <c r="M960" s="102"/>
      <c r="N960" s="102"/>
      <c r="O960" s="102"/>
      <c r="P960" s="102"/>
      <c r="Q960" s="102"/>
      <c r="R960" s="102"/>
      <c r="S960" s="101"/>
    </row>
    <row r="961" spans="1:19" ht="100.8" x14ac:dyDescent="0.3">
      <c r="A961" t="s">
        <v>4798</v>
      </c>
      <c r="B961" t="s">
        <v>4860</v>
      </c>
      <c r="C961" s="90" t="s">
        <v>4859</v>
      </c>
      <c r="D961" t="s">
        <v>5562</v>
      </c>
      <c r="E961" s="101" t="s">
        <v>6293</v>
      </c>
      <c r="F961" t="str" cm="1">
        <f t="array" aca="1" ref="F961" ca="1">INDIRECT("'" &amp; A961 &amp; "'!" &amp; B961)</f>
        <v>b20</v>
      </c>
      <c r="G961" t="str" cm="1">
        <f t="array" aca="1" ref="G961" ca="1">INDIRECT("'" &amp; A961 &amp; "'!" &amp; ADDRESS(1, COLUMN(INDIRECT("'" &amp; A961 &amp; "'!" &amp; B961))))</f>
        <v>1981 - 3</v>
      </c>
      <c r="H961" t="str">
        <f ca="1">VLOOKUP($G961, survey_codes_dict!A:C, 2, FALSE)</f>
        <v>1981_3</v>
      </c>
      <c r="I961" s="102">
        <f ca="1">VLOOKUP($G961, survey_codes_dict!A:D, 4, FALSE)</f>
        <v>0</v>
      </c>
      <c r="J961" s="102" t="str">
        <f t="shared" ca="1" si="28"/>
        <v>1981_3__b20</v>
      </c>
      <c r="K961" s="102" t="str">
        <f t="shared" ca="1" si="29"/>
        <v>0__b20</v>
      </c>
      <c r="L961" s="102"/>
      <c r="M961" s="102"/>
      <c r="N961" s="102"/>
      <c r="O961" s="102"/>
      <c r="P961" s="102"/>
      <c r="Q961" s="102"/>
      <c r="R961" s="102"/>
      <c r="S961" s="101"/>
    </row>
    <row r="962" spans="1:19" ht="86.4" x14ac:dyDescent="0.3">
      <c r="A962" t="s">
        <v>4798</v>
      </c>
      <c r="B962" t="s">
        <v>4861</v>
      </c>
      <c r="C962" s="90" t="s">
        <v>4862</v>
      </c>
      <c r="D962" t="s">
        <v>5562</v>
      </c>
      <c r="E962" s="101" t="s">
        <v>6294</v>
      </c>
      <c r="F962" t="str" cm="1">
        <f t="array" aca="1" ref="F962" ca="1">INDIRECT("'" &amp; A962 &amp; "'!" &amp; B962)</f>
        <v>b21</v>
      </c>
      <c r="G962" t="str" cm="1">
        <f t="array" aca="1" ref="G962" ca="1">INDIRECT("'" &amp; A962 &amp; "'!" &amp; ADDRESS(1, COLUMN(INDIRECT("'" &amp; A962 &amp; "'!" &amp; B962))))</f>
        <v>1981 - 3</v>
      </c>
      <c r="H962" t="str">
        <f ca="1">VLOOKUP($G962, survey_codes_dict!A:C, 2, FALSE)</f>
        <v>1981_3</v>
      </c>
      <c r="I962" s="102">
        <f ca="1">VLOOKUP($G962, survey_codes_dict!A:D, 4, FALSE)</f>
        <v>0</v>
      </c>
      <c r="J962" s="102" t="str">
        <f t="shared" ref="J962:J1025" ca="1" si="30">_xlfn.CONCAT($H962, "__", F962)</f>
        <v>1981_3__b21</v>
      </c>
      <c r="K962" s="102" t="str">
        <f t="shared" ref="K962:K1025" ca="1" si="31">_xlfn.CONCAT($I962, "__", F962)</f>
        <v>0__b21</v>
      </c>
      <c r="L962" s="102"/>
      <c r="M962" s="102"/>
      <c r="N962" s="102"/>
      <c r="O962" s="102"/>
      <c r="P962" s="102"/>
      <c r="Q962" s="102"/>
      <c r="R962" s="102"/>
      <c r="S962" s="101"/>
    </row>
    <row r="963" spans="1:19" ht="72" x14ac:dyDescent="0.3">
      <c r="A963" t="s">
        <v>4798</v>
      </c>
      <c r="B963" t="s">
        <v>4863</v>
      </c>
      <c r="C963" s="90" t="s">
        <v>4864</v>
      </c>
      <c r="D963" t="s">
        <v>5562</v>
      </c>
      <c r="E963" s="101" t="s">
        <v>6295</v>
      </c>
      <c r="F963" t="str" cm="1">
        <f t="array" aca="1" ref="F963" ca="1">INDIRECT("'" &amp; A963 &amp; "'!" &amp; B963)</f>
        <v>v100</v>
      </c>
      <c r="G963" t="str" cm="1">
        <f t="array" aca="1" ref="G963" ca="1">INDIRECT("'" &amp; A963 &amp; "'!" &amp; ADDRESS(1, COLUMN(INDIRECT("'" &amp; A963 &amp; "'!" &amp; B963))))</f>
        <v>1981 - 1</v>
      </c>
      <c r="H963" t="str">
        <f ca="1">VLOOKUP($G963, survey_codes_dict!A:C, 2, FALSE)</f>
        <v>1981_1</v>
      </c>
      <c r="I963" s="102" t="str">
        <f ca="1">VLOOKUP($G963, survey_codes_dict!A:D, 4, FALSE)</f>
        <v>1977_4</v>
      </c>
      <c r="J963" s="102" t="str">
        <f t="shared" ca="1" si="30"/>
        <v>1981_1__v100</v>
      </c>
      <c r="K963" s="102" t="str">
        <f t="shared" ca="1" si="31"/>
        <v>1977_4__v100</v>
      </c>
      <c r="L963" s="102"/>
      <c r="M963" s="102"/>
      <c r="N963" s="102"/>
      <c r="O963" s="102"/>
      <c r="P963" s="102"/>
      <c r="Q963" s="102"/>
      <c r="R963" s="102"/>
      <c r="S963" s="101"/>
    </row>
    <row r="964" spans="1:19" ht="72" x14ac:dyDescent="0.3">
      <c r="A964" t="s">
        <v>4798</v>
      </c>
      <c r="B964" t="s">
        <v>4865</v>
      </c>
      <c r="C964" s="90" t="s">
        <v>4866</v>
      </c>
      <c r="D964" t="s">
        <v>5562</v>
      </c>
      <c r="E964" s="101" t="s">
        <v>6296</v>
      </c>
      <c r="F964" t="str" cm="1">
        <f t="array" aca="1" ref="F964" ca="1">INDIRECT("'" &amp; A964 &amp; "'!" &amp; B964)</f>
        <v>v97</v>
      </c>
      <c r="G964" t="str" cm="1">
        <f t="array" aca="1" ref="G964" ca="1">INDIRECT("'" &amp; A964 &amp; "'!" &amp; ADDRESS(1, COLUMN(INDIRECT("'" &amp; A964 &amp; "'!" &amp; B964))))</f>
        <v>1981 - 1</v>
      </c>
      <c r="H964" t="str">
        <f ca="1">VLOOKUP($G964, survey_codes_dict!A:C, 2, FALSE)</f>
        <v>1981_1</v>
      </c>
      <c r="I964" s="102" t="str">
        <f ca="1">VLOOKUP($G964, survey_codes_dict!A:D, 4, FALSE)</f>
        <v>1977_4</v>
      </c>
      <c r="J964" s="102" t="str">
        <f t="shared" ca="1" si="30"/>
        <v>1981_1__v97</v>
      </c>
      <c r="K964" s="102" t="str">
        <f t="shared" ca="1" si="31"/>
        <v>1977_4__v97</v>
      </c>
      <c r="L964" s="102"/>
      <c r="M964" s="102"/>
      <c r="N964" s="102"/>
      <c r="O964" s="102"/>
      <c r="P964" s="102"/>
      <c r="Q964" s="102"/>
      <c r="R964" s="102"/>
      <c r="S964" s="101"/>
    </row>
    <row r="965" spans="1:19" ht="86.4" x14ac:dyDescent="0.3">
      <c r="A965" t="s">
        <v>4798</v>
      </c>
      <c r="B965" t="s">
        <v>4867</v>
      </c>
      <c r="C965" s="90" t="s">
        <v>4868</v>
      </c>
      <c r="D965" t="s">
        <v>5562</v>
      </c>
      <c r="E965" s="101" t="s">
        <v>6297</v>
      </c>
      <c r="F965" t="str" cm="1">
        <f t="array" aca="1" ref="F965" ca="1">INDIRECT("'" &amp; A965 &amp; "'!" &amp; B965)</f>
        <v>v98</v>
      </c>
      <c r="G965" t="str" cm="1">
        <f t="array" aca="1" ref="G965" ca="1">INDIRECT("'" &amp; A965 &amp; "'!" &amp; ADDRESS(1, COLUMN(INDIRECT("'" &amp; A965 &amp; "'!" &amp; B965))))</f>
        <v>1981 - 1</v>
      </c>
      <c r="H965" t="str">
        <f ca="1">VLOOKUP($G965, survey_codes_dict!A:C, 2, FALSE)</f>
        <v>1981_1</v>
      </c>
      <c r="I965" s="102" t="str">
        <f ca="1">VLOOKUP($G965, survey_codes_dict!A:D, 4, FALSE)</f>
        <v>1977_4</v>
      </c>
      <c r="J965" s="102" t="str">
        <f t="shared" ca="1" si="30"/>
        <v>1981_1__v98</v>
      </c>
      <c r="K965" s="102" t="str">
        <f t="shared" ca="1" si="31"/>
        <v>1977_4__v98</v>
      </c>
      <c r="L965" s="102"/>
      <c r="M965" s="102"/>
      <c r="N965" s="102"/>
      <c r="O965" s="102"/>
      <c r="P965" s="102"/>
      <c r="Q965" s="102"/>
      <c r="R965" s="102"/>
      <c r="S965" s="101"/>
    </row>
    <row r="966" spans="1:19" ht="72" x14ac:dyDescent="0.3">
      <c r="A966" t="s">
        <v>4798</v>
      </c>
      <c r="B966" t="s">
        <v>4869</v>
      </c>
      <c r="C966" s="90" t="s">
        <v>4870</v>
      </c>
      <c r="D966" t="s">
        <v>5562</v>
      </c>
      <c r="E966" s="101" t="s">
        <v>6298</v>
      </c>
      <c r="F966" t="str" cm="1">
        <f t="array" aca="1" ref="F966" ca="1">INDIRECT("'" &amp; A966 &amp; "'!" &amp; B966)</f>
        <v>v99</v>
      </c>
      <c r="G966" t="str" cm="1">
        <f t="array" aca="1" ref="G966" ca="1">INDIRECT("'" &amp; A966 &amp; "'!" &amp; ADDRESS(1, COLUMN(INDIRECT("'" &amp; A966 &amp; "'!" &amp; B966))))</f>
        <v>1981 - 1</v>
      </c>
      <c r="H966" t="str">
        <f ca="1">VLOOKUP($G966, survey_codes_dict!A:C, 2, FALSE)</f>
        <v>1981_1</v>
      </c>
      <c r="I966" s="102" t="str">
        <f ca="1">VLOOKUP($G966, survey_codes_dict!A:D, 4, FALSE)</f>
        <v>1977_4</v>
      </c>
      <c r="J966" s="102" t="str">
        <f t="shared" ca="1" si="30"/>
        <v>1981_1__v99</v>
      </c>
      <c r="K966" s="102" t="str">
        <f t="shared" ca="1" si="31"/>
        <v>1977_4__v99</v>
      </c>
      <c r="L966" s="102"/>
      <c r="M966" s="102"/>
      <c r="N966" s="102"/>
      <c r="O966" s="102"/>
      <c r="P966" s="102"/>
      <c r="Q966" s="102"/>
      <c r="R966" s="102"/>
      <c r="S966" s="101"/>
    </row>
    <row r="967" spans="1:19" ht="57.6" x14ac:dyDescent="0.3">
      <c r="A967" t="s">
        <v>4798</v>
      </c>
      <c r="B967" t="s">
        <v>4871</v>
      </c>
      <c r="C967" s="90" t="s">
        <v>4872</v>
      </c>
      <c r="D967" t="s">
        <v>5562</v>
      </c>
      <c r="E967" s="101" t="s">
        <v>6299</v>
      </c>
      <c r="F967" t="str" cm="1">
        <f t="array" aca="1" ref="F967" ca="1">INDIRECT("'" &amp; A967 &amp; "'!" &amp; B967)</f>
        <v>v101</v>
      </c>
      <c r="G967" t="str" cm="1">
        <f t="array" aca="1" ref="G967" ca="1">INDIRECT("'" &amp; A967 &amp; "'!" &amp; ADDRESS(1, COLUMN(INDIRECT("'" &amp; A967 &amp; "'!" &amp; B967))))</f>
        <v>1981 - 1</v>
      </c>
      <c r="H967" t="str">
        <f ca="1">VLOOKUP($G967, survey_codes_dict!A:C, 2, FALSE)</f>
        <v>1981_1</v>
      </c>
      <c r="I967" s="102" t="str">
        <f ca="1">VLOOKUP($G967, survey_codes_dict!A:D, 4, FALSE)</f>
        <v>1977_4</v>
      </c>
      <c r="J967" s="102" t="str">
        <f t="shared" ca="1" si="30"/>
        <v>1981_1__v101</v>
      </c>
      <c r="K967" s="102" t="str">
        <f t="shared" ca="1" si="31"/>
        <v>1977_4__v101</v>
      </c>
      <c r="L967" s="102"/>
      <c r="M967" s="102"/>
      <c r="N967" s="102"/>
      <c r="O967" s="102"/>
      <c r="P967" s="102"/>
      <c r="Q967" s="102"/>
      <c r="R967" s="102"/>
      <c r="S967" s="101"/>
    </row>
    <row r="968" spans="1:19" ht="57.6" x14ac:dyDescent="0.3">
      <c r="A968" t="s">
        <v>4798</v>
      </c>
      <c r="B968" t="s">
        <v>4873</v>
      </c>
      <c r="C968" s="90" t="s">
        <v>4874</v>
      </c>
      <c r="D968" t="s">
        <v>5562</v>
      </c>
      <c r="E968" s="101" t="s">
        <v>6300</v>
      </c>
      <c r="F968" t="str" cm="1">
        <f t="array" aca="1" ref="F968" ca="1">INDIRECT("'" &amp; A968 &amp; "'!" &amp; B968)</f>
        <v>a41</v>
      </c>
      <c r="G968" cm="1">
        <f t="array" aca="1" ref="G968" ca="1">INDIRECT("'" &amp; A968 &amp; "'!" &amp; ADDRESS(1, COLUMN(INDIRECT("'" &amp; A968 &amp; "'!" &amp; B968))))</f>
        <v>2003</v>
      </c>
      <c r="H968" t="str">
        <f ca="1">VLOOKUP($G968, survey_codes_dict!A:C, 2, FALSE)</f>
        <v>2003</v>
      </c>
      <c r="I968" s="102" t="str">
        <f ca="1">VLOOKUP($G968, survey_codes_dict!A:D, 4, FALSE)</f>
        <v>2001</v>
      </c>
      <c r="J968" s="102" t="str">
        <f t="shared" ca="1" si="30"/>
        <v>2003__a41</v>
      </c>
      <c r="K968" s="102" t="str">
        <f t="shared" ca="1" si="31"/>
        <v>2001__a41</v>
      </c>
      <c r="L968" s="102"/>
      <c r="M968" s="102"/>
      <c r="N968" s="102"/>
      <c r="O968" s="102"/>
      <c r="P968" s="102"/>
      <c r="Q968" s="102"/>
      <c r="R968" s="102"/>
      <c r="S968" s="101"/>
    </row>
    <row r="969" spans="1:19" ht="57.6" x14ac:dyDescent="0.3">
      <c r="A969" t="s">
        <v>4798</v>
      </c>
      <c r="B969" t="s">
        <v>4875</v>
      </c>
      <c r="C969" s="90" t="s">
        <v>4876</v>
      </c>
      <c r="D969" t="s">
        <v>5562</v>
      </c>
      <c r="E969" s="101" t="s">
        <v>6301</v>
      </c>
      <c r="F969" t="str" cm="1">
        <f t="array" aca="1" ref="F969" ca="1">INDIRECT("'" &amp; A969 &amp; "'!" &amp; B969)</f>
        <v>b73</v>
      </c>
      <c r="G969" t="str" cm="1">
        <f t="array" aca="1" ref="G969" ca="1">INDIRECT("'" &amp; A969 &amp; "'!" &amp; ADDRESS(1, COLUMN(INDIRECT("'" &amp; A969 &amp; "'!" &amp; B969))))</f>
        <v>1981 - 3</v>
      </c>
      <c r="H969" t="str">
        <f ca="1">VLOOKUP($G969, survey_codes_dict!A:C, 2, FALSE)</f>
        <v>1981_3</v>
      </c>
      <c r="I969" s="102">
        <f ca="1">VLOOKUP($G969, survey_codes_dict!A:D, 4, FALSE)</f>
        <v>0</v>
      </c>
      <c r="J969" s="102" t="str">
        <f t="shared" ca="1" si="30"/>
        <v>1981_3__b73</v>
      </c>
      <c r="K969" s="102" t="str">
        <f t="shared" ca="1" si="31"/>
        <v>0__b73</v>
      </c>
      <c r="L969" s="102"/>
      <c r="M969" s="102"/>
      <c r="N969" s="102"/>
      <c r="O969" s="102"/>
      <c r="P969" s="102"/>
      <c r="Q969" s="102"/>
      <c r="R969" s="102"/>
      <c r="S969" s="101"/>
    </row>
    <row r="970" spans="1:19" ht="57.6" x14ac:dyDescent="0.3">
      <c r="A970" t="s">
        <v>4798</v>
      </c>
      <c r="B970" t="s">
        <v>4877</v>
      </c>
      <c r="C970" s="90" t="s">
        <v>4878</v>
      </c>
      <c r="D970" t="s">
        <v>5562</v>
      </c>
      <c r="E970" s="101" t="s">
        <v>6302</v>
      </c>
      <c r="F970" t="str" cm="1">
        <f t="array" aca="1" ref="F970" ca="1">INDIRECT("'" &amp; A970 &amp; "'!" &amp; B970)</f>
        <v>b4</v>
      </c>
      <c r="G970" t="str" cm="1">
        <f t="array" aca="1" ref="G970" ca="1">INDIRECT("'" &amp; A970 &amp; "'!" &amp; ADDRESS(1, COLUMN(INDIRECT("'" &amp; A970 &amp; "'!" &amp; B970))))</f>
        <v>1969 - 2</v>
      </c>
      <c r="H970" t="str">
        <f ca="1">VLOOKUP($G970, survey_codes_dict!A:C, 2, FALSE)</f>
        <v>1969_2</v>
      </c>
      <c r="I970" s="102" t="str">
        <f ca="1">VLOOKUP($G970, survey_codes_dict!A:D, 4, FALSE)</f>
        <v>1969_1</v>
      </c>
      <c r="J970" s="102" t="str">
        <f t="shared" ca="1" si="30"/>
        <v>1969_2__b4</v>
      </c>
      <c r="K970" s="102" t="str">
        <f t="shared" ca="1" si="31"/>
        <v>1969_1__b4</v>
      </c>
      <c r="L970" s="102"/>
      <c r="M970" s="102"/>
      <c r="N970" s="102"/>
      <c r="O970" s="102"/>
      <c r="P970" s="102"/>
      <c r="Q970" s="102"/>
      <c r="R970" s="102"/>
      <c r="S970" s="101"/>
    </row>
    <row r="971" spans="1:19" ht="57.6" x14ac:dyDescent="0.3">
      <c r="A971" t="s">
        <v>4798</v>
      </c>
      <c r="B971" t="s">
        <v>4879</v>
      </c>
      <c r="C971" s="90" t="s">
        <v>3620</v>
      </c>
      <c r="D971" t="s">
        <v>5562</v>
      </c>
      <c r="E971" s="101" t="s">
        <v>5806</v>
      </c>
      <c r="F971" t="str" cm="1">
        <f t="array" aca="1" ref="F971" ca="1">INDIRECT("'" &amp; A971 &amp; "'!" &amp; B971)</f>
        <v>a54</v>
      </c>
      <c r="G971" t="str" cm="1">
        <f t="array" aca="1" ref="G971" ca="1">INDIRECT("'" &amp; A971 &amp; "'!" &amp; ADDRESS(1, COLUMN(INDIRECT("'" &amp; A971 &amp; "'!" &amp; B971))))</f>
        <v>1969 - 1</v>
      </c>
      <c r="H971" t="str">
        <f ca="1">VLOOKUP($G971, survey_codes_dict!A:C, 2, FALSE)</f>
        <v>1969_1</v>
      </c>
      <c r="I971" s="102">
        <f ca="1">VLOOKUP($G971, survey_codes_dict!A:D, 4, FALSE)</f>
        <v>0</v>
      </c>
      <c r="J971" s="102" t="str">
        <f t="shared" ca="1" si="30"/>
        <v>1969_1__a54</v>
      </c>
      <c r="K971" s="102" t="str">
        <f t="shared" ca="1" si="31"/>
        <v>0__a54</v>
      </c>
      <c r="L971" s="102"/>
      <c r="M971" s="102"/>
      <c r="N971" s="102"/>
      <c r="O971" s="102"/>
      <c r="P971" s="102"/>
      <c r="Q971" s="102"/>
      <c r="R971" s="102"/>
      <c r="S971" s="101"/>
    </row>
    <row r="972" spans="1:19" ht="86.4" x14ac:dyDescent="0.3">
      <c r="A972" t="s">
        <v>4798</v>
      </c>
      <c r="B972" t="s">
        <v>4880</v>
      </c>
      <c r="C972" s="90" t="s">
        <v>4881</v>
      </c>
      <c r="D972" t="s">
        <v>5562</v>
      </c>
      <c r="E972" s="101" t="s">
        <v>6303</v>
      </c>
      <c r="F972" t="str" cm="1">
        <f t="array" aca="1" ref="F972" ca="1">INDIRECT("'" &amp; A972 &amp; "'!" &amp; B972)</f>
        <v>d50</v>
      </c>
      <c r="G972" t="str" cm="1">
        <f t="array" aca="1" ref="G972" ca="1">INDIRECT("'" &amp; A972 &amp; "'!" &amp; ADDRESS(1, COLUMN(INDIRECT("'" &amp; A972 &amp; "'!" &amp; B972))))</f>
        <v>1973 - 2</v>
      </c>
      <c r="H972" t="str">
        <f ca="1">VLOOKUP($G972, survey_codes_dict!A:C, 2, FALSE)</f>
        <v>1973_2</v>
      </c>
      <c r="I972" s="102" t="str">
        <f ca="1">VLOOKUP($G972, survey_codes_dict!A:D, 4, FALSE)</f>
        <v>1973_1</v>
      </c>
      <c r="J972" s="102" t="str">
        <f t="shared" ca="1" si="30"/>
        <v>1973_2__d50</v>
      </c>
      <c r="K972" s="102" t="str">
        <f t="shared" ca="1" si="31"/>
        <v>1973_1__d50</v>
      </c>
      <c r="L972" s="102"/>
      <c r="M972" s="102"/>
      <c r="N972" s="102"/>
      <c r="O972" s="102"/>
      <c r="P972" s="102"/>
      <c r="Q972" s="102"/>
      <c r="R972" s="102"/>
      <c r="S972" s="101"/>
    </row>
    <row r="973" spans="1:19" ht="129.6" x14ac:dyDescent="0.3">
      <c r="A973" t="s">
        <v>4798</v>
      </c>
      <c r="B973" t="s">
        <v>4882</v>
      </c>
      <c r="C973" s="90" t="s">
        <v>4883</v>
      </c>
      <c r="D973" t="s">
        <v>5562</v>
      </c>
      <c r="E973" s="101" t="s">
        <v>6304</v>
      </c>
      <c r="F973" t="str" cm="1">
        <f t="array" aca="1" ref="F973" ca="1">INDIRECT("'" &amp; A973 &amp; "'!" &amp; B973)</f>
        <v>ccc41</v>
      </c>
      <c r="G973" cm="1">
        <f t="array" aca="1" ref="G973" ca="1">INDIRECT("'" &amp; A973 &amp; "'!" &amp; ADDRESS(1, COLUMN(INDIRECT("'" &amp; A973 &amp; "'!" &amp; B973))))</f>
        <v>1996</v>
      </c>
      <c r="H973" t="str">
        <f ca="1">VLOOKUP($G973, survey_codes_dict!A:C, 2, FALSE)</f>
        <v>1996_Jews</v>
      </c>
      <c r="I973" s="102" t="str">
        <f ca="1">VLOOKUP($G973, survey_codes_dict!A:D, 4, FALSE)</f>
        <v>1992</v>
      </c>
      <c r="J973" s="102" t="str">
        <f t="shared" ca="1" si="30"/>
        <v>1996_Jews__ccc41</v>
      </c>
      <c r="K973" s="102" t="str">
        <f t="shared" ca="1" si="31"/>
        <v>1992__ccc41</v>
      </c>
      <c r="L973" s="102"/>
      <c r="M973" s="102"/>
      <c r="N973" s="102"/>
      <c r="O973" s="102"/>
      <c r="P973" s="102"/>
      <c r="Q973" s="102"/>
      <c r="R973" s="102"/>
      <c r="S973" s="101"/>
    </row>
    <row r="974" spans="1:19" ht="28.8" x14ac:dyDescent="0.3">
      <c r="A974" t="s">
        <v>4798</v>
      </c>
      <c r="B974" t="s">
        <v>4137</v>
      </c>
      <c r="C974" s="90" t="s">
        <v>4312</v>
      </c>
      <c r="D974" t="s">
        <v>5660</v>
      </c>
      <c r="E974" s="101" t="s">
        <v>5612</v>
      </c>
      <c r="F974" t="str" cm="1">
        <f t="array" aca="1" ref="F974" ca="1">INDIRECT("'" &amp; A974 &amp; "'!" &amp; B974)</f>
        <v>a46</v>
      </c>
      <c r="G974" cm="1">
        <f t="array" aca="1" ref="G974" ca="1">INDIRECT("'" &amp; A974 &amp; "'!" &amp; ADDRESS(1, COLUMN(INDIRECT("'" &amp; A974 &amp; "'!" &amp; B974))))</f>
        <v>1984</v>
      </c>
      <c r="H974" t="str">
        <f ca="1">VLOOKUP($G974, survey_codes_dict!A:C, 2, FALSE)</f>
        <v>1984</v>
      </c>
      <c r="I974" s="102" t="str">
        <f ca="1">VLOOKUP($G974, survey_codes_dict!A:D, 4, FALSE)</f>
        <v>1981_3</v>
      </c>
      <c r="J974" s="102" t="str">
        <f t="shared" ca="1" si="30"/>
        <v>1984__a46</v>
      </c>
      <c r="K974" s="102" t="str">
        <f t="shared" ca="1" si="31"/>
        <v>1981_3__a46</v>
      </c>
      <c r="L974" s="102"/>
      <c r="M974" s="102"/>
      <c r="N974" s="102"/>
      <c r="O974" s="102"/>
      <c r="P974" s="102"/>
      <c r="Q974" s="102"/>
      <c r="R974" s="102"/>
      <c r="S974" s="101"/>
    </row>
    <row r="975" spans="1:19" ht="28.8" x14ac:dyDescent="0.3">
      <c r="A975" t="s">
        <v>4798</v>
      </c>
      <c r="B975" t="s">
        <v>4884</v>
      </c>
      <c r="C975" s="90" t="s">
        <v>4313</v>
      </c>
      <c r="D975" t="s">
        <v>5660</v>
      </c>
      <c r="E975" s="101" t="s">
        <v>5613</v>
      </c>
      <c r="F975" t="str" cm="1">
        <f t="array" aca="1" ref="F975" ca="1">INDIRECT("'" &amp; A975 &amp; "'!" &amp; B975)</f>
        <v>v133</v>
      </c>
      <c r="G975" t="str" cm="1">
        <f t="array" aca="1" ref="G975" ca="1">INDIRECT("'" &amp; A975 &amp; "'!" &amp; ADDRESS(1, COLUMN(INDIRECT("'" &amp; A975 &amp; "'!" &amp; B975))))</f>
        <v>1981 - 1</v>
      </c>
      <c r="H975" t="str">
        <f ca="1">VLOOKUP($G975, survey_codes_dict!A:C, 2, FALSE)</f>
        <v>1981_1</v>
      </c>
      <c r="I975" s="102" t="str">
        <f ca="1">VLOOKUP($G975, survey_codes_dict!A:D, 4, FALSE)</f>
        <v>1977_4</v>
      </c>
      <c r="J975" s="102" t="str">
        <f t="shared" ca="1" si="30"/>
        <v>1981_1__v133</v>
      </c>
      <c r="K975" s="102" t="str">
        <f t="shared" ca="1" si="31"/>
        <v>1977_4__v133</v>
      </c>
      <c r="L975" s="102"/>
      <c r="M975" s="102"/>
      <c r="N975" s="102"/>
      <c r="O975" s="102"/>
      <c r="P975" s="102"/>
      <c r="Q975" s="102"/>
      <c r="R975" s="102"/>
      <c r="S975" s="101"/>
    </row>
    <row r="976" spans="1:19" ht="28.8" x14ac:dyDescent="0.3">
      <c r="A976" t="s">
        <v>4798</v>
      </c>
      <c r="B976" t="s">
        <v>4885</v>
      </c>
      <c r="C976" s="90" t="s">
        <v>4313</v>
      </c>
      <c r="D976" t="s">
        <v>5660</v>
      </c>
      <c r="E976" s="101" t="s">
        <v>5613</v>
      </c>
      <c r="F976" t="str" cm="1">
        <f t="array" aca="1" ref="F976" ca="1">INDIRECT("'" &amp; A976 &amp; "'!" &amp; B976)</f>
        <v>c18</v>
      </c>
      <c r="G976" t="str" cm="1">
        <f t="array" aca="1" ref="G976" ca="1">INDIRECT("'" &amp; A976 &amp; "'!" &amp; ADDRESS(1, COLUMN(INDIRECT("'" &amp; A976 &amp; "'!" &amp; B976))))</f>
        <v>1977 - 4</v>
      </c>
      <c r="H976" t="str">
        <f ca="1">VLOOKUP($G976, survey_codes_dict!A:C, 2, FALSE)</f>
        <v>1977_4</v>
      </c>
      <c r="I976" s="102" t="str">
        <f ca="1">VLOOKUP($G976, survey_codes_dict!A:D, 4, FALSE)</f>
        <v>1977_3</v>
      </c>
      <c r="J976" s="102" t="str">
        <f t="shared" ca="1" si="30"/>
        <v>1977_4__c18</v>
      </c>
      <c r="K976" s="102" t="str">
        <f t="shared" ca="1" si="31"/>
        <v>1977_3__c18</v>
      </c>
      <c r="L976" s="102"/>
      <c r="M976" s="102"/>
      <c r="N976" s="102"/>
      <c r="O976" s="102"/>
      <c r="P976" s="102"/>
      <c r="Q976" s="102"/>
      <c r="R976" s="102"/>
      <c r="S976" s="101"/>
    </row>
    <row r="977" spans="1:19" ht="28.8" x14ac:dyDescent="0.3">
      <c r="A977" t="s">
        <v>4798</v>
      </c>
      <c r="B977" t="s">
        <v>4886</v>
      </c>
      <c r="C977" s="90" t="s">
        <v>4887</v>
      </c>
      <c r="D977" t="s">
        <v>5660</v>
      </c>
      <c r="E977" s="101" t="s">
        <v>6305</v>
      </c>
      <c r="F977" t="str" cm="1">
        <f t="array" aca="1" ref="F977" ca="1">INDIRECT("'" &amp; A977 &amp; "'!" &amp; B977)</f>
        <v>c17</v>
      </c>
      <c r="G977" t="str" cm="1">
        <f t="array" aca="1" ref="G977" ca="1">INDIRECT("'" &amp; A977 &amp; "'!" &amp; ADDRESS(1, COLUMN(INDIRECT("'" &amp; A977 &amp; "'!" &amp; B977))))</f>
        <v>1977 - 4</v>
      </c>
      <c r="H977" t="str">
        <f ca="1">VLOOKUP($G977, survey_codes_dict!A:C, 2, FALSE)</f>
        <v>1977_4</v>
      </c>
      <c r="I977" s="102" t="str">
        <f ca="1">VLOOKUP($G977, survey_codes_dict!A:D, 4, FALSE)</f>
        <v>1977_3</v>
      </c>
      <c r="J977" s="102" t="str">
        <f t="shared" ca="1" si="30"/>
        <v>1977_4__c17</v>
      </c>
      <c r="K977" s="102" t="str">
        <f t="shared" ca="1" si="31"/>
        <v>1977_3__c17</v>
      </c>
      <c r="L977" s="102"/>
      <c r="M977" s="102"/>
      <c r="N977" s="102"/>
      <c r="O977" s="102"/>
      <c r="P977" s="102"/>
      <c r="Q977" s="102"/>
      <c r="R977" s="102"/>
      <c r="S977" s="101"/>
    </row>
    <row r="978" spans="1:19" ht="28.8" x14ac:dyDescent="0.3">
      <c r="A978" t="s">
        <v>4798</v>
      </c>
      <c r="B978" t="s">
        <v>4011</v>
      </c>
      <c r="C978" s="90" t="s">
        <v>4888</v>
      </c>
      <c r="D978" t="s">
        <v>399</v>
      </c>
      <c r="E978" s="101" t="s">
        <v>5645</v>
      </c>
      <c r="F978" t="str" cm="1">
        <f t="array" aca="1" ref="F978" ca="1">INDIRECT("'" &amp; A978 &amp; "'!" &amp; B978)</f>
        <v>מה הסיבה העיקרית שהצבעת עבור רשימה זו?</v>
      </c>
      <c r="G978" t="str" cm="1">
        <f t="array" aca="1" ref="G978" ca="1">INDIRECT("'" &amp; A978 &amp; "'!" &amp; ADDRESS(1, COLUMN(INDIRECT("'" &amp; A978 &amp; "'!" &amp; B978))))</f>
        <v>שאלה</v>
      </c>
      <c r="H978" t="e">
        <f ca="1">VLOOKUP($G978, survey_codes_dict!A:C, 2, FALSE)</f>
        <v>#N/A</v>
      </c>
      <c r="I978" s="102" t="e">
        <f ca="1">VLOOKUP($G978, survey_codes_dict!A:D, 4, FALSE)</f>
        <v>#N/A</v>
      </c>
      <c r="J978" s="102" t="e">
        <f t="shared" ca="1" si="30"/>
        <v>#N/A</v>
      </c>
      <c r="K978" s="102" t="e">
        <f t="shared" ca="1" si="31"/>
        <v>#N/A</v>
      </c>
      <c r="L978" s="102"/>
      <c r="M978" s="102"/>
      <c r="N978" s="102"/>
      <c r="O978" s="102"/>
      <c r="P978" s="102"/>
      <c r="Q978" s="102"/>
      <c r="R978" s="102"/>
      <c r="S978" s="102"/>
    </row>
    <row r="979" spans="1:19" ht="158.4" x14ac:dyDescent="0.3">
      <c r="A979" t="s">
        <v>4798</v>
      </c>
      <c r="B979" t="s">
        <v>4889</v>
      </c>
      <c r="C979" s="90" t="s">
        <v>4890</v>
      </c>
      <c r="D979" t="s">
        <v>5562</v>
      </c>
      <c r="E979" s="101" t="s">
        <v>6306</v>
      </c>
      <c r="F979" t="str" cm="1">
        <f t="array" aca="1" ref="F979" ca="1">INDIRECT("'" &amp; A979 &amp; "'!" &amp; B979)</f>
        <v>a137</v>
      </c>
      <c r="G979" t="str" cm="1">
        <f t="array" aca="1" ref="G979" ca="1">INDIRECT("'" &amp; A979 &amp; "'!" &amp; ADDRESS(1, COLUMN(INDIRECT("'" &amp; A979 &amp; "'!" &amp; B979))))</f>
        <v>1981 - 2</v>
      </c>
      <c r="H979">
        <f ca="1">VLOOKUP($G979, survey_codes_dict!A:C, 2, FALSE)</f>
        <v>0</v>
      </c>
      <c r="I979" s="102" t="str">
        <f ca="1">VLOOKUP($G979, survey_codes_dict!A:D, 4, FALSE)</f>
        <v>1981_1</v>
      </c>
      <c r="J979" s="102" t="str">
        <f t="shared" ca="1" si="30"/>
        <v>0__a137</v>
      </c>
      <c r="K979" s="102" t="str">
        <f t="shared" ca="1" si="31"/>
        <v>1981_1__a137</v>
      </c>
      <c r="L979" s="102"/>
      <c r="M979" s="102"/>
      <c r="N979" s="102"/>
      <c r="O979" s="102"/>
      <c r="P979" s="102"/>
      <c r="Q979" s="102"/>
      <c r="R979" s="102"/>
      <c r="S979" s="102"/>
    </row>
    <row r="980" spans="1:19" ht="28.8" x14ac:dyDescent="0.3">
      <c r="A980" t="s">
        <v>4798</v>
      </c>
      <c r="B980" t="s">
        <v>4013</v>
      </c>
      <c r="C980" s="90" t="s">
        <v>4891</v>
      </c>
      <c r="D980" t="s">
        <v>399</v>
      </c>
      <c r="E980" s="101" t="s">
        <v>5646</v>
      </c>
      <c r="F980" t="str" cm="1">
        <f t="array" aca="1" ref="F980" ca="1">INDIRECT("'" &amp; A980 &amp; "'!" &amp; B980)</f>
        <v>מה הסיבה העיקרית שבגלל לא השתתפת בבחירות להסתדרות?</v>
      </c>
      <c r="G980" t="str" cm="1">
        <f t="array" aca="1" ref="G980" ca="1">INDIRECT("'" &amp; A980 &amp; "'!" &amp; ADDRESS(1, COLUMN(INDIRECT("'" &amp; A980 &amp; "'!" &amp; B980))))</f>
        <v>שאלה</v>
      </c>
      <c r="H980" t="e">
        <f ca="1">VLOOKUP($G980, survey_codes_dict!A:C, 2, FALSE)</f>
        <v>#N/A</v>
      </c>
      <c r="I980" s="102" t="e">
        <f ca="1">VLOOKUP($G980, survey_codes_dict!A:D, 4, FALSE)</f>
        <v>#N/A</v>
      </c>
      <c r="J980" s="102" t="e">
        <f t="shared" ca="1" si="30"/>
        <v>#N/A</v>
      </c>
      <c r="K980" s="102" t="e">
        <f t="shared" ca="1" si="31"/>
        <v>#N/A</v>
      </c>
      <c r="L980" s="102"/>
      <c r="M980" s="102"/>
      <c r="N980" s="102"/>
      <c r="O980" s="102"/>
      <c r="P980" s="102"/>
      <c r="Q980" s="102"/>
      <c r="R980" s="102"/>
      <c r="S980" s="102"/>
    </row>
    <row r="981" spans="1:19" ht="216" x14ac:dyDescent="0.3">
      <c r="A981" t="s">
        <v>4798</v>
      </c>
      <c r="B981" t="s">
        <v>4892</v>
      </c>
      <c r="C981" s="90" t="s">
        <v>4893</v>
      </c>
      <c r="D981" t="s">
        <v>5562</v>
      </c>
      <c r="E981" s="101" t="s">
        <v>6307</v>
      </c>
      <c r="F981" t="str" cm="1">
        <f t="array" aca="1" ref="F981" ca="1">INDIRECT("'" &amp; A981 &amp; "'!" &amp; B981)</f>
        <v>a139</v>
      </c>
      <c r="G981" t="str" cm="1">
        <f t="array" aca="1" ref="G981" ca="1">INDIRECT("'" &amp; A981 &amp; "'!" &amp; ADDRESS(1, COLUMN(INDIRECT("'" &amp; A981 &amp; "'!" &amp; B981))))</f>
        <v>1981 - 2</v>
      </c>
      <c r="H981">
        <f ca="1">VLOOKUP($G981, survey_codes_dict!A:C, 2, FALSE)</f>
        <v>0</v>
      </c>
      <c r="I981" s="102" t="str">
        <f ca="1">VLOOKUP($G981, survey_codes_dict!A:D, 4, FALSE)</f>
        <v>1981_1</v>
      </c>
      <c r="J981" s="102" t="str">
        <f t="shared" ca="1" si="30"/>
        <v>0__a139</v>
      </c>
      <c r="K981" s="102" t="str">
        <f t="shared" ca="1" si="31"/>
        <v>1981_1__a139</v>
      </c>
      <c r="L981" s="102"/>
      <c r="M981" s="102"/>
      <c r="N981" s="102"/>
      <c r="O981" s="102"/>
      <c r="P981" s="102"/>
      <c r="Q981" s="102"/>
      <c r="R981" s="102"/>
      <c r="S981" s="102"/>
    </row>
    <row r="982" spans="1:19" ht="28.8" x14ac:dyDescent="0.3">
      <c r="A982" t="s">
        <v>4798</v>
      </c>
      <c r="B982" t="s">
        <v>4894</v>
      </c>
      <c r="C982" s="90" t="s">
        <v>4895</v>
      </c>
      <c r="D982" t="s">
        <v>5668</v>
      </c>
      <c r="E982" s="101" t="s">
        <v>5647</v>
      </c>
      <c r="F982" t="str" cm="1">
        <f t="array" aca="1" ref="F982" ca="1">INDIRECT("'" &amp; A982 &amp; "'!" &amp; B982)</f>
        <v>d52</v>
      </c>
      <c r="G982" t="str" cm="1">
        <f t="array" aca="1" ref="G982" ca="1">INDIRECT("'" &amp; A982 &amp; "'!" &amp; ADDRESS(1, COLUMN(INDIRECT("'" &amp; A982 &amp; "'!" &amp; B982))))</f>
        <v>1973 - 2</v>
      </c>
      <c r="H982" t="str">
        <f ca="1">VLOOKUP($G982, survey_codes_dict!A:C, 2, FALSE)</f>
        <v>1973_2</v>
      </c>
      <c r="I982" s="102" t="str">
        <f ca="1">VLOOKUP($G982, survey_codes_dict!A:D, 4, FALSE)</f>
        <v>1973_1</v>
      </c>
      <c r="J982" s="102" t="str">
        <f t="shared" ca="1" si="30"/>
        <v>1973_2__d52</v>
      </c>
      <c r="K982" s="102" t="str">
        <f t="shared" ca="1" si="31"/>
        <v>1973_1__d52</v>
      </c>
      <c r="L982" s="102"/>
      <c r="M982" s="102"/>
      <c r="N982" s="102"/>
      <c r="O982" s="102"/>
      <c r="P982" s="102"/>
      <c r="Q982" s="102"/>
      <c r="R982" s="102"/>
      <c r="S982" s="101"/>
    </row>
    <row r="983" spans="1:19" ht="72" x14ac:dyDescent="0.3">
      <c r="A983" t="s">
        <v>4798</v>
      </c>
      <c r="B983" t="s">
        <v>4896</v>
      </c>
      <c r="C983" s="90" t="s">
        <v>4897</v>
      </c>
      <c r="D983" t="s">
        <v>5562</v>
      </c>
      <c r="E983" s="101" t="s">
        <v>6308</v>
      </c>
      <c r="F983" t="str" cm="1">
        <f t="array" aca="1" ref="F983" ca="1">INDIRECT("'" &amp; A983 &amp; "'!" &amp; B983)</f>
        <v>b83</v>
      </c>
      <c r="G983" t="str" cm="1">
        <f t="array" aca="1" ref="G983" ca="1">INDIRECT("'" &amp; A983 &amp; "'!" &amp; ADDRESS(1, COLUMN(INDIRECT("'" &amp; A983 &amp; "'!" &amp; B983))))</f>
        <v>1969 - 2</v>
      </c>
      <c r="H983" t="str">
        <f ca="1">VLOOKUP($G983, survey_codes_dict!A:C, 2, FALSE)</f>
        <v>1969_2</v>
      </c>
      <c r="I983" s="102" t="str">
        <f ca="1">VLOOKUP($G983, survey_codes_dict!A:D, 4, FALSE)</f>
        <v>1969_1</v>
      </c>
      <c r="J983" s="102" t="str">
        <f t="shared" ca="1" si="30"/>
        <v>1969_2__b83</v>
      </c>
      <c r="K983" s="102" t="str">
        <f t="shared" ca="1" si="31"/>
        <v>1969_1__b83</v>
      </c>
      <c r="L983" s="102"/>
      <c r="M983" s="102"/>
      <c r="N983" s="102"/>
      <c r="O983" s="102"/>
      <c r="P983" s="102"/>
      <c r="Q983" s="102"/>
      <c r="R983" s="102"/>
      <c r="S983" s="101"/>
    </row>
    <row r="984" spans="1:19" ht="72" x14ac:dyDescent="0.3">
      <c r="A984" t="s">
        <v>4798</v>
      </c>
      <c r="B984" t="s">
        <v>4898</v>
      </c>
      <c r="C984" s="90" t="s">
        <v>4899</v>
      </c>
      <c r="D984" t="s">
        <v>5562</v>
      </c>
      <c r="E984" s="101" t="s">
        <v>6309</v>
      </c>
      <c r="F984" t="str" cm="1">
        <f t="array" aca="1" ref="F984" ca="1">INDIRECT("'" &amp; A984 &amp; "'!" &amp; B984)</f>
        <v>b122</v>
      </c>
      <c r="G984" t="str" cm="1">
        <f t="array" aca="1" ref="G984" ca="1">INDIRECT("'" &amp; A984 &amp; "'!" &amp; ADDRESS(1, COLUMN(INDIRECT("'" &amp; A984 &amp; "'!" &amp; B984))))</f>
        <v>1981 - 3</v>
      </c>
      <c r="H984" t="str">
        <f ca="1">VLOOKUP($G984, survey_codes_dict!A:C, 2, FALSE)</f>
        <v>1981_3</v>
      </c>
      <c r="I984" s="102">
        <f ca="1">VLOOKUP($G984, survey_codes_dict!A:D, 4, FALSE)</f>
        <v>0</v>
      </c>
      <c r="J984" s="102" t="str">
        <f t="shared" ca="1" si="30"/>
        <v>1981_3__b122</v>
      </c>
      <c r="K984" s="102" t="str">
        <f t="shared" ca="1" si="31"/>
        <v>0__b122</v>
      </c>
      <c r="L984" s="102"/>
      <c r="M984" s="102"/>
      <c r="N984" s="102"/>
      <c r="O984" s="102"/>
      <c r="P984" s="102"/>
      <c r="Q984" s="102"/>
      <c r="R984" s="102"/>
      <c r="S984" s="101"/>
    </row>
    <row r="985" spans="1:19" ht="72" x14ac:dyDescent="0.3">
      <c r="A985" t="s">
        <v>4798</v>
      </c>
      <c r="B985" t="s">
        <v>4900</v>
      </c>
      <c r="C985" s="90" t="s">
        <v>4901</v>
      </c>
      <c r="D985" t="s">
        <v>5562</v>
      </c>
      <c r="E985" s="101" t="s">
        <v>6310</v>
      </c>
      <c r="F985" t="str" cm="1">
        <f t="array" aca="1" ref="F985" ca="1">INDIRECT("'" &amp; A985 &amp; "'!" &amp; B985)</f>
        <v>b62</v>
      </c>
      <c r="G985" t="str" cm="1">
        <f t="array" aca="1" ref="G985" ca="1">INDIRECT("'" &amp; A985 &amp; "'!" &amp; ADDRESS(1, COLUMN(INDIRECT("'" &amp; A985 &amp; "'!" &amp; B985))))</f>
        <v>1988*</v>
      </c>
      <c r="H985" t="str">
        <f ca="1">VLOOKUP($G985, survey_codes_dict!A:C, 2, FALSE)</f>
        <v>1988_N=873</v>
      </c>
      <c r="I985" s="102" t="str">
        <f ca="1">VLOOKUP($G985, survey_codes_dict!A:D, 4, FALSE)</f>
        <v>1988_Panel_N=416</v>
      </c>
      <c r="J985" s="102" t="str">
        <f t="shared" ca="1" si="30"/>
        <v>1988_N=873__b62</v>
      </c>
      <c r="K985" s="102" t="str">
        <f t="shared" ca="1" si="31"/>
        <v>1988_Panel_N=416__b62</v>
      </c>
      <c r="L985" s="102"/>
      <c r="M985" s="102"/>
      <c r="N985" s="102"/>
      <c r="O985" s="102"/>
      <c r="P985" s="102"/>
      <c r="Q985" s="102"/>
      <c r="R985" s="102"/>
      <c r="S985" s="101"/>
    </row>
    <row r="986" spans="1:19" ht="72" x14ac:dyDescent="0.3">
      <c r="A986" t="s">
        <v>4798</v>
      </c>
      <c r="B986" t="s">
        <v>4902</v>
      </c>
      <c r="C986" s="90" t="s">
        <v>4903</v>
      </c>
      <c r="D986" t="s">
        <v>5562</v>
      </c>
      <c r="E986" s="101" t="s">
        <v>6311</v>
      </c>
      <c r="F986" t="str" cm="1">
        <f t="array" aca="1" ref="F986" ca="1">INDIRECT("'" &amp; A986 &amp; "'!" &amp; B986)</f>
        <v>v65</v>
      </c>
      <c r="G986" t="str" cm="1">
        <f t="array" aca="1" ref="G986" ca="1">INDIRECT("'" &amp; A986 &amp; "'!" &amp; ADDRESS(1, COLUMN(INDIRECT("'" &amp; A986 &amp; "'!" &amp; B986))))</f>
        <v>1973 - 1</v>
      </c>
      <c r="H986" t="str">
        <f ca="1">VLOOKUP($G986, survey_codes_dict!A:C, 2, FALSE)</f>
        <v>1973_1</v>
      </c>
      <c r="I986" s="102" t="str">
        <f ca="1">VLOOKUP($G986, survey_codes_dict!A:D, 4, FALSE)</f>
        <v>1969_2</v>
      </c>
      <c r="J986" s="102" t="str">
        <f t="shared" ca="1" si="30"/>
        <v>1973_1__v65</v>
      </c>
      <c r="K986" s="102" t="str">
        <f t="shared" ca="1" si="31"/>
        <v>1969_2__v65</v>
      </c>
      <c r="L986" s="102"/>
      <c r="M986" s="102"/>
      <c r="N986" s="102"/>
      <c r="O986" s="102"/>
      <c r="P986" s="102"/>
      <c r="Q986" s="102"/>
      <c r="R986" s="102"/>
      <c r="S986" s="101"/>
    </row>
    <row r="987" spans="1:19" ht="72" x14ac:dyDescent="0.3">
      <c r="A987" t="s">
        <v>4798</v>
      </c>
      <c r="B987" t="s">
        <v>4904</v>
      </c>
      <c r="C987" s="90" t="s">
        <v>4905</v>
      </c>
      <c r="D987" t="s">
        <v>5562</v>
      </c>
      <c r="E987" s="101" t="s">
        <v>6312</v>
      </c>
      <c r="F987" t="str" cm="1">
        <f t="array" aca="1" ref="F987" ca="1">INDIRECT("'" &amp; A987 &amp; "'!" &amp; B987)</f>
        <v>v128</v>
      </c>
      <c r="G987" t="str" cm="1">
        <f t="array" aca="1" ref="G987" ca="1">INDIRECT("'" &amp; A987 &amp; "'!" &amp; ADDRESS(1, COLUMN(INDIRECT("'" &amp; A987 &amp; "'!" &amp; B987))))</f>
        <v>1981 - 1</v>
      </c>
      <c r="H987" t="str">
        <f ca="1">VLOOKUP($G987, survey_codes_dict!A:C, 2, FALSE)</f>
        <v>1981_1</v>
      </c>
      <c r="I987" s="102" t="str">
        <f ca="1">VLOOKUP($G987, survey_codes_dict!A:D, 4, FALSE)</f>
        <v>1977_4</v>
      </c>
      <c r="J987" s="102" t="str">
        <f t="shared" ca="1" si="30"/>
        <v>1981_1__v128</v>
      </c>
      <c r="K987" s="102" t="str">
        <f t="shared" ca="1" si="31"/>
        <v>1977_4__v128</v>
      </c>
      <c r="L987" s="102"/>
      <c r="M987" s="102"/>
      <c r="N987" s="102"/>
      <c r="O987" s="102"/>
      <c r="P987" s="102"/>
      <c r="Q987" s="102"/>
      <c r="R987" s="102"/>
      <c r="S987" s="101"/>
    </row>
    <row r="988" spans="1:19" ht="86.4" x14ac:dyDescent="0.3">
      <c r="A988" t="s">
        <v>4798</v>
      </c>
      <c r="B988" t="s">
        <v>4906</v>
      </c>
      <c r="C988" s="90" t="s">
        <v>4907</v>
      </c>
      <c r="D988" t="s">
        <v>5562</v>
      </c>
      <c r="E988" s="101" t="s">
        <v>6313</v>
      </c>
      <c r="F988" t="str" cm="1">
        <f t="array" aca="1" ref="F988" ca="1">INDIRECT("'" &amp; A988 &amp; "'!" &amp; B988)</f>
        <v>b13</v>
      </c>
      <c r="G988" t="str" cm="1">
        <f t="array" aca="1" ref="G988" ca="1">INDIRECT("'" &amp; A988 &amp; "'!" &amp; ADDRESS(1, COLUMN(INDIRECT("'" &amp; A988 &amp; "'!" &amp; B988))))</f>
        <v>1969 - 1</v>
      </c>
      <c r="H988" t="str">
        <f ca="1">VLOOKUP($G988, survey_codes_dict!A:C, 2, FALSE)</f>
        <v>1969_1</v>
      </c>
      <c r="I988" s="102">
        <f ca="1">VLOOKUP($G988, survey_codes_dict!A:D, 4, FALSE)</f>
        <v>0</v>
      </c>
      <c r="J988" s="102" t="str">
        <f t="shared" ca="1" si="30"/>
        <v>1969_1__b13</v>
      </c>
      <c r="K988" s="102" t="str">
        <f t="shared" ca="1" si="31"/>
        <v>0__b13</v>
      </c>
      <c r="L988" s="102"/>
      <c r="M988" s="102"/>
      <c r="N988" s="102"/>
      <c r="O988" s="102"/>
      <c r="P988" s="102"/>
      <c r="Q988" s="102"/>
      <c r="R988" s="102"/>
      <c r="S988" s="101"/>
    </row>
    <row r="989" spans="1:19" ht="86.4" x14ac:dyDescent="0.3">
      <c r="A989" t="s">
        <v>4798</v>
      </c>
      <c r="B989" t="s">
        <v>4908</v>
      </c>
      <c r="C989" s="90" t="s">
        <v>4909</v>
      </c>
      <c r="D989" t="s">
        <v>5562</v>
      </c>
      <c r="E989" s="101" t="s">
        <v>6314</v>
      </c>
      <c r="F989" t="str" cm="1">
        <f t="array" aca="1" ref="F989" ca="1">INDIRECT("'" &amp; A989 &amp; "'!" &amp; B989)</f>
        <v>c5</v>
      </c>
      <c r="G989" t="str" cm="1">
        <f t="array" aca="1" ref="G989" ca="1">INDIRECT("'" &amp; A989 &amp; "'!" &amp; ADDRESS(1, COLUMN(INDIRECT("'" &amp; A989 &amp; "'!" &amp; B989))))</f>
        <v>1977 - 4</v>
      </c>
      <c r="H989" t="str">
        <f ca="1">VLOOKUP($G989, survey_codes_dict!A:C, 2, FALSE)</f>
        <v>1977_4</v>
      </c>
      <c r="I989" s="102" t="str">
        <f ca="1">VLOOKUP($G989, survey_codes_dict!A:D, 4, FALSE)</f>
        <v>1977_3</v>
      </c>
      <c r="J989" s="102" t="str">
        <f t="shared" ca="1" si="30"/>
        <v>1977_4__c5</v>
      </c>
      <c r="K989" s="102" t="str">
        <f t="shared" ca="1" si="31"/>
        <v>1977_3__c5</v>
      </c>
      <c r="L989" s="102"/>
      <c r="M989" s="102"/>
      <c r="N989" s="102"/>
      <c r="O989" s="102"/>
      <c r="P989" s="102"/>
      <c r="Q989" s="102"/>
      <c r="R989" s="102"/>
      <c r="S989" s="101"/>
    </row>
    <row r="990" spans="1:19" ht="57.6" x14ac:dyDescent="0.3">
      <c r="A990" t="s">
        <v>4798</v>
      </c>
      <c r="B990" t="s">
        <v>3702</v>
      </c>
      <c r="C990" s="90" t="s">
        <v>4910</v>
      </c>
      <c r="D990" t="s">
        <v>5562</v>
      </c>
      <c r="E990" s="101" t="s">
        <v>6315</v>
      </c>
      <c r="F990" t="str" cm="1">
        <f t="array" aca="1" ref="F990" ca="1">INDIRECT("'" &amp; A990 &amp; "'!" &amp; B990)</f>
        <v>d39</v>
      </c>
      <c r="G990" t="str" cm="1">
        <f t="array" aca="1" ref="G990" ca="1">INDIRECT("'" &amp; A990 &amp; "'!" &amp; ADDRESS(1, COLUMN(INDIRECT("'" &amp; A990 &amp; "'!" &amp; B990))))</f>
        <v>1973 - 2</v>
      </c>
      <c r="H990" t="str">
        <f ca="1">VLOOKUP($G990, survey_codes_dict!A:C, 2, FALSE)</f>
        <v>1973_2</v>
      </c>
      <c r="I990" s="102" t="str">
        <f ca="1">VLOOKUP($G990, survey_codes_dict!A:D, 4, FALSE)</f>
        <v>1973_1</v>
      </c>
      <c r="J990" s="102" t="str">
        <f t="shared" ca="1" si="30"/>
        <v>1973_2__d39</v>
      </c>
      <c r="K990" s="102" t="str">
        <f t="shared" ca="1" si="31"/>
        <v>1973_1__d39</v>
      </c>
      <c r="L990" s="102"/>
      <c r="M990" s="102"/>
      <c r="N990" s="102"/>
      <c r="O990" s="102"/>
      <c r="P990" s="102"/>
      <c r="Q990" s="102"/>
      <c r="R990" s="102"/>
      <c r="S990" s="101"/>
    </row>
    <row r="991" spans="1:19" ht="86.4" x14ac:dyDescent="0.3">
      <c r="A991" t="s">
        <v>4798</v>
      </c>
      <c r="B991" t="s">
        <v>4911</v>
      </c>
      <c r="C991" s="90" t="s">
        <v>4912</v>
      </c>
      <c r="D991" t="s">
        <v>5562</v>
      </c>
      <c r="E991" s="101" t="s">
        <v>6316</v>
      </c>
      <c r="F991" t="str" cm="1">
        <f t="array" aca="1" ref="F991" ca="1">INDIRECT("'" &amp; A991 &amp; "'!" &amp; B991)</f>
        <v>a3</v>
      </c>
      <c r="G991" t="str" cm="1">
        <f t="array" aca="1" ref="G991" ca="1">INDIRECT("'" &amp; A991 &amp; "'!" &amp; ADDRESS(1, COLUMN(INDIRECT("'" &amp; A991 &amp; "'!" &amp; B991))))</f>
        <v>1977 - 2</v>
      </c>
      <c r="H991" t="str">
        <f ca="1">VLOOKUP($G991, survey_codes_dict!A:C, 2, FALSE)</f>
        <v>1977_2</v>
      </c>
      <c r="I991" s="102" t="str">
        <f ca="1">VLOOKUP($G991, survey_codes_dict!A:D, 4, FALSE)</f>
        <v>1977_1</v>
      </c>
      <c r="J991" s="102" t="str">
        <f t="shared" ca="1" si="30"/>
        <v>1977_2__a3</v>
      </c>
      <c r="K991" s="102" t="str">
        <f t="shared" ca="1" si="31"/>
        <v>1977_1__a3</v>
      </c>
      <c r="L991" s="102"/>
      <c r="M991" s="102"/>
      <c r="N991" s="102"/>
      <c r="O991" s="102"/>
      <c r="P991" s="102"/>
      <c r="Q991" s="102"/>
      <c r="R991" s="102"/>
      <c r="S991" s="101"/>
    </row>
    <row r="992" spans="1:19" ht="72" x14ac:dyDescent="0.3">
      <c r="A992" t="s">
        <v>4798</v>
      </c>
      <c r="B992" t="s">
        <v>4913</v>
      </c>
      <c r="C992" s="90" t="s">
        <v>4914</v>
      </c>
      <c r="D992" t="s">
        <v>5562</v>
      </c>
      <c r="E992" s="101" t="s">
        <v>6317</v>
      </c>
      <c r="F992" t="str" cm="1">
        <f t="array" aca="1" ref="F992" ca="1">INDIRECT("'" &amp; A992 &amp; "'!" &amp; B992)</f>
        <v>a4</v>
      </c>
      <c r="G992" t="str" cm="1">
        <f t="array" aca="1" ref="G992" ca="1">INDIRECT("'" &amp; A992 &amp; "'!" &amp; ADDRESS(1, COLUMN(INDIRECT("'" &amp; A992 &amp; "'!" &amp; B992))))</f>
        <v>1977 - 2</v>
      </c>
      <c r="H992" t="str">
        <f ca="1">VLOOKUP($G992, survey_codes_dict!A:C, 2, FALSE)</f>
        <v>1977_2</v>
      </c>
      <c r="I992" s="102" t="str">
        <f ca="1">VLOOKUP($G992, survey_codes_dict!A:D, 4, FALSE)</f>
        <v>1977_1</v>
      </c>
      <c r="J992" s="102" t="str">
        <f t="shared" ca="1" si="30"/>
        <v>1977_2__a4</v>
      </c>
      <c r="K992" s="102" t="str">
        <f t="shared" ca="1" si="31"/>
        <v>1977_1__a4</v>
      </c>
      <c r="L992" s="102"/>
      <c r="M992" s="102"/>
      <c r="N992" s="102"/>
      <c r="O992" s="102"/>
      <c r="P992" s="102"/>
      <c r="Q992" s="102"/>
      <c r="R992" s="102"/>
      <c r="S992" s="101"/>
    </row>
    <row r="993" spans="1:19" ht="72" x14ac:dyDescent="0.3">
      <c r="A993" t="s">
        <v>4798</v>
      </c>
      <c r="B993" t="s">
        <v>4915</v>
      </c>
      <c r="C993" s="90" t="s">
        <v>4916</v>
      </c>
      <c r="D993" t="s">
        <v>5562</v>
      </c>
      <c r="E993" s="101" t="s">
        <v>6318</v>
      </c>
      <c r="F993" t="str" cm="1">
        <f t="array" aca="1" ref="F993" ca="1">INDIRECT("'" &amp; A993 &amp; "'!" &amp; B993)</f>
        <v>c58</v>
      </c>
      <c r="G993" t="str" cm="1">
        <f t="array" aca="1" ref="G993" ca="1">INDIRECT("'" &amp; A993 &amp; "'!" &amp; ADDRESS(1, COLUMN(INDIRECT("'" &amp; A993 &amp; "'!" &amp; B993))))</f>
        <v>1973 - 2</v>
      </c>
      <c r="H993" t="str">
        <f ca="1">VLOOKUP($G993, survey_codes_dict!A:C, 2, FALSE)</f>
        <v>1973_2</v>
      </c>
      <c r="I993" s="102" t="str">
        <f ca="1">VLOOKUP($G993, survey_codes_dict!A:D, 4, FALSE)</f>
        <v>1973_1</v>
      </c>
      <c r="J993" s="102" t="str">
        <f t="shared" ca="1" si="30"/>
        <v>1973_2__c58</v>
      </c>
      <c r="K993" s="102" t="str">
        <f t="shared" ca="1" si="31"/>
        <v>1973_1__c58</v>
      </c>
      <c r="L993" s="102"/>
      <c r="M993" s="102"/>
      <c r="N993" s="102"/>
      <c r="O993" s="102"/>
      <c r="P993" s="102"/>
      <c r="Q993" s="102"/>
      <c r="R993" s="102"/>
      <c r="S993" s="101"/>
    </row>
    <row r="994" spans="1:19" ht="129.6" x14ac:dyDescent="0.3">
      <c r="A994" t="s">
        <v>4798</v>
      </c>
      <c r="B994" t="s">
        <v>4917</v>
      </c>
      <c r="C994" s="90" t="s">
        <v>4918</v>
      </c>
      <c r="D994" t="s">
        <v>5562</v>
      </c>
      <c r="E994" s="101" t="s">
        <v>6319</v>
      </c>
      <c r="F994" t="str" cm="1">
        <f t="array" aca="1" ref="F994" ca="1">INDIRECT("'" &amp; A994 &amp; "'!" &amp; B994)</f>
        <v>e15</v>
      </c>
      <c r="G994" t="str" cm="1">
        <f t="array" aca="1" ref="G994" ca="1">INDIRECT("'" &amp; A994 &amp; "'!" &amp; ADDRESS(1, COLUMN(INDIRECT("'" &amp; A994 &amp; "'!" &amp; B994))))</f>
        <v>1973 - 2</v>
      </c>
      <c r="H994" t="str">
        <f ca="1">VLOOKUP($G994, survey_codes_dict!A:C, 2, FALSE)</f>
        <v>1973_2</v>
      </c>
      <c r="I994" s="102" t="str">
        <f ca="1">VLOOKUP($G994, survey_codes_dict!A:D, 4, FALSE)</f>
        <v>1973_1</v>
      </c>
      <c r="J994" s="102" t="str">
        <f t="shared" ca="1" si="30"/>
        <v>1973_2__e15</v>
      </c>
      <c r="K994" s="102" t="str">
        <f t="shared" ca="1" si="31"/>
        <v>1973_1__e15</v>
      </c>
      <c r="L994" s="102"/>
      <c r="M994" s="102"/>
      <c r="N994" s="102"/>
      <c r="O994" s="102"/>
      <c r="P994" s="102"/>
      <c r="Q994" s="102"/>
      <c r="R994" s="102"/>
      <c r="S994" s="101"/>
    </row>
    <row r="995" spans="1:19" ht="158.4" x14ac:dyDescent="0.3">
      <c r="A995" t="s">
        <v>4798</v>
      </c>
      <c r="B995" t="s">
        <v>4919</v>
      </c>
      <c r="C995" s="90" t="s">
        <v>4920</v>
      </c>
      <c r="D995" t="s">
        <v>5562</v>
      </c>
      <c r="E995" s="101" t="s">
        <v>6320</v>
      </c>
      <c r="F995" t="str" cm="1">
        <f t="array" aca="1" ref="F995" ca="1">INDIRECT("'" &amp; A995 &amp; "'!" &amp; B995)</f>
        <v>c34</v>
      </c>
      <c r="G995" t="str" cm="1">
        <f t="array" aca="1" ref="G995" ca="1">INDIRECT("'" &amp; A995 &amp; "'!" &amp; ADDRESS(1, COLUMN(INDIRECT("'" &amp; A995 &amp; "'!" &amp; B995))))</f>
        <v>1969 - 2</v>
      </c>
      <c r="H995" t="str">
        <f ca="1">VLOOKUP($G995, survey_codes_dict!A:C, 2, FALSE)</f>
        <v>1969_2</v>
      </c>
      <c r="I995" s="102" t="str">
        <f ca="1">VLOOKUP($G995, survey_codes_dict!A:D, 4, FALSE)</f>
        <v>1969_1</v>
      </c>
      <c r="J995" s="102" t="str">
        <f t="shared" ca="1" si="30"/>
        <v>1969_2__c34</v>
      </c>
      <c r="K995" s="102" t="str">
        <f t="shared" ca="1" si="31"/>
        <v>1969_1__c34</v>
      </c>
      <c r="L995" s="102"/>
      <c r="M995" s="102"/>
      <c r="N995" s="102"/>
      <c r="O995" s="102"/>
      <c r="P995" s="102"/>
      <c r="Q995" s="102"/>
      <c r="R995" s="102"/>
      <c r="S995" s="101"/>
    </row>
    <row r="996" spans="1:19" ht="43.2" x14ac:dyDescent="0.3">
      <c r="A996" t="s">
        <v>4798</v>
      </c>
      <c r="B996" t="s">
        <v>4921</v>
      </c>
      <c r="C996" s="90" t="s">
        <v>4922</v>
      </c>
      <c r="D996" t="s">
        <v>5562</v>
      </c>
      <c r="E996" s="101" t="s">
        <v>6321</v>
      </c>
      <c r="F996" t="str" cm="1">
        <f t="array" aca="1" ref="F996" ca="1">INDIRECT("'" &amp; A996 &amp; "'!" &amp; B996)</f>
        <v>b20</v>
      </c>
      <c r="G996" t="str" cm="1">
        <f t="array" aca="1" ref="G996" ca="1">INDIRECT("'" &amp; A996 &amp; "'!" &amp; ADDRESS(1, COLUMN(INDIRECT("'" &amp; A996 &amp; "'!" &amp; B996))))</f>
        <v>1969 - 1</v>
      </c>
      <c r="H996" t="str">
        <f ca="1">VLOOKUP($G996, survey_codes_dict!A:C, 2, FALSE)</f>
        <v>1969_1</v>
      </c>
      <c r="I996" s="102">
        <f ca="1">VLOOKUP($G996, survey_codes_dict!A:D, 4, FALSE)</f>
        <v>0</v>
      </c>
      <c r="J996" s="102" t="str">
        <f t="shared" ca="1" si="30"/>
        <v>1969_1__b20</v>
      </c>
      <c r="K996" s="102" t="str">
        <f t="shared" ca="1" si="31"/>
        <v>0__b20</v>
      </c>
      <c r="L996" s="102"/>
      <c r="M996" s="102"/>
      <c r="N996" s="102"/>
      <c r="O996" s="102"/>
      <c r="P996" s="102"/>
      <c r="Q996" s="102"/>
      <c r="R996" s="102"/>
      <c r="S996" s="101"/>
    </row>
    <row r="997" spans="1:19" ht="72" x14ac:dyDescent="0.3">
      <c r="A997" t="s">
        <v>4798</v>
      </c>
      <c r="B997" t="s">
        <v>4923</v>
      </c>
      <c r="C997" s="90" t="s">
        <v>4924</v>
      </c>
      <c r="D997" t="s">
        <v>5562</v>
      </c>
      <c r="E997" s="101" t="s">
        <v>6322</v>
      </c>
      <c r="F997" t="str" cm="1">
        <f t="array" aca="1" ref="F997" ca="1">INDIRECT("'" &amp; A997 &amp; "'!" &amp; B997)</f>
        <v>c16</v>
      </c>
      <c r="G997" t="str" cm="1">
        <f t="array" aca="1" ref="G997" ca="1">INDIRECT("'" &amp; A997 &amp; "'!" &amp; ADDRESS(1, COLUMN(INDIRECT("'" &amp; A997 &amp; "'!" &amp; B997))))</f>
        <v>1969 - 1</v>
      </c>
      <c r="H997" t="str">
        <f ca="1">VLOOKUP($G997, survey_codes_dict!A:C, 2, FALSE)</f>
        <v>1969_1</v>
      </c>
      <c r="I997" s="102">
        <f ca="1">VLOOKUP($G997, survey_codes_dict!A:D, 4, FALSE)</f>
        <v>0</v>
      </c>
      <c r="J997" s="102" t="str">
        <f t="shared" ca="1" si="30"/>
        <v>1969_1__c16</v>
      </c>
      <c r="K997" s="102" t="str">
        <f t="shared" ca="1" si="31"/>
        <v>0__c16</v>
      </c>
      <c r="L997" s="102"/>
      <c r="M997" s="102"/>
      <c r="N997" s="102"/>
      <c r="O997" s="102"/>
      <c r="P997" s="102"/>
      <c r="Q997" s="102"/>
      <c r="R997" s="102"/>
      <c r="S997" s="101"/>
    </row>
    <row r="998" spans="1:19" ht="72" x14ac:dyDescent="0.3">
      <c r="A998" t="s">
        <v>4798</v>
      </c>
      <c r="B998" t="s">
        <v>4925</v>
      </c>
      <c r="C998" s="90" t="s">
        <v>4926</v>
      </c>
      <c r="D998" t="s">
        <v>5562</v>
      </c>
      <c r="E998" s="101" t="s">
        <v>6323</v>
      </c>
      <c r="F998" t="str" cm="1">
        <f t="array" aca="1" ref="F998" ca="1">INDIRECT("'" &amp; A998 &amp; "'!" &amp; B998)</f>
        <v>c18</v>
      </c>
      <c r="G998" t="str" cm="1">
        <f t="array" aca="1" ref="G998" ca="1">INDIRECT("'" &amp; A998 &amp; "'!" &amp; ADDRESS(1, COLUMN(INDIRECT("'" &amp; A998 &amp; "'!" &amp; B998))))</f>
        <v>1969 - 1</v>
      </c>
      <c r="H998" t="str">
        <f ca="1">VLOOKUP($G998, survey_codes_dict!A:C, 2, FALSE)</f>
        <v>1969_1</v>
      </c>
      <c r="I998" s="102">
        <f ca="1">VLOOKUP($G998, survey_codes_dict!A:D, 4, FALSE)</f>
        <v>0</v>
      </c>
      <c r="J998" s="102" t="str">
        <f t="shared" ca="1" si="30"/>
        <v>1969_1__c18</v>
      </c>
      <c r="K998" s="102" t="str">
        <f t="shared" ca="1" si="31"/>
        <v>0__c18</v>
      </c>
      <c r="L998" s="102"/>
      <c r="M998" s="102"/>
      <c r="N998" s="102"/>
      <c r="O998" s="102"/>
      <c r="P998" s="102"/>
      <c r="Q998" s="102"/>
      <c r="R998" s="102"/>
      <c r="S998" s="101"/>
    </row>
    <row r="999" spans="1:19" ht="72" x14ac:dyDescent="0.3">
      <c r="A999" t="s">
        <v>4798</v>
      </c>
      <c r="B999" t="s">
        <v>4927</v>
      </c>
      <c r="C999" s="90" t="s">
        <v>4928</v>
      </c>
      <c r="D999" t="s">
        <v>5562</v>
      </c>
      <c r="E999" s="101" t="s">
        <v>6324</v>
      </c>
      <c r="F999" t="str" cm="1">
        <f t="array" aca="1" ref="F999" ca="1">INDIRECT("'" &amp; A999 &amp; "'!" &amp; B999)</f>
        <v>c22</v>
      </c>
      <c r="G999" t="str" cm="1">
        <f t="array" aca="1" ref="G999" ca="1">INDIRECT("'" &amp; A999 &amp; "'!" &amp; ADDRESS(1, COLUMN(INDIRECT("'" &amp; A999 &amp; "'!" &amp; B999))))</f>
        <v>1969 - 1</v>
      </c>
      <c r="H999" t="str">
        <f ca="1">VLOOKUP($G999, survey_codes_dict!A:C, 2, FALSE)</f>
        <v>1969_1</v>
      </c>
      <c r="I999" s="102">
        <f ca="1">VLOOKUP($G999, survey_codes_dict!A:D, 4, FALSE)</f>
        <v>0</v>
      </c>
      <c r="J999" s="102" t="str">
        <f t="shared" ca="1" si="30"/>
        <v>1969_1__c22</v>
      </c>
      <c r="K999" s="102" t="str">
        <f t="shared" ca="1" si="31"/>
        <v>0__c22</v>
      </c>
      <c r="L999" s="102"/>
      <c r="M999" s="102"/>
      <c r="N999" s="102"/>
      <c r="O999" s="102"/>
      <c r="P999" s="102"/>
      <c r="Q999" s="102"/>
      <c r="R999" s="102"/>
      <c r="S999" s="101"/>
    </row>
    <row r="1000" spans="1:19" ht="72" x14ac:dyDescent="0.3">
      <c r="A1000" t="s">
        <v>4798</v>
      </c>
      <c r="B1000" t="s">
        <v>4929</v>
      </c>
      <c r="C1000" s="90" t="s">
        <v>4924</v>
      </c>
      <c r="D1000" t="s">
        <v>5562</v>
      </c>
      <c r="E1000" s="101" t="s">
        <v>6322</v>
      </c>
      <c r="F1000" t="str" cm="1">
        <f t="array" aca="1" ref="F1000" ca="1">INDIRECT("'" &amp; A1000 &amp; "'!" &amp; B1000)</f>
        <v>c23</v>
      </c>
      <c r="G1000" t="str" cm="1">
        <f t="array" aca="1" ref="G1000" ca="1">INDIRECT("'" &amp; A1000 &amp; "'!" &amp; ADDRESS(1, COLUMN(INDIRECT("'" &amp; A1000 &amp; "'!" &amp; B1000))))</f>
        <v>1969 - 1</v>
      </c>
      <c r="H1000" t="str">
        <f ca="1">VLOOKUP($G1000, survey_codes_dict!A:C, 2, FALSE)</f>
        <v>1969_1</v>
      </c>
      <c r="I1000" s="102">
        <f ca="1">VLOOKUP($G1000, survey_codes_dict!A:D, 4, FALSE)</f>
        <v>0</v>
      </c>
      <c r="J1000" s="102" t="str">
        <f t="shared" ca="1" si="30"/>
        <v>1969_1__c23</v>
      </c>
      <c r="K1000" s="102" t="str">
        <f t="shared" ca="1" si="31"/>
        <v>0__c23</v>
      </c>
      <c r="L1000" s="102"/>
      <c r="M1000" s="102"/>
      <c r="N1000" s="102"/>
      <c r="O1000" s="102"/>
      <c r="P1000" s="102"/>
      <c r="Q1000" s="102"/>
      <c r="R1000" s="102"/>
      <c r="S1000" s="101"/>
    </row>
    <row r="1001" spans="1:19" ht="72" x14ac:dyDescent="0.3">
      <c r="A1001" t="s">
        <v>4798</v>
      </c>
      <c r="B1001" t="s">
        <v>3723</v>
      </c>
      <c r="C1001" s="90" t="s">
        <v>4930</v>
      </c>
      <c r="D1001" t="s">
        <v>5562</v>
      </c>
      <c r="E1001" s="101" t="s">
        <v>6325</v>
      </c>
      <c r="F1001" t="str" cm="1">
        <f t="array" aca="1" ref="F1001" ca="1">INDIRECT("'" &amp; A1001 &amp; "'!" &amp; B1001)</f>
        <v>c26</v>
      </c>
      <c r="G1001" t="str" cm="1">
        <f t="array" aca="1" ref="G1001" ca="1">INDIRECT("'" &amp; A1001 &amp; "'!" &amp; ADDRESS(1, COLUMN(INDIRECT("'" &amp; A1001 &amp; "'!" &amp; B1001))))</f>
        <v>1969 - 1</v>
      </c>
      <c r="H1001" t="str">
        <f ca="1">VLOOKUP($G1001, survey_codes_dict!A:C, 2, FALSE)</f>
        <v>1969_1</v>
      </c>
      <c r="I1001" s="102">
        <f ca="1">VLOOKUP($G1001, survey_codes_dict!A:D, 4, FALSE)</f>
        <v>0</v>
      </c>
      <c r="J1001" s="102" t="str">
        <f t="shared" ca="1" si="30"/>
        <v>1969_1__c26</v>
      </c>
      <c r="K1001" s="102" t="str">
        <f t="shared" ca="1" si="31"/>
        <v>0__c26</v>
      </c>
      <c r="L1001" s="102"/>
      <c r="M1001" s="102"/>
      <c r="N1001" s="102"/>
      <c r="O1001" s="102"/>
      <c r="P1001" s="102"/>
      <c r="Q1001" s="102"/>
      <c r="R1001" s="102"/>
      <c r="S1001" s="101"/>
    </row>
    <row r="1002" spans="1:19" ht="86.4" x14ac:dyDescent="0.3">
      <c r="A1002" t="s">
        <v>4798</v>
      </c>
      <c r="B1002" t="s">
        <v>4931</v>
      </c>
      <c r="C1002" s="90" t="s">
        <v>4932</v>
      </c>
      <c r="D1002" t="s">
        <v>5562</v>
      </c>
      <c r="E1002" s="101" t="s">
        <v>6326</v>
      </c>
      <c r="F1002" t="str" cm="1">
        <f t="array" aca="1" ref="F1002" ca="1">INDIRECT("'" &amp; A1002 &amp; "'!" &amp; B1002)</f>
        <v>c27</v>
      </c>
      <c r="G1002" t="str" cm="1">
        <f t="array" aca="1" ref="G1002" ca="1">INDIRECT("'" &amp; A1002 &amp; "'!" &amp; ADDRESS(1, COLUMN(INDIRECT("'" &amp; A1002 &amp; "'!" &amp; B1002))))</f>
        <v>1969 - 1</v>
      </c>
      <c r="H1002" t="str">
        <f ca="1">VLOOKUP($G1002, survey_codes_dict!A:C, 2, FALSE)</f>
        <v>1969_1</v>
      </c>
      <c r="I1002" s="102">
        <f ca="1">VLOOKUP($G1002, survey_codes_dict!A:D, 4, FALSE)</f>
        <v>0</v>
      </c>
      <c r="J1002" s="102" t="str">
        <f t="shared" ca="1" si="30"/>
        <v>1969_1__c27</v>
      </c>
      <c r="K1002" s="102" t="str">
        <f t="shared" ca="1" si="31"/>
        <v>0__c27</v>
      </c>
      <c r="L1002" s="102"/>
      <c r="M1002" s="102"/>
      <c r="N1002" s="102"/>
      <c r="O1002" s="102"/>
      <c r="P1002" s="102"/>
      <c r="Q1002" s="102"/>
      <c r="R1002" s="102"/>
      <c r="S1002" s="101"/>
    </row>
    <row r="1003" spans="1:19" ht="86.4" x14ac:dyDescent="0.3">
      <c r="A1003" t="s">
        <v>4798</v>
      </c>
      <c r="B1003" t="s">
        <v>3727</v>
      </c>
      <c r="C1003" s="90" t="s">
        <v>4932</v>
      </c>
      <c r="D1003" t="s">
        <v>5562</v>
      </c>
      <c r="E1003" s="101" t="s">
        <v>6326</v>
      </c>
      <c r="F1003" t="str" cm="1">
        <f t="array" aca="1" ref="F1003" ca="1">INDIRECT("'" &amp; A1003 &amp; "'!" &amp; B1003)</f>
        <v>c29</v>
      </c>
      <c r="G1003" t="str" cm="1">
        <f t="array" aca="1" ref="G1003" ca="1">INDIRECT("'" &amp; A1003 &amp; "'!" &amp; ADDRESS(1, COLUMN(INDIRECT("'" &amp; A1003 &amp; "'!" &amp; B1003))))</f>
        <v>1969 - 1</v>
      </c>
      <c r="H1003" t="str">
        <f ca="1">VLOOKUP($G1003, survey_codes_dict!A:C, 2, FALSE)</f>
        <v>1969_1</v>
      </c>
      <c r="I1003" s="102">
        <f ca="1">VLOOKUP($G1003, survey_codes_dict!A:D, 4, FALSE)</f>
        <v>0</v>
      </c>
      <c r="J1003" s="102" t="str">
        <f t="shared" ca="1" si="30"/>
        <v>1969_1__c29</v>
      </c>
      <c r="K1003" s="102" t="str">
        <f t="shared" ca="1" si="31"/>
        <v>0__c29</v>
      </c>
      <c r="L1003" s="102"/>
      <c r="M1003" s="102"/>
      <c r="N1003" s="102"/>
      <c r="O1003" s="102"/>
      <c r="P1003" s="102"/>
      <c r="Q1003" s="102"/>
      <c r="R1003" s="102"/>
      <c r="S1003" s="101"/>
    </row>
    <row r="1004" spans="1:19" ht="43.2" x14ac:dyDescent="0.3">
      <c r="A1004" t="s">
        <v>4798</v>
      </c>
      <c r="B1004" t="s">
        <v>4933</v>
      </c>
      <c r="C1004" s="90" t="s">
        <v>3383</v>
      </c>
      <c r="D1004" t="s">
        <v>5562</v>
      </c>
      <c r="E1004" s="101" t="s">
        <v>5706</v>
      </c>
      <c r="F1004" t="str" cm="1">
        <f t="array" aca="1" ref="F1004" ca="1">INDIRECT("'" &amp; A1004 &amp; "'!" &amp; B1004)</f>
        <v>c30</v>
      </c>
      <c r="G1004" t="str" cm="1">
        <f t="array" aca="1" ref="G1004" ca="1">INDIRECT("'" &amp; A1004 &amp; "'!" &amp; ADDRESS(1, COLUMN(INDIRECT("'" &amp; A1004 &amp; "'!" &amp; B1004))))</f>
        <v>1969 - 1</v>
      </c>
      <c r="H1004" t="str">
        <f ca="1">VLOOKUP($G1004, survey_codes_dict!A:C, 2, FALSE)</f>
        <v>1969_1</v>
      </c>
      <c r="I1004" s="102">
        <f ca="1">VLOOKUP($G1004, survey_codes_dict!A:D, 4, FALSE)</f>
        <v>0</v>
      </c>
      <c r="J1004" s="102" t="str">
        <f t="shared" ca="1" si="30"/>
        <v>1969_1__c30</v>
      </c>
      <c r="K1004" s="102" t="str">
        <f t="shared" ca="1" si="31"/>
        <v>0__c30</v>
      </c>
      <c r="L1004" s="102"/>
      <c r="M1004" s="102"/>
      <c r="N1004" s="102"/>
      <c r="O1004" s="102"/>
      <c r="P1004" s="102"/>
      <c r="Q1004" s="102"/>
      <c r="R1004" s="102"/>
      <c r="S1004" s="101"/>
    </row>
    <row r="1005" spans="1:19" ht="86.4" x14ac:dyDescent="0.3">
      <c r="A1005" t="s">
        <v>4798</v>
      </c>
      <c r="B1005" t="s">
        <v>4934</v>
      </c>
      <c r="C1005" s="90" t="s">
        <v>4932</v>
      </c>
      <c r="D1005" t="s">
        <v>5562</v>
      </c>
      <c r="E1005" s="101" t="s">
        <v>6326</v>
      </c>
      <c r="F1005" t="str" cm="1">
        <f t="array" aca="1" ref="F1005" ca="1">INDIRECT("'" &amp; A1005 &amp; "'!" &amp; B1005)</f>
        <v>c32</v>
      </c>
      <c r="G1005" t="str" cm="1">
        <f t="array" aca="1" ref="G1005" ca="1">INDIRECT("'" &amp; A1005 &amp; "'!" &amp; ADDRESS(1, COLUMN(INDIRECT("'" &amp; A1005 &amp; "'!" &amp; B1005))))</f>
        <v>1969 - 1</v>
      </c>
      <c r="H1005" t="str">
        <f ca="1">VLOOKUP($G1005, survey_codes_dict!A:C, 2, FALSE)</f>
        <v>1969_1</v>
      </c>
      <c r="I1005" s="102">
        <f ca="1">VLOOKUP($G1005, survey_codes_dict!A:D, 4, FALSE)</f>
        <v>0</v>
      </c>
      <c r="J1005" s="102" t="str">
        <f t="shared" ca="1" si="30"/>
        <v>1969_1__c32</v>
      </c>
      <c r="K1005" s="102" t="str">
        <f t="shared" ca="1" si="31"/>
        <v>0__c32</v>
      </c>
      <c r="L1005" s="102"/>
      <c r="M1005" s="102"/>
      <c r="N1005" s="102"/>
      <c r="O1005" s="102"/>
      <c r="P1005" s="102"/>
      <c r="Q1005" s="102"/>
      <c r="R1005" s="102"/>
      <c r="S1005" s="101"/>
    </row>
    <row r="1006" spans="1:19" ht="86.4" x14ac:dyDescent="0.3">
      <c r="A1006" t="s">
        <v>4798</v>
      </c>
      <c r="B1006" t="s">
        <v>4935</v>
      </c>
      <c r="C1006" s="90" t="s">
        <v>4936</v>
      </c>
      <c r="D1006" t="s">
        <v>5562</v>
      </c>
      <c r="E1006" s="101" t="s">
        <v>6327</v>
      </c>
      <c r="F1006" t="str" cm="1">
        <f t="array" aca="1" ref="F1006" ca="1">INDIRECT("'" &amp; A1006 &amp; "'!" &amp; B1006)</f>
        <v>v602</v>
      </c>
      <c r="G1006" cm="1">
        <f t="array" aca="1" ref="G1006" ca="1">INDIRECT("'" &amp; A1006 &amp; "'!" &amp; ADDRESS(1, COLUMN(INDIRECT("'" &amp; A1006 &amp; "'!" &amp; B1006))))</f>
        <v>2021</v>
      </c>
      <c r="H1006" t="e">
        <f ca="1">VLOOKUP($G1006, survey_codes_dict!A:C, 2, FALSE)</f>
        <v>#N/A</v>
      </c>
      <c r="I1006" s="102" t="e">
        <f ca="1">VLOOKUP($G1006, survey_codes_dict!A:D, 4, FALSE)</f>
        <v>#N/A</v>
      </c>
      <c r="J1006" s="102" t="e">
        <f t="shared" ca="1" si="30"/>
        <v>#N/A</v>
      </c>
      <c r="K1006" s="102" t="e">
        <f t="shared" ca="1" si="31"/>
        <v>#N/A</v>
      </c>
      <c r="L1006" s="102"/>
      <c r="M1006" s="102"/>
      <c r="N1006" s="102"/>
      <c r="O1006" s="102"/>
      <c r="P1006" s="102"/>
      <c r="Q1006" s="102"/>
      <c r="R1006" s="102"/>
      <c r="S1006" s="102"/>
    </row>
    <row r="1007" spans="1:19" ht="28.8" x14ac:dyDescent="0.3">
      <c r="A1007" t="s">
        <v>4937</v>
      </c>
      <c r="B1007" t="s">
        <v>4938</v>
      </c>
      <c r="C1007" s="90" t="s">
        <v>3996</v>
      </c>
      <c r="D1007" t="s">
        <v>399</v>
      </c>
      <c r="E1007" s="101" t="s">
        <v>5593</v>
      </c>
      <c r="F1007" t="str" cm="1">
        <f t="array" aca="1" ref="F1007" ca="1">INDIRECT("'" &amp; A1007 &amp; "'!" &amp; B1007)</f>
        <v>אם אנו חושבים על כיווני התפתחות אפשריים של מדינת ישראל, ישנם 4 ערכים חשובים שבמידה מסוימת מתנגשים זה עם זה, והם חשובים לאנשים שונים במידות שונות. מבין ארבעת הערכים הבאים, איזה החשוב לך ביותר?</v>
      </c>
      <c r="G1007" t="str" cm="1">
        <f t="array" aca="1" ref="G1007" ca="1">INDIRECT("'" &amp; A1007 &amp; "'!" &amp; ADDRESS(1, COLUMN(INDIRECT("'" &amp; A1007 &amp; "'!" &amp; B1007))))</f>
        <v>שאלה</v>
      </c>
      <c r="H1007" t="e">
        <f ca="1">VLOOKUP($G1007, survey_codes_dict!A:C, 2, FALSE)</f>
        <v>#N/A</v>
      </c>
      <c r="I1007" s="102" t="e">
        <f ca="1">VLOOKUP($G1007, survey_codes_dict!A:D, 4, FALSE)</f>
        <v>#N/A</v>
      </c>
      <c r="J1007" s="102" t="e">
        <f t="shared" ca="1" si="30"/>
        <v>#N/A</v>
      </c>
      <c r="K1007" s="102" t="e">
        <f t="shared" ca="1" si="31"/>
        <v>#N/A</v>
      </c>
      <c r="L1007" s="102"/>
      <c r="M1007" s="102"/>
      <c r="N1007" s="102"/>
      <c r="O1007" s="102"/>
      <c r="P1007" s="102"/>
      <c r="Q1007" s="102"/>
      <c r="R1007" s="102"/>
      <c r="S1007" s="102"/>
    </row>
    <row r="1008" spans="1:19" ht="100.8" x14ac:dyDescent="0.3">
      <c r="A1008" t="s">
        <v>4937</v>
      </c>
      <c r="B1008" t="s">
        <v>3562</v>
      </c>
      <c r="C1008" s="90" t="s">
        <v>4939</v>
      </c>
      <c r="D1008" t="s">
        <v>5562</v>
      </c>
      <c r="E1008" s="101" t="s">
        <v>6328</v>
      </c>
      <c r="F1008" t="str" cm="1">
        <f t="array" aca="1" ref="F1008" ca="1">INDIRECT("'" &amp; A1008 &amp; "'!" &amp; B1008)</f>
        <v>v15</v>
      </c>
      <c r="G1008" cm="1">
        <f t="array" aca="1" ref="G1008" ca="1">INDIRECT("'" &amp; A1008 &amp; "'!" &amp; ADDRESS(1, COLUMN(INDIRECT("'" &amp; A1008 &amp; "'!" &amp; B1008))))</f>
        <v>2020</v>
      </c>
      <c r="H1008" t="e">
        <f ca="1">VLOOKUP($G1008, survey_codes_dict!A:C, 2, FALSE)</f>
        <v>#N/A</v>
      </c>
      <c r="I1008" s="102" t="e">
        <f ca="1">VLOOKUP($G1008, survey_codes_dict!A:D, 4, FALSE)</f>
        <v>#N/A</v>
      </c>
      <c r="J1008" s="102" t="e">
        <f t="shared" ca="1" si="30"/>
        <v>#N/A</v>
      </c>
      <c r="K1008" s="102" t="e">
        <f t="shared" ca="1" si="31"/>
        <v>#N/A</v>
      </c>
      <c r="L1008" s="102"/>
      <c r="M1008" s="102"/>
      <c r="N1008" s="102"/>
      <c r="O1008" s="102"/>
      <c r="P1008" s="102"/>
      <c r="Q1008" s="102"/>
      <c r="R1008" s="102"/>
      <c r="S1008" s="101"/>
    </row>
    <row r="1009" spans="1:19" ht="28.8" x14ac:dyDescent="0.3">
      <c r="A1009" t="s">
        <v>4937</v>
      </c>
      <c r="B1009" t="s">
        <v>4064</v>
      </c>
      <c r="C1009" s="90" t="s">
        <v>3996</v>
      </c>
      <c r="D1009" t="s">
        <v>399</v>
      </c>
      <c r="E1009" s="101" t="s">
        <v>5593</v>
      </c>
      <c r="F1009" t="str" cm="1">
        <f t="array" aca="1" ref="F1009" ca="1">INDIRECT("'" &amp; A1009 &amp; "'!" &amp; B1009)</f>
        <v>ואיזה שני בחשיבותו?</v>
      </c>
      <c r="G1009" t="str" cm="1">
        <f t="array" aca="1" ref="G1009" ca="1">INDIRECT("'" &amp; A1009 &amp; "'!" &amp; ADDRESS(1, COLUMN(INDIRECT("'" &amp; A1009 &amp; "'!" &amp; B1009))))</f>
        <v>שאלה</v>
      </c>
      <c r="H1009" t="e">
        <f ca="1">VLOOKUP($G1009, survey_codes_dict!A:C, 2, FALSE)</f>
        <v>#N/A</v>
      </c>
      <c r="I1009" s="102" t="e">
        <f ca="1">VLOOKUP($G1009, survey_codes_dict!A:D, 4, FALSE)</f>
        <v>#N/A</v>
      </c>
      <c r="J1009" s="102" t="e">
        <f t="shared" ca="1" si="30"/>
        <v>#N/A</v>
      </c>
      <c r="K1009" s="102" t="e">
        <f t="shared" ca="1" si="31"/>
        <v>#N/A</v>
      </c>
      <c r="L1009" s="102"/>
      <c r="M1009" s="102"/>
      <c r="N1009" s="102"/>
      <c r="O1009" s="102"/>
      <c r="P1009" s="102"/>
      <c r="Q1009" s="102"/>
      <c r="R1009" s="102"/>
      <c r="S1009" s="102"/>
    </row>
    <row r="1010" spans="1:19" ht="115.2" x14ac:dyDescent="0.3">
      <c r="A1010" t="s">
        <v>4937</v>
      </c>
      <c r="B1010" t="s">
        <v>3316</v>
      </c>
      <c r="C1010" s="90" t="s">
        <v>4940</v>
      </c>
      <c r="D1010" t="s">
        <v>5562</v>
      </c>
      <c r="E1010" s="101" t="s">
        <v>6329</v>
      </c>
      <c r="F1010" t="str" cm="1">
        <f t="array" aca="1" ref="F1010" ca="1">INDIRECT("'" &amp; A1010 &amp; "'!" &amp; B1010)</f>
        <v>v21</v>
      </c>
      <c r="G1010" cm="1">
        <f t="array" aca="1" ref="G1010" ca="1">INDIRECT("'" &amp; A1010 &amp; "'!" &amp; ADDRESS(1, COLUMN(INDIRECT("'" &amp; A1010 &amp; "'!" &amp; B1010))))</f>
        <v>2020</v>
      </c>
      <c r="H1010" t="e">
        <f ca="1">VLOOKUP($G1010, survey_codes_dict!A:C, 2, FALSE)</f>
        <v>#N/A</v>
      </c>
      <c r="I1010" s="102" t="e">
        <f ca="1">VLOOKUP($G1010, survey_codes_dict!A:D, 4, FALSE)</f>
        <v>#N/A</v>
      </c>
      <c r="J1010" s="102" t="e">
        <f t="shared" ca="1" si="30"/>
        <v>#N/A</v>
      </c>
      <c r="K1010" s="102" t="e">
        <f t="shared" ca="1" si="31"/>
        <v>#N/A</v>
      </c>
      <c r="L1010" s="102"/>
      <c r="M1010" s="102"/>
      <c r="N1010" s="102"/>
      <c r="O1010" s="102"/>
      <c r="P1010" s="102"/>
      <c r="Q1010" s="102"/>
      <c r="R1010" s="102"/>
      <c r="S1010" s="101"/>
    </row>
    <row r="1011" spans="1:19" ht="28.8" x14ac:dyDescent="0.3">
      <c r="A1011" t="s">
        <v>4937</v>
      </c>
      <c r="B1011" t="s">
        <v>4807</v>
      </c>
      <c r="C1011" s="90" t="s">
        <v>4941</v>
      </c>
      <c r="D1011" t="s">
        <v>399</v>
      </c>
      <c r="E1011" s="101" t="s">
        <v>5648</v>
      </c>
      <c r="F1011" t="str" cm="1">
        <f t="array" aca="1" ref="F1011" ca="1">INDIRECT("'" &amp; A1011 &amp; "'!" &amp; B1011)</f>
        <v>a44</v>
      </c>
      <c r="G1011" cm="1">
        <f t="array" aca="1" ref="G1011" ca="1">INDIRECT("'" &amp; A1011 &amp; "'!" &amp; ADDRESS(1, COLUMN(INDIRECT("'" &amp; A1011 &amp; "'!" &amp; B1011))))</f>
        <v>2006</v>
      </c>
      <c r="H1011" t="str">
        <f ca="1">VLOOKUP($G1011, survey_codes_dict!A:C, 2, FALSE)</f>
        <v>2006</v>
      </c>
      <c r="I1011" s="102" t="str">
        <f ca="1">VLOOKUP($G1011, survey_codes_dict!A:D, 4, FALSE)</f>
        <v>2003</v>
      </c>
      <c r="J1011" s="102" t="str">
        <f t="shared" ca="1" si="30"/>
        <v>2006__a44</v>
      </c>
      <c r="K1011" s="102" t="str">
        <f t="shared" ca="1" si="31"/>
        <v>2003__a44</v>
      </c>
      <c r="L1011" s="102"/>
      <c r="M1011" s="102"/>
      <c r="N1011" s="102"/>
      <c r="O1011" s="102"/>
      <c r="P1011" s="102"/>
      <c r="Q1011" s="102"/>
      <c r="R1011" s="102"/>
      <c r="S1011" s="101"/>
    </row>
    <row r="1012" spans="1:19" ht="72" x14ac:dyDescent="0.3">
      <c r="A1012" t="s">
        <v>4937</v>
      </c>
      <c r="B1012" t="s">
        <v>4942</v>
      </c>
      <c r="C1012" s="90" t="s">
        <v>4943</v>
      </c>
      <c r="D1012" t="s">
        <v>5562</v>
      </c>
      <c r="E1012" s="101" t="s">
        <v>6330</v>
      </c>
      <c r="F1012" t="str" cm="1">
        <f t="array" aca="1" ref="F1012" ca="1">INDIRECT("'" &amp; A1012 &amp; "'!" &amp; B1012)</f>
        <v>v117</v>
      </c>
      <c r="G1012" cm="1">
        <f t="array" aca="1" ref="G1012" ca="1">INDIRECT("'" &amp; A1012 &amp; "'!" &amp; ADDRESS(1, COLUMN(INDIRECT("'" &amp; A1012 &amp; "'!" &amp; B1012))))</f>
        <v>43556</v>
      </c>
      <c r="H1012" t="e">
        <f ca="1">VLOOKUP($G1012, survey_codes_dict!A:C, 2, FALSE)</f>
        <v>#N/A</v>
      </c>
      <c r="I1012" s="102" t="e">
        <f ca="1">VLOOKUP($G1012, survey_codes_dict!A:D, 4, FALSE)</f>
        <v>#N/A</v>
      </c>
      <c r="J1012" s="102" t="e">
        <f t="shared" ca="1" si="30"/>
        <v>#N/A</v>
      </c>
      <c r="K1012" s="102" t="e">
        <f t="shared" ca="1" si="31"/>
        <v>#N/A</v>
      </c>
      <c r="L1012" s="102"/>
      <c r="M1012" s="102"/>
      <c r="N1012" s="102"/>
      <c r="O1012" s="102"/>
      <c r="P1012" s="102"/>
      <c r="Q1012" s="102"/>
      <c r="R1012" s="102"/>
      <c r="S1012" s="101"/>
    </row>
    <row r="1013" spans="1:19" ht="28.8" x14ac:dyDescent="0.3">
      <c r="A1013" t="s">
        <v>4937</v>
      </c>
      <c r="B1013" t="s">
        <v>4070</v>
      </c>
      <c r="C1013" s="90" t="s">
        <v>3354</v>
      </c>
      <c r="D1013" t="s">
        <v>399</v>
      </c>
      <c r="E1013" s="101" t="s">
        <v>5567</v>
      </c>
      <c r="F1013" t="str" cm="1">
        <f t="array" aca="1" ref="F1013" ca="1">INDIRECT("'" &amp; A1013 &amp; "'!" &amp; B1013)</f>
        <v>יש מצבים בהם קיימת סתירה בין הדמוקרטיה לבין ההלכה היהודית. במקרה של סתירה, האם יש להעדיף את השמירה על עקרונות הדמוקרטיה, או שיש להעדיף את השמירה על ציווי ההלכה היהודית?</v>
      </c>
      <c r="G1013" t="str" cm="1">
        <f t="array" aca="1" ref="G1013" ca="1">INDIRECT("'" &amp; A1013 &amp; "'!" &amp; ADDRESS(1, COLUMN(INDIRECT("'" &amp; A1013 &amp; "'!" &amp; B1013))))</f>
        <v>שאלה</v>
      </c>
      <c r="H1013" t="e">
        <f ca="1">VLOOKUP($G1013, survey_codes_dict!A:C, 2, FALSE)</f>
        <v>#N/A</v>
      </c>
      <c r="I1013" s="102" t="e">
        <f ca="1">VLOOKUP($G1013, survey_codes_dict!A:D, 4, FALSE)</f>
        <v>#N/A</v>
      </c>
      <c r="J1013" s="102" t="e">
        <f t="shared" ca="1" si="30"/>
        <v>#N/A</v>
      </c>
      <c r="K1013" s="102" t="e">
        <f t="shared" ca="1" si="31"/>
        <v>#N/A</v>
      </c>
      <c r="L1013" s="102"/>
      <c r="M1013" s="102"/>
      <c r="N1013" s="102"/>
      <c r="O1013" s="102"/>
      <c r="P1013" s="102"/>
      <c r="Q1013" s="102"/>
      <c r="R1013" s="102"/>
      <c r="S1013" s="102"/>
    </row>
    <row r="1014" spans="1:19" ht="86.4" x14ac:dyDescent="0.3">
      <c r="A1014" t="s">
        <v>4937</v>
      </c>
      <c r="B1014" t="s">
        <v>4944</v>
      </c>
      <c r="C1014" s="90" t="s">
        <v>4945</v>
      </c>
      <c r="D1014" t="s">
        <v>5562</v>
      </c>
      <c r="E1014" s="101" t="s">
        <v>6331</v>
      </c>
      <c r="F1014" t="str" cm="1">
        <f t="array" aca="1" ref="F1014" ca="1">INDIRECT("'" &amp; A1014 &amp; "'!" &amp; B1014)</f>
        <v>v21</v>
      </c>
      <c r="G1014" cm="1">
        <f t="array" aca="1" ref="G1014" ca="1">INDIRECT("'" &amp; A1014 &amp; "'!" &amp; ADDRESS(1, COLUMN(INDIRECT("'" &amp; A1014 &amp; "'!" &amp; B1014))))</f>
        <v>2015</v>
      </c>
      <c r="H1014" t="e">
        <f ca="1">VLOOKUP($G1014, survey_codes_dict!A:C, 2, FALSE)</f>
        <v>#N/A</v>
      </c>
      <c r="I1014" s="102" t="e">
        <f ca="1">VLOOKUP($G1014, survey_codes_dict!A:D, 4, FALSE)</f>
        <v>#N/A</v>
      </c>
      <c r="J1014" s="102" t="e">
        <f t="shared" ca="1" si="30"/>
        <v>#N/A</v>
      </c>
      <c r="K1014" s="102" t="e">
        <f t="shared" ca="1" si="31"/>
        <v>#N/A</v>
      </c>
      <c r="L1014" s="102"/>
      <c r="M1014" s="102"/>
      <c r="N1014" s="102"/>
      <c r="O1014" s="102"/>
      <c r="P1014" s="102"/>
      <c r="Q1014" s="102"/>
      <c r="R1014" s="102"/>
      <c r="S1014" s="101"/>
    </row>
    <row r="1015" spans="1:19" ht="72" x14ac:dyDescent="0.3">
      <c r="A1015" t="s">
        <v>4937</v>
      </c>
      <c r="B1015" t="s">
        <v>4946</v>
      </c>
      <c r="C1015" s="90" t="s">
        <v>4947</v>
      </c>
      <c r="D1015" t="s">
        <v>5562</v>
      </c>
      <c r="E1015" s="101" t="s">
        <v>6332</v>
      </c>
      <c r="F1015" t="str" cm="1">
        <f t="array" aca="1" ref="F1015" ca="1">INDIRECT("'" &amp; A1015 &amp; "'!" &amp; B1015)</f>
        <v>v15</v>
      </c>
      <c r="G1015" cm="1">
        <f t="array" aca="1" ref="G1015" ca="1">INDIRECT("'" &amp; A1015 &amp; "'!" &amp; ADDRESS(1, COLUMN(INDIRECT("'" &amp; A1015 &amp; "'!" &amp; B1015))))</f>
        <v>1999</v>
      </c>
      <c r="H1015" t="str">
        <f ca="1">VLOOKUP($G1015, survey_codes_dict!A:C, 2, FALSE)</f>
        <v>1999_1</v>
      </c>
      <c r="I1015" s="102" t="str">
        <f ca="1">VLOOKUP($G1015, survey_codes_dict!A:D, 4, FALSE)</f>
        <v>1996_Jews</v>
      </c>
      <c r="J1015" s="102" t="str">
        <f t="shared" ca="1" si="30"/>
        <v>1999_1__v15</v>
      </c>
      <c r="K1015" s="102" t="str">
        <f t="shared" ca="1" si="31"/>
        <v>1996_Jews__v15</v>
      </c>
      <c r="L1015" s="102"/>
      <c r="M1015" s="102"/>
      <c r="N1015" s="102"/>
      <c r="O1015" s="102"/>
      <c r="P1015" s="102"/>
      <c r="Q1015" s="102"/>
      <c r="R1015" s="102"/>
      <c r="S1015" s="101"/>
    </row>
    <row r="1016" spans="1:19" ht="57.6" x14ac:dyDescent="0.3">
      <c r="A1016" t="s">
        <v>4937</v>
      </c>
      <c r="B1016" t="s">
        <v>4948</v>
      </c>
      <c r="C1016" s="90" t="s">
        <v>4949</v>
      </c>
      <c r="D1016" t="s">
        <v>5562</v>
      </c>
      <c r="E1016" s="101" t="s">
        <v>6333</v>
      </c>
      <c r="F1016" t="str" cm="1">
        <f t="array" aca="1" ref="F1016" ca="1">INDIRECT("'" &amp; A1016 &amp; "'!" &amp; B1016)</f>
        <v>c19</v>
      </c>
      <c r="G1016" cm="1">
        <f t="array" aca="1" ref="G1016" ca="1">INDIRECT("'" &amp; A1016 &amp; "'!" &amp; ADDRESS(1, COLUMN(INDIRECT("'" &amp; A1016 &amp; "'!" &amp; B1016))))</f>
        <v>1996</v>
      </c>
      <c r="H1016" t="str">
        <f ca="1">VLOOKUP($G1016, survey_codes_dict!A:C, 2, FALSE)</f>
        <v>1996_Jews</v>
      </c>
      <c r="I1016" s="102" t="str">
        <f ca="1">VLOOKUP($G1016, survey_codes_dict!A:D, 4, FALSE)</f>
        <v>1992</v>
      </c>
      <c r="J1016" s="102" t="str">
        <f t="shared" ca="1" si="30"/>
        <v>1996_Jews__c19</v>
      </c>
      <c r="K1016" s="102" t="str">
        <f t="shared" ca="1" si="31"/>
        <v>1992__c19</v>
      </c>
      <c r="L1016" s="102"/>
      <c r="M1016" s="102"/>
      <c r="N1016" s="102"/>
      <c r="O1016" s="102"/>
      <c r="P1016" s="102"/>
      <c r="Q1016" s="102"/>
      <c r="R1016" s="102"/>
      <c r="S1016" s="101"/>
    </row>
    <row r="1017" spans="1:19" ht="72" x14ac:dyDescent="0.3">
      <c r="A1017" t="s">
        <v>4937</v>
      </c>
      <c r="B1017" t="s">
        <v>4950</v>
      </c>
      <c r="C1017" s="90" t="s">
        <v>4951</v>
      </c>
      <c r="D1017" t="s">
        <v>5562</v>
      </c>
      <c r="E1017" s="101" t="s">
        <v>6334</v>
      </c>
      <c r="F1017" t="str" cm="1">
        <f t="array" aca="1" ref="F1017" ca="1">INDIRECT("'" &amp; A1017 &amp; "'!" &amp; B1017)</f>
        <v>v36</v>
      </c>
      <c r="G1017" cm="1">
        <f t="array" aca="1" ref="G1017" ca="1">INDIRECT("'" &amp; A1017 &amp; "'!" &amp; ADDRESS(1, COLUMN(INDIRECT("'" &amp; A1017 &amp; "'!" &amp; B1017))))</f>
        <v>2022</v>
      </c>
      <c r="H1017" t="e">
        <f ca="1">VLOOKUP($G1017, survey_codes_dict!A:C, 2, FALSE)</f>
        <v>#N/A</v>
      </c>
      <c r="I1017" s="102" t="e">
        <f ca="1">VLOOKUP($G1017, survey_codes_dict!A:D, 4, FALSE)</f>
        <v>#N/A</v>
      </c>
      <c r="J1017" s="102" t="e">
        <f t="shared" ca="1" si="30"/>
        <v>#N/A</v>
      </c>
      <c r="K1017" s="102" t="e">
        <f t="shared" ca="1" si="31"/>
        <v>#N/A</v>
      </c>
      <c r="L1017" s="102"/>
      <c r="M1017" s="102"/>
      <c r="N1017" s="102"/>
      <c r="O1017" s="102"/>
      <c r="P1017" s="102"/>
      <c r="Q1017" s="102"/>
      <c r="R1017" s="102"/>
      <c r="S1017" s="101"/>
    </row>
    <row r="1018" spans="1:19" ht="72" x14ac:dyDescent="0.3">
      <c r="A1018" t="s">
        <v>4937</v>
      </c>
      <c r="B1018" t="s">
        <v>4952</v>
      </c>
      <c r="C1018" s="90" t="s">
        <v>4953</v>
      </c>
      <c r="D1018" t="s">
        <v>5562</v>
      </c>
      <c r="E1018" s="101" t="s">
        <v>6335</v>
      </c>
      <c r="F1018" t="str" cm="1">
        <f t="array" aca="1" ref="F1018" ca="1">INDIRECT("'" &amp; A1018 &amp; "'!" &amp; B1018)</f>
        <v>v36</v>
      </c>
      <c r="G1018" cm="1">
        <f t="array" aca="1" ref="G1018" ca="1">INDIRECT("'" &amp; A1018 &amp; "'!" &amp; ADDRESS(1, COLUMN(INDIRECT("'" &amp; A1018 &amp; "'!" &amp; B1018))))</f>
        <v>2015</v>
      </c>
      <c r="H1018" t="e">
        <f ca="1">VLOOKUP($G1018, survey_codes_dict!A:C, 2, FALSE)</f>
        <v>#N/A</v>
      </c>
      <c r="I1018" s="102" t="e">
        <f ca="1">VLOOKUP($G1018, survey_codes_dict!A:D, 4, FALSE)</f>
        <v>#N/A</v>
      </c>
      <c r="J1018" s="102" t="e">
        <f t="shared" ca="1" si="30"/>
        <v>#N/A</v>
      </c>
      <c r="K1018" s="102" t="e">
        <f t="shared" ca="1" si="31"/>
        <v>#N/A</v>
      </c>
      <c r="L1018" s="102"/>
      <c r="M1018" s="102"/>
      <c r="N1018" s="102"/>
      <c r="O1018" s="102"/>
      <c r="P1018" s="102"/>
      <c r="Q1018" s="102"/>
      <c r="R1018" s="102"/>
      <c r="S1018" s="101"/>
    </row>
    <row r="1019" spans="1:19" ht="72" x14ac:dyDescent="0.3">
      <c r="A1019" t="s">
        <v>4937</v>
      </c>
      <c r="B1019" t="s">
        <v>4726</v>
      </c>
      <c r="C1019" s="90" t="s">
        <v>4953</v>
      </c>
      <c r="D1019" t="s">
        <v>5562</v>
      </c>
      <c r="E1019" s="101" t="s">
        <v>6335</v>
      </c>
      <c r="F1019" t="str" cm="1">
        <f t="array" aca="1" ref="F1019" ca="1">INDIRECT("'" &amp; A1019 &amp; "'!" &amp; B1019)</f>
        <v>v41</v>
      </c>
      <c r="G1019" cm="1">
        <f t="array" aca="1" ref="G1019" ca="1">INDIRECT("'" &amp; A1019 &amp; "'!" &amp; ADDRESS(1, COLUMN(INDIRECT("'" &amp; A1019 &amp; "'!" &amp; B1019))))</f>
        <v>2013</v>
      </c>
      <c r="H1019" t="e">
        <f ca="1">VLOOKUP($G1019, survey_codes_dict!A:C, 2, FALSE)</f>
        <v>#N/A</v>
      </c>
      <c r="I1019" s="102" t="e">
        <f ca="1">VLOOKUP($G1019, survey_codes_dict!A:D, 4, FALSE)</f>
        <v>#N/A</v>
      </c>
      <c r="J1019" s="102" t="e">
        <f t="shared" ca="1" si="30"/>
        <v>#N/A</v>
      </c>
      <c r="K1019" s="102" t="e">
        <f t="shared" ca="1" si="31"/>
        <v>#N/A</v>
      </c>
      <c r="L1019" s="102"/>
      <c r="M1019" s="102"/>
      <c r="N1019" s="102"/>
      <c r="O1019" s="102"/>
      <c r="P1019" s="102"/>
      <c r="Q1019" s="102"/>
      <c r="R1019" s="102"/>
      <c r="S1019" s="101"/>
    </row>
    <row r="1020" spans="1:19" ht="57.6" x14ac:dyDescent="0.3">
      <c r="A1020" t="s">
        <v>4937</v>
      </c>
      <c r="B1020" t="s">
        <v>4954</v>
      </c>
      <c r="C1020" s="90" t="s">
        <v>4955</v>
      </c>
      <c r="D1020" t="s">
        <v>5562</v>
      </c>
      <c r="E1020" s="101" t="s">
        <v>6336</v>
      </c>
      <c r="F1020" t="str" cm="1">
        <f t="array" aca="1" ref="F1020" ca="1">INDIRECT("'" &amp; A1020 &amp; "'!" &amp; B1020)</f>
        <v>v13</v>
      </c>
      <c r="G1020" cm="1">
        <f t="array" aca="1" ref="G1020" ca="1">INDIRECT("'" &amp; A1020 &amp; "'!" &amp; ADDRESS(1, COLUMN(INDIRECT("'" &amp; A1020 &amp; "'!" &amp; B1020))))</f>
        <v>1999</v>
      </c>
      <c r="H1020" t="str">
        <f ca="1">VLOOKUP($G1020, survey_codes_dict!A:C, 2, FALSE)</f>
        <v>1999_1</v>
      </c>
      <c r="I1020" s="102" t="str">
        <f ca="1">VLOOKUP($G1020, survey_codes_dict!A:D, 4, FALSE)</f>
        <v>1996_Jews</v>
      </c>
      <c r="J1020" s="102" t="str">
        <f t="shared" ca="1" si="30"/>
        <v>1999_1__v13</v>
      </c>
      <c r="K1020" s="102" t="str">
        <f t="shared" ca="1" si="31"/>
        <v>1996_Jews__v13</v>
      </c>
      <c r="L1020" s="102"/>
      <c r="M1020" s="102"/>
      <c r="N1020" s="102"/>
      <c r="O1020" s="102"/>
      <c r="P1020" s="102"/>
      <c r="Q1020" s="102"/>
      <c r="R1020" s="102"/>
      <c r="S1020" s="101"/>
    </row>
    <row r="1021" spans="1:19" ht="100.8" x14ac:dyDescent="0.3">
      <c r="A1021" t="s">
        <v>4937</v>
      </c>
      <c r="B1021" t="s">
        <v>4956</v>
      </c>
      <c r="C1021" s="90" t="s">
        <v>4957</v>
      </c>
      <c r="D1021" t="s">
        <v>5562</v>
      </c>
      <c r="E1021" s="101" t="s">
        <v>6337</v>
      </c>
      <c r="F1021" t="str" cm="1">
        <f t="array" aca="1" ref="F1021" ca="1">INDIRECT("'" &amp; A1021 &amp; "'!" &amp; B1021)</f>
        <v>v25</v>
      </c>
      <c r="G1021" cm="1">
        <f t="array" aca="1" ref="G1021" ca="1">INDIRECT("'" &amp; A1021 &amp; "'!" &amp; ADDRESS(1, COLUMN(INDIRECT("'" &amp; A1021 &amp; "'!" &amp; B1021))))</f>
        <v>2013</v>
      </c>
      <c r="H1021" t="e">
        <f ca="1">VLOOKUP($G1021, survey_codes_dict!A:C, 2, FALSE)</f>
        <v>#N/A</v>
      </c>
      <c r="I1021" s="102" t="e">
        <f ca="1">VLOOKUP($G1021, survey_codes_dict!A:D, 4, FALSE)</f>
        <v>#N/A</v>
      </c>
      <c r="J1021" s="102" t="e">
        <f t="shared" ca="1" si="30"/>
        <v>#N/A</v>
      </c>
      <c r="K1021" s="102" t="e">
        <f t="shared" ca="1" si="31"/>
        <v>#N/A</v>
      </c>
      <c r="L1021" s="102"/>
      <c r="M1021" s="102"/>
      <c r="N1021" s="102"/>
      <c r="O1021" s="102"/>
      <c r="P1021" s="102"/>
      <c r="Q1021" s="102"/>
      <c r="R1021" s="102"/>
      <c r="S1021" s="101"/>
    </row>
    <row r="1022" spans="1:19" ht="57.6" x14ac:dyDescent="0.3">
      <c r="A1022" t="s">
        <v>4937</v>
      </c>
      <c r="B1022" t="s">
        <v>4958</v>
      </c>
      <c r="C1022" s="90" t="s">
        <v>4874</v>
      </c>
      <c r="D1022" t="s">
        <v>5562</v>
      </c>
      <c r="E1022" s="101" t="s">
        <v>6300</v>
      </c>
      <c r="F1022" t="str" cm="1">
        <f t="array" aca="1" ref="F1022" ca="1">INDIRECT("'" &amp; A1022 &amp; "'!" &amp; B1022)</f>
        <v>a44</v>
      </c>
      <c r="G1022" cm="1">
        <f t="array" aca="1" ref="G1022" ca="1">INDIRECT("'" &amp; A1022 &amp; "'!" &amp; ADDRESS(1, COLUMN(INDIRECT("'" &amp; A1022 &amp; "'!" &amp; B1022))))</f>
        <v>2003</v>
      </c>
      <c r="H1022" t="str">
        <f ca="1">VLOOKUP($G1022, survey_codes_dict!A:C, 2, FALSE)</f>
        <v>2003</v>
      </c>
      <c r="I1022" s="102" t="str">
        <f ca="1">VLOOKUP($G1022, survey_codes_dict!A:D, 4, FALSE)</f>
        <v>2001</v>
      </c>
      <c r="J1022" s="102" t="str">
        <f t="shared" ca="1" si="30"/>
        <v>2003__a44</v>
      </c>
      <c r="K1022" s="102" t="str">
        <f t="shared" ca="1" si="31"/>
        <v>2001__a44</v>
      </c>
      <c r="L1022" s="102"/>
      <c r="M1022" s="102"/>
      <c r="N1022" s="102"/>
      <c r="O1022" s="102"/>
      <c r="P1022" s="102"/>
      <c r="Q1022" s="102"/>
      <c r="R1022" s="102"/>
      <c r="S1022" s="101"/>
    </row>
    <row r="1023" spans="1:19" ht="187.2" x14ac:dyDescent="0.3">
      <c r="A1023" t="s">
        <v>4937</v>
      </c>
      <c r="B1023" t="s">
        <v>4074</v>
      </c>
      <c r="C1023" s="90" t="s">
        <v>4959</v>
      </c>
      <c r="D1023" t="s">
        <v>5562</v>
      </c>
      <c r="E1023" s="101" t="s">
        <v>6338</v>
      </c>
      <c r="F1023" t="str" cm="1">
        <f t="array" aca="1" ref="F1023" ca="1">INDIRECT("'" &amp; A1023 &amp; "'!" &amp; B1023)</f>
        <v>a81</v>
      </c>
      <c r="G1023" cm="1">
        <f t="array" aca="1" ref="G1023" ca="1">INDIRECT("'" &amp; A1023 &amp; "'!" &amp; ADDRESS(1, COLUMN(INDIRECT("'" &amp; A1023 &amp; "'!" &amp; B1023))))</f>
        <v>1992</v>
      </c>
      <c r="H1023" t="str">
        <f ca="1">VLOOKUP($G1023, survey_codes_dict!A:C, 2, FALSE)</f>
        <v>1992</v>
      </c>
      <c r="I1023" s="102" t="str">
        <f ca="1">VLOOKUP($G1023, survey_codes_dict!A:D, 4, FALSE)</f>
        <v>1988_N=873</v>
      </c>
      <c r="J1023" s="102" t="str">
        <f t="shared" ca="1" si="30"/>
        <v>1992__a81</v>
      </c>
      <c r="K1023" s="102" t="str">
        <f t="shared" ca="1" si="31"/>
        <v>1988_N=873__a81</v>
      </c>
      <c r="L1023" s="102"/>
      <c r="M1023" s="102"/>
      <c r="N1023" s="102"/>
      <c r="O1023" s="102"/>
      <c r="P1023" s="102"/>
      <c r="Q1023" s="102"/>
      <c r="R1023" s="102"/>
      <c r="S1023" s="101"/>
    </row>
    <row r="1024" spans="1:19" ht="72" x14ac:dyDescent="0.3">
      <c r="A1024" t="s">
        <v>4937</v>
      </c>
      <c r="B1024" t="s">
        <v>4960</v>
      </c>
      <c r="C1024" s="90" t="s">
        <v>4961</v>
      </c>
      <c r="D1024" t="s">
        <v>5562</v>
      </c>
      <c r="E1024" s="101" t="s">
        <v>6339</v>
      </c>
      <c r="F1024" t="str" cm="1">
        <f t="array" aca="1" ref="F1024" ca="1">INDIRECT("'" &amp; A1024 &amp; "'!" &amp; B1024)</f>
        <v>a82</v>
      </c>
      <c r="G1024" cm="1">
        <f t="array" aca="1" ref="G1024" ca="1">INDIRECT("'" &amp; A1024 &amp; "'!" &amp; ADDRESS(1, COLUMN(INDIRECT("'" &amp; A1024 &amp; "'!" &amp; B1024))))</f>
        <v>1992</v>
      </c>
      <c r="H1024" t="str">
        <f ca="1">VLOOKUP($G1024, survey_codes_dict!A:C, 2, FALSE)</f>
        <v>1992</v>
      </c>
      <c r="I1024" s="102" t="str">
        <f ca="1">VLOOKUP($G1024, survey_codes_dict!A:D, 4, FALSE)</f>
        <v>1988_N=873</v>
      </c>
      <c r="J1024" s="102" t="str">
        <f t="shared" ca="1" si="30"/>
        <v>1992__a82</v>
      </c>
      <c r="K1024" s="102" t="str">
        <f t="shared" ca="1" si="31"/>
        <v>1988_N=873__a82</v>
      </c>
      <c r="L1024" s="102"/>
      <c r="M1024" s="102"/>
      <c r="N1024" s="102"/>
      <c r="O1024" s="102"/>
      <c r="P1024" s="102"/>
      <c r="Q1024" s="102"/>
      <c r="R1024" s="102"/>
      <c r="S1024" s="101"/>
    </row>
    <row r="1025" spans="1:19" ht="72" x14ac:dyDescent="0.3">
      <c r="A1025" t="s">
        <v>4937</v>
      </c>
      <c r="B1025" t="s">
        <v>4306</v>
      </c>
      <c r="C1025" s="90" t="s">
        <v>4961</v>
      </c>
      <c r="D1025" t="s">
        <v>5562</v>
      </c>
      <c r="E1025" s="101" t="s">
        <v>6339</v>
      </c>
      <c r="F1025" t="str" cm="1">
        <f t="array" aca="1" ref="F1025" ca="1">INDIRECT("'" &amp; A1025 &amp; "'!" &amp; B1025)</f>
        <v>a83</v>
      </c>
      <c r="G1025" cm="1">
        <f t="array" aca="1" ref="G1025" ca="1">INDIRECT("'" &amp; A1025 &amp; "'!" &amp; ADDRESS(1, COLUMN(INDIRECT("'" &amp; A1025 &amp; "'!" &amp; B1025))))</f>
        <v>1992</v>
      </c>
      <c r="H1025" t="str">
        <f ca="1">VLOOKUP($G1025, survey_codes_dict!A:C, 2, FALSE)</f>
        <v>1992</v>
      </c>
      <c r="I1025" s="102" t="str">
        <f ca="1">VLOOKUP($G1025, survey_codes_dict!A:D, 4, FALSE)</f>
        <v>1988_N=873</v>
      </c>
      <c r="J1025" s="102" t="str">
        <f t="shared" ca="1" si="30"/>
        <v>1992__a83</v>
      </c>
      <c r="K1025" s="102" t="str">
        <f t="shared" ca="1" si="31"/>
        <v>1988_N=873__a83</v>
      </c>
      <c r="L1025" s="102"/>
      <c r="M1025" s="102"/>
      <c r="N1025" s="102"/>
      <c r="O1025" s="102"/>
      <c r="P1025" s="102"/>
      <c r="Q1025" s="102"/>
      <c r="R1025" s="102"/>
      <c r="S1025" s="101"/>
    </row>
    <row r="1026" spans="1:19" ht="72" x14ac:dyDescent="0.3">
      <c r="A1026" t="s">
        <v>4937</v>
      </c>
      <c r="B1026" t="s">
        <v>4962</v>
      </c>
      <c r="C1026" s="90" t="s">
        <v>4961</v>
      </c>
      <c r="D1026" t="s">
        <v>5562</v>
      </c>
      <c r="E1026" s="101" t="s">
        <v>6339</v>
      </c>
      <c r="F1026" t="str" cm="1">
        <f t="array" aca="1" ref="F1026" ca="1">INDIRECT("'" &amp; A1026 &amp; "'!" &amp; B1026)</f>
        <v>a84</v>
      </c>
      <c r="G1026" cm="1">
        <f t="array" aca="1" ref="G1026" ca="1">INDIRECT("'" &amp; A1026 &amp; "'!" &amp; ADDRESS(1, COLUMN(INDIRECT("'" &amp; A1026 &amp; "'!" &amp; B1026))))</f>
        <v>1992</v>
      </c>
      <c r="H1026" t="str">
        <f ca="1">VLOOKUP($G1026, survey_codes_dict!A:C, 2, FALSE)</f>
        <v>1992</v>
      </c>
      <c r="I1026" s="102" t="str">
        <f ca="1">VLOOKUP($G1026, survey_codes_dict!A:D, 4, FALSE)</f>
        <v>1988_N=873</v>
      </c>
      <c r="J1026" s="102" t="str">
        <f t="shared" ref="J1026:J1089" ca="1" si="32">_xlfn.CONCAT($H1026, "__", F1026)</f>
        <v>1992__a84</v>
      </c>
      <c r="K1026" s="102" t="str">
        <f t="shared" ref="K1026:K1089" ca="1" si="33">_xlfn.CONCAT($I1026, "__", F1026)</f>
        <v>1988_N=873__a84</v>
      </c>
      <c r="L1026" s="102"/>
      <c r="M1026" s="102"/>
      <c r="N1026" s="102"/>
      <c r="O1026" s="102"/>
      <c r="P1026" s="102"/>
      <c r="Q1026" s="102"/>
      <c r="R1026" s="102"/>
      <c r="S1026" s="101"/>
    </row>
    <row r="1027" spans="1:19" ht="72" x14ac:dyDescent="0.3">
      <c r="A1027" t="s">
        <v>4937</v>
      </c>
      <c r="B1027" t="s">
        <v>4963</v>
      </c>
      <c r="C1027" s="90" t="s">
        <v>3642</v>
      </c>
      <c r="D1027" t="s">
        <v>5562</v>
      </c>
      <c r="E1027" s="101" t="s">
        <v>5817</v>
      </c>
      <c r="F1027" t="str" cm="1">
        <f t="array" aca="1" ref="F1027" ca="1">INDIRECT("'" &amp; A1027 &amp; "'!" &amp; B1027)</f>
        <v>i15</v>
      </c>
      <c r="G1027" cm="1">
        <f t="array" aca="1" ref="G1027" ca="1">INDIRECT("'" &amp; A1027 &amp; "'!" &amp; ADDRESS(1, COLUMN(INDIRECT("'" &amp; A1027 &amp; "'!" &amp; B1027))))</f>
        <v>1992</v>
      </c>
      <c r="H1027" t="str">
        <f ca="1">VLOOKUP($G1027, survey_codes_dict!A:C, 2, FALSE)</f>
        <v>1992</v>
      </c>
      <c r="I1027" s="102" t="str">
        <f ca="1">VLOOKUP($G1027, survey_codes_dict!A:D, 4, FALSE)</f>
        <v>1988_N=873</v>
      </c>
      <c r="J1027" s="102" t="str">
        <f t="shared" ca="1" si="32"/>
        <v>1992__i15</v>
      </c>
      <c r="K1027" s="102" t="str">
        <f t="shared" ca="1" si="33"/>
        <v>1988_N=873__i15</v>
      </c>
      <c r="L1027" s="102"/>
      <c r="M1027" s="102"/>
      <c r="N1027" s="102"/>
      <c r="O1027" s="102"/>
      <c r="P1027" s="102"/>
      <c r="Q1027" s="102"/>
      <c r="R1027" s="102"/>
      <c r="S1027" s="101"/>
    </row>
    <row r="1028" spans="1:19" ht="43.2" x14ac:dyDescent="0.3">
      <c r="A1028" t="s">
        <v>4937</v>
      </c>
      <c r="B1028" t="s">
        <v>4964</v>
      </c>
      <c r="C1028" s="90" t="s">
        <v>3644</v>
      </c>
      <c r="D1028" t="s">
        <v>5562</v>
      </c>
      <c r="E1028" s="101" t="s">
        <v>5818</v>
      </c>
      <c r="F1028" t="str" cm="1">
        <f t="array" aca="1" ref="F1028" ca="1">INDIRECT("'" &amp; A1028 &amp; "'!" &amp; B1028)</f>
        <v>i24</v>
      </c>
      <c r="G1028" cm="1">
        <f t="array" aca="1" ref="G1028" ca="1">INDIRECT("'" &amp; A1028 &amp; "'!" &amp; ADDRESS(1, COLUMN(INDIRECT("'" &amp; A1028 &amp; "'!" &amp; B1028))))</f>
        <v>1992</v>
      </c>
      <c r="H1028" t="str">
        <f ca="1">VLOOKUP($G1028, survey_codes_dict!A:C, 2, FALSE)</f>
        <v>1992</v>
      </c>
      <c r="I1028" s="102" t="str">
        <f ca="1">VLOOKUP($G1028, survey_codes_dict!A:D, 4, FALSE)</f>
        <v>1988_N=873</v>
      </c>
      <c r="J1028" s="102" t="str">
        <f t="shared" ca="1" si="32"/>
        <v>1992__i24</v>
      </c>
      <c r="K1028" s="102" t="str">
        <f t="shared" ca="1" si="33"/>
        <v>1988_N=873__i24</v>
      </c>
      <c r="L1028" s="102"/>
      <c r="M1028" s="102"/>
      <c r="N1028" s="102"/>
      <c r="O1028" s="102"/>
      <c r="P1028" s="102"/>
      <c r="Q1028" s="102"/>
      <c r="R1028" s="102"/>
      <c r="S1028" s="101"/>
    </row>
    <row r="1029" spans="1:19" ht="43.2" x14ac:dyDescent="0.3">
      <c r="A1029" t="s">
        <v>4937</v>
      </c>
      <c r="B1029" t="s">
        <v>4965</v>
      </c>
      <c r="C1029" s="90" t="s">
        <v>4966</v>
      </c>
      <c r="D1029" t="s">
        <v>5562</v>
      </c>
      <c r="E1029" s="101" t="s">
        <v>6340</v>
      </c>
      <c r="F1029" t="str" cm="1">
        <f t="array" aca="1" ref="F1029" ca="1">INDIRECT("'" &amp; A1029 &amp; "'!" &amp; B1029)</f>
        <v>c26</v>
      </c>
      <c r="G1029" t="str" cm="1">
        <f t="array" aca="1" ref="G1029" ca="1">INDIRECT("'" &amp; A1029 &amp; "'!" &amp; ADDRESS(1, COLUMN(INDIRECT("'" &amp; A1029 &amp; "'!" &amp; B1029))))</f>
        <v>1988*</v>
      </c>
      <c r="H1029" t="str">
        <f ca="1">VLOOKUP($G1029, survey_codes_dict!A:C, 2, FALSE)</f>
        <v>1988_N=873</v>
      </c>
      <c r="I1029" s="102" t="str">
        <f ca="1">VLOOKUP($G1029, survey_codes_dict!A:D, 4, FALSE)</f>
        <v>1988_Panel_N=416</v>
      </c>
      <c r="J1029" s="102" t="str">
        <f t="shared" ca="1" si="32"/>
        <v>1988_N=873__c26</v>
      </c>
      <c r="K1029" s="102" t="str">
        <f t="shared" ca="1" si="33"/>
        <v>1988_Panel_N=416__c26</v>
      </c>
      <c r="L1029" s="102"/>
      <c r="M1029" s="102"/>
      <c r="N1029" s="102"/>
      <c r="O1029" s="102"/>
      <c r="P1029" s="102"/>
      <c r="Q1029" s="102"/>
      <c r="R1029" s="102"/>
      <c r="S1029" s="101"/>
    </row>
    <row r="1030" spans="1:19" ht="72" x14ac:dyDescent="0.3">
      <c r="A1030" t="s">
        <v>4937</v>
      </c>
      <c r="B1030" t="s">
        <v>4967</v>
      </c>
      <c r="C1030" s="90" t="s">
        <v>4968</v>
      </c>
      <c r="D1030" t="s">
        <v>5562</v>
      </c>
      <c r="E1030" s="101" t="s">
        <v>6341</v>
      </c>
      <c r="F1030" t="str" cm="1">
        <f t="array" aca="1" ref="F1030" ca="1">INDIRECT("'" &amp; A1030 &amp; "'!" &amp; B1030)</f>
        <v>b57</v>
      </c>
      <c r="G1030" t="str" cm="1">
        <f t="array" aca="1" ref="G1030" ca="1">INDIRECT("'" &amp; A1030 &amp; "'!" &amp; ADDRESS(1, COLUMN(INDIRECT("'" &amp; A1030 &amp; "'!" &amp; B1030))))</f>
        <v>1981 - 3</v>
      </c>
      <c r="H1030" t="str">
        <f ca="1">VLOOKUP($G1030, survey_codes_dict!A:C, 2, FALSE)</f>
        <v>1981_3</v>
      </c>
      <c r="I1030" s="102">
        <f ca="1">VLOOKUP($G1030, survey_codes_dict!A:D, 4, FALSE)</f>
        <v>0</v>
      </c>
      <c r="J1030" s="102" t="str">
        <f t="shared" ca="1" si="32"/>
        <v>1981_3__b57</v>
      </c>
      <c r="K1030" s="102" t="str">
        <f t="shared" ca="1" si="33"/>
        <v>0__b57</v>
      </c>
      <c r="L1030" s="102"/>
      <c r="M1030" s="102"/>
      <c r="N1030" s="102"/>
      <c r="O1030" s="102"/>
      <c r="P1030" s="102"/>
      <c r="Q1030" s="102"/>
      <c r="R1030" s="102"/>
      <c r="S1030" s="101"/>
    </row>
    <row r="1031" spans="1:19" ht="72" x14ac:dyDescent="0.3">
      <c r="A1031" t="s">
        <v>4937</v>
      </c>
      <c r="B1031" t="s">
        <v>4969</v>
      </c>
      <c r="C1031" s="90" t="s">
        <v>4970</v>
      </c>
      <c r="D1031" t="s">
        <v>5562</v>
      </c>
      <c r="E1031" s="101" t="s">
        <v>6342</v>
      </c>
      <c r="F1031" t="str" cm="1">
        <f t="array" aca="1" ref="F1031" ca="1">INDIRECT("'" &amp; A1031 &amp; "'!" &amp; B1031)</f>
        <v>b58</v>
      </c>
      <c r="G1031" t="str" cm="1">
        <f t="array" aca="1" ref="G1031" ca="1">INDIRECT("'" &amp; A1031 &amp; "'!" &amp; ADDRESS(1, COLUMN(INDIRECT("'" &amp; A1031 &amp; "'!" &amp; B1031))))</f>
        <v>1981 - 3</v>
      </c>
      <c r="H1031" t="str">
        <f ca="1">VLOOKUP($G1031, survey_codes_dict!A:C, 2, FALSE)</f>
        <v>1981_3</v>
      </c>
      <c r="I1031" s="102">
        <f ca="1">VLOOKUP($G1031, survey_codes_dict!A:D, 4, FALSE)</f>
        <v>0</v>
      </c>
      <c r="J1031" s="102" t="str">
        <f t="shared" ca="1" si="32"/>
        <v>1981_3__b58</v>
      </c>
      <c r="K1031" s="102" t="str">
        <f t="shared" ca="1" si="33"/>
        <v>0__b58</v>
      </c>
      <c r="L1031" s="102"/>
      <c r="M1031" s="102"/>
      <c r="N1031" s="102"/>
      <c r="O1031" s="102"/>
      <c r="P1031" s="102"/>
      <c r="Q1031" s="102"/>
      <c r="R1031" s="102"/>
      <c r="S1031" s="101"/>
    </row>
    <row r="1032" spans="1:19" ht="72" x14ac:dyDescent="0.3">
      <c r="A1032" t="s">
        <v>4937</v>
      </c>
      <c r="B1032" t="s">
        <v>4971</v>
      </c>
      <c r="C1032" s="90" t="s">
        <v>4972</v>
      </c>
      <c r="D1032" t="s">
        <v>5562</v>
      </c>
      <c r="E1032" s="101" t="s">
        <v>6343</v>
      </c>
      <c r="F1032" t="str" cm="1">
        <f t="array" aca="1" ref="F1032" ca="1">INDIRECT("'" &amp; A1032 &amp; "'!" &amp; B1032)</f>
        <v>v106</v>
      </c>
      <c r="G1032" t="str" cm="1">
        <f t="array" aca="1" ref="G1032" ca="1">INDIRECT("'" &amp; A1032 &amp; "'!" &amp; ADDRESS(1, COLUMN(INDIRECT("'" &amp; A1032 &amp; "'!" &amp; B1032))))</f>
        <v>1981 - 1</v>
      </c>
      <c r="H1032" t="str">
        <f ca="1">VLOOKUP($G1032, survey_codes_dict!A:C, 2, FALSE)</f>
        <v>1981_1</v>
      </c>
      <c r="I1032" s="102" t="str">
        <f ca="1">VLOOKUP($G1032, survey_codes_dict!A:D, 4, FALSE)</f>
        <v>1977_4</v>
      </c>
      <c r="J1032" s="102" t="str">
        <f t="shared" ca="1" si="32"/>
        <v>1981_1__v106</v>
      </c>
      <c r="K1032" s="102" t="str">
        <f t="shared" ca="1" si="33"/>
        <v>1977_4__v106</v>
      </c>
      <c r="L1032" s="102"/>
      <c r="M1032" s="102"/>
      <c r="N1032" s="102"/>
      <c r="O1032" s="102"/>
      <c r="P1032" s="102"/>
      <c r="Q1032" s="102"/>
      <c r="R1032" s="102"/>
      <c r="S1032" s="101"/>
    </row>
    <row r="1033" spans="1:19" ht="72" x14ac:dyDescent="0.3">
      <c r="A1033" t="s">
        <v>4937</v>
      </c>
      <c r="B1033" t="s">
        <v>3831</v>
      </c>
      <c r="C1033" s="90" t="s">
        <v>4973</v>
      </c>
      <c r="D1033" t="s">
        <v>5562</v>
      </c>
      <c r="E1033" s="101" t="s">
        <v>6344</v>
      </c>
      <c r="F1033" t="str" cm="1">
        <f t="array" aca="1" ref="F1033" ca="1">INDIRECT("'" &amp; A1033 &amp; "'!" &amp; B1033)</f>
        <v>b19</v>
      </c>
      <c r="G1033" t="str" cm="1">
        <f t="array" aca="1" ref="G1033" ca="1">INDIRECT("'" &amp; A1033 &amp; "'!" &amp; ADDRESS(1, COLUMN(INDIRECT("'" &amp; A1033 &amp; "'!" &amp; B1033))))</f>
        <v>1969 - 2</v>
      </c>
      <c r="H1033" t="str">
        <f ca="1">VLOOKUP($G1033, survey_codes_dict!A:C, 2, FALSE)</f>
        <v>1969_2</v>
      </c>
      <c r="I1033" s="102" t="str">
        <f ca="1">VLOOKUP($G1033, survey_codes_dict!A:D, 4, FALSE)</f>
        <v>1969_1</v>
      </c>
      <c r="J1033" s="102" t="str">
        <f t="shared" ca="1" si="32"/>
        <v>1969_2__b19</v>
      </c>
      <c r="K1033" s="102" t="str">
        <f t="shared" ca="1" si="33"/>
        <v>1969_1__b19</v>
      </c>
      <c r="L1033" s="102"/>
      <c r="M1033" s="102"/>
      <c r="N1033" s="102"/>
      <c r="O1033" s="102"/>
      <c r="P1033" s="102"/>
      <c r="Q1033" s="102"/>
      <c r="R1033" s="102"/>
      <c r="S1033" s="101"/>
    </row>
    <row r="1034" spans="1:19" ht="86.4" x14ac:dyDescent="0.3">
      <c r="A1034" t="s">
        <v>4937</v>
      </c>
      <c r="B1034" t="s">
        <v>3832</v>
      </c>
      <c r="C1034" s="90" t="s">
        <v>4974</v>
      </c>
      <c r="D1034" t="s">
        <v>5562</v>
      </c>
      <c r="E1034" s="101" t="s">
        <v>6345</v>
      </c>
      <c r="F1034" t="str" cm="1">
        <f t="array" aca="1" ref="F1034" ca="1">INDIRECT("'" &amp; A1034 &amp; "'!" &amp; B1034)</f>
        <v>b6</v>
      </c>
      <c r="G1034" t="str" cm="1">
        <f t="array" aca="1" ref="G1034" ca="1">INDIRECT("'" &amp; A1034 &amp; "'!" &amp; ADDRESS(1, COLUMN(INDIRECT("'" &amp; A1034 &amp; "'!" &amp; B1034))))</f>
        <v>1969 - 1</v>
      </c>
      <c r="H1034" t="str">
        <f ca="1">VLOOKUP($G1034, survey_codes_dict!A:C, 2, FALSE)</f>
        <v>1969_1</v>
      </c>
      <c r="I1034" s="102">
        <f ca="1">VLOOKUP($G1034, survey_codes_dict!A:D, 4, FALSE)</f>
        <v>0</v>
      </c>
      <c r="J1034" s="102" t="str">
        <f t="shared" ca="1" si="32"/>
        <v>1969_1__b6</v>
      </c>
      <c r="K1034" s="102" t="str">
        <f t="shared" ca="1" si="33"/>
        <v>0__b6</v>
      </c>
      <c r="L1034" s="102"/>
      <c r="M1034" s="102"/>
      <c r="N1034" s="102"/>
      <c r="O1034" s="102"/>
      <c r="P1034" s="102"/>
      <c r="Q1034" s="102"/>
      <c r="R1034" s="102"/>
      <c r="S1034" s="101"/>
    </row>
    <row r="1035" spans="1:19" ht="144" x14ac:dyDescent="0.3">
      <c r="A1035" t="s">
        <v>4937</v>
      </c>
      <c r="B1035" t="s">
        <v>3834</v>
      </c>
      <c r="C1035" s="90" t="s">
        <v>4975</v>
      </c>
      <c r="D1035" t="s">
        <v>5562</v>
      </c>
      <c r="E1035" s="101" t="s">
        <v>6346</v>
      </c>
      <c r="F1035" t="str" cm="1">
        <f t="array" aca="1" ref="F1035" ca="1">INDIRECT("'" &amp; A1035 &amp; "'!" &amp; B1035)</f>
        <v>b7</v>
      </c>
      <c r="G1035" t="str" cm="1">
        <f t="array" aca="1" ref="G1035" ca="1">INDIRECT("'" &amp; A1035 &amp; "'!" &amp; ADDRESS(1, COLUMN(INDIRECT("'" &amp; A1035 &amp; "'!" &amp; B1035))))</f>
        <v>1969 - 1</v>
      </c>
      <c r="H1035" t="str">
        <f ca="1">VLOOKUP($G1035, survey_codes_dict!A:C, 2, FALSE)</f>
        <v>1969_1</v>
      </c>
      <c r="I1035" s="102">
        <f ca="1">VLOOKUP($G1035, survey_codes_dict!A:D, 4, FALSE)</f>
        <v>0</v>
      </c>
      <c r="J1035" s="102" t="str">
        <f t="shared" ca="1" si="32"/>
        <v>1969_1__b7</v>
      </c>
      <c r="K1035" s="102" t="str">
        <f t="shared" ca="1" si="33"/>
        <v>0__b7</v>
      </c>
      <c r="L1035" s="102"/>
      <c r="M1035" s="102"/>
      <c r="N1035" s="102"/>
      <c r="O1035" s="102"/>
      <c r="P1035" s="102"/>
      <c r="Q1035" s="102"/>
      <c r="R1035" s="102"/>
      <c r="S1035" s="101"/>
    </row>
    <row r="1036" spans="1:19" ht="72" x14ac:dyDescent="0.3">
      <c r="A1036" t="s">
        <v>4937</v>
      </c>
      <c r="B1036" t="s">
        <v>3835</v>
      </c>
      <c r="C1036" s="90" t="s">
        <v>4976</v>
      </c>
      <c r="D1036" t="s">
        <v>5562</v>
      </c>
      <c r="E1036" s="101" t="s">
        <v>6347</v>
      </c>
      <c r="F1036" t="str" cm="1">
        <f t="array" aca="1" ref="F1036" ca="1">INDIRECT("'" &amp; A1036 &amp; "'!" &amp; B1036)</f>
        <v>c19</v>
      </c>
      <c r="G1036" t="str" cm="1">
        <f t="array" aca="1" ref="G1036" ca="1">INDIRECT("'" &amp; A1036 &amp; "'!" &amp; ADDRESS(1, COLUMN(INDIRECT("'" &amp; A1036 &amp; "'!" &amp; B1036))))</f>
        <v>1969 - 1</v>
      </c>
      <c r="H1036" t="str">
        <f ca="1">VLOOKUP($G1036, survey_codes_dict!A:C, 2, FALSE)</f>
        <v>1969_1</v>
      </c>
      <c r="I1036" s="102">
        <f ca="1">VLOOKUP($G1036, survey_codes_dict!A:D, 4, FALSE)</f>
        <v>0</v>
      </c>
      <c r="J1036" s="102" t="str">
        <f t="shared" ca="1" si="32"/>
        <v>1969_1__c19</v>
      </c>
      <c r="K1036" s="102" t="str">
        <f t="shared" ca="1" si="33"/>
        <v>0__c19</v>
      </c>
      <c r="L1036" s="102"/>
      <c r="M1036" s="102"/>
      <c r="N1036" s="102"/>
      <c r="O1036" s="102"/>
      <c r="P1036" s="102"/>
      <c r="Q1036" s="102"/>
      <c r="R1036" s="102"/>
      <c r="S1036" s="101"/>
    </row>
    <row r="1037" spans="1:19" ht="86.4" x14ac:dyDescent="0.3">
      <c r="A1037" t="s">
        <v>4977</v>
      </c>
      <c r="B1037" t="s">
        <v>4713</v>
      </c>
      <c r="C1037" s="90" t="s">
        <v>4801</v>
      </c>
      <c r="D1037" t="s">
        <v>5562</v>
      </c>
      <c r="E1037" s="101" t="s">
        <v>6258</v>
      </c>
      <c r="F1037" t="str" cm="1">
        <f t="array" aca="1" ref="F1037" ca="1">INDIRECT("'" &amp; A1037 &amp; "'!" &amp; B1037)</f>
        <v>v48</v>
      </c>
      <c r="G1037" cm="1">
        <f t="array" aca="1" ref="G1037" ca="1">INDIRECT("'" &amp; A1037 &amp; "'!" &amp; ADDRESS(1, COLUMN(INDIRECT("'" &amp; A1037 &amp; "'!" &amp; B1037))))</f>
        <v>2022</v>
      </c>
      <c r="H1037" t="e">
        <f ca="1">VLOOKUP($G1037, survey_codes_dict!A:C, 2, FALSE)</f>
        <v>#N/A</v>
      </c>
      <c r="I1037" s="102" t="e">
        <f ca="1">VLOOKUP($G1037, survey_codes_dict!A:D, 4, FALSE)</f>
        <v>#N/A</v>
      </c>
      <c r="J1037" s="102" t="e">
        <f t="shared" ca="1" si="32"/>
        <v>#N/A</v>
      </c>
      <c r="K1037" s="102" t="e">
        <f t="shared" ca="1" si="33"/>
        <v>#N/A</v>
      </c>
      <c r="L1037" s="102"/>
      <c r="M1037" s="102"/>
      <c r="N1037" s="102"/>
      <c r="O1037" s="102"/>
      <c r="P1037" s="102"/>
      <c r="Q1037" s="102"/>
      <c r="R1037" s="102"/>
      <c r="S1037" s="101"/>
    </row>
    <row r="1038" spans="1:19" ht="100.8" x14ac:dyDescent="0.3">
      <c r="A1038" t="s">
        <v>4977</v>
      </c>
      <c r="B1038" t="s">
        <v>4978</v>
      </c>
      <c r="C1038" s="90" t="s">
        <v>4789</v>
      </c>
      <c r="D1038" t="s">
        <v>5562</v>
      </c>
      <c r="E1038" s="101" t="s">
        <v>6253</v>
      </c>
      <c r="F1038" t="str" cm="1">
        <f t="array" aca="1" ref="F1038" ca="1">INDIRECT("'" &amp; A1038 &amp; "'!" &amp; B1038)</f>
        <v>v48</v>
      </c>
      <c r="G1038" cm="1">
        <f t="array" aca="1" ref="G1038" ca="1">INDIRECT("'" &amp; A1038 &amp; "'!" &amp; ADDRESS(1, COLUMN(INDIRECT("'" &amp; A1038 &amp; "'!" &amp; B1038))))</f>
        <v>2021</v>
      </c>
      <c r="H1038" t="e">
        <f ca="1">VLOOKUP($G1038, survey_codes_dict!A:C, 2, FALSE)</f>
        <v>#N/A</v>
      </c>
      <c r="I1038" s="102" t="e">
        <f ca="1">VLOOKUP($G1038, survey_codes_dict!A:D, 4, FALSE)</f>
        <v>#N/A</v>
      </c>
      <c r="J1038" s="102" t="e">
        <f t="shared" ca="1" si="32"/>
        <v>#N/A</v>
      </c>
      <c r="K1038" s="102" t="e">
        <f t="shared" ca="1" si="33"/>
        <v>#N/A</v>
      </c>
      <c r="L1038" s="102"/>
      <c r="M1038" s="102"/>
      <c r="N1038" s="102"/>
      <c r="O1038" s="102"/>
      <c r="P1038" s="102"/>
      <c r="Q1038" s="102"/>
      <c r="R1038" s="102"/>
      <c r="S1038" s="101"/>
    </row>
    <row r="1039" spans="1:19" ht="72" x14ac:dyDescent="0.3">
      <c r="A1039" t="s">
        <v>4977</v>
      </c>
      <c r="B1039" t="s">
        <v>3562</v>
      </c>
      <c r="C1039" s="90" t="s">
        <v>4979</v>
      </c>
      <c r="D1039" t="s">
        <v>5562</v>
      </c>
      <c r="E1039" s="101" t="s">
        <v>6348</v>
      </c>
      <c r="F1039" t="str" cm="1">
        <f t="array" aca="1" ref="F1039" ca="1">INDIRECT("'" &amp; A1039 &amp; "'!" &amp; B1039)</f>
        <v>v48</v>
      </c>
      <c r="G1039" cm="1">
        <f t="array" aca="1" ref="G1039" ca="1">INDIRECT("'" &amp; A1039 &amp; "'!" &amp; ADDRESS(1, COLUMN(INDIRECT("'" &amp; A1039 &amp; "'!" &amp; B1039))))</f>
        <v>2020</v>
      </c>
      <c r="H1039" t="e">
        <f ca="1">VLOOKUP($G1039, survey_codes_dict!A:C, 2, FALSE)</f>
        <v>#N/A</v>
      </c>
      <c r="I1039" s="102" t="e">
        <f ca="1">VLOOKUP($G1039, survey_codes_dict!A:D, 4, FALSE)</f>
        <v>#N/A</v>
      </c>
      <c r="J1039" s="102" t="e">
        <f t="shared" ca="1" si="32"/>
        <v>#N/A</v>
      </c>
      <c r="K1039" s="102" t="e">
        <f t="shared" ca="1" si="33"/>
        <v>#N/A</v>
      </c>
      <c r="L1039" s="102"/>
      <c r="M1039" s="102"/>
      <c r="N1039" s="102"/>
      <c r="O1039" s="102"/>
      <c r="P1039" s="102"/>
      <c r="Q1039" s="102"/>
      <c r="R1039" s="102"/>
      <c r="S1039" s="101"/>
    </row>
    <row r="1040" spans="1:19" ht="72" x14ac:dyDescent="0.3">
      <c r="A1040" t="s">
        <v>4977</v>
      </c>
      <c r="B1040" t="s">
        <v>3849</v>
      </c>
      <c r="C1040" s="90" t="s">
        <v>4804</v>
      </c>
      <c r="D1040" t="s">
        <v>5562</v>
      </c>
      <c r="E1040" s="101" t="s">
        <v>6260</v>
      </c>
      <c r="F1040" t="str" cm="1">
        <f t="array" aca="1" ref="F1040" ca="1">INDIRECT("'" &amp; A1040 &amp; "'!" &amp; B1040)</f>
        <v>v58</v>
      </c>
      <c r="G1040" cm="1">
        <f t="array" aca="1" ref="G1040" ca="1">INDIRECT("'" &amp; A1040 &amp; "'!" &amp; ADDRESS(1, COLUMN(INDIRECT("'" &amp; A1040 &amp; "'!" &amp; B1040))))</f>
        <v>2015</v>
      </c>
      <c r="H1040" t="e">
        <f ca="1">VLOOKUP($G1040, survey_codes_dict!A:C, 2, FALSE)</f>
        <v>#N/A</v>
      </c>
      <c r="I1040" s="102" t="e">
        <f ca="1">VLOOKUP($G1040, survey_codes_dict!A:D, 4, FALSE)</f>
        <v>#N/A</v>
      </c>
      <c r="J1040" s="102" t="e">
        <f t="shared" ca="1" si="32"/>
        <v>#N/A</v>
      </c>
      <c r="K1040" s="102" t="e">
        <f t="shared" ca="1" si="33"/>
        <v>#N/A</v>
      </c>
      <c r="L1040" s="102"/>
      <c r="M1040" s="102"/>
      <c r="N1040" s="102"/>
      <c r="O1040" s="102"/>
      <c r="P1040" s="102"/>
      <c r="Q1040" s="102"/>
      <c r="R1040" s="102"/>
      <c r="S1040" s="101"/>
    </row>
    <row r="1041" spans="1:19" ht="57.6" x14ac:dyDescent="0.3">
      <c r="A1041" t="s">
        <v>4977</v>
      </c>
      <c r="B1041" t="s">
        <v>3946</v>
      </c>
      <c r="C1041" s="90" t="s">
        <v>4805</v>
      </c>
      <c r="D1041" t="s">
        <v>5562</v>
      </c>
      <c r="E1041" s="101" t="s">
        <v>6261</v>
      </c>
      <c r="F1041" t="str" cm="1">
        <f t="array" aca="1" ref="F1041" ca="1">INDIRECT("'" &amp; A1041 &amp; "'!" &amp; B1041)</f>
        <v>v50</v>
      </c>
      <c r="G1041" cm="1">
        <f t="array" aca="1" ref="G1041" ca="1">INDIRECT("'" &amp; A1041 &amp; "'!" &amp; ADDRESS(1, COLUMN(INDIRECT("'" &amp; A1041 &amp; "'!" &amp; B1041))))</f>
        <v>2013</v>
      </c>
      <c r="H1041" t="e">
        <f ca="1">VLOOKUP($G1041, survey_codes_dict!A:C, 2, FALSE)</f>
        <v>#N/A</v>
      </c>
      <c r="I1041" s="102" t="e">
        <f ca="1">VLOOKUP($G1041, survey_codes_dict!A:D, 4, FALSE)</f>
        <v>#N/A</v>
      </c>
      <c r="J1041" s="102" t="e">
        <f t="shared" ca="1" si="32"/>
        <v>#N/A</v>
      </c>
      <c r="K1041" s="102" t="e">
        <f t="shared" ca="1" si="33"/>
        <v>#N/A</v>
      </c>
      <c r="L1041" s="102"/>
      <c r="M1041" s="102"/>
      <c r="N1041" s="102"/>
      <c r="O1041" s="102"/>
      <c r="P1041" s="102"/>
      <c r="Q1041" s="102"/>
      <c r="R1041" s="102"/>
      <c r="S1041" s="101"/>
    </row>
    <row r="1042" spans="1:19" ht="57.6" x14ac:dyDescent="0.3">
      <c r="A1042" t="s">
        <v>4977</v>
      </c>
      <c r="B1042" t="s">
        <v>4059</v>
      </c>
      <c r="C1042" s="90" t="s">
        <v>4806</v>
      </c>
      <c r="D1042" t="s">
        <v>5562</v>
      </c>
      <c r="E1042" s="101" t="s">
        <v>6262</v>
      </c>
      <c r="F1042" t="str" cm="1">
        <f t="array" aca="1" ref="F1042" ca="1">INDIRECT("'" &amp; A1042 &amp; "'!" &amp; B1042)</f>
        <v>v74a</v>
      </c>
      <c r="G1042" cm="1">
        <f t="array" aca="1" ref="G1042" ca="1">INDIRECT("'" &amp; A1042 &amp; "'!" &amp; ADDRESS(1, COLUMN(INDIRECT("'" &amp; A1042 &amp; "'!" &amp; B1042))))</f>
        <v>2009</v>
      </c>
      <c r="H1042" t="e">
        <f ca="1">VLOOKUP($G1042, survey_codes_dict!A:C, 2, FALSE)</f>
        <v>#N/A</v>
      </c>
      <c r="I1042" s="102" t="e">
        <f ca="1">VLOOKUP($G1042, survey_codes_dict!A:D, 4, FALSE)</f>
        <v>#N/A</v>
      </c>
      <c r="J1042" s="102" t="e">
        <f t="shared" ca="1" si="32"/>
        <v>#N/A</v>
      </c>
      <c r="K1042" s="102" t="e">
        <f t="shared" ca="1" si="33"/>
        <v>#N/A</v>
      </c>
      <c r="L1042" s="102"/>
      <c r="M1042" s="102"/>
      <c r="N1042" s="102"/>
      <c r="O1042" s="102"/>
      <c r="P1042" s="102"/>
      <c r="Q1042" s="102"/>
      <c r="R1042" s="102"/>
      <c r="S1042" s="102"/>
    </row>
    <row r="1043" spans="1:19" ht="86.4" x14ac:dyDescent="0.3">
      <c r="A1043" t="s">
        <v>4977</v>
      </c>
      <c r="B1043" t="s">
        <v>4980</v>
      </c>
      <c r="C1043" s="90" t="s">
        <v>4808</v>
      </c>
      <c r="D1043" t="s">
        <v>5562</v>
      </c>
      <c r="E1043" s="101" t="s">
        <v>6263</v>
      </c>
      <c r="F1043" t="str" cm="1">
        <f t="array" aca="1" ref="F1043" ca="1">INDIRECT("'" &amp; A1043 &amp; "'!" &amp; B1043)</f>
        <v>a82</v>
      </c>
      <c r="G1043" cm="1">
        <f t="array" aca="1" ref="G1043" ca="1">INDIRECT("'" &amp; A1043 &amp; "'!" &amp; ADDRESS(1, COLUMN(INDIRECT("'" &amp; A1043 &amp; "'!" &amp; B1043))))</f>
        <v>2006</v>
      </c>
      <c r="H1043" t="str">
        <f ca="1">VLOOKUP($G1043, survey_codes_dict!A:C, 2, FALSE)</f>
        <v>2006</v>
      </c>
      <c r="I1043" s="102" t="str">
        <f ca="1">VLOOKUP($G1043, survey_codes_dict!A:D, 4, FALSE)</f>
        <v>2003</v>
      </c>
      <c r="J1043" s="102" t="str">
        <f t="shared" ca="1" si="32"/>
        <v>2006__a82</v>
      </c>
      <c r="K1043" s="102" t="str">
        <f t="shared" ca="1" si="33"/>
        <v>2003__a82</v>
      </c>
      <c r="L1043" s="102"/>
      <c r="M1043" s="102"/>
      <c r="N1043" s="102"/>
      <c r="O1043" s="102"/>
      <c r="P1043" s="102"/>
      <c r="Q1043" s="102"/>
      <c r="R1043" s="102"/>
      <c r="S1043" s="101"/>
    </row>
    <row r="1044" spans="1:19" ht="72" x14ac:dyDescent="0.3">
      <c r="A1044" t="s">
        <v>4977</v>
      </c>
      <c r="B1044" t="s">
        <v>3948</v>
      </c>
      <c r="C1044" s="90" t="s">
        <v>4810</v>
      </c>
      <c r="D1044" t="s">
        <v>5562</v>
      </c>
      <c r="E1044" s="101" t="s">
        <v>6264</v>
      </c>
      <c r="F1044" t="str" cm="1">
        <f t="array" aca="1" ref="F1044" ca="1">INDIRECT("'" &amp; A1044 &amp; "'!" &amp; B1044)</f>
        <v>a48</v>
      </c>
      <c r="G1044" cm="1">
        <f t="array" aca="1" ref="G1044" ca="1">INDIRECT("'" &amp; A1044 &amp; "'!" &amp; ADDRESS(1, COLUMN(INDIRECT("'" &amp; A1044 &amp; "'!" &amp; B1044))))</f>
        <v>2003</v>
      </c>
      <c r="H1044" t="str">
        <f ca="1">VLOOKUP($G1044, survey_codes_dict!A:C, 2, FALSE)</f>
        <v>2003</v>
      </c>
      <c r="I1044" s="102" t="str">
        <f ca="1">VLOOKUP($G1044, survey_codes_dict!A:D, 4, FALSE)</f>
        <v>2001</v>
      </c>
      <c r="J1044" s="102" t="str">
        <f t="shared" ca="1" si="32"/>
        <v>2003__a48</v>
      </c>
      <c r="K1044" s="102" t="str">
        <f t="shared" ca="1" si="33"/>
        <v>2001__a48</v>
      </c>
      <c r="L1044" s="102"/>
      <c r="M1044" s="102"/>
      <c r="N1044" s="102"/>
      <c r="O1044" s="102"/>
      <c r="P1044" s="102"/>
      <c r="Q1044" s="102"/>
      <c r="R1044" s="102"/>
      <c r="S1044" s="101"/>
    </row>
    <row r="1045" spans="1:19" ht="72" x14ac:dyDescent="0.3">
      <c r="A1045" t="s">
        <v>4977</v>
      </c>
      <c r="B1045" t="s">
        <v>3564</v>
      </c>
      <c r="C1045" s="90" t="s">
        <v>4981</v>
      </c>
      <c r="D1045" t="s">
        <v>5562</v>
      </c>
      <c r="E1045" s="101" t="s">
        <v>6349</v>
      </c>
      <c r="F1045" t="str" cm="1">
        <f t="array" aca="1" ref="F1045" ca="1">INDIRECT("'" &amp; A1045 &amp; "'!" &amp; B1045)</f>
        <v>a65</v>
      </c>
      <c r="G1045" cm="1">
        <f t="array" aca="1" ref="G1045" ca="1">INDIRECT("'" &amp; A1045 &amp; "'!" &amp; ADDRESS(1, COLUMN(INDIRECT("'" &amp; A1045 &amp; "'!" &amp; B1045))))</f>
        <v>2001</v>
      </c>
      <c r="H1045" t="str">
        <f ca="1">VLOOKUP($G1045, survey_codes_dict!A:C, 2, FALSE)</f>
        <v>2001</v>
      </c>
      <c r="I1045" s="102" t="str">
        <f ca="1">VLOOKUP($G1045, survey_codes_dict!A:D, 4, FALSE)</f>
        <v>1999_1</v>
      </c>
      <c r="J1045" s="102" t="str">
        <f t="shared" ca="1" si="32"/>
        <v>2001__a65</v>
      </c>
      <c r="K1045" s="102" t="str">
        <f t="shared" ca="1" si="33"/>
        <v>1999_1__a65</v>
      </c>
      <c r="L1045" s="102"/>
      <c r="M1045" s="102"/>
      <c r="N1045" s="102"/>
      <c r="O1045" s="102"/>
      <c r="P1045" s="102"/>
      <c r="Q1045" s="102"/>
      <c r="R1045" s="102"/>
      <c r="S1045" s="101"/>
    </row>
    <row r="1046" spans="1:19" ht="86.4" x14ac:dyDescent="0.3">
      <c r="A1046" t="s">
        <v>4977</v>
      </c>
      <c r="B1046" t="s">
        <v>3566</v>
      </c>
      <c r="C1046" s="90" t="s">
        <v>4813</v>
      </c>
      <c r="D1046" t="s">
        <v>5562</v>
      </c>
      <c r="E1046" s="101" t="s">
        <v>6266</v>
      </c>
      <c r="F1046" t="str" cm="1">
        <f t="array" aca="1" ref="F1046" ca="1">INDIRECT("'" &amp; A1046 &amp; "'!" &amp; B1046)</f>
        <v>i5</v>
      </c>
      <c r="G1046" cm="1">
        <f t="array" aca="1" ref="G1046" ca="1">INDIRECT("'" &amp; A1046 &amp; "'!" &amp; ADDRESS(1, COLUMN(INDIRECT("'" &amp; A1046 &amp; "'!" &amp; B1046))))</f>
        <v>1999</v>
      </c>
      <c r="H1046" t="str">
        <f ca="1">VLOOKUP($G1046, survey_codes_dict!A:C, 2, FALSE)</f>
        <v>1999_1</v>
      </c>
      <c r="I1046" s="102" t="str">
        <f ca="1">VLOOKUP($G1046, survey_codes_dict!A:D, 4, FALSE)</f>
        <v>1996_Jews</v>
      </c>
      <c r="J1046" s="102" t="str">
        <f t="shared" ca="1" si="32"/>
        <v>1999_1__i5</v>
      </c>
      <c r="K1046" s="102" t="str">
        <f t="shared" ca="1" si="33"/>
        <v>1996_Jews__i5</v>
      </c>
      <c r="L1046" s="102"/>
      <c r="M1046" s="102"/>
      <c r="N1046" s="102"/>
      <c r="O1046" s="102"/>
      <c r="P1046" s="102"/>
      <c r="Q1046" s="102"/>
      <c r="R1046" s="102"/>
      <c r="S1046" s="101"/>
    </row>
    <row r="1047" spans="1:19" ht="72" x14ac:dyDescent="0.3">
      <c r="A1047" t="s">
        <v>4977</v>
      </c>
      <c r="B1047" t="s">
        <v>4628</v>
      </c>
      <c r="C1047" s="90" t="s">
        <v>4814</v>
      </c>
      <c r="D1047" t="s">
        <v>5562</v>
      </c>
      <c r="E1047" s="101" t="s">
        <v>6267</v>
      </c>
      <c r="F1047" t="str" cm="1">
        <f t="array" aca="1" ref="F1047" ca="1">INDIRECT("'" &amp; A1047 &amp; "'!" &amp; B1047)</f>
        <v>cc24</v>
      </c>
      <c r="G1047" cm="1">
        <f t="array" aca="1" ref="G1047" ca="1">INDIRECT("'" &amp; A1047 &amp; "'!" &amp; ADDRESS(1, COLUMN(INDIRECT("'" &amp; A1047 &amp; "'!" &amp; B1047))))</f>
        <v>1996</v>
      </c>
      <c r="H1047" t="str">
        <f ca="1">VLOOKUP($G1047, survey_codes_dict!A:C, 2, FALSE)</f>
        <v>1996_Jews</v>
      </c>
      <c r="I1047" s="102" t="str">
        <f ca="1">VLOOKUP($G1047, survey_codes_dict!A:D, 4, FALSE)</f>
        <v>1992</v>
      </c>
      <c r="J1047" s="102" t="str">
        <f t="shared" ca="1" si="32"/>
        <v>1996_Jews__cc24</v>
      </c>
      <c r="K1047" s="102" t="str">
        <f t="shared" ca="1" si="33"/>
        <v>1992__cc24</v>
      </c>
      <c r="L1047" s="102"/>
      <c r="M1047" s="102"/>
      <c r="N1047" s="102"/>
      <c r="O1047" s="102"/>
      <c r="P1047" s="102"/>
      <c r="Q1047" s="102"/>
      <c r="R1047" s="102"/>
      <c r="S1047" s="101"/>
    </row>
    <row r="1048" spans="1:19" ht="43.2" x14ac:dyDescent="0.3">
      <c r="A1048" t="s">
        <v>4977</v>
      </c>
      <c r="B1048" t="s">
        <v>4982</v>
      </c>
      <c r="C1048" s="90" t="s">
        <v>4983</v>
      </c>
      <c r="D1048" t="s">
        <v>5562</v>
      </c>
      <c r="E1048" s="101" t="s">
        <v>6350</v>
      </c>
      <c r="F1048" t="str" cm="1">
        <f t="array" aca="1" ref="F1048" ca="1">INDIRECT("'" &amp; A1048 &amp; "'!" &amp; B1048)</f>
        <v>b14</v>
      </c>
      <c r="G1048" t="str" cm="1">
        <f t="array" aca="1" ref="G1048" ca="1">INDIRECT("'" &amp; A1048 &amp; "'!" &amp; ADDRESS(1, COLUMN(INDIRECT("'" &amp; A1048 &amp; "'!" &amp; B1048))))</f>
        <v>1981 - 3</v>
      </c>
      <c r="H1048" t="str">
        <f ca="1">VLOOKUP($G1048, survey_codes_dict!A:C, 2, FALSE)</f>
        <v>1981_3</v>
      </c>
      <c r="I1048" s="102">
        <f ca="1">VLOOKUP($G1048, survey_codes_dict!A:D, 4, FALSE)</f>
        <v>0</v>
      </c>
      <c r="J1048" s="102" t="str">
        <f t="shared" ca="1" si="32"/>
        <v>1981_3__b14</v>
      </c>
      <c r="K1048" s="102" t="str">
        <f t="shared" ca="1" si="33"/>
        <v>0__b14</v>
      </c>
      <c r="L1048" s="102"/>
      <c r="M1048" s="102"/>
      <c r="N1048" s="102"/>
      <c r="O1048" s="102"/>
      <c r="P1048" s="102"/>
      <c r="Q1048" s="102"/>
      <c r="R1048" s="102"/>
      <c r="S1048" s="101"/>
    </row>
    <row r="1049" spans="1:19" ht="57.6" x14ac:dyDescent="0.3">
      <c r="A1049" t="s">
        <v>4977</v>
      </c>
      <c r="B1049" t="s">
        <v>4984</v>
      </c>
      <c r="C1049" s="90" t="s">
        <v>4985</v>
      </c>
      <c r="D1049" t="s">
        <v>5562</v>
      </c>
      <c r="E1049" s="101" t="s">
        <v>6351</v>
      </c>
      <c r="F1049" t="str" cm="1">
        <f t="array" aca="1" ref="F1049" ca="1">INDIRECT("'" &amp; A1049 &amp; "'!" &amp; B1049)</f>
        <v>c13</v>
      </c>
      <c r="G1049" t="str" cm="1">
        <f t="array" aca="1" ref="G1049" ca="1">INDIRECT("'" &amp; A1049 &amp; "'!" &amp; ADDRESS(1, COLUMN(INDIRECT("'" &amp; A1049 &amp; "'!" &amp; B1049))))</f>
        <v>1977 - 4</v>
      </c>
      <c r="H1049" t="str">
        <f ca="1">VLOOKUP($G1049, survey_codes_dict!A:C, 2, FALSE)</f>
        <v>1977_4</v>
      </c>
      <c r="I1049" s="102" t="str">
        <f ca="1">VLOOKUP($G1049, survey_codes_dict!A:D, 4, FALSE)</f>
        <v>1977_3</v>
      </c>
      <c r="J1049" s="102" t="str">
        <f t="shared" ca="1" si="32"/>
        <v>1977_4__c13</v>
      </c>
      <c r="K1049" s="102" t="str">
        <f t="shared" ca="1" si="33"/>
        <v>1977_3__c13</v>
      </c>
      <c r="L1049" s="102"/>
      <c r="M1049" s="102"/>
      <c r="N1049" s="102"/>
      <c r="O1049" s="102"/>
      <c r="P1049" s="102"/>
      <c r="Q1049" s="102"/>
      <c r="R1049" s="102"/>
      <c r="S1049" s="101"/>
    </row>
    <row r="1050" spans="1:19" ht="57.6" x14ac:dyDescent="0.3">
      <c r="A1050" t="s">
        <v>4977</v>
      </c>
      <c r="B1050" t="s">
        <v>3585</v>
      </c>
      <c r="C1050" s="90" t="s">
        <v>4986</v>
      </c>
      <c r="D1050" t="s">
        <v>5562</v>
      </c>
      <c r="E1050" s="101" t="s">
        <v>6352</v>
      </c>
      <c r="F1050" t="str" cm="1">
        <f t="array" aca="1" ref="F1050" ca="1">INDIRECT("'" &amp; A1050 &amp; "'!" &amp; B1050)</f>
        <v>g52</v>
      </c>
      <c r="G1050" t="str" cm="1">
        <f t="array" aca="1" ref="G1050" ca="1">INDIRECT("'" &amp; A1050 &amp; "'!" &amp; ADDRESS(1, COLUMN(INDIRECT("'" &amp; A1050 &amp; "'!" &amp; B1050))))</f>
        <v>1973 - 4</v>
      </c>
      <c r="H1050" t="str">
        <f ca="1">VLOOKUP($G1050, survey_codes_dict!A:C, 2, FALSE)</f>
        <v>1973_4</v>
      </c>
      <c r="I1050" s="102" t="str">
        <f ca="1">VLOOKUP($G1050, survey_codes_dict!A:D, 4, FALSE)</f>
        <v>1973_3</v>
      </c>
      <c r="J1050" s="102" t="str">
        <f t="shared" ca="1" si="32"/>
        <v>1973_4__g52</v>
      </c>
      <c r="K1050" s="102" t="str">
        <f t="shared" ca="1" si="33"/>
        <v>1973_3__g52</v>
      </c>
      <c r="L1050" s="102"/>
      <c r="M1050" s="102"/>
      <c r="N1050" s="102"/>
      <c r="O1050" s="102"/>
      <c r="P1050" s="102"/>
      <c r="Q1050" s="102"/>
      <c r="R1050" s="102"/>
      <c r="S1050" s="101"/>
    </row>
    <row r="1051" spans="1:19" ht="86.4" x14ac:dyDescent="0.3">
      <c r="A1051" t="s">
        <v>4977</v>
      </c>
      <c r="B1051" t="s">
        <v>4987</v>
      </c>
      <c r="C1051" s="90" t="s">
        <v>4818</v>
      </c>
      <c r="D1051" t="s">
        <v>5562</v>
      </c>
      <c r="E1051" s="101" t="s">
        <v>6269</v>
      </c>
      <c r="F1051" t="str" cm="1">
        <f t="array" aca="1" ref="F1051" ca="1">INDIRECT("'" &amp; A1051 &amp; "'!" &amp; B1051)</f>
        <v>v11</v>
      </c>
      <c r="G1051" cm="1">
        <f t="array" aca="1" ref="G1051" ca="1">INDIRECT("'" &amp; A1051 &amp; "'!" &amp; ADDRESS(1, COLUMN(INDIRECT("'" &amp; A1051 &amp; "'!" &amp; B1051))))</f>
        <v>43556</v>
      </c>
      <c r="H1051" t="e">
        <f ca="1">VLOOKUP($G1051, survey_codes_dict!A:C, 2, FALSE)</f>
        <v>#N/A</v>
      </c>
      <c r="I1051" s="102" t="e">
        <f ca="1">VLOOKUP($G1051, survey_codes_dict!A:D, 4, FALSE)</f>
        <v>#N/A</v>
      </c>
      <c r="J1051" s="102" t="e">
        <f t="shared" ca="1" si="32"/>
        <v>#N/A</v>
      </c>
      <c r="K1051" s="102" t="e">
        <f t="shared" ca="1" si="33"/>
        <v>#N/A</v>
      </c>
      <c r="L1051" s="102"/>
      <c r="M1051" s="102"/>
      <c r="N1051" s="102"/>
      <c r="O1051" s="102"/>
      <c r="P1051" s="102"/>
      <c r="Q1051" s="102"/>
      <c r="R1051" s="102"/>
      <c r="S1051" s="101"/>
    </row>
    <row r="1052" spans="1:19" ht="72" x14ac:dyDescent="0.3">
      <c r="A1052" t="s">
        <v>4977</v>
      </c>
      <c r="B1052" t="s">
        <v>4942</v>
      </c>
      <c r="C1052" s="90" t="s">
        <v>3768</v>
      </c>
      <c r="D1052" t="s">
        <v>5562</v>
      </c>
      <c r="E1052" s="101" t="s">
        <v>5865</v>
      </c>
      <c r="F1052" t="str" cm="1">
        <f t="array" aca="1" ref="F1052" ca="1">INDIRECT("'" &amp; A1052 &amp; "'!" &amp; B1052)</f>
        <v>v14</v>
      </c>
      <c r="G1052" cm="1">
        <f t="array" aca="1" ref="G1052" ca="1">INDIRECT("'" &amp; A1052 &amp; "'!" &amp; ADDRESS(1, COLUMN(INDIRECT("'" &amp; A1052 &amp; "'!" &amp; B1052))))</f>
        <v>43556</v>
      </c>
      <c r="H1052" t="e">
        <f ca="1">VLOOKUP($G1052, survey_codes_dict!A:C, 2, FALSE)</f>
        <v>#N/A</v>
      </c>
      <c r="I1052" s="102" t="e">
        <f ca="1">VLOOKUP($G1052, survey_codes_dict!A:D, 4, FALSE)</f>
        <v>#N/A</v>
      </c>
      <c r="J1052" s="102" t="e">
        <f t="shared" ca="1" si="32"/>
        <v>#N/A</v>
      </c>
      <c r="K1052" s="102" t="e">
        <f t="shared" ca="1" si="33"/>
        <v>#N/A</v>
      </c>
      <c r="L1052" s="102"/>
      <c r="M1052" s="102"/>
      <c r="N1052" s="102"/>
      <c r="O1052" s="102"/>
      <c r="P1052" s="102"/>
      <c r="Q1052" s="102"/>
      <c r="R1052" s="102"/>
      <c r="S1052" s="101"/>
    </row>
    <row r="1053" spans="1:19" ht="43.2" x14ac:dyDescent="0.3">
      <c r="A1053" t="s">
        <v>4977</v>
      </c>
      <c r="B1053" t="s">
        <v>4988</v>
      </c>
      <c r="C1053" s="90" t="s">
        <v>4989</v>
      </c>
      <c r="D1053" t="s">
        <v>5562</v>
      </c>
      <c r="E1053" s="101" t="s">
        <v>6353</v>
      </c>
      <c r="F1053" t="str" cm="1">
        <f t="array" aca="1" ref="F1053" ca="1">INDIRECT("'" &amp; A1053 &amp; "'!" &amp; B1053)</f>
        <v>v21</v>
      </c>
      <c r="G1053" cm="1">
        <f t="array" aca="1" ref="G1053" ca="1">INDIRECT("'" &amp; A1053 &amp; "'!" &amp; ADDRESS(1, COLUMN(INDIRECT("'" &amp; A1053 &amp; "'!" &amp; B1053))))</f>
        <v>2009</v>
      </c>
      <c r="H1053" t="e">
        <f ca="1">VLOOKUP($G1053, survey_codes_dict!A:C, 2, FALSE)</f>
        <v>#N/A</v>
      </c>
      <c r="I1053" s="102" t="e">
        <f ca="1">VLOOKUP($G1053, survey_codes_dict!A:D, 4, FALSE)</f>
        <v>#N/A</v>
      </c>
      <c r="J1053" s="102" t="e">
        <f t="shared" ca="1" si="32"/>
        <v>#N/A</v>
      </c>
      <c r="K1053" s="102" t="e">
        <f t="shared" ca="1" si="33"/>
        <v>#N/A</v>
      </c>
      <c r="L1053" s="102"/>
      <c r="M1053" s="102"/>
      <c r="N1053" s="102"/>
      <c r="O1053" s="102"/>
      <c r="P1053" s="102"/>
      <c r="Q1053" s="102"/>
      <c r="R1053" s="102"/>
      <c r="S1053" s="101"/>
    </row>
    <row r="1054" spans="1:19" ht="72" x14ac:dyDescent="0.3">
      <c r="A1054" t="s">
        <v>4977</v>
      </c>
      <c r="B1054" t="s">
        <v>4990</v>
      </c>
      <c r="C1054" s="90" t="s">
        <v>4991</v>
      </c>
      <c r="D1054" t="s">
        <v>5562</v>
      </c>
      <c r="E1054" s="101" t="s">
        <v>6354</v>
      </c>
      <c r="F1054" t="str" cm="1">
        <f t="array" aca="1" ref="F1054" ca="1">INDIRECT("'" &amp; A1054 &amp; "'!" &amp; B1054)</f>
        <v>a23</v>
      </c>
      <c r="G1054" cm="1">
        <f t="array" aca="1" ref="G1054" ca="1">INDIRECT("'" &amp; A1054 &amp; "'!" &amp; ADDRESS(1, COLUMN(INDIRECT("'" &amp; A1054 &amp; "'!" &amp; B1054))))</f>
        <v>2001</v>
      </c>
      <c r="H1054" t="str">
        <f ca="1">VLOOKUP($G1054, survey_codes_dict!A:C, 2, FALSE)</f>
        <v>2001</v>
      </c>
      <c r="I1054" s="102" t="str">
        <f ca="1">VLOOKUP($G1054, survey_codes_dict!A:D, 4, FALSE)</f>
        <v>1999_1</v>
      </c>
      <c r="J1054" s="102" t="str">
        <f t="shared" ca="1" si="32"/>
        <v>2001__a23</v>
      </c>
      <c r="K1054" s="102" t="str">
        <f t="shared" ca="1" si="33"/>
        <v>1999_1__a23</v>
      </c>
      <c r="L1054" s="102"/>
      <c r="M1054" s="102"/>
      <c r="N1054" s="102"/>
      <c r="O1054" s="102"/>
      <c r="P1054" s="102"/>
      <c r="Q1054" s="102"/>
      <c r="R1054" s="102"/>
      <c r="S1054" s="101"/>
    </row>
    <row r="1055" spans="1:19" ht="72" x14ac:dyDescent="0.3">
      <c r="A1055" t="s">
        <v>4977</v>
      </c>
      <c r="B1055" t="s">
        <v>3866</v>
      </c>
      <c r="C1055" s="90" t="s">
        <v>3768</v>
      </c>
      <c r="D1055" t="s">
        <v>5562</v>
      </c>
      <c r="E1055" s="101" t="s">
        <v>5865</v>
      </c>
      <c r="F1055" t="str" cm="1">
        <f t="array" aca="1" ref="F1055" ca="1">INDIRECT("'" &amp; A1055 &amp; "'!" &amp; B1055)</f>
        <v>v25</v>
      </c>
      <c r="G1055" cm="1">
        <f t="array" aca="1" ref="G1055" ca="1">INDIRECT("'" &amp; A1055 &amp; "'!" &amp; ADDRESS(1, COLUMN(INDIRECT("'" &amp; A1055 &amp; "'!" &amp; B1055))))</f>
        <v>1999</v>
      </c>
      <c r="H1055" t="str">
        <f ca="1">VLOOKUP($G1055, survey_codes_dict!A:C, 2, FALSE)</f>
        <v>1999_1</v>
      </c>
      <c r="I1055" s="102" t="str">
        <f ca="1">VLOOKUP($G1055, survey_codes_dict!A:D, 4, FALSE)</f>
        <v>1996_Jews</v>
      </c>
      <c r="J1055" s="102" t="str">
        <f t="shared" ca="1" si="32"/>
        <v>1999_1__v25</v>
      </c>
      <c r="K1055" s="102" t="str">
        <f t="shared" ca="1" si="33"/>
        <v>1996_Jews__v25</v>
      </c>
      <c r="L1055" s="102"/>
      <c r="M1055" s="102"/>
      <c r="N1055" s="102"/>
      <c r="O1055" s="102"/>
      <c r="P1055" s="102"/>
      <c r="Q1055" s="102"/>
      <c r="R1055" s="102"/>
      <c r="S1055" s="101"/>
    </row>
    <row r="1056" spans="1:19" ht="72" x14ac:dyDescent="0.3">
      <c r="A1056" t="s">
        <v>4977</v>
      </c>
      <c r="B1056" t="s">
        <v>4992</v>
      </c>
      <c r="C1056" s="90" t="s">
        <v>4993</v>
      </c>
      <c r="D1056" t="s">
        <v>5562</v>
      </c>
      <c r="E1056" s="101" t="s">
        <v>6355</v>
      </c>
      <c r="F1056" t="str" cm="1">
        <f t="array" aca="1" ref="F1056" ca="1">INDIRECT("'" &amp; A1056 &amp; "'!" &amp; B1056)</f>
        <v>v16</v>
      </c>
      <c r="G1056" cm="1">
        <f t="array" aca="1" ref="G1056" ca="1">INDIRECT("'" &amp; A1056 &amp; "'!" &amp; ADDRESS(1, COLUMN(INDIRECT("'" &amp; A1056 &amp; "'!" &amp; B1056))))</f>
        <v>2015</v>
      </c>
      <c r="H1056" t="e">
        <f ca="1">VLOOKUP($G1056, survey_codes_dict!A:C, 2, FALSE)</f>
        <v>#N/A</v>
      </c>
      <c r="I1056" s="102" t="e">
        <f ca="1">VLOOKUP($G1056, survey_codes_dict!A:D, 4, FALSE)</f>
        <v>#N/A</v>
      </c>
      <c r="J1056" s="102" t="e">
        <f t="shared" ca="1" si="32"/>
        <v>#N/A</v>
      </c>
      <c r="K1056" s="102" t="e">
        <f t="shared" ca="1" si="33"/>
        <v>#N/A</v>
      </c>
      <c r="L1056" s="102"/>
      <c r="M1056" s="102"/>
      <c r="N1056" s="102"/>
      <c r="O1056" s="102"/>
      <c r="P1056" s="102"/>
      <c r="Q1056" s="102"/>
      <c r="R1056" s="102"/>
      <c r="S1056" s="101"/>
    </row>
    <row r="1057" spans="1:19" ht="86.4" x14ac:dyDescent="0.3">
      <c r="A1057" t="s">
        <v>4977</v>
      </c>
      <c r="B1057" t="s">
        <v>4944</v>
      </c>
      <c r="C1057" s="90" t="s">
        <v>4994</v>
      </c>
      <c r="D1057" t="s">
        <v>5562</v>
      </c>
      <c r="E1057" s="101" t="s">
        <v>6356</v>
      </c>
      <c r="F1057" t="str" cm="1">
        <f t="array" aca="1" ref="F1057" ca="1">INDIRECT("'" &amp; A1057 &amp; "'!" &amp; B1057)</f>
        <v>v23</v>
      </c>
      <c r="G1057" cm="1">
        <f t="array" aca="1" ref="G1057" ca="1">INDIRECT("'" &amp; A1057 &amp; "'!" &amp; ADDRESS(1, COLUMN(INDIRECT("'" &amp; A1057 &amp; "'!" &amp; B1057))))</f>
        <v>2015</v>
      </c>
      <c r="H1057" t="e">
        <f ca="1">VLOOKUP($G1057, survey_codes_dict!A:C, 2, FALSE)</f>
        <v>#N/A</v>
      </c>
      <c r="I1057" s="102" t="e">
        <f ca="1">VLOOKUP($G1057, survey_codes_dict!A:D, 4, FALSE)</f>
        <v>#N/A</v>
      </c>
      <c r="J1057" s="102" t="e">
        <f t="shared" ca="1" si="32"/>
        <v>#N/A</v>
      </c>
      <c r="K1057" s="102" t="e">
        <f t="shared" ca="1" si="33"/>
        <v>#N/A</v>
      </c>
      <c r="L1057" s="102"/>
      <c r="M1057" s="102"/>
      <c r="N1057" s="102"/>
      <c r="O1057" s="102"/>
      <c r="P1057" s="102"/>
      <c r="Q1057" s="102"/>
      <c r="R1057" s="102"/>
      <c r="S1057" s="101"/>
    </row>
    <row r="1058" spans="1:19" ht="86.4" x14ac:dyDescent="0.3">
      <c r="A1058" t="s">
        <v>4977</v>
      </c>
      <c r="B1058" t="s">
        <v>4948</v>
      </c>
      <c r="C1058" s="90" t="s">
        <v>4995</v>
      </c>
      <c r="D1058" t="s">
        <v>5562</v>
      </c>
      <c r="E1058" s="101" t="s">
        <v>6357</v>
      </c>
      <c r="F1058" t="str" cm="1">
        <f t="array" aca="1" ref="F1058" ca="1">INDIRECT("'" &amp; A1058 &amp; "'!" &amp; B1058)</f>
        <v>c52</v>
      </c>
      <c r="G1058" cm="1">
        <f t="array" aca="1" ref="G1058" ca="1">INDIRECT("'" &amp; A1058 &amp; "'!" &amp; ADDRESS(1, COLUMN(INDIRECT("'" &amp; A1058 &amp; "'!" &amp; B1058))))</f>
        <v>1996</v>
      </c>
      <c r="H1058" t="str">
        <f ca="1">VLOOKUP($G1058, survey_codes_dict!A:C, 2, FALSE)</f>
        <v>1996_Jews</v>
      </c>
      <c r="I1058" s="102" t="str">
        <f ca="1">VLOOKUP($G1058, survey_codes_dict!A:D, 4, FALSE)</f>
        <v>1992</v>
      </c>
      <c r="J1058" s="102" t="str">
        <f t="shared" ca="1" si="32"/>
        <v>1996_Jews__c52</v>
      </c>
      <c r="K1058" s="102" t="str">
        <f t="shared" ca="1" si="33"/>
        <v>1992__c52</v>
      </c>
      <c r="L1058" s="102"/>
      <c r="M1058" s="102"/>
      <c r="N1058" s="102"/>
      <c r="O1058" s="102"/>
      <c r="P1058" s="102"/>
      <c r="Q1058" s="102"/>
      <c r="R1058" s="102"/>
      <c r="S1058" s="101"/>
    </row>
    <row r="1059" spans="1:19" ht="115.2" x14ac:dyDescent="0.3">
      <c r="A1059" t="s">
        <v>4977</v>
      </c>
      <c r="B1059" t="s">
        <v>3790</v>
      </c>
      <c r="C1059" s="90" t="s">
        <v>4996</v>
      </c>
      <c r="D1059" t="s">
        <v>5562</v>
      </c>
      <c r="E1059" s="101" t="s">
        <v>6358</v>
      </c>
      <c r="F1059" t="str" cm="1">
        <f t="array" aca="1" ref="F1059" ca="1">INDIRECT("'" &amp; A1059 &amp; "'!" &amp; B1059)</f>
        <v>v117</v>
      </c>
      <c r="G1059" t="str" cm="1">
        <f t="array" aca="1" ref="G1059" ca="1">INDIRECT("'" &amp; A1059 &amp; "'!" &amp; ADDRESS(1, COLUMN(INDIRECT("'" &amp; A1059 &amp; "'!" &amp; B1059))))</f>
        <v>1987*</v>
      </c>
      <c r="H1059" t="e">
        <f ca="1">VLOOKUP($G1059, survey_codes_dict!A:C, 2, FALSE)</f>
        <v>#N/A</v>
      </c>
      <c r="I1059" s="102" t="e">
        <f ca="1">VLOOKUP($G1059, survey_codes_dict!A:D, 4, FALSE)</f>
        <v>#N/A</v>
      </c>
      <c r="J1059" s="102" t="e">
        <f t="shared" ca="1" si="32"/>
        <v>#N/A</v>
      </c>
      <c r="K1059" s="102" t="e">
        <f t="shared" ca="1" si="33"/>
        <v>#N/A</v>
      </c>
      <c r="L1059" s="102"/>
      <c r="M1059" s="102"/>
      <c r="N1059" s="102"/>
      <c r="O1059" s="102"/>
      <c r="P1059" s="102"/>
      <c r="Q1059" s="102"/>
      <c r="R1059" s="102"/>
      <c r="S1059" s="101"/>
    </row>
    <row r="1060" spans="1:19" ht="115.2" x14ac:dyDescent="0.3">
      <c r="A1060" t="s">
        <v>4977</v>
      </c>
      <c r="B1060" t="s">
        <v>4997</v>
      </c>
      <c r="C1060" s="90" t="s">
        <v>4996</v>
      </c>
      <c r="D1060" t="s">
        <v>5562</v>
      </c>
      <c r="E1060" s="101" t="s">
        <v>6358</v>
      </c>
      <c r="F1060" t="str" cm="1">
        <f t="array" aca="1" ref="F1060" ca="1">INDIRECT("'" &amp; A1060 &amp; "'!" &amp; B1060)</f>
        <v>v118</v>
      </c>
      <c r="G1060" t="str" cm="1">
        <f t="array" aca="1" ref="G1060" ca="1">INDIRECT("'" &amp; A1060 &amp; "'!" &amp; ADDRESS(1, COLUMN(INDIRECT("'" &amp; A1060 &amp; "'!" &amp; B1060))))</f>
        <v>1987*</v>
      </c>
      <c r="H1060" t="e">
        <f ca="1">VLOOKUP($G1060, survey_codes_dict!A:C, 2, FALSE)</f>
        <v>#N/A</v>
      </c>
      <c r="I1060" s="102" t="e">
        <f ca="1">VLOOKUP($G1060, survey_codes_dict!A:D, 4, FALSE)</f>
        <v>#N/A</v>
      </c>
      <c r="J1060" s="102" t="e">
        <f t="shared" ca="1" si="32"/>
        <v>#N/A</v>
      </c>
      <c r="K1060" s="102" t="e">
        <f t="shared" ca="1" si="33"/>
        <v>#N/A</v>
      </c>
      <c r="L1060" s="102"/>
      <c r="M1060" s="102"/>
      <c r="N1060" s="102"/>
      <c r="O1060" s="102"/>
      <c r="P1060" s="102"/>
      <c r="Q1060" s="102"/>
      <c r="R1060" s="102"/>
      <c r="S1060" s="101"/>
    </row>
    <row r="1061" spans="1:19" ht="86.4" x14ac:dyDescent="0.3">
      <c r="A1061" t="s">
        <v>4977</v>
      </c>
      <c r="B1061" t="s">
        <v>3794</v>
      </c>
      <c r="C1061" s="90" t="s">
        <v>4998</v>
      </c>
      <c r="D1061" t="s">
        <v>5562</v>
      </c>
      <c r="E1061" s="101" t="s">
        <v>6359</v>
      </c>
      <c r="F1061" t="str" cm="1">
        <f t="array" aca="1" ref="F1061" ca="1">INDIRECT("'" &amp; A1061 &amp; "'!" &amp; B1061)</f>
        <v>v26</v>
      </c>
      <c r="G1061" cm="1">
        <f t="array" aca="1" ref="G1061" ca="1">INDIRECT("'" &amp; A1061 &amp; "'!" &amp; ADDRESS(1, COLUMN(INDIRECT("'" &amp; A1061 &amp; "'!" &amp; B1061))))</f>
        <v>2015</v>
      </c>
      <c r="H1061" t="e">
        <f ca="1">VLOOKUP($G1061, survey_codes_dict!A:C, 2, FALSE)</f>
        <v>#N/A</v>
      </c>
      <c r="I1061" s="102" t="e">
        <f ca="1">VLOOKUP($G1061, survey_codes_dict!A:D, 4, FALSE)</f>
        <v>#N/A</v>
      </c>
      <c r="J1061" s="102" t="e">
        <f t="shared" ca="1" si="32"/>
        <v>#N/A</v>
      </c>
      <c r="K1061" s="102" t="e">
        <f t="shared" ca="1" si="33"/>
        <v>#N/A</v>
      </c>
      <c r="L1061" s="102"/>
      <c r="M1061" s="102"/>
      <c r="N1061" s="102"/>
      <c r="O1061" s="102"/>
      <c r="P1061" s="102"/>
      <c r="Q1061" s="102"/>
      <c r="R1061" s="102"/>
      <c r="S1061" s="101"/>
    </row>
    <row r="1062" spans="1:19" ht="72" x14ac:dyDescent="0.3">
      <c r="A1062" t="s">
        <v>4977</v>
      </c>
      <c r="B1062" t="s">
        <v>4999</v>
      </c>
      <c r="C1062" s="90" t="s">
        <v>5000</v>
      </c>
      <c r="D1062" t="s">
        <v>5562</v>
      </c>
      <c r="E1062" s="101" t="s">
        <v>6360</v>
      </c>
      <c r="F1062" t="str" cm="1">
        <f t="array" aca="1" ref="F1062" ca="1">INDIRECT("'" &amp; A1062 &amp; "'!" &amp; B1062)</f>
        <v>v16a</v>
      </c>
      <c r="G1062" cm="1">
        <f t="array" aca="1" ref="G1062" ca="1">INDIRECT("'" &amp; A1062 &amp; "'!" &amp; ADDRESS(1, COLUMN(INDIRECT("'" &amp; A1062 &amp; "'!" &amp; B1062))))</f>
        <v>2009</v>
      </c>
      <c r="H1062" t="e">
        <f ca="1">VLOOKUP($G1062, survey_codes_dict!A:C, 2, FALSE)</f>
        <v>#N/A</v>
      </c>
      <c r="I1062" s="102" t="e">
        <f ca="1">VLOOKUP($G1062, survey_codes_dict!A:D, 4, FALSE)</f>
        <v>#N/A</v>
      </c>
      <c r="J1062" s="102" t="e">
        <f t="shared" ca="1" si="32"/>
        <v>#N/A</v>
      </c>
      <c r="K1062" s="102" t="e">
        <f t="shared" ca="1" si="33"/>
        <v>#N/A</v>
      </c>
      <c r="L1062" s="102"/>
      <c r="M1062" s="102"/>
      <c r="N1062" s="102"/>
      <c r="O1062" s="102"/>
      <c r="P1062" s="102"/>
      <c r="Q1062" s="102"/>
      <c r="R1062" s="102"/>
      <c r="S1062" s="102"/>
    </row>
    <row r="1063" spans="1:19" ht="100.8" x14ac:dyDescent="0.3">
      <c r="A1063" t="s">
        <v>4977</v>
      </c>
      <c r="B1063" t="s">
        <v>5001</v>
      </c>
      <c r="C1063" s="90" t="s">
        <v>5002</v>
      </c>
      <c r="D1063" t="s">
        <v>5562</v>
      </c>
      <c r="E1063" s="101" t="s">
        <v>6361</v>
      </c>
      <c r="F1063" t="str" cm="1">
        <f t="array" aca="1" ref="F1063" ca="1">INDIRECT("'" &amp; A1063 &amp; "'!" &amp; B1063)</f>
        <v>v16b</v>
      </c>
      <c r="G1063" cm="1">
        <f t="array" aca="1" ref="G1063" ca="1">INDIRECT("'" &amp; A1063 &amp; "'!" &amp; ADDRESS(1, COLUMN(INDIRECT("'" &amp; A1063 &amp; "'!" &amp; B1063))))</f>
        <v>2009</v>
      </c>
      <c r="H1063" t="e">
        <f ca="1">VLOOKUP($G1063, survey_codes_dict!A:C, 2, FALSE)</f>
        <v>#N/A</v>
      </c>
      <c r="I1063" s="102" t="e">
        <f ca="1">VLOOKUP($G1063, survey_codes_dict!A:D, 4, FALSE)</f>
        <v>#N/A</v>
      </c>
      <c r="J1063" s="102" t="e">
        <f t="shared" ca="1" si="32"/>
        <v>#N/A</v>
      </c>
      <c r="K1063" s="102" t="e">
        <f t="shared" ca="1" si="33"/>
        <v>#N/A</v>
      </c>
      <c r="L1063" s="102"/>
      <c r="M1063" s="102"/>
      <c r="N1063" s="102"/>
      <c r="O1063" s="102"/>
      <c r="P1063" s="102"/>
      <c r="Q1063" s="102"/>
      <c r="R1063" s="102"/>
      <c r="S1063" s="102"/>
    </row>
    <row r="1064" spans="1:19" ht="72" x14ac:dyDescent="0.3">
      <c r="A1064" t="s">
        <v>4977</v>
      </c>
      <c r="B1064" t="s">
        <v>4825</v>
      </c>
      <c r="C1064" s="90" t="s">
        <v>5003</v>
      </c>
      <c r="D1064" t="s">
        <v>5562</v>
      </c>
      <c r="E1064" s="101" t="s">
        <v>6362</v>
      </c>
      <c r="F1064" t="str" cm="1">
        <f t="array" aca="1" ref="F1064" ca="1">INDIRECT("'" &amp; A1064 &amp; "'!" &amp; B1064)</f>
        <v>v37</v>
      </c>
      <c r="G1064" cm="1">
        <f t="array" aca="1" ref="G1064" ca="1">INDIRECT("'" &amp; A1064 &amp; "'!" &amp; ADDRESS(1, COLUMN(INDIRECT("'" &amp; A1064 &amp; "'!" &amp; B1064))))</f>
        <v>2015</v>
      </c>
      <c r="H1064" t="e">
        <f ca="1">VLOOKUP($G1064, survey_codes_dict!A:C, 2, FALSE)</f>
        <v>#N/A</v>
      </c>
      <c r="I1064" s="102" t="e">
        <f ca="1">VLOOKUP($G1064, survey_codes_dict!A:D, 4, FALSE)</f>
        <v>#N/A</v>
      </c>
      <c r="J1064" s="102" t="e">
        <f t="shared" ca="1" si="32"/>
        <v>#N/A</v>
      </c>
      <c r="K1064" s="102" t="e">
        <f t="shared" ca="1" si="33"/>
        <v>#N/A</v>
      </c>
      <c r="L1064" s="102"/>
      <c r="M1064" s="102"/>
      <c r="N1064" s="102"/>
      <c r="O1064" s="102"/>
      <c r="P1064" s="102"/>
      <c r="Q1064" s="102"/>
      <c r="R1064" s="102"/>
      <c r="S1064" s="101"/>
    </row>
    <row r="1065" spans="1:19" ht="72" x14ac:dyDescent="0.3">
      <c r="A1065" t="s">
        <v>4977</v>
      </c>
      <c r="B1065" t="s">
        <v>3878</v>
      </c>
      <c r="C1065" s="90" t="s">
        <v>5003</v>
      </c>
      <c r="D1065" t="s">
        <v>5562</v>
      </c>
      <c r="E1065" s="101" t="s">
        <v>6362</v>
      </c>
      <c r="F1065" t="str" cm="1">
        <f t="array" aca="1" ref="F1065" ca="1">INDIRECT("'" &amp; A1065 &amp; "'!" &amp; B1065)</f>
        <v>v38</v>
      </c>
      <c r="G1065" cm="1">
        <f t="array" aca="1" ref="G1065" ca="1">INDIRECT("'" &amp; A1065 &amp; "'!" &amp; ADDRESS(1, COLUMN(INDIRECT("'" &amp; A1065 &amp; "'!" &amp; B1065))))</f>
        <v>2015</v>
      </c>
      <c r="H1065" t="e">
        <f ca="1">VLOOKUP($G1065, survey_codes_dict!A:C, 2, FALSE)</f>
        <v>#N/A</v>
      </c>
      <c r="I1065" s="102" t="e">
        <f ca="1">VLOOKUP($G1065, survey_codes_dict!A:D, 4, FALSE)</f>
        <v>#N/A</v>
      </c>
      <c r="J1065" s="102" t="e">
        <f t="shared" ca="1" si="32"/>
        <v>#N/A</v>
      </c>
      <c r="K1065" s="102" t="e">
        <f t="shared" ca="1" si="33"/>
        <v>#N/A</v>
      </c>
      <c r="L1065" s="102"/>
      <c r="M1065" s="102"/>
      <c r="N1065" s="102"/>
      <c r="O1065" s="102"/>
      <c r="P1065" s="102"/>
      <c r="Q1065" s="102"/>
      <c r="R1065" s="102"/>
      <c r="S1065" s="101"/>
    </row>
    <row r="1066" spans="1:19" ht="72" x14ac:dyDescent="0.3">
      <c r="A1066" t="s">
        <v>4977</v>
      </c>
      <c r="B1066" t="s">
        <v>3609</v>
      </c>
      <c r="C1066" s="90" t="s">
        <v>5003</v>
      </c>
      <c r="D1066" t="s">
        <v>5562</v>
      </c>
      <c r="E1066" s="101" t="s">
        <v>6362</v>
      </c>
      <c r="F1066" t="str" cm="1">
        <f t="array" aca="1" ref="F1066" ca="1">INDIRECT("'" &amp; A1066 &amp; "'!" &amp; B1066)</f>
        <v>v39</v>
      </c>
      <c r="G1066" cm="1">
        <f t="array" aca="1" ref="G1066" ca="1">INDIRECT("'" &amp; A1066 &amp; "'!" &amp; ADDRESS(1, COLUMN(INDIRECT("'" &amp; A1066 &amp; "'!" &amp; B1066))))</f>
        <v>2015</v>
      </c>
      <c r="H1066" t="e">
        <f ca="1">VLOOKUP($G1066, survey_codes_dict!A:C, 2, FALSE)</f>
        <v>#N/A</v>
      </c>
      <c r="I1066" s="102" t="e">
        <f ca="1">VLOOKUP($G1066, survey_codes_dict!A:D, 4, FALSE)</f>
        <v>#N/A</v>
      </c>
      <c r="J1066" s="102" t="e">
        <f t="shared" ca="1" si="32"/>
        <v>#N/A</v>
      </c>
      <c r="K1066" s="102" t="e">
        <f t="shared" ca="1" si="33"/>
        <v>#N/A</v>
      </c>
      <c r="L1066" s="102"/>
      <c r="M1066" s="102"/>
      <c r="N1066" s="102"/>
      <c r="O1066" s="102"/>
      <c r="P1066" s="102"/>
      <c r="Q1066" s="102"/>
      <c r="R1066" s="102"/>
      <c r="S1066" s="101"/>
    </row>
    <row r="1067" spans="1:19" ht="72" x14ac:dyDescent="0.3">
      <c r="A1067" t="s">
        <v>4977</v>
      </c>
      <c r="B1067" t="s">
        <v>3611</v>
      </c>
      <c r="C1067" s="90" t="s">
        <v>5004</v>
      </c>
      <c r="D1067" t="s">
        <v>5562</v>
      </c>
      <c r="E1067" s="101" t="s">
        <v>6363</v>
      </c>
      <c r="F1067" t="str" cm="1">
        <f t="array" aca="1" ref="F1067" ca="1">INDIRECT("'" &amp; A1067 &amp; "'!" &amp; B1067)</f>
        <v>v38</v>
      </c>
      <c r="G1067" cm="1">
        <f t="array" aca="1" ref="G1067" ca="1">INDIRECT("'" &amp; A1067 &amp; "'!" &amp; ADDRESS(1, COLUMN(INDIRECT("'" &amp; A1067 &amp; "'!" &amp; B1067))))</f>
        <v>2013</v>
      </c>
      <c r="H1067" t="e">
        <f ca="1">VLOOKUP($G1067, survey_codes_dict!A:C, 2, FALSE)</f>
        <v>#N/A</v>
      </c>
      <c r="I1067" s="102" t="e">
        <f ca="1">VLOOKUP($G1067, survey_codes_dict!A:D, 4, FALSE)</f>
        <v>#N/A</v>
      </c>
      <c r="J1067" s="102" t="e">
        <f t="shared" ca="1" si="32"/>
        <v>#N/A</v>
      </c>
      <c r="K1067" s="102" t="e">
        <f t="shared" ca="1" si="33"/>
        <v>#N/A</v>
      </c>
      <c r="L1067" s="102"/>
      <c r="M1067" s="102"/>
      <c r="N1067" s="102"/>
      <c r="O1067" s="102"/>
      <c r="P1067" s="102"/>
      <c r="Q1067" s="102"/>
      <c r="R1067" s="102"/>
      <c r="S1067" s="101"/>
    </row>
    <row r="1068" spans="1:19" ht="57.6" x14ac:dyDescent="0.3">
      <c r="A1068" t="s">
        <v>4977</v>
      </c>
      <c r="B1068" t="s">
        <v>5005</v>
      </c>
      <c r="C1068" s="90" t="s">
        <v>5006</v>
      </c>
      <c r="D1068" t="s">
        <v>5562</v>
      </c>
      <c r="E1068" s="101" t="s">
        <v>6364</v>
      </c>
      <c r="F1068" t="str" cm="1">
        <f t="array" aca="1" ref="F1068" ca="1">INDIRECT("'" &amp; A1068 &amp; "'!" &amp; B1068)</f>
        <v>v11</v>
      </c>
      <c r="G1068" cm="1">
        <f t="array" aca="1" ref="G1068" ca="1">INDIRECT("'" &amp; A1068 &amp; "'!" &amp; ADDRESS(1, COLUMN(INDIRECT("'" &amp; A1068 &amp; "'!" &amp; B1068))))</f>
        <v>2009</v>
      </c>
      <c r="H1068" t="e">
        <f ca="1">VLOOKUP($G1068, survey_codes_dict!A:C, 2, FALSE)</f>
        <v>#N/A</v>
      </c>
      <c r="I1068" s="102" t="e">
        <f ca="1">VLOOKUP($G1068, survey_codes_dict!A:D, 4, FALSE)</f>
        <v>#N/A</v>
      </c>
      <c r="J1068" s="102" t="e">
        <f t="shared" ca="1" si="32"/>
        <v>#N/A</v>
      </c>
      <c r="K1068" s="102" t="e">
        <f t="shared" ca="1" si="33"/>
        <v>#N/A</v>
      </c>
      <c r="L1068" s="102"/>
      <c r="M1068" s="102"/>
      <c r="N1068" s="102"/>
      <c r="O1068" s="102"/>
      <c r="P1068" s="102"/>
      <c r="Q1068" s="102"/>
      <c r="R1068" s="102"/>
      <c r="S1068" s="101"/>
    </row>
    <row r="1069" spans="1:19" ht="72" x14ac:dyDescent="0.3">
      <c r="A1069" t="s">
        <v>4977</v>
      </c>
      <c r="B1069" t="s">
        <v>3368</v>
      </c>
      <c r="C1069" s="90" t="s">
        <v>5007</v>
      </c>
      <c r="D1069" t="s">
        <v>5562</v>
      </c>
      <c r="E1069" s="101" t="s">
        <v>6365</v>
      </c>
      <c r="F1069" t="str" cm="1">
        <f t="array" aca="1" ref="F1069" ca="1">INDIRECT("'" &amp; A1069 &amp; "'!" &amp; B1069)</f>
        <v>b65</v>
      </c>
      <c r="G1069" t="str" cm="1">
        <f t="array" aca="1" ref="G1069" ca="1">INDIRECT("'" &amp; A1069 &amp; "'!" &amp; ADDRESS(1, COLUMN(INDIRECT("'" &amp; A1069 &amp; "'!" &amp; B1069))))</f>
        <v>1981 - 3</v>
      </c>
      <c r="H1069" t="str">
        <f ca="1">VLOOKUP($G1069, survey_codes_dict!A:C, 2, FALSE)</f>
        <v>1981_3</v>
      </c>
      <c r="I1069" s="102">
        <f ca="1">VLOOKUP($G1069, survey_codes_dict!A:D, 4, FALSE)</f>
        <v>0</v>
      </c>
      <c r="J1069" s="102" t="str">
        <f t="shared" ca="1" si="32"/>
        <v>1981_3__b65</v>
      </c>
      <c r="K1069" s="102" t="str">
        <f t="shared" ca="1" si="33"/>
        <v>0__b65</v>
      </c>
      <c r="L1069" s="102"/>
      <c r="M1069" s="102"/>
      <c r="N1069" s="102"/>
      <c r="O1069" s="102"/>
      <c r="P1069" s="102"/>
      <c r="Q1069" s="102"/>
      <c r="R1069" s="102"/>
      <c r="S1069" s="101"/>
    </row>
    <row r="1070" spans="1:19" ht="72" x14ac:dyDescent="0.3">
      <c r="A1070" t="s">
        <v>4977</v>
      </c>
      <c r="B1070" t="s">
        <v>5008</v>
      </c>
      <c r="C1070" s="90" t="s">
        <v>5007</v>
      </c>
      <c r="D1070" t="s">
        <v>5562</v>
      </c>
      <c r="E1070" s="101" t="s">
        <v>6365</v>
      </c>
      <c r="F1070" t="str" cm="1">
        <f t="array" aca="1" ref="F1070" ca="1">INDIRECT("'" &amp; A1070 &amp; "'!" &amp; B1070)</f>
        <v>v29</v>
      </c>
      <c r="G1070" t="str" cm="1">
        <f t="array" aca="1" ref="G1070" ca="1">INDIRECT("'" &amp; A1070 &amp; "'!" &amp; ADDRESS(1, COLUMN(INDIRECT("'" &amp; A1070 &amp; "'!" &amp; B1070))))</f>
        <v>1981 - 1</v>
      </c>
      <c r="H1070" t="str">
        <f ca="1">VLOOKUP($G1070, survey_codes_dict!A:C, 2, FALSE)</f>
        <v>1981_1</v>
      </c>
      <c r="I1070" s="102" t="str">
        <f ca="1">VLOOKUP($G1070, survey_codes_dict!A:D, 4, FALSE)</f>
        <v>1977_4</v>
      </c>
      <c r="J1070" s="102" t="str">
        <f t="shared" ca="1" si="32"/>
        <v>1981_1__v29</v>
      </c>
      <c r="K1070" s="102" t="str">
        <f t="shared" ca="1" si="33"/>
        <v>1977_4__v29</v>
      </c>
      <c r="L1070" s="102"/>
      <c r="M1070" s="102"/>
      <c r="N1070" s="102"/>
      <c r="O1070" s="102"/>
      <c r="P1070" s="102"/>
      <c r="Q1070" s="102"/>
      <c r="R1070" s="102"/>
      <c r="S1070" s="101"/>
    </row>
    <row r="1071" spans="1:19" ht="57.6" x14ac:dyDescent="0.3">
      <c r="A1071" t="s">
        <v>4977</v>
      </c>
      <c r="B1071" t="s">
        <v>5009</v>
      </c>
      <c r="C1071" s="90" t="s">
        <v>5010</v>
      </c>
      <c r="D1071" t="s">
        <v>5562</v>
      </c>
      <c r="E1071" s="101" t="s">
        <v>6366</v>
      </c>
      <c r="F1071" t="str" cm="1">
        <f t="array" aca="1" ref="F1071" ca="1">INDIRECT("'" &amp; A1071 &amp; "'!" &amp; B1071)</f>
        <v>a40</v>
      </c>
      <c r="G1071" t="str" cm="1">
        <f t="array" aca="1" ref="G1071" ca="1">INDIRECT("'" &amp; A1071 &amp; "'!" &amp; ADDRESS(1, COLUMN(INDIRECT("'" &amp; A1071 &amp; "'!" &amp; B1071))))</f>
        <v>1969 - 1</v>
      </c>
      <c r="H1071" t="str">
        <f ca="1">VLOOKUP($G1071, survey_codes_dict!A:C, 2, FALSE)</f>
        <v>1969_1</v>
      </c>
      <c r="I1071" s="102">
        <f ca="1">VLOOKUP($G1071, survey_codes_dict!A:D, 4, FALSE)</f>
        <v>0</v>
      </c>
      <c r="J1071" s="102" t="str">
        <f t="shared" ca="1" si="32"/>
        <v>1969_1__a40</v>
      </c>
      <c r="K1071" s="102" t="str">
        <f t="shared" ca="1" si="33"/>
        <v>0__a40</v>
      </c>
      <c r="L1071" s="102"/>
      <c r="M1071" s="102"/>
      <c r="N1071" s="102"/>
      <c r="O1071" s="102"/>
      <c r="P1071" s="102"/>
      <c r="Q1071" s="102"/>
      <c r="R1071" s="102"/>
      <c r="S1071" s="101"/>
    </row>
    <row r="1072" spans="1:19" ht="57.6" x14ac:dyDescent="0.3">
      <c r="A1072" t="s">
        <v>4977</v>
      </c>
      <c r="B1072" t="s">
        <v>4280</v>
      </c>
      <c r="C1072" s="90" t="s">
        <v>5006</v>
      </c>
      <c r="D1072" t="s">
        <v>5562</v>
      </c>
      <c r="E1072" s="101" t="s">
        <v>6364</v>
      </c>
      <c r="F1072" t="str" cm="1">
        <f t="array" aca="1" ref="F1072" ca="1">INDIRECT("'" &amp; A1072 &amp; "'!" &amp; B1072)</f>
        <v>v12</v>
      </c>
      <c r="G1072" cm="1">
        <f t="array" aca="1" ref="G1072" ca="1">INDIRECT("'" &amp; A1072 &amp; "'!" &amp; ADDRESS(1, COLUMN(INDIRECT("'" &amp; A1072 &amp; "'!" &amp; B1072))))</f>
        <v>2009</v>
      </c>
      <c r="H1072" t="e">
        <f ca="1">VLOOKUP($G1072, survey_codes_dict!A:C, 2, FALSE)</f>
        <v>#N/A</v>
      </c>
      <c r="I1072" s="102" t="e">
        <f ca="1">VLOOKUP($G1072, survey_codes_dict!A:D, 4, FALSE)</f>
        <v>#N/A</v>
      </c>
      <c r="J1072" s="102" t="e">
        <f t="shared" ca="1" si="32"/>
        <v>#N/A</v>
      </c>
      <c r="K1072" s="102" t="e">
        <f t="shared" ca="1" si="33"/>
        <v>#N/A</v>
      </c>
      <c r="L1072" s="102"/>
      <c r="M1072" s="102"/>
      <c r="N1072" s="102"/>
      <c r="O1072" s="102"/>
      <c r="P1072" s="102"/>
      <c r="Q1072" s="102"/>
      <c r="R1072" s="102"/>
      <c r="S1072" s="101"/>
    </row>
    <row r="1073" spans="1:19" ht="57.6" x14ac:dyDescent="0.3">
      <c r="A1073" t="s">
        <v>4977</v>
      </c>
      <c r="B1073" t="s">
        <v>5011</v>
      </c>
      <c r="C1073" s="90" t="s">
        <v>5012</v>
      </c>
      <c r="D1073" t="s">
        <v>5562</v>
      </c>
      <c r="E1073" s="101" t="s">
        <v>6367</v>
      </c>
      <c r="F1073" t="str" cm="1">
        <f t="array" aca="1" ref="F1073" ca="1">INDIRECT("'" &amp; A1073 &amp; "'!" &amp; B1073)</f>
        <v>b69</v>
      </c>
      <c r="G1073" t="str" cm="1">
        <f t="array" aca="1" ref="G1073" ca="1">INDIRECT("'" &amp; A1073 &amp; "'!" &amp; ADDRESS(1, COLUMN(INDIRECT("'" &amp; A1073 &amp; "'!" &amp; B1073))))</f>
        <v>1981 - 3</v>
      </c>
      <c r="H1073" t="str">
        <f ca="1">VLOOKUP($G1073, survey_codes_dict!A:C, 2, FALSE)</f>
        <v>1981_3</v>
      </c>
      <c r="I1073" s="102">
        <f ca="1">VLOOKUP($G1073, survey_codes_dict!A:D, 4, FALSE)</f>
        <v>0</v>
      </c>
      <c r="J1073" s="102" t="str">
        <f t="shared" ca="1" si="32"/>
        <v>1981_3__b69</v>
      </c>
      <c r="K1073" s="102" t="str">
        <f t="shared" ca="1" si="33"/>
        <v>0__b69</v>
      </c>
      <c r="L1073" s="102"/>
      <c r="M1073" s="102"/>
      <c r="N1073" s="102"/>
      <c r="O1073" s="102"/>
      <c r="P1073" s="102"/>
      <c r="Q1073" s="102"/>
      <c r="R1073" s="102"/>
      <c r="S1073" s="101"/>
    </row>
    <row r="1074" spans="1:19" ht="72" x14ac:dyDescent="0.3">
      <c r="A1074" t="s">
        <v>4977</v>
      </c>
      <c r="B1074" t="s">
        <v>4963</v>
      </c>
      <c r="C1074" s="90" t="s">
        <v>3642</v>
      </c>
      <c r="D1074" t="s">
        <v>5562</v>
      </c>
      <c r="E1074" s="101" t="s">
        <v>5817</v>
      </c>
      <c r="F1074" t="str" cm="1">
        <f t="array" aca="1" ref="F1074" ca="1">INDIRECT("'" &amp; A1074 &amp; "'!" &amp; B1074)</f>
        <v>i14</v>
      </c>
      <c r="G1074" cm="1">
        <f t="array" aca="1" ref="G1074" ca="1">INDIRECT("'" &amp; A1074 &amp; "'!" &amp; ADDRESS(1, COLUMN(INDIRECT("'" &amp; A1074 &amp; "'!" &amp; B1074))))</f>
        <v>1992</v>
      </c>
      <c r="H1074" t="str">
        <f ca="1">VLOOKUP($G1074, survey_codes_dict!A:C, 2, FALSE)</f>
        <v>1992</v>
      </c>
      <c r="I1074" s="102" t="str">
        <f ca="1">VLOOKUP($G1074, survey_codes_dict!A:D, 4, FALSE)</f>
        <v>1988_N=873</v>
      </c>
      <c r="J1074" s="102" t="str">
        <f t="shared" ca="1" si="32"/>
        <v>1992__i14</v>
      </c>
      <c r="K1074" s="102" t="str">
        <f t="shared" ca="1" si="33"/>
        <v>1988_N=873__i14</v>
      </c>
      <c r="L1074" s="102"/>
      <c r="M1074" s="102"/>
      <c r="N1074" s="102"/>
      <c r="O1074" s="102"/>
      <c r="P1074" s="102"/>
      <c r="Q1074" s="102"/>
      <c r="R1074" s="102"/>
      <c r="S1074" s="101"/>
    </row>
    <row r="1075" spans="1:19" ht="28.8" x14ac:dyDescent="0.3">
      <c r="A1075" t="s">
        <v>4977</v>
      </c>
      <c r="B1075" t="s">
        <v>5013</v>
      </c>
      <c r="C1075" s="90" t="s">
        <v>5014</v>
      </c>
      <c r="D1075" t="s">
        <v>5660</v>
      </c>
      <c r="E1075" s="101" t="s">
        <v>5649</v>
      </c>
      <c r="F1075" t="str" cm="1">
        <f t="array" aca="1" ref="F1075" ca="1">INDIRECT("'" &amp; A1075 &amp; "'!" &amp; B1075)</f>
        <v>v30</v>
      </c>
      <c r="G1075" cm="1">
        <f t="array" aca="1" ref="G1075" ca="1">INDIRECT("'" &amp; A1075 &amp; "'!" &amp; ADDRESS(1, COLUMN(INDIRECT("'" &amp; A1075 &amp; "'!" &amp; B1075))))</f>
        <v>2015</v>
      </c>
      <c r="H1075" t="e">
        <f ca="1">VLOOKUP($G1075, survey_codes_dict!A:C, 2, FALSE)</f>
        <v>#N/A</v>
      </c>
      <c r="I1075" s="102" t="e">
        <f ca="1">VLOOKUP($G1075, survey_codes_dict!A:D, 4, FALSE)</f>
        <v>#N/A</v>
      </c>
      <c r="J1075" s="102" t="e">
        <f t="shared" ca="1" si="32"/>
        <v>#N/A</v>
      </c>
      <c r="K1075" s="102" t="e">
        <f t="shared" ca="1" si="33"/>
        <v>#N/A</v>
      </c>
      <c r="L1075" s="102"/>
      <c r="M1075" s="102"/>
      <c r="N1075" s="102"/>
      <c r="O1075" s="102"/>
      <c r="P1075" s="102"/>
      <c r="Q1075" s="102"/>
      <c r="R1075" s="102"/>
      <c r="S1075" s="101"/>
    </row>
    <row r="1076" spans="1:19" ht="28.8" x14ac:dyDescent="0.3">
      <c r="A1076" t="s">
        <v>4977</v>
      </c>
      <c r="B1076" t="s">
        <v>3399</v>
      </c>
      <c r="C1076" s="90" t="s">
        <v>5015</v>
      </c>
      <c r="D1076" t="s">
        <v>5660</v>
      </c>
      <c r="E1076" s="101" t="s">
        <v>5650</v>
      </c>
      <c r="F1076" t="str" cm="1">
        <f t="array" aca="1" ref="F1076" ca="1">INDIRECT("'" &amp; A1076 &amp; "'!" &amp; B1076)</f>
        <v>v32</v>
      </c>
      <c r="G1076" cm="1">
        <f t="array" aca="1" ref="G1076" ca="1">INDIRECT("'" &amp; A1076 &amp; "'!" &amp; ADDRESS(1, COLUMN(INDIRECT("'" &amp; A1076 &amp; "'!" &amp; B1076))))</f>
        <v>2009</v>
      </c>
      <c r="H1076" t="e">
        <f ca="1">VLOOKUP($G1076, survey_codes_dict!A:C, 2, FALSE)</f>
        <v>#N/A</v>
      </c>
      <c r="I1076" s="102" t="e">
        <f ca="1">VLOOKUP($G1076, survey_codes_dict!A:D, 4, FALSE)</f>
        <v>#N/A</v>
      </c>
      <c r="J1076" s="102" t="e">
        <f t="shared" ca="1" si="32"/>
        <v>#N/A</v>
      </c>
      <c r="K1076" s="102" t="e">
        <f t="shared" ca="1" si="33"/>
        <v>#N/A</v>
      </c>
      <c r="L1076" s="102"/>
      <c r="M1076" s="102"/>
      <c r="N1076" s="102"/>
      <c r="O1076" s="102"/>
      <c r="P1076" s="102"/>
      <c r="Q1076" s="102"/>
      <c r="R1076" s="102"/>
      <c r="S1076" s="101"/>
    </row>
    <row r="1077" spans="1:19" ht="100.8" x14ac:dyDescent="0.3">
      <c r="A1077" t="s">
        <v>4977</v>
      </c>
      <c r="B1077" t="s">
        <v>4964</v>
      </c>
      <c r="C1077" s="90" t="s">
        <v>5016</v>
      </c>
      <c r="D1077" t="s">
        <v>5562</v>
      </c>
      <c r="E1077" s="101" t="s">
        <v>6368</v>
      </c>
      <c r="F1077" t="str" cm="1">
        <f t="array" aca="1" ref="F1077" ca="1">INDIRECT("'" &amp; A1077 &amp; "'!" &amp; B1077)</f>
        <v>i22</v>
      </c>
      <c r="G1077" cm="1">
        <f t="array" aca="1" ref="G1077" ca="1">INDIRECT("'" &amp; A1077 &amp; "'!" &amp; ADDRESS(1, COLUMN(INDIRECT("'" &amp; A1077 &amp; "'!" &amp; B1077))))</f>
        <v>1992</v>
      </c>
      <c r="H1077" t="str">
        <f ca="1">VLOOKUP($G1077, survey_codes_dict!A:C, 2, FALSE)</f>
        <v>1992</v>
      </c>
      <c r="I1077" s="102" t="str">
        <f ca="1">VLOOKUP($G1077, survey_codes_dict!A:D, 4, FALSE)</f>
        <v>1988_N=873</v>
      </c>
      <c r="J1077" s="102" t="str">
        <f t="shared" ca="1" si="32"/>
        <v>1992__i22</v>
      </c>
      <c r="K1077" s="102" t="str">
        <f t="shared" ca="1" si="33"/>
        <v>1988_N=873__i22</v>
      </c>
      <c r="L1077" s="102"/>
      <c r="M1077" s="102"/>
      <c r="N1077" s="102"/>
      <c r="O1077" s="102"/>
      <c r="P1077" s="102"/>
      <c r="Q1077" s="102"/>
      <c r="R1077" s="102"/>
      <c r="S1077" s="101"/>
    </row>
    <row r="1078" spans="1:19" ht="86.4" x14ac:dyDescent="0.3">
      <c r="A1078" t="s">
        <v>4977</v>
      </c>
      <c r="B1078" t="s">
        <v>5017</v>
      </c>
      <c r="C1078" s="90" t="s">
        <v>5018</v>
      </c>
      <c r="D1078" t="s">
        <v>5562</v>
      </c>
      <c r="E1078" s="101" t="s">
        <v>6369</v>
      </c>
      <c r="F1078" t="str" cm="1">
        <f t="array" aca="1" ref="F1078" ca="1">INDIRECT("'" &amp; A1078 &amp; "'!" &amp; B1078)</f>
        <v>a10</v>
      </c>
      <c r="G1078" cm="1">
        <f t="array" aca="1" ref="G1078" ca="1">INDIRECT("'" &amp; A1078 &amp; "'!" &amp; ADDRESS(1, COLUMN(INDIRECT("'" &amp; A1078 &amp; "'!" &amp; B1078))))</f>
        <v>2001</v>
      </c>
      <c r="H1078" t="str">
        <f ca="1">VLOOKUP($G1078, survey_codes_dict!A:C, 2, FALSE)</f>
        <v>2001</v>
      </c>
      <c r="I1078" s="102" t="str">
        <f ca="1">VLOOKUP($G1078, survey_codes_dict!A:D, 4, FALSE)</f>
        <v>1999_1</v>
      </c>
      <c r="J1078" s="102" t="str">
        <f t="shared" ca="1" si="32"/>
        <v>2001__a10</v>
      </c>
      <c r="K1078" s="102" t="str">
        <f t="shared" ca="1" si="33"/>
        <v>1999_1__a10</v>
      </c>
      <c r="L1078" s="102"/>
      <c r="M1078" s="102"/>
      <c r="N1078" s="102"/>
      <c r="O1078" s="102"/>
      <c r="P1078" s="102"/>
      <c r="Q1078" s="102"/>
      <c r="R1078" s="102"/>
      <c r="S1078" s="101"/>
    </row>
    <row r="1079" spans="1:19" ht="72" x14ac:dyDescent="0.3">
      <c r="A1079" t="s">
        <v>4977</v>
      </c>
      <c r="B1079" t="s">
        <v>5019</v>
      </c>
      <c r="C1079" s="90" t="s">
        <v>5020</v>
      </c>
      <c r="D1079" t="s">
        <v>5562</v>
      </c>
      <c r="E1079" s="101" t="s">
        <v>6370</v>
      </c>
      <c r="F1079" t="str" cm="1">
        <f t="array" aca="1" ref="F1079" ca="1">INDIRECT("'" &amp; A1079 &amp; "'!" &amp; B1079)</f>
        <v>v17</v>
      </c>
      <c r="G1079" cm="1">
        <f t="array" aca="1" ref="G1079" ca="1">INDIRECT("'" &amp; A1079 &amp; "'!" &amp; ADDRESS(1, COLUMN(INDIRECT("'" &amp; A1079 &amp; "'!" &amp; B1079))))</f>
        <v>1999</v>
      </c>
      <c r="H1079" t="str">
        <f ca="1">VLOOKUP($G1079, survey_codes_dict!A:C, 2, FALSE)</f>
        <v>1999_1</v>
      </c>
      <c r="I1079" s="102" t="str">
        <f ca="1">VLOOKUP($G1079, survey_codes_dict!A:D, 4, FALSE)</f>
        <v>1996_Jews</v>
      </c>
      <c r="J1079" s="102" t="str">
        <f t="shared" ca="1" si="32"/>
        <v>1999_1__v17</v>
      </c>
      <c r="K1079" s="102" t="str">
        <f t="shared" ca="1" si="33"/>
        <v>1996_Jews__v17</v>
      </c>
      <c r="L1079" s="102"/>
      <c r="M1079" s="102"/>
      <c r="N1079" s="102"/>
      <c r="O1079" s="102"/>
      <c r="P1079" s="102"/>
      <c r="Q1079" s="102"/>
      <c r="R1079" s="102"/>
      <c r="S1079" s="101"/>
    </row>
    <row r="1080" spans="1:19" ht="72" x14ac:dyDescent="0.3">
      <c r="A1080" t="s">
        <v>4977</v>
      </c>
      <c r="B1080" t="s">
        <v>5021</v>
      </c>
      <c r="C1080" s="90" t="s">
        <v>5020</v>
      </c>
      <c r="D1080" t="s">
        <v>5562</v>
      </c>
      <c r="E1080" s="101" t="s">
        <v>6370</v>
      </c>
      <c r="F1080" t="str" cm="1">
        <f t="array" aca="1" ref="F1080" ca="1">INDIRECT("'" &amp; A1080 &amp; "'!" &amp; B1080)</f>
        <v>v18</v>
      </c>
      <c r="G1080" cm="1">
        <f t="array" aca="1" ref="G1080" ca="1">INDIRECT("'" &amp; A1080 &amp; "'!" &amp; ADDRESS(1, COLUMN(INDIRECT("'" &amp; A1080 &amp; "'!" &amp; B1080))))</f>
        <v>1999</v>
      </c>
      <c r="H1080" t="str">
        <f ca="1">VLOOKUP($G1080, survey_codes_dict!A:C, 2, FALSE)</f>
        <v>1999_1</v>
      </c>
      <c r="I1080" s="102" t="str">
        <f ca="1">VLOOKUP($G1080, survey_codes_dict!A:D, 4, FALSE)</f>
        <v>1996_Jews</v>
      </c>
      <c r="J1080" s="102" t="str">
        <f t="shared" ca="1" si="32"/>
        <v>1999_1__v18</v>
      </c>
      <c r="K1080" s="102" t="str">
        <f t="shared" ca="1" si="33"/>
        <v>1996_Jews__v18</v>
      </c>
      <c r="L1080" s="102"/>
      <c r="M1080" s="102"/>
      <c r="N1080" s="102"/>
      <c r="O1080" s="102"/>
      <c r="P1080" s="102"/>
      <c r="Q1080" s="102"/>
      <c r="R1080" s="102"/>
      <c r="S1080" s="101"/>
    </row>
    <row r="1081" spans="1:19" ht="72" x14ac:dyDescent="0.3">
      <c r="A1081" t="s">
        <v>4977</v>
      </c>
      <c r="B1081" t="s">
        <v>5022</v>
      </c>
      <c r="C1081" s="90" t="s">
        <v>5023</v>
      </c>
      <c r="D1081" t="s">
        <v>5562</v>
      </c>
      <c r="E1081" s="101" t="s">
        <v>6371</v>
      </c>
      <c r="F1081" t="str" cm="1">
        <f t="array" aca="1" ref="F1081" ca="1">INDIRECT("'" &amp; A1081 &amp; "'!" &amp; B1081)</f>
        <v>v10</v>
      </c>
      <c r="G1081" cm="1">
        <f t="array" aca="1" ref="G1081" ca="1">INDIRECT("'" &amp; A1081 &amp; "'!" &amp; ADDRESS(1, COLUMN(INDIRECT("'" &amp; A1081 &amp; "'!" &amp; B1081))))</f>
        <v>1999</v>
      </c>
      <c r="H1081" t="str">
        <f ca="1">VLOOKUP($G1081, survey_codes_dict!A:C, 2, FALSE)</f>
        <v>1999_1</v>
      </c>
      <c r="I1081" s="102" t="str">
        <f ca="1">VLOOKUP($G1081, survey_codes_dict!A:D, 4, FALSE)</f>
        <v>1996_Jews</v>
      </c>
      <c r="J1081" s="102" t="str">
        <f t="shared" ca="1" si="32"/>
        <v>1999_1__v10</v>
      </c>
      <c r="K1081" s="102" t="str">
        <f t="shared" ca="1" si="33"/>
        <v>1996_Jews__v10</v>
      </c>
      <c r="L1081" s="102"/>
      <c r="M1081" s="102"/>
      <c r="N1081" s="102"/>
      <c r="O1081" s="102"/>
      <c r="P1081" s="102"/>
      <c r="Q1081" s="102"/>
      <c r="R1081" s="102"/>
      <c r="S1081" s="101"/>
    </row>
    <row r="1082" spans="1:19" ht="72" x14ac:dyDescent="0.3">
      <c r="A1082" t="s">
        <v>4977</v>
      </c>
      <c r="B1082" t="s">
        <v>5024</v>
      </c>
      <c r="C1082" s="90" t="s">
        <v>5023</v>
      </c>
      <c r="D1082" t="s">
        <v>5562</v>
      </c>
      <c r="E1082" s="101" t="s">
        <v>6371</v>
      </c>
      <c r="F1082" t="str" cm="1">
        <f t="array" aca="1" ref="F1082" ca="1">INDIRECT("'" &amp; A1082 &amp; "'!" &amp; B1082)</f>
        <v>v11</v>
      </c>
      <c r="G1082" cm="1">
        <f t="array" aca="1" ref="G1082" ca="1">INDIRECT("'" &amp; A1082 &amp; "'!" &amp; ADDRESS(1, COLUMN(INDIRECT("'" &amp; A1082 &amp; "'!" &amp; B1082))))</f>
        <v>1999</v>
      </c>
      <c r="H1082" t="str">
        <f ca="1">VLOOKUP($G1082, survey_codes_dict!A:C, 2, FALSE)</f>
        <v>1999_1</v>
      </c>
      <c r="I1082" s="102" t="str">
        <f ca="1">VLOOKUP($G1082, survey_codes_dict!A:D, 4, FALSE)</f>
        <v>1996_Jews</v>
      </c>
      <c r="J1082" s="102" t="str">
        <f t="shared" ca="1" si="32"/>
        <v>1999_1__v11</v>
      </c>
      <c r="K1082" s="102" t="str">
        <f t="shared" ca="1" si="33"/>
        <v>1996_Jews__v11</v>
      </c>
      <c r="L1082" s="102"/>
      <c r="M1082" s="102"/>
      <c r="N1082" s="102"/>
      <c r="O1082" s="102"/>
      <c r="P1082" s="102"/>
      <c r="Q1082" s="102"/>
      <c r="R1082" s="102"/>
      <c r="S1082" s="101"/>
    </row>
    <row r="1083" spans="1:19" ht="72" x14ac:dyDescent="0.3">
      <c r="A1083" t="s">
        <v>4977</v>
      </c>
      <c r="B1083" t="s">
        <v>5025</v>
      </c>
      <c r="C1083" s="90" t="s">
        <v>5026</v>
      </c>
      <c r="D1083" t="s">
        <v>5562</v>
      </c>
      <c r="E1083" s="101" t="s">
        <v>6372</v>
      </c>
      <c r="F1083" t="str" cm="1">
        <f t="array" aca="1" ref="F1083" ca="1">INDIRECT("'" &amp; A1083 &amp; "'!" &amp; B1083)</f>
        <v>c28</v>
      </c>
      <c r="G1083" cm="1">
        <f t="array" aca="1" ref="G1083" ca="1">INDIRECT("'" &amp; A1083 &amp; "'!" &amp; ADDRESS(1, COLUMN(INDIRECT("'" &amp; A1083 &amp; "'!" &amp; B1083))))</f>
        <v>1996</v>
      </c>
      <c r="H1083" t="str">
        <f ca="1">VLOOKUP($G1083, survey_codes_dict!A:C, 2, FALSE)</f>
        <v>1996_Jews</v>
      </c>
      <c r="I1083" s="102" t="str">
        <f ca="1">VLOOKUP($G1083, survey_codes_dict!A:D, 4, FALSE)</f>
        <v>1992</v>
      </c>
      <c r="J1083" s="102" t="str">
        <f t="shared" ca="1" si="32"/>
        <v>1996_Jews__c28</v>
      </c>
      <c r="K1083" s="102" t="str">
        <f t="shared" ca="1" si="33"/>
        <v>1992__c28</v>
      </c>
      <c r="L1083" s="102"/>
      <c r="M1083" s="102"/>
      <c r="N1083" s="102"/>
      <c r="O1083" s="102"/>
      <c r="P1083" s="102"/>
      <c r="Q1083" s="102"/>
      <c r="R1083" s="102"/>
      <c r="S1083" s="101"/>
    </row>
    <row r="1084" spans="1:19" ht="57.6" x14ac:dyDescent="0.3">
      <c r="A1084" t="s">
        <v>4977</v>
      </c>
      <c r="B1084" t="s">
        <v>5027</v>
      </c>
      <c r="C1084" s="90" t="s">
        <v>5028</v>
      </c>
      <c r="D1084" t="s">
        <v>5562</v>
      </c>
      <c r="E1084" s="101" t="s">
        <v>6373</v>
      </c>
      <c r="F1084" t="str" cm="1">
        <f t="array" aca="1" ref="F1084" ca="1">INDIRECT("'" &amp; A1084 &amp; "'!" &amp; B1084)</f>
        <v>a17</v>
      </c>
      <c r="G1084" cm="1">
        <f t="array" aca="1" ref="G1084" ca="1">INDIRECT("'" &amp; A1084 &amp; "'!" &amp; ADDRESS(1, COLUMN(INDIRECT("'" &amp; A1084 &amp; "'!" &amp; B1084))))</f>
        <v>1992</v>
      </c>
      <c r="H1084" t="str">
        <f ca="1">VLOOKUP($G1084, survey_codes_dict!A:C, 2, FALSE)</f>
        <v>1992</v>
      </c>
      <c r="I1084" s="102" t="str">
        <f ca="1">VLOOKUP($G1084, survey_codes_dict!A:D, 4, FALSE)</f>
        <v>1988_N=873</v>
      </c>
      <c r="J1084" s="102" t="str">
        <f t="shared" ca="1" si="32"/>
        <v>1992__a17</v>
      </c>
      <c r="K1084" s="102" t="str">
        <f t="shared" ca="1" si="33"/>
        <v>1988_N=873__a17</v>
      </c>
      <c r="L1084" s="102"/>
      <c r="M1084" s="102"/>
      <c r="N1084" s="102"/>
      <c r="O1084" s="102"/>
      <c r="P1084" s="102"/>
      <c r="Q1084" s="102"/>
      <c r="R1084" s="102"/>
      <c r="S1084" s="101"/>
    </row>
    <row r="1085" spans="1:19" ht="72" x14ac:dyDescent="0.3">
      <c r="A1085" t="s">
        <v>4977</v>
      </c>
      <c r="B1085" t="s">
        <v>3432</v>
      </c>
      <c r="C1085" s="90" t="s">
        <v>5029</v>
      </c>
      <c r="D1085" t="s">
        <v>5562</v>
      </c>
      <c r="E1085" s="101" t="s">
        <v>6374</v>
      </c>
      <c r="F1085" t="str" cm="1">
        <f t="array" aca="1" ref="F1085" ca="1">INDIRECT("'" &amp; A1085 &amp; "'!" &amp; B1085)</f>
        <v>c27</v>
      </c>
      <c r="G1085" t="str" cm="1">
        <f t="array" aca="1" ref="G1085" ca="1">INDIRECT("'" &amp; A1085 &amp; "'!" &amp; ADDRESS(1, COLUMN(INDIRECT("'" &amp; A1085 &amp; "'!" &amp; B1085))))</f>
        <v>1969 - 3</v>
      </c>
      <c r="H1085" t="e">
        <f ca="1">VLOOKUP($G1085, survey_codes_dict!A:C, 2, FALSE)</f>
        <v>#N/A</v>
      </c>
      <c r="I1085" s="102" t="e">
        <f ca="1">VLOOKUP($G1085, survey_codes_dict!A:D, 4, FALSE)</f>
        <v>#N/A</v>
      </c>
      <c r="J1085" s="102" t="e">
        <f t="shared" ca="1" si="32"/>
        <v>#N/A</v>
      </c>
      <c r="K1085" s="102" t="e">
        <f t="shared" ca="1" si="33"/>
        <v>#N/A</v>
      </c>
      <c r="L1085" s="102"/>
      <c r="M1085" s="102"/>
      <c r="N1085" s="102"/>
      <c r="O1085" s="102"/>
      <c r="P1085" s="102"/>
      <c r="Q1085" s="102"/>
      <c r="R1085" s="102"/>
      <c r="S1085" s="101"/>
    </row>
    <row r="1086" spans="1:19" ht="115.2" x14ac:dyDescent="0.3">
      <c r="A1086" t="s">
        <v>4977</v>
      </c>
      <c r="B1086" t="s">
        <v>5030</v>
      </c>
      <c r="C1086" s="90" t="s">
        <v>5031</v>
      </c>
      <c r="D1086" t="s">
        <v>5562</v>
      </c>
      <c r="E1086" s="101" t="s">
        <v>6375</v>
      </c>
      <c r="F1086" t="str" cm="1">
        <f t="array" aca="1" ref="F1086" ca="1">INDIRECT("'" &amp; A1086 &amp; "'!" &amp; B1086)</f>
        <v>a26</v>
      </c>
      <c r="G1086" cm="1">
        <f t="array" aca="1" ref="G1086" ca="1">INDIRECT("'" &amp; A1086 &amp; "'!" &amp; ADDRESS(1, COLUMN(INDIRECT("'" &amp; A1086 &amp; "'!" &amp; B1086))))</f>
        <v>1992</v>
      </c>
      <c r="H1086" t="str">
        <f ca="1">VLOOKUP($G1086, survey_codes_dict!A:C, 2, FALSE)</f>
        <v>1992</v>
      </c>
      <c r="I1086" s="102" t="str">
        <f ca="1">VLOOKUP($G1086, survey_codes_dict!A:D, 4, FALSE)</f>
        <v>1988_N=873</v>
      </c>
      <c r="J1086" s="102" t="str">
        <f t="shared" ca="1" si="32"/>
        <v>1992__a26</v>
      </c>
      <c r="K1086" s="102" t="str">
        <f t="shared" ca="1" si="33"/>
        <v>1988_N=873__a26</v>
      </c>
      <c r="L1086" s="102"/>
      <c r="M1086" s="102"/>
      <c r="N1086" s="102"/>
      <c r="O1086" s="102"/>
      <c r="P1086" s="102"/>
      <c r="Q1086" s="102"/>
      <c r="R1086" s="102"/>
      <c r="S1086" s="101"/>
    </row>
    <row r="1087" spans="1:19" ht="43.2" x14ac:dyDescent="0.3">
      <c r="A1087" t="s">
        <v>4977</v>
      </c>
      <c r="B1087" t="s">
        <v>5032</v>
      </c>
      <c r="C1087" s="90" t="s">
        <v>5033</v>
      </c>
      <c r="D1087" t="s">
        <v>5562</v>
      </c>
      <c r="E1087" s="101" t="s">
        <v>6376</v>
      </c>
      <c r="F1087" t="str" cm="1">
        <f t="array" aca="1" ref="F1087" ca="1">INDIRECT("'" &amp; A1087 &amp; "'!" &amp; B1087)</f>
        <v>a33</v>
      </c>
      <c r="G1087" cm="1">
        <f t="array" aca="1" ref="G1087" ca="1">INDIRECT("'" &amp; A1087 &amp; "'!" &amp; ADDRESS(1, COLUMN(INDIRECT("'" &amp; A1087 &amp; "'!" &amp; B1087))))</f>
        <v>1992</v>
      </c>
      <c r="H1087" t="str">
        <f ca="1">VLOOKUP($G1087, survey_codes_dict!A:C, 2, FALSE)</f>
        <v>1992</v>
      </c>
      <c r="I1087" s="102" t="str">
        <f ca="1">VLOOKUP($G1087, survey_codes_dict!A:D, 4, FALSE)</f>
        <v>1988_N=873</v>
      </c>
      <c r="J1087" s="102" t="str">
        <f t="shared" ca="1" si="32"/>
        <v>1992__a33</v>
      </c>
      <c r="K1087" s="102" t="str">
        <f t="shared" ca="1" si="33"/>
        <v>1988_N=873__a33</v>
      </c>
      <c r="L1087" s="102"/>
      <c r="M1087" s="102"/>
      <c r="N1087" s="102"/>
      <c r="O1087" s="102"/>
      <c r="P1087" s="102"/>
      <c r="Q1087" s="102"/>
      <c r="R1087" s="102"/>
      <c r="S1087" s="101"/>
    </row>
    <row r="1088" spans="1:19" ht="57.6" x14ac:dyDescent="0.3">
      <c r="A1088" t="s">
        <v>4977</v>
      </c>
      <c r="B1088" t="s">
        <v>5034</v>
      </c>
      <c r="C1088" s="90" t="s">
        <v>5035</v>
      </c>
      <c r="D1088" t="s">
        <v>5562</v>
      </c>
      <c r="E1088" s="101" t="s">
        <v>6377</v>
      </c>
      <c r="F1088" t="str" cm="1">
        <f t="array" aca="1" ref="F1088" ca="1">INDIRECT("'" &amp; A1088 &amp; "'!" &amp; B1088)</f>
        <v>a43</v>
      </c>
      <c r="G1088" cm="1">
        <f t="array" aca="1" ref="G1088" ca="1">INDIRECT("'" &amp; A1088 &amp; "'!" &amp; ADDRESS(1, COLUMN(INDIRECT("'" &amp; A1088 &amp; "'!" &amp; B1088))))</f>
        <v>1992</v>
      </c>
      <c r="H1088" t="str">
        <f ca="1">VLOOKUP($G1088, survey_codes_dict!A:C, 2, FALSE)</f>
        <v>1992</v>
      </c>
      <c r="I1088" s="102" t="str">
        <f ca="1">VLOOKUP($G1088, survey_codes_dict!A:D, 4, FALSE)</f>
        <v>1988_N=873</v>
      </c>
      <c r="J1088" s="102" t="str">
        <f t="shared" ca="1" si="32"/>
        <v>1992__a43</v>
      </c>
      <c r="K1088" s="102" t="str">
        <f t="shared" ca="1" si="33"/>
        <v>1988_N=873__a43</v>
      </c>
      <c r="L1088" s="102"/>
      <c r="M1088" s="102"/>
      <c r="N1088" s="102"/>
      <c r="O1088" s="102"/>
      <c r="P1088" s="102"/>
      <c r="Q1088" s="102"/>
      <c r="R1088" s="102"/>
      <c r="S1088" s="101"/>
    </row>
    <row r="1089" spans="1:19" ht="57.6" x14ac:dyDescent="0.3">
      <c r="A1089" t="s">
        <v>4977</v>
      </c>
      <c r="B1089" t="s">
        <v>5036</v>
      </c>
      <c r="C1089" s="90" t="s">
        <v>5037</v>
      </c>
      <c r="D1089" t="s">
        <v>5562</v>
      </c>
      <c r="E1089" s="101" t="s">
        <v>6378</v>
      </c>
      <c r="F1089" t="str" cm="1">
        <f t="array" aca="1" ref="F1089" ca="1">INDIRECT("'" &amp; A1089 &amp; "'!" &amp; B1089)</f>
        <v>v13</v>
      </c>
      <c r="G1089" t="str" cm="1">
        <f t="array" aca="1" ref="G1089" ca="1">INDIRECT("'" &amp; A1089 &amp; "'!" &amp; ADDRESS(1, COLUMN(INDIRECT("'" &amp; A1089 &amp; "'!" &amp; B1089))))</f>
        <v>1987*</v>
      </c>
      <c r="H1089" t="e">
        <f ca="1">VLOOKUP($G1089, survey_codes_dict!A:C, 2, FALSE)</f>
        <v>#N/A</v>
      </c>
      <c r="I1089" s="102" t="e">
        <f ca="1">VLOOKUP($G1089, survey_codes_dict!A:D, 4, FALSE)</f>
        <v>#N/A</v>
      </c>
      <c r="J1089" s="102" t="e">
        <f t="shared" ca="1" si="32"/>
        <v>#N/A</v>
      </c>
      <c r="K1089" s="102" t="e">
        <f t="shared" ca="1" si="33"/>
        <v>#N/A</v>
      </c>
      <c r="L1089" s="102"/>
      <c r="M1089" s="102"/>
      <c r="N1089" s="102"/>
      <c r="O1089" s="102"/>
      <c r="P1089" s="102"/>
      <c r="Q1089" s="102"/>
      <c r="R1089" s="102"/>
      <c r="S1089" s="101"/>
    </row>
    <row r="1090" spans="1:19" ht="115.2" x14ac:dyDescent="0.3">
      <c r="A1090" t="s">
        <v>4977</v>
      </c>
      <c r="B1090" t="s">
        <v>3656</v>
      </c>
      <c r="C1090" s="90" t="s">
        <v>5038</v>
      </c>
      <c r="D1090" t="s">
        <v>5562</v>
      </c>
      <c r="E1090" s="101" t="s">
        <v>6379</v>
      </c>
      <c r="F1090" t="str" cm="1">
        <f t="array" aca="1" ref="F1090" ca="1">INDIRECT("'" &amp; A1090 &amp; "'!" &amp; B1090)</f>
        <v>v15</v>
      </c>
      <c r="G1090" t="str" cm="1">
        <f t="array" aca="1" ref="G1090" ca="1">INDIRECT("'" &amp; A1090 &amp; "'!" &amp; ADDRESS(1, COLUMN(INDIRECT("'" &amp; A1090 &amp; "'!" &amp; B1090))))</f>
        <v>1987*</v>
      </c>
      <c r="H1090" t="e">
        <f ca="1">VLOOKUP($G1090, survey_codes_dict!A:C, 2, FALSE)</f>
        <v>#N/A</v>
      </c>
      <c r="I1090" s="102" t="e">
        <f ca="1">VLOOKUP($G1090, survey_codes_dict!A:D, 4, FALSE)</f>
        <v>#N/A</v>
      </c>
      <c r="J1090" s="102" t="e">
        <f t="shared" ref="J1090:J1153" ca="1" si="34">_xlfn.CONCAT($H1090, "__", F1090)</f>
        <v>#N/A</v>
      </c>
      <c r="K1090" s="102" t="e">
        <f t="shared" ref="K1090:K1153" ca="1" si="35">_xlfn.CONCAT($I1090, "__", F1090)</f>
        <v>#N/A</v>
      </c>
      <c r="L1090" s="102"/>
      <c r="M1090" s="102"/>
      <c r="N1090" s="102"/>
      <c r="O1090" s="102"/>
      <c r="P1090" s="102"/>
      <c r="Q1090" s="102"/>
      <c r="R1090" s="102"/>
      <c r="S1090" s="101"/>
    </row>
    <row r="1091" spans="1:19" ht="115.2" x14ac:dyDescent="0.3">
      <c r="A1091" t="s">
        <v>4977</v>
      </c>
      <c r="B1091" t="s">
        <v>3499</v>
      </c>
      <c r="C1091" s="90" t="s">
        <v>5039</v>
      </c>
      <c r="D1091" t="s">
        <v>5562</v>
      </c>
      <c r="E1091" s="101" t="s">
        <v>6380</v>
      </c>
      <c r="F1091" t="str" cm="1">
        <f t="array" aca="1" ref="F1091" ca="1">INDIRECT("'" &amp; A1091 &amp; "'!" &amp; B1091)</f>
        <v>v21</v>
      </c>
      <c r="G1091" t="str" cm="1">
        <f t="array" aca="1" ref="G1091" ca="1">INDIRECT("'" &amp; A1091 &amp; "'!" &amp; ADDRESS(1, COLUMN(INDIRECT("'" &amp; A1091 &amp; "'!" &amp; B1091))))</f>
        <v>1987*</v>
      </c>
      <c r="H1091" t="e">
        <f ca="1">VLOOKUP($G1091, survey_codes_dict!A:C, 2, FALSE)</f>
        <v>#N/A</v>
      </c>
      <c r="I1091" s="102" t="e">
        <f ca="1">VLOOKUP($G1091, survey_codes_dict!A:D, 4, FALSE)</f>
        <v>#N/A</v>
      </c>
      <c r="J1091" s="102" t="e">
        <f t="shared" ca="1" si="34"/>
        <v>#N/A</v>
      </c>
      <c r="K1091" s="102" t="e">
        <f t="shared" ca="1" si="35"/>
        <v>#N/A</v>
      </c>
      <c r="L1091" s="102"/>
      <c r="M1091" s="102"/>
      <c r="N1091" s="102"/>
      <c r="O1091" s="102"/>
      <c r="P1091" s="102"/>
      <c r="Q1091" s="102"/>
      <c r="R1091" s="102"/>
      <c r="S1091" s="101"/>
    </row>
    <row r="1092" spans="1:19" ht="100.8" x14ac:dyDescent="0.3">
      <c r="A1092" t="s">
        <v>4977</v>
      </c>
      <c r="B1092" t="s">
        <v>3659</v>
      </c>
      <c r="C1092" s="90" t="s">
        <v>5040</v>
      </c>
      <c r="D1092" t="s">
        <v>5562</v>
      </c>
      <c r="E1092" s="101" t="s">
        <v>6381</v>
      </c>
      <c r="F1092" t="str" cm="1">
        <f t="array" aca="1" ref="F1092" ca="1">INDIRECT("'" &amp; A1092 &amp; "'!" &amp; B1092)</f>
        <v>v22</v>
      </c>
      <c r="G1092" t="str" cm="1">
        <f t="array" aca="1" ref="G1092" ca="1">INDIRECT("'" &amp; A1092 &amp; "'!" &amp; ADDRESS(1, COLUMN(INDIRECT("'" &amp; A1092 &amp; "'!" &amp; B1092))))</f>
        <v>1987*</v>
      </c>
      <c r="H1092" t="e">
        <f ca="1">VLOOKUP($G1092, survey_codes_dict!A:C, 2, FALSE)</f>
        <v>#N/A</v>
      </c>
      <c r="I1092" s="102" t="e">
        <f ca="1">VLOOKUP($G1092, survey_codes_dict!A:D, 4, FALSE)</f>
        <v>#N/A</v>
      </c>
      <c r="J1092" s="102" t="e">
        <f t="shared" ca="1" si="34"/>
        <v>#N/A</v>
      </c>
      <c r="K1092" s="102" t="e">
        <f t="shared" ca="1" si="35"/>
        <v>#N/A</v>
      </c>
      <c r="L1092" s="102"/>
      <c r="M1092" s="102"/>
      <c r="N1092" s="102"/>
      <c r="O1092" s="102"/>
      <c r="P1092" s="102"/>
      <c r="Q1092" s="102"/>
      <c r="R1092" s="102"/>
      <c r="S1092" s="101"/>
    </row>
    <row r="1093" spans="1:19" ht="144" x14ac:dyDescent="0.3">
      <c r="A1093" t="s">
        <v>4977</v>
      </c>
      <c r="B1093" t="s">
        <v>5041</v>
      </c>
      <c r="C1093" s="90" t="s">
        <v>5042</v>
      </c>
      <c r="D1093" t="s">
        <v>5562</v>
      </c>
      <c r="E1093" s="101" t="s">
        <v>6382</v>
      </c>
      <c r="F1093" t="str" cm="1">
        <f t="array" aca="1" ref="F1093" ca="1">INDIRECT("'" &amp; A1093 &amp; "'!" &amp; B1093)</f>
        <v>v23</v>
      </c>
      <c r="G1093" t="str" cm="1">
        <f t="array" aca="1" ref="G1093" ca="1">INDIRECT("'" &amp; A1093 &amp; "'!" &amp; ADDRESS(1, COLUMN(INDIRECT("'" &amp; A1093 &amp; "'!" &amp; B1093))))</f>
        <v>1987*</v>
      </c>
      <c r="H1093" t="e">
        <f ca="1">VLOOKUP($G1093, survey_codes_dict!A:C, 2, FALSE)</f>
        <v>#N/A</v>
      </c>
      <c r="I1093" s="102" t="e">
        <f ca="1">VLOOKUP($G1093, survey_codes_dict!A:D, 4, FALSE)</f>
        <v>#N/A</v>
      </c>
      <c r="J1093" s="102" t="e">
        <f t="shared" ca="1" si="34"/>
        <v>#N/A</v>
      </c>
      <c r="K1093" s="102" t="e">
        <f t="shared" ca="1" si="35"/>
        <v>#N/A</v>
      </c>
      <c r="L1093" s="102"/>
      <c r="M1093" s="102"/>
      <c r="N1093" s="102"/>
      <c r="O1093" s="102"/>
      <c r="P1093" s="102"/>
      <c r="Q1093" s="102"/>
      <c r="R1093" s="102"/>
      <c r="S1093" s="101"/>
    </row>
    <row r="1094" spans="1:19" ht="43.2" x14ac:dyDescent="0.3">
      <c r="A1094" t="s">
        <v>4977</v>
      </c>
      <c r="B1094" t="s">
        <v>5043</v>
      </c>
      <c r="C1094" s="90" t="s">
        <v>5044</v>
      </c>
      <c r="D1094" t="s">
        <v>5562</v>
      </c>
      <c r="E1094" s="101" t="s">
        <v>6383</v>
      </c>
      <c r="F1094" t="str" cm="1">
        <f t="array" aca="1" ref="F1094" ca="1">INDIRECT("'" &amp; A1094 &amp; "'!" &amp; B1094)</f>
        <v>v24</v>
      </c>
      <c r="G1094" t="str" cm="1">
        <f t="array" aca="1" ref="G1094" ca="1">INDIRECT("'" &amp; A1094 &amp; "'!" &amp; ADDRESS(1, COLUMN(INDIRECT("'" &amp; A1094 &amp; "'!" &amp; B1094))))</f>
        <v>1987*</v>
      </c>
      <c r="H1094" t="e">
        <f ca="1">VLOOKUP($G1094, survey_codes_dict!A:C, 2, FALSE)</f>
        <v>#N/A</v>
      </c>
      <c r="I1094" s="102" t="e">
        <f ca="1">VLOOKUP($G1094, survey_codes_dict!A:D, 4, FALSE)</f>
        <v>#N/A</v>
      </c>
      <c r="J1094" s="102" t="e">
        <f t="shared" ca="1" si="34"/>
        <v>#N/A</v>
      </c>
      <c r="K1094" s="102" t="e">
        <f t="shared" ca="1" si="35"/>
        <v>#N/A</v>
      </c>
      <c r="L1094" s="102"/>
      <c r="M1094" s="102"/>
      <c r="N1094" s="102"/>
      <c r="O1094" s="102"/>
      <c r="P1094" s="102"/>
      <c r="Q1094" s="102"/>
      <c r="R1094" s="102"/>
      <c r="S1094" s="101"/>
    </row>
    <row r="1095" spans="1:19" ht="72" x14ac:dyDescent="0.3">
      <c r="A1095" t="s">
        <v>4977</v>
      </c>
      <c r="B1095" t="s">
        <v>5045</v>
      </c>
      <c r="C1095" s="90" t="s">
        <v>5046</v>
      </c>
      <c r="D1095" t="s">
        <v>5562</v>
      </c>
      <c r="E1095" s="101" t="s">
        <v>6384</v>
      </c>
      <c r="F1095" t="str" cm="1">
        <f t="array" aca="1" ref="F1095" ca="1">INDIRECT("'" &amp; A1095 &amp; "'!" &amp; B1095)</f>
        <v>v29</v>
      </c>
      <c r="G1095" t="str" cm="1">
        <f t="array" aca="1" ref="G1095" ca="1">INDIRECT("'" &amp; A1095 &amp; "'!" &amp; ADDRESS(1, COLUMN(INDIRECT("'" &amp; A1095 &amp; "'!" &amp; B1095))))</f>
        <v>1987*</v>
      </c>
      <c r="H1095" t="e">
        <f ca="1">VLOOKUP($G1095, survey_codes_dict!A:C, 2, FALSE)</f>
        <v>#N/A</v>
      </c>
      <c r="I1095" s="102" t="e">
        <f ca="1">VLOOKUP($G1095, survey_codes_dict!A:D, 4, FALSE)</f>
        <v>#N/A</v>
      </c>
      <c r="J1095" s="102" t="e">
        <f t="shared" ca="1" si="34"/>
        <v>#N/A</v>
      </c>
      <c r="K1095" s="102" t="e">
        <f t="shared" ca="1" si="35"/>
        <v>#N/A</v>
      </c>
      <c r="L1095" s="102"/>
      <c r="M1095" s="102"/>
      <c r="N1095" s="102"/>
      <c r="O1095" s="102"/>
      <c r="P1095" s="102"/>
      <c r="Q1095" s="102"/>
      <c r="R1095" s="102"/>
      <c r="S1095" s="101"/>
    </row>
    <row r="1096" spans="1:19" ht="72" x14ac:dyDescent="0.3">
      <c r="A1096" t="s">
        <v>4977</v>
      </c>
      <c r="B1096" t="s">
        <v>5047</v>
      </c>
      <c r="C1096" s="90" t="s">
        <v>3646</v>
      </c>
      <c r="D1096" t="s">
        <v>5562</v>
      </c>
      <c r="E1096" s="101" t="s">
        <v>5819</v>
      </c>
      <c r="F1096" t="str" cm="1">
        <f t="array" aca="1" ref="F1096" ca="1">INDIRECT("'" &amp; A1096 &amp; "'!" &amp; B1096)</f>
        <v>v35</v>
      </c>
      <c r="G1096" t="str" cm="1">
        <f t="array" aca="1" ref="G1096" ca="1">INDIRECT("'" &amp; A1096 &amp; "'!" &amp; ADDRESS(1, COLUMN(INDIRECT("'" &amp; A1096 &amp; "'!" &amp; B1096))))</f>
        <v>1987*</v>
      </c>
      <c r="H1096" t="e">
        <f ca="1">VLOOKUP($G1096, survey_codes_dict!A:C, 2, FALSE)</f>
        <v>#N/A</v>
      </c>
      <c r="I1096" s="102" t="e">
        <f ca="1">VLOOKUP($G1096, survey_codes_dict!A:D, 4, FALSE)</f>
        <v>#N/A</v>
      </c>
      <c r="J1096" s="102" t="e">
        <f t="shared" ca="1" si="34"/>
        <v>#N/A</v>
      </c>
      <c r="K1096" s="102" t="e">
        <f t="shared" ca="1" si="35"/>
        <v>#N/A</v>
      </c>
      <c r="L1096" s="102"/>
      <c r="M1096" s="102"/>
      <c r="N1096" s="102"/>
      <c r="O1096" s="102"/>
      <c r="P1096" s="102"/>
      <c r="Q1096" s="102"/>
      <c r="R1096" s="102"/>
      <c r="S1096" s="101"/>
    </row>
    <row r="1097" spans="1:19" ht="72" x14ac:dyDescent="0.3">
      <c r="A1097" t="s">
        <v>4977</v>
      </c>
      <c r="B1097" t="s">
        <v>5048</v>
      </c>
      <c r="C1097" s="90" t="s">
        <v>3646</v>
      </c>
      <c r="D1097" t="s">
        <v>5562</v>
      </c>
      <c r="E1097" s="101" t="s">
        <v>5819</v>
      </c>
      <c r="F1097" t="str" cm="1">
        <f t="array" aca="1" ref="F1097" ca="1">INDIRECT("'" &amp; A1097 &amp; "'!" &amp; B1097)</f>
        <v>v36</v>
      </c>
      <c r="G1097" t="str" cm="1">
        <f t="array" aca="1" ref="G1097" ca="1">INDIRECT("'" &amp; A1097 &amp; "'!" &amp; ADDRESS(1, COLUMN(INDIRECT("'" &amp; A1097 &amp; "'!" &amp; B1097))))</f>
        <v>1987*</v>
      </c>
      <c r="H1097" t="e">
        <f ca="1">VLOOKUP($G1097, survey_codes_dict!A:C, 2, FALSE)</f>
        <v>#N/A</v>
      </c>
      <c r="I1097" s="102" t="e">
        <f ca="1">VLOOKUP($G1097, survey_codes_dict!A:D, 4, FALSE)</f>
        <v>#N/A</v>
      </c>
      <c r="J1097" s="102" t="e">
        <f t="shared" ca="1" si="34"/>
        <v>#N/A</v>
      </c>
      <c r="K1097" s="102" t="e">
        <f t="shared" ca="1" si="35"/>
        <v>#N/A</v>
      </c>
      <c r="L1097" s="102"/>
      <c r="M1097" s="102"/>
      <c r="N1097" s="102"/>
      <c r="O1097" s="102"/>
      <c r="P1097" s="102"/>
      <c r="Q1097" s="102"/>
      <c r="R1097" s="102"/>
      <c r="S1097" s="101"/>
    </row>
    <row r="1098" spans="1:19" ht="72" x14ac:dyDescent="0.3">
      <c r="A1098" t="s">
        <v>4977</v>
      </c>
      <c r="B1098" t="s">
        <v>5049</v>
      </c>
      <c r="C1098" s="90" t="s">
        <v>5050</v>
      </c>
      <c r="D1098" t="s">
        <v>5562</v>
      </c>
      <c r="E1098" s="101" t="s">
        <v>6385</v>
      </c>
      <c r="F1098" t="str" cm="1">
        <f t="array" aca="1" ref="F1098" ca="1">INDIRECT("'" &amp; A1098 &amp; "'!" &amp; B1098)</f>
        <v>v38</v>
      </c>
      <c r="G1098" t="str" cm="1">
        <f t="array" aca="1" ref="G1098" ca="1">INDIRECT("'" &amp; A1098 &amp; "'!" &amp; ADDRESS(1, COLUMN(INDIRECT("'" &amp; A1098 &amp; "'!" &amp; B1098))))</f>
        <v>1987*</v>
      </c>
      <c r="H1098" t="e">
        <f ca="1">VLOOKUP($G1098, survey_codes_dict!A:C, 2, FALSE)</f>
        <v>#N/A</v>
      </c>
      <c r="I1098" s="102" t="e">
        <f ca="1">VLOOKUP($G1098, survey_codes_dict!A:D, 4, FALSE)</f>
        <v>#N/A</v>
      </c>
      <c r="J1098" s="102" t="e">
        <f t="shared" ca="1" si="34"/>
        <v>#N/A</v>
      </c>
      <c r="K1098" s="102" t="e">
        <f t="shared" ca="1" si="35"/>
        <v>#N/A</v>
      </c>
      <c r="L1098" s="102"/>
      <c r="M1098" s="102"/>
      <c r="N1098" s="102"/>
      <c r="O1098" s="102"/>
      <c r="P1098" s="102"/>
      <c r="Q1098" s="102"/>
      <c r="R1098" s="102"/>
      <c r="S1098" s="101"/>
    </row>
    <row r="1099" spans="1:19" ht="43.2" x14ac:dyDescent="0.3">
      <c r="A1099" t="s">
        <v>4977</v>
      </c>
      <c r="B1099" t="s">
        <v>3677</v>
      </c>
      <c r="C1099" s="90" t="s">
        <v>3383</v>
      </c>
      <c r="D1099" t="s">
        <v>5562</v>
      </c>
      <c r="E1099" s="101" t="s">
        <v>5706</v>
      </c>
      <c r="F1099" t="str" cm="1">
        <f t="array" aca="1" ref="F1099" ca="1">INDIRECT("'" &amp; A1099 &amp; "'!" &amp; B1099)</f>
        <v>v48</v>
      </c>
      <c r="G1099" t="str" cm="1">
        <f t="array" aca="1" ref="G1099" ca="1">INDIRECT("'" &amp; A1099 &amp; "'!" &amp; ADDRESS(1, COLUMN(INDIRECT("'" &amp; A1099 &amp; "'!" &amp; B1099))))</f>
        <v>1987*</v>
      </c>
      <c r="H1099" t="e">
        <f ca="1">VLOOKUP($G1099, survey_codes_dict!A:C, 2, FALSE)</f>
        <v>#N/A</v>
      </c>
      <c r="I1099" s="102" t="e">
        <f ca="1">VLOOKUP($G1099, survey_codes_dict!A:D, 4, FALSE)</f>
        <v>#N/A</v>
      </c>
      <c r="J1099" s="102" t="e">
        <f t="shared" ca="1" si="34"/>
        <v>#N/A</v>
      </c>
      <c r="K1099" s="102" t="e">
        <f t="shared" ca="1" si="35"/>
        <v>#N/A</v>
      </c>
      <c r="L1099" s="102"/>
      <c r="M1099" s="102"/>
      <c r="N1099" s="102"/>
      <c r="O1099" s="102"/>
      <c r="P1099" s="102"/>
      <c r="Q1099" s="102"/>
      <c r="R1099" s="102"/>
      <c r="S1099" s="101"/>
    </row>
    <row r="1100" spans="1:19" ht="43.2" x14ac:dyDescent="0.3">
      <c r="A1100" t="s">
        <v>4977</v>
      </c>
      <c r="B1100" t="s">
        <v>3679</v>
      </c>
      <c r="C1100" s="90" t="s">
        <v>5051</v>
      </c>
      <c r="D1100" t="s">
        <v>5562</v>
      </c>
      <c r="E1100" s="101" t="s">
        <v>6386</v>
      </c>
      <c r="F1100" t="str" cm="1">
        <f t="array" aca="1" ref="F1100" ca="1">INDIRECT("'" &amp; A1100 &amp; "'!" &amp; B1100)</f>
        <v>v49</v>
      </c>
      <c r="G1100" t="str" cm="1">
        <f t="array" aca="1" ref="G1100" ca="1">INDIRECT("'" &amp; A1100 &amp; "'!" &amp; ADDRESS(1, COLUMN(INDIRECT("'" &amp; A1100 &amp; "'!" &amp; B1100))))</f>
        <v>1987*</v>
      </c>
      <c r="H1100" t="e">
        <f ca="1">VLOOKUP($G1100, survey_codes_dict!A:C, 2, FALSE)</f>
        <v>#N/A</v>
      </c>
      <c r="I1100" s="102" t="e">
        <f ca="1">VLOOKUP($G1100, survey_codes_dict!A:D, 4, FALSE)</f>
        <v>#N/A</v>
      </c>
      <c r="J1100" s="102" t="e">
        <f t="shared" ca="1" si="34"/>
        <v>#N/A</v>
      </c>
      <c r="K1100" s="102" t="e">
        <f t="shared" ca="1" si="35"/>
        <v>#N/A</v>
      </c>
      <c r="L1100" s="102"/>
      <c r="M1100" s="102"/>
      <c r="N1100" s="102"/>
      <c r="O1100" s="102"/>
      <c r="P1100" s="102"/>
      <c r="Q1100" s="102"/>
      <c r="R1100" s="102"/>
      <c r="S1100" s="101"/>
    </row>
    <row r="1101" spans="1:19" ht="28.8" x14ac:dyDescent="0.3">
      <c r="A1101" t="s">
        <v>4977</v>
      </c>
      <c r="B1101" t="s">
        <v>4004</v>
      </c>
      <c r="C1101" s="90" t="s">
        <v>5052</v>
      </c>
      <c r="D1101" t="s">
        <v>399</v>
      </c>
      <c r="E1101" s="101" t="s">
        <v>5651</v>
      </c>
      <c r="F1101" t="str" cm="1">
        <f t="array" aca="1" ref="F1101" ca="1">INDIRECT("'" &amp; A1101 &amp; "'!" &amp; B1101)</f>
        <v>האם מוצדק או לא מוצדק שישראל תשתמש בנשק גרעיני בכל אחד מהתנאים הבאים: כתגובה על התקפה גרעינית מצד מדינה אחרת</v>
      </c>
      <c r="G1101" t="str" cm="1">
        <f t="array" aca="1" ref="G1101" ca="1">INDIRECT("'" &amp; A1101 &amp; "'!" &amp; ADDRESS(1, COLUMN(INDIRECT("'" &amp; A1101 &amp; "'!" &amp; B1101))))</f>
        <v>שאלה</v>
      </c>
      <c r="H1101" t="e">
        <f ca="1">VLOOKUP($G1101, survey_codes_dict!A:C, 2, FALSE)</f>
        <v>#N/A</v>
      </c>
      <c r="I1101" s="102" t="e">
        <f ca="1">VLOOKUP($G1101, survey_codes_dict!A:D, 4, FALSE)</f>
        <v>#N/A</v>
      </c>
      <c r="J1101" s="102" t="e">
        <f t="shared" ca="1" si="34"/>
        <v>#N/A</v>
      </c>
      <c r="K1101" s="102" t="e">
        <f t="shared" ca="1" si="35"/>
        <v>#N/A</v>
      </c>
      <c r="L1101" s="102"/>
      <c r="M1101" s="102"/>
      <c r="N1101" s="102"/>
      <c r="O1101" s="102"/>
      <c r="P1101" s="102"/>
      <c r="Q1101" s="102"/>
      <c r="R1101" s="102"/>
      <c r="S1101" s="102"/>
    </row>
    <row r="1102" spans="1:19" ht="72" x14ac:dyDescent="0.3">
      <c r="A1102" t="s">
        <v>4977</v>
      </c>
      <c r="B1102" t="s">
        <v>3684</v>
      </c>
      <c r="C1102" s="90" t="s">
        <v>5050</v>
      </c>
      <c r="D1102" t="s">
        <v>5562</v>
      </c>
      <c r="E1102" s="101" t="s">
        <v>6385</v>
      </c>
      <c r="F1102" t="str" cm="1">
        <f t="array" aca="1" ref="F1102" ca="1">INDIRECT("'" &amp; A1102 &amp; "'!" &amp; B1102)</f>
        <v>v51</v>
      </c>
      <c r="G1102" t="str" cm="1">
        <f t="array" aca="1" ref="G1102" ca="1">INDIRECT("'" &amp; A1102 &amp; "'!" &amp; ADDRESS(1, COLUMN(INDIRECT("'" &amp; A1102 &amp; "'!" &amp; B1102))))</f>
        <v>1987*</v>
      </c>
      <c r="H1102" t="e">
        <f ca="1">VLOOKUP($G1102, survey_codes_dict!A:C, 2, FALSE)</f>
        <v>#N/A</v>
      </c>
      <c r="I1102" s="102" t="e">
        <f ca="1">VLOOKUP($G1102, survey_codes_dict!A:D, 4, FALSE)</f>
        <v>#N/A</v>
      </c>
      <c r="J1102" s="102" t="e">
        <f t="shared" ca="1" si="34"/>
        <v>#N/A</v>
      </c>
      <c r="K1102" s="102" t="e">
        <f t="shared" ca="1" si="35"/>
        <v>#N/A</v>
      </c>
      <c r="L1102" s="102"/>
      <c r="M1102" s="102"/>
      <c r="N1102" s="102"/>
      <c r="O1102" s="102"/>
      <c r="P1102" s="102"/>
      <c r="Q1102" s="102"/>
      <c r="R1102" s="102"/>
      <c r="S1102" s="101"/>
    </row>
    <row r="1103" spans="1:19" ht="72" x14ac:dyDescent="0.3">
      <c r="A1103" t="s">
        <v>4977</v>
      </c>
      <c r="B1103" t="s">
        <v>3691</v>
      </c>
      <c r="C1103" s="90" t="s">
        <v>5053</v>
      </c>
      <c r="D1103" t="s">
        <v>5562</v>
      </c>
      <c r="E1103" s="101" t="s">
        <v>6387</v>
      </c>
      <c r="F1103" t="str" cm="1">
        <f t="array" aca="1" ref="F1103" ca="1">INDIRECT("'" &amp; A1103 &amp; "'!" &amp; B1103)</f>
        <v>v56</v>
      </c>
      <c r="G1103" t="str" cm="1">
        <f t="array" aca="1" ref="G1103" ca="1">INDIRECT("'" &amp; A1103 &amp; "'!" &amp; ADDRESS(1, COLUMN(INDIRECT("'" &amp; A1103 &amp; "'!" &amp; B1103))))</f>
        <v>1987*</v>
      </c>
      <c r="H1103" t="e">
        <f ca="1">VLOOKUP($G1103, survey_codes_dict!A:C, 2, FALSE)</f>
        <v>#N/A</v>
      </c>
      <c r="I1103" s="102" t="e">
        <f ca="1">VLOOKUP($G1103, survey_codes_dict!A:D, 4, FALSE)</f>
        <v>#N/A</v>
      </c>
      <c r="J1103" s="102" t="e">
        <f t="shared" ca="1" si="34"/>
        <v>#N/A</v>
      </c>
      <c r="K1103" s="102" t="e">
        <f t="shared" ca="1" si="35"/>
        <v>#N/A</v>
      </c>
      <c r="L1103" s="102"/>
      <c r="M1103" s="102"/>
      <c r="N1103" s="102"/>
      <c r="O1103" s="102"/>
      <c r="P1103" s="102"/>
      <c r="Q1103" s="102"/>
      <c r="R1103" s="102"/>
      <c r="S1103" s="101"/>
    </row>
    <row r="1104" spans="1:19" ht="43.2" x14ac:dyDescent="0.3">
      <c r="A1104" t="s">
        <v>4977</v>
      </c>
      <c r="B1104" t="s">
        <v>5054</v>
      </c>
      <c r="C1104" s="90" t="s">
        <v>5055</v>
      </c>
      <c r="D1104" t="s">
        <v>5562</v>
      </c>
      <c r="E1104" s="101" t="s">
        <v>6388</v>
      </c>
      <c r="F1104" t="str" cm="1">
        <f t="array" aca="1" ref="F1104" ca="1">INDIRECT("'" &amp; A1104 &amp; "'!" &amp; B1104)</f>
        <v>v57</v>
      </c>
      <c r="G1104" t="str" cm="1">
        <f t="array" aca="1" ref="G1104" ca="1">INDIRECT("'" &amp; A1104 &amp; "'!" &amp; ADDRESS(1, COLUMN(INDIRECT("'" &amp; A1104 &amp; "'!" &amp; B1104))))</f>
        <v>1987*</v>
      </c>
      <c r="H1104" t="e">
        <f ca="1">VLOOKUP($G1104, survey_codes_dict!A:C, 2, FALSE)</f>
        <v>#N/A</v>
      </c>
      <c r="I1104" s="102" t="e">
        <f ca="1">VLOOKUP($G1104, survey_codes_dict!A:D, 4, FALSE)</f>
        <v>#N/A</v>
      </c>
      <c r="J1104" s="102" t="e">
        <f t="shared" ca="1" si="34"/>
        <v>#N/A</v>
      </c>
      <c r="K1104" s="102" t="e">
        <f t="shared" ca="1" si="35"/>
        <v>#N/A</v>
      </c>
      <c r="L1104" s="102"/>
      <c r="M1104" s="102"/>
      <c r="N1104" s="102"/>
      <c r="O1104" s="102"/>
      <c r="P1104" s="102"/>
      <c r="Q1104" s="102"/>
      <c r="R1104" s="102"/>
      <c r="S1104" s="101"/>
    </row>
    <row r="1105" spans="1:19" ht="72" x14ac:dyDescent="0.3">
      <c r="A1105" t="s">
        <v>4977</v>
      </c>
      <c r="B1105" t="s">
        <v>5056</v>
      </c>
      <c r="C1105" s="90" t="s">
        <v>5057</v>
      </c>
      <c r="D1105" t="s">
        <v>5562</v>
      </c>
      <c r="E1105" s="101" t="s">
        <v>6389</v>
      </c>
      <c r="F1105" t="str" cm="1">
        <f t="array" aca="1" ref="F1105" ca="1">INDIRECT("'" &amp; A1105 &amp; "'!" &amp; B1105)</f>
        <v>v62</v>
      </c>
      <c r="G1105" t="str" cm="1">
        <f t="array" aca="1" ref="G1105" ca="1">INDIRECT("'" &amp; A1105 &amp; "'!" &amp; ADDRESS(1, COLUMN(INDIRECT("'" &amp; A1105 &amp; "'!" &amp; B1105))))</f>
        <v>1987*</v>
      </c>
      <c r="H1105" t="e">
        <f ca="1">VLOOKUP($G1105, survey_codes_dict!A:C, 2, FALSE)</f>
        <v>#N/A</v>
      </c>
      <c r="I1105" s="102" t="e">
        <f ca="1">VLOOKUP($G1105, survey_codes_dict!A:D, 4, FALSE)</f>
        <v>#N/A</v>
      </c>
      <c r="J1105" s="102" t="e">
        <f t="shared" ca="1" si="34"/>
        <v>#N/A</v>
      </c>
      <c r="K1105" s="102" t="e">
        <f t="shared" ca="1" si="35"/>
        <v>#N/A</v>
      </c>
      <c r="L1105" s="102"/>
      <c r="M1105" s="102"/>
      <c r="N1105" s="102"/>
      <c r="O1105" s="102"/>
      <c r="P1105" s="102"/>
      <c r="Q1105" s="102"/>
      <c r="R1105" s="102"/>
      <c r="S1105" s="101"/>
    </row>
    <row r="1106" spans="1:19" ht="144" x14ac:dyDescent="0.3">
      <c r="A1106" t="s">
        <v>4977</v>
      </c>
      <c r="B1106" t="s">
        <v>5058</v>
      </c>
      <c r="C1106" s="90" t="s">
        <v>5059</v>
      </c>
      <c r="D1106" t="s">
        <v>5562</v>
      </c>
      <c r="E1106" s="101" t="s">
        <v>6390</v>
      </c>
      <c r="F1106" t="str" cm="1">
        <f t="array" aca="1" ref="F1106" ca="1">INDIRECT("'" &amp; A1106 &amp; "'!" &amp; B1106)</f>
        <v>v70</v>
      </c>
      <c r="G1106" t="str" cm="1">
        <f t="array" aca="1" ref="G1106" ca="1">INDIRECT("'" &amp; A1106 &amp; "'!" &amp; ADDRESS(1, COLUMN(INDIRECT("'" &amp; A1106 &amp; "'!" &amp; B1106))))</f>
        <v>1987*</v>
      </c>
      <c r="H1106" t="e">
        <f ca="1">VLOOKUP($G1106, survey_codes_dict!A:C, 2, FALSE)</f>
        <v>#N/A</v>
      </c>
      <c r="I1106" s="102" t="e">
        <f ca="1">VLOOKUP($G1106, survey_codes_dict!A:D, 4, FALSE)</f>
        <v>#N/A</v>
      </c>
      <c r="J1106" s="102" t="e">
        <f t="shared" ca="1" si="34"/>
        <v>#N/A</v>
      </c>
      <c r="K1106" s="102" t="e">
        <f t="shared" ca="1" si="35"/>
        <v>#N/A</v>
      </c>
      <c r="L1106" s="102"/>
      <c r="M1106" s="102"/>
      <c r="N1106" s="102"/>
      <c r="O1106" s="102"/>
      <c r="P1106" s="102"/>
      <c r="Q1106" s="102"/>
      <c r="R1106" s="102"/>
      <c r="S1106" s="101"/>
    </row>
    <row r="1107" spans="1:19" ht="72" x14ac:dyDescent="0.3">
      <c r="A1107" t="s">
        <v>4977</v>
      </c>
      <c r="B1107" t="s">
        <v>5060</v>
      </c>
      <c r="C1107" s="90" t="s">
        <v>5061</v>
      </c>
      <c r="D1107" t="s">
        <v>5562</v>
      </c>
      <c r="E1107" s="101" t="s">
        <v>6391</v>
      </c>
      <c r="F1107" t="str" cm="1">
        <f t="array" aca="1" ref="F1107" ca="1">INDIRECT("'" &amp; A1107 &amp; "'!" &amp; B1107)</f>
        <v>v88</v>
      </c>
      <c r="G1107" t="str" cm="1">
        <f t="array" aca="1" ref="G1107" ca="1">INDIRECT("'" &amp; A1107 &amp; "'!" &amp; ADDRESS(1, COLUMN(INDIRECT("'" &amp; A1107 &amp; "'!" &amp; B1107))))</f>
        <v>1987*</v>
      </c>
      <c r="H1107" t="e">
        <f ca="1">VLOOKUP($G1107, survey_codes_dict!A:C, 2, FALSE)</f>
        <v>#N/A</v>
      </c>
      <c r="I1107" s="102" t="e">
        <f ca="1">VLOOKUP($G1107, survey_codes_dict!A:D, 4, FALSE)</f>
        <v>#N/A</v>
      </c>
      <c r="J1107" s="102" t="e">
        <f t="shared" ca="1" si="34"/>
        <v>#N/A</v>
      </c>
      <c r="K1107" s="102" t="e">
        <f t="shared" ca="1" si="35"/>
        <v>#N/A</v>
      </c>
      <c r="L1107" s="102"/>
      <c r="M1107" s="102"/>
      <c r="N1107" s="102"/>
      <c r="O1107" s="102"/>
      <c r="P1107" s="102"/>
      <c r="Q1107" s="102"/>
      <c r="R1107" s="102"/>
      <c r="S1107" s="101"/>
    </row>
    <row r="1108" spans="1:19" ht="86.4" x14ac:dyDescent="0.3">
      <c r="A1108" t="s">
        <v>4977</v>
      </c>
      <c r="B1108" t="s">
        <v>5062</v>
      </c>
      <c r="C1108" s="90" t="s">
        <v>5063</v>
      </c>
      <c r="D1108" t="s">
        <v>5562</v>
      </c>
      <c r="E1108" s="101" t="s">
        <v>6392</v>
      </c>
      <c r="F1108" t="str" cm="1">
        <f t="array" aca="1" ref="F1108" ca="1">INDIRECT("'" &amp; A1108 &amp; "'!" &amp; B1108)</f>
        <v>v89</v>
      </c>
      <c r="G1108" t="str" cm="1">
        <f t="array" aca="1" ref="G1108" ca="1">INDIRECT("'" &amp; A1108 &amp; "'!" &amp; ADDRESS(1, COLUMN(INDIRECT("'" &amp; A1108 &amp; "'!" &amp; B1108))))</f>
        <v>1987*</v>
      </c>
      <c r="H1108" t="e">
        <f ca="1">VLOOKUP($G1108, survey_codes_dict!A:C, 2, FALSE)</f>
        <v>#N/A</v>
      </c>
      <c r="I1108" s="102" t="e">
        <f ca="1">VLOOKUP($G1108, survey_codes_dict!A:D, 4, FALSE)</f>
        <v>#N/A</v>
      </c>
      <c r="J1108" s="102" t="e">
        <f t="shared" ca="1" si="34"/>
        <v>#N/A</v>
      </c>
      <c r="K1108" s="102" t="e">
        <f t="shared" ca="1" si="35"/>
        <v>#N/A</v>
      </c>
      <c r="L1108" s="102"/>
      <c r="M1108" s="102"/>
      <c r="N1108" s="102"/>
      <c r="O1108" s="102"/>
      <c r="P1108" s="102"/>
      <c r="Q1108" s="102"/>
      <c r="R1108" s="102"/>
      <c r="S1108" s="101"/>
    </row>
    <row r="1109" spans="1:19" ht="86.4" x14ac:dyDescent="0.3">
      <c r="A1109" t="s">
        <v>4977</v>
      </c>
      <c r="B1109" t="s">
        <v>5064</v>
      </c>
      <c r="C1109" s="90" t="s">
        <v>5063</v>
      </c>
      <c r="D1109" t="s">
        <v>5562</v>
      </c>
      <c r="E1109" s="101" t="s">
        <v>6392</v>
      </c>
      <c r="F1109" t="str" cm="1">
        <f t="array" aca="1" ref="F1109" ca="1">INDIRECT("'" &amp; A1109 &amp; "'!" &amp; B1109)</f>
        <v>v90</v>
      </c>
      <c r="G1109" t="str" cm="1">
        <f t="array" aca="1" ref="G1109" ca="1">INDIRECT("'" &amp; A1109 &amp; "'!" &amp; ADDRESS(1, COLUMN(INDIRECT("'" &amp; A1109 &amp; "'!" &amp; B1109))))</f>
        <v>1987*</v>
      </c>
      <c r="H1109" t="e">
        <f ca="1">VLOOKUP($G1109, survey_codes_dict!A:C, 2, FALSE)</f>
        <v>#N/A</v>
      </c>
      <c r="I1109" s="102" t="e">
        <f ca="1">VLOOKUP($G1109, survey_codes_dict!A:D, 4, FALSE)</f>
        <v>#N/A</v>
      </c>
      <c r="J1109" s="102" t="e">
        <f t="shared" ca="1" si="34"/>
        <v>#N/A</v>
      </c>
      <c r="K1109" s="102" t="e">
        <f t="shared" ca="1" si="35"/>
        <v>#N/A</v>
      </c>
      <c r="L1109" s="102"/>
      <c r="M1109" s="102"/>
      <c r="N1109" s="102"/>
      <c r="O1109" s="102"/>
      <c r="P1109" s="102"/>
      <c r="Q1109" s="102"/>
      <c r="R1109" s="102"/>
      <c r="S1109" s="101"/>
    </row>
    <row r="1110" spans="1:19" ht="43.2" x14ac:dyDescent="0.3">
      <c r="A1110" t="s">
        <v>4977</v>
      </c>
      <c r="B1110" t="s">
        <v>5065</v>
      </c>
      <c r="C1110" s="90" t="s">
        <v>5066</v>
      </c>
      <c r="D1110" t="s">
        <v>5562</v>
      </c>
      <c r="E1110" s="101" t="s">
        <v>6393</v>
      </c>
      <c r="F1110" t="str" cm="1">
        <f t="array" aca="1" ref="F1110" ca="1">INDIRECT("'" &amp; A1110 &amp; "'!" &amp; B1110)</f>
        <v>v93</v>
      </c>
      <c r="G1110" t="str" cm="1">
        <f t="array" aca="1" ref="G1110" ca="1">INDIRECT("'" &amp; A1110 &amp; "'!" &amp; ADDRESS(1, COLUMN(INDIRECT("'" &amp; A1110 &amp; "'!" &amp; B1110))))</f>
        <v>1987*</v>
      </c>
      <c r="H1110" t="e">
        <f ca="1">VLOOKUP($G1110, survey_codes_dict!A:C, 2, FALSE)</f>
        <v>#N/A</v>
      </c>
      <c r="I1110" s="102" t="e">
        <f ca="1">VLOOKUP($G1110, survey_codes_dict!A:D, 4, FALSE)</f>
        <v>#N/A</v>
      </c>
      <c r="J1110" s="102" t="e">
        <f t="shared" ca="1" si="34"/>
        <v>#N/A</v>
      </c>
      <c r="K1110" s="102" t="e">
        <f t="shared" ca="1" si="35"/>
        <v>#N/A</v>
      </c>
      <c r="L1110" s="102"/>
      <c r="M1110" s="102"/>
      <c r="N1110" s="102"/>
      <c r="O1110" s="102"/>
      <c r="P1110" s="102"/>
      <c r="Q1110" s="102"/>
      <c r="R1110" s="102"/>
      <c r="S1110" s="101"/>
    </row>
    <row r="1111" spans="1:19" ht="43.2" x14ac:dyDescent="0.3">
      <c r="A1111" t="s">
        <v>4977</v>
      </c>
      <c r="B1111" t="s">
        <v>5067</v>
      </c>
      <c r="C1111" s="90" t="s">
        <v>5068</v>
      </c>
      <c r="D1111" t="s">
        <v>5562</v>
      </c>
      <c r="E1111" s="101" t="s">
        <v>6394</v>
      </c>
      <c r="F1111" t="str" cm="1">
        <f t="array" aca="1" ref="F1111" ca="1">INDIRECT("'" &amp; A1111 &amp; "'!" &amp; B1111)</f>
        <v>v102</v>
      </c>
      <c r="G1111" t="str" cm="1">
        <f t="array" aca="1" ref="G1111" ca="1">INDIRECT("'" &amp; A1111 &amp; "'!" &amp; ADDRESS(1, COLUMN(INDIRECT("'" &amp; A1111 &amp; "'!" &amp; B1111))))</f>
        <v>1987*</v>
      </c>
      <c r="H1111" t="e">
        <f ca="1">VLOOKUP($G1111, survey_codes_dict!A:C, 2, FALSE)</f>
        <v>#N/A</v>
      </c>
      <c r="I1111" s="102" t="e">
        <f ca="1">VLOOKUP($G1111, survey_codes_dict!A:D, 4, FALSE)</f>
        <v>#N/A</v>
      </c>
      <c r="J1111" s="102" t="e">
        <f t="shared" ca="1" si="34"/>
        <v>#N/A</v>
      </c>
      <c r="K1111" s="102" t="e">
        <f t="shared" ca="1" si="35"/>
        <v>#N/A</v>
      </c>
      <c r="L1111" s="102"/>
      <c r="M1111" s="102"/>
      <c r="N1111" s="102"/>
      <c r="O1111" s="102"/>
      <c r="P1111" s="102"/>
      <c r="Q1111" s="102"/>
      <c r="R1111" s="102"/>
      <c r="S1111" s="101"/>
    </row>
    <row r="1112" spans="1:19" ht="43.2" x14ac:dyDescent="0.3">
      <c r="A1112" t="s">
        <v>4977</v>
      </c>
      <c r="B1112" t="s">
        <v>5069</v>
      </c>
      <c r="C1112" s="90" t="s">
        <v>5068</v>
      </c>
      <c r="D1112" t="s">
        <v>5562</v>
      </c>
      <c r="E1112" s="101" t="s">
        <v>6394</v>
      </c>
      <c r="F1112" t="str" cm="1">
        <f t="array" aca="1" ref="F1112" ca="1">INDIRECT("'" &amp; A1112 &amp; "'!" &amp; B1112)</f>
        <v>v103</v>
      </c>
      <c r="G1112" t="str" cm="1">
        <f t="array" aca="1" ref="G1112" ca="1">INDIRECT("'" &amp; A1112 &amp; "'!" &amp; ADDRESS(1, COLUMN(INDIRECT("'" &amp; A1112 &amp; "'!" &amp; B1112))))</f>
        <v>1987*</v>
      </c>
      <c r="H1112" t="e">
        <f ca="1">VLOOKUP($G1112, survey_codes_dict!A:C, 2, FALSE)</f>
        <v>#N/A</v>
      </c>
      <c r="I1112" s="102" t="e">
        <f ca="1">VLOOKUP($G1112, survey_codes_dict!A:D, 4, FALSE)</f>
        <v>#N/A</v>
      </c>
      <c r="J1112" s="102" t="e">
        <f t="shared" ca="1" si="34"/>
        <v>#N/A</v>
      </c>
      <c r="K1112" s="102" t="e">
        <f t="shared" ca="1" si="35"/>
        <v>#N/A</v>
      </c>
      <c r="L1112" s="102"/>
      <c r="M1112" s="102"/>
      <c r="N1112" s="102"/>
      <c r="O1112" s="102"/>
      <c r="P1112" s="102"/>
      <c r="Q1112" s="102"/>
      <c r="R1112" s="102"/>
      <c r="S1112" s="101"/>
    </row>
    <row r="1113" spans="1:19" ht="86.4" x14ac:dyDescent="0.3">
      <c r="A1113" t="s">
        <v>4977</v>
      </c>
      <c r="B1113" t="s">
        <v>5070</v>
      </c>
      <c r="C1113" s="90" t="s">
        <v>5071</v>
      </c>
      <c r="D1113" t="s">
        <v>5562</v>
      </c>
      <c r="E1113" s="101" t="s">
        <v>6395</v>
      </c>
      <c r="F1113" t="str" cm="1">
        <f t="array" aca="1" ref="F1113" ca="1">INDIRECT("'" &amp; A1113 &amp; "'!" &amp; B1113)</f>
        <v>v110</v>
      </c>
      <c r="G1113" t="str" cm="1">
        <f t="array" aca="1" ref="G1113" ca="1">INDIRECT("'" &amp; A1113 &amp; "'!" &amp; ADDRESS(1, COLUMN(INDIRECT("'" &amp; A1113 &amp; "'!" &amp; B1113))))</f>
        <v>1987*</v>
      </c>
      <c r="H1113" t="e">
        <f ca="1">VLOOKUP($G1113, survey_codes_dict!A:C, 2, FALSE)</f>
        <v>#N/A</v>
      </c>
      <c r="I1113" s="102" t="e">
        <f ca="1">VLOOKUP($G1113, survey_codes_dict!A:D, 4, FALSE)</f>
        <v>#N/A</v>
      </c>
      <c r="J1113" s="102" t="e">
        <f t="shared" ca="1" si="34"/>
        <v>#N/A</v>
      </c>
      <c r="K1113" s="102" t="e">
        <f t="shared" ca="1" si="35"/>
        <v>#N/A</v>
      </c>
      <c r="L1113" s="102"/>
      <c r="M1113" s="102"/>
      <c r="N1113" s="102"/>
      <c r="O1113" s="102"/>
      <c r="P1113" s="102"/>
      <c r="Q1113" s="102"/>
      <c r="R1113" s="102"/>
      <c r="S1113" s="101"/>
    </row>
    <row r="1114" spans="1:19" ht="86.4" x14ac:dyDescent="0.3">
      <c r="A1114" t="s">
        <v>4977</v>
      </c>
      <c r="B1114" t="s">
        <v>5072</v>
      </c>
      <c r="C1114" s="90" t="s">
        <v>5073</v>
      </c>
      <c r="D1114" t="s">
        <v>5562</v>
      </c>
      <c r="E1114" s="101" t="s">
        <v>6396</v>
      </c>
      <c r="F1114" t="str" cm="1">
        <f t="array" aca="1" ref="F1114" ca="1">INDIRECT("'" &amp; A1114 &amp; "'!" &amp; B1114)</f>
        <v>v111</v>
      </c>
      <c r="G1114" t="str" cm="1">
        <f t="array" aca="1" ref="G1114" ca="1">INDIRECT("'" &amp; A1114 &amp; "'!" &amp; ADDRESS(1, COLUMN(INDIRECT("'" &amp; A1114 &amp; "'!" &amp; B1114))))</f>
        <v>1987*</v>
      </c>
      <c r="H1114" t="e">
        <f ca="1">VLOOKUP($G1114, survey_codes_dict!A:C, 2, FALSE)</f>
        <v>#N/A</v>
      </c>
      <c r="I1114" s="102" t="e">
        <f ca="1">VLOOKUP($G1114, survey_codes_dict!A:D, 4, FALSE)</f>
        <v>#N/A</v>
      </c>
      <c r="J1114" s="102" t="e">
        <f t="shared" ca="1" si="34"/>
        <v>#N/A</v>
      </c>
      <c r="K1114" s="102" t="e">
        <f t="shared" ca="1" si="35"/>
        <v>#N/A</v>
      </c>
      <c r="L1114" s="102"/>
      <c r="M1114" s="102"/>
      <c r="N1114" s="102"/>
      <c r="O1114" s="102"/>
      <c r="P1114" s="102"/>
      <c r="Q1114" s="102"/>
      <c r="R1114" s="102"/>
      <c r="S1114" s="101"/>
    </row>
    <row r="1115" spans="1:19" ht="72" x14ac:dyDescent="0.3">
      <c r="A1115" t="s">
        <v>4977</v>
      </c>
      <c r="B1115" t="s">
        <v>5074</v>
      </c>
      <c r="C1115" s="90" t="s">
        <v>5075</v>
      </c>
      <c r="D1115" t="s">
        <v>5562</v>
      </c>
      <c r="E1115" s="101" t="s">
        <v>6397</v>
      </c>
      <c r="F1115" t="str" cm="1">
        <f t="array" aca="1" ref="F1115" ca="1">INDIRECT("'" &amp; A1115 &amp; "'!" &amp; B1115)</f>
        <v>v112</v>
      </c>
      <c r="G1115" t="str" cm="1">
        <f t="array" aca="1" ref="G1115" ca="1">INDIRECT("'" &amp; A1115 &amp; "'!" &amp; ADDRESS(1, COLUMN(INDIRECT("'" &amp; A1115 &amp; "'!" &amp; B1115))))</f>
        <v>1987*</v>
      </c>
      <c r="H1115" t="e">
        <f ca="1">VLOOKUP($G1115, survey_codes_dict!A:C, 2, FALSE)</f>
        <v>#N/A</v>
      </c>
      <c r="I1115" s="102" t="e">
        <f ca="1">VLOOKUP($G1115, survey_codes_dict!A:D, 4, FALSE)</f>
        <v>#N/A</v>
      </c>
      <c r="J1115" s="102" t="e">
        <f t="shared" ca="1" si="34"/>
        <v>#N/A</v>
      </c>
      <c r="K1115" s="102" t="e">
        <f t="shared" ca="1" si="35"/>
        <v>#N/A</v>
      </c>
      <c r="L1115" s="102"/>
      <c r="M1115" s="102"/>
      <c r="N1115" s="102"/>
      <c r="O1115" s="102"/>
      <c r="P1115" s="102"/>
      <c r="Q1115" s="102"/>
      <c r="R1115" s="102"/>
      <c r="S1115" s="101"/>
    </row>
    <row r="1116" spans="1:19" ht="43.2" x14ac:dyDescent="0.3">
      <c r="A1116" t="s">
        <v>4977</v>
      </c>
      <c r="B1116" t="s">
        <v>5076</v>
      </c>
      <c r="C1116" s="90" t="s">
        <v>5077</v>
      </c>
      <c r="D1116" t="s">
        <v>5562</v>
      </c>
      <c r="E1116" s="101" t="s">
        <v>6398</v>
      </c>
      <c r="F1116" t="str" cm="1">
        <f t="array" aca="1" ref="F1116" ca="1">INDIRECT("'" &amp; A1116 &amp; "'!" &amp; B1116)</f>
        <v>a13</v>
      </c>
      <c r="G1116" t="str" cm="1">
        <f t="array" aca="1" ref="G1116" ca="1">INDIRECT("'" &amp; A1116 &amp; "'!" &amp; ADDRESS(1, COLUMN(INDIRECT("'" &amp; A1116 &amp; "'!" &amp; B1116))))</f>
        <v>1987*</v>
      </c>
      <c r="H1116" t="e">
        <f ca="1">VLOOKUP($G1116, survey_codes_dict!A:C, 2, FALSE)</f>
        <v>#N/A</v>
      </c>
      <c r="I1116" s="102" t="e">
        <f ca="1">VLOOKUP($G1116, survey_codes_dict!A:D, 4, FALSE)</f>
        <v>#N/A</v>
      </c>
      <c r="J1116" s="102" t="e">
        <f t="shared" ca="1" si="34"/>
        <v>#N/A</v>
      </c>
      <c r="K1116" s="102" t="e">
        <f t="shared" ca="1" si="35"/>
        <v>#N/A</v>
      </c>
      <c r="L1116" s="102"/>
      <c r="M1116" s="102"/>
      <c r="N1116" s="102"/>
      <c r="O1116" s="102"/>
      <c r="P1116" s="102"/>
      <c r="Q1116" s="102"/>
      <c r="R1116" s="102"/>
      <c r="S1116" s="101"/>
    </row>
    <row r="1117" spans="1:19" ht="43.2" x14ac:dyDescent="0.3">
      <c r="A1117" t="s">
        <v>4977</v>
      </c>
      <c r="B1117" t="s">
        <v>5078</v>
      </c>
      <c r="C1117" s="90" t="s">
        <v>5079</v>
      </c>
      <c r="D1117" t="s">
        <v>5562</v>
      </c>
      <c r="E1117" s="101" t="s">
        <v>6399</v>
      </c>
      <c r="F1117" t="str" cm="1">
        <f t="array" aca="1" ref="F1117" ca="1">INDIRECT("'" &amp; A1117 &amp; "'!" &amp; B1117)</f>
        <v>v113</v>
      </c>
      <c r="G1117" t="str" cm="1">
        <f t="array" aca="1" ref="G1117" ca="1">INDIRECT("'" &amp; A1117 &amp; "'!" &amp; ADDRESS(1, COLUMN(INDIRECT("'" &amp; A1117 &amp; "'!" &amp; B1117))))</f>
        <v>1987*</v>
      </c>
      <c r="H1117" t="e">
        <f ca="1">VLOOKUP($G1117, survey_codes_dict!A:C, 2, FALSE)</f>
        <v>#N/A</v>
      </c>
      <c r="I1117" s="102" t="e">
        <f ca="1">VLOOKUP($G1117, survey_codes_dict!A:D, 4, FALSE)</f>
        <v>#N/A</v>
      </c>
      <c r="J1117" s="102" t="e">
        <f t="shared" ca="1" si="34"/>
        <v>#N/A</v>
      </c>
      <c r="K1117" s="102" t="e">
        <f t="shared" ca="1" si="35"/>
        <v>#N/A</v>
      </c>
      <c r="L1117" s="102"/>
      <c r="M1117" s="102"/>
      <c r="N1117" s="102"/>
      <c r="O1117" s="102"/>
      <c r="P1117" s="102"/>
      <c r="Q1117" s="102"/>
      <c r="R1117" s="102"/>
      <c r="S1117" s="101"/>
    </row>
    <row r="1118" spans="1:19" ht="158.4" x14ac:dyDescent="0.3">
      <c r="A1118" t="s">
        <v>4977</v>
      </c>
      <c r="B1118" t="s">
        <v>5080</v>
      </c>
      <c r="C1118" s="90" t="s">
        <v>5081</v>
      </c>
      <c r="D1118" t="s">
        <v>5562</v>
      </c>
      <c r="E1118" s="101" t="s">
        <v>6400</v>
      </c>
      <c r="F1118" t="str" cm="1">
        <f t="array" aca="1" ref="F1118" ca="1">INDIRECT("'" &amp; A1118 &amp; "'!" &amp; B1118)</f>
        <v>v114</v>
      </c>
      <c r="G1118" t="str" cm="1">
        <f t="array" aca="1" ref="G1118" ca="1">INDIRECT("'" &amp; A1118 &amp; "'!" &amp; ADDRESS(1, COLUMN(INDIRECT("'" &amp; A1118 &amp; "'!" &amp; B1118))))</f>
        <v>1987*</v>
      </c>
      <c r="H1118" t="e">
        <f ca="1">VLOOKUP($G1118, survey_codes_dict!A:C, 2, FALSE)</f>
        <v>#N/A</v>
      </c>
      <c r="I1118" s="102" t="e">
        <f ca="1">VLOOKUP($G1118, survey_codes_dict!A:D, 4, FALSE)</f>
        <v>#N/A</v>
      </c>
      <c r="J1118" s="102" t="e">
        <f t="shared" ca="1" si="34"/>
        <v>#N/A</v>
      </c>
      <c r="K1118" s="102" t="e">
        <f t="shared" ca="1" si="35"/>
        <v>#N/A</v>
      </c>
      <c r="L1118" s="102"/>
      <c r="M1118" s="102"/>
      <c r="N1118" s="102"/>
      <c r="O1118" s="102"/>
      <c r="P1118" s="102"/>
      <c r="Q1118" s="102"/>
      <c r="R1118" s="102"/>
      <c r="S1118" s="101"/>
    </row>
    <row r="1119" spans="1:19" ht="72" x14ac:dyDescent="0.3">
      <c r="A1119" t="s">
        <v>4977</v>
      </c>
      <c r="B1119" t="s">
        <v>5082</v>
      </c>
      <c r="C1119" s="90" t="s">
        <v>5083</v>
      </c>
      <c r="D1119" t="s">
        <v>5562</v>
      </c>
      <c r="E1119" s="101" t="s">
        <v>6401</v>
      </c>
      <c r="F1119" t="str" cm="1">
        <f t="array" aca="1" ref="F1119" ca="1">INDIRECT("'" &amp; A1119 &amp; "'!" &amp; B1119)</f>
        <v>v115</v>
      </c>
      <c r="G1119" t="str" cm="1">
        <f t="array" aca="1" ref="G1119" ca="1">INDIRECT("'" &amp; A1119 &amp; "'!" &amp; ADDRESS(1, COLUMN(INDIRECT("'" &amp; A1119 &amp; "'!" &amp; B1119))))</f>
        <v>1987*</v>
      </c>
      <c r="H1119" t="e">
        <f ca="1">VLOOKUP($G1119, survey_codes_dict!A:C, 2, FALSE)</f>
        <v>#N/A</v>
      </c>
      <c r="I1119" s="102" t="e">
        <f ca="1">VLOOKUP($G1119, survey_codes_dict!A:D, 4, FALSE)</f>
        <v>#N/A</v>
      </c>
      <c r="J1119" s="102" t="e">
        <f t="shared" ca="1" si="34"/>
        <v>#N/A</v>
      </c>
      <c r="K1119" s="102" t="e">
        <f t="shared" ca="1" si="35"/>
        <v>#N/A</v>
      </c>
      <c r="L1119" s="102"/>
      <c r="M1119" s="102"/>
      <c r="N1119" s="102"/>
      <c r="O1119" s="102"/>
      <c r="P1119" s="102"/>
      <c r="Q1119" s="102"/>
      <c r="R1119" s="102"/>
      <c r="S1119" s="101"/>
    </row>
    <row r="1120" spans="1:19" ht="86.4" x14ac:dyDescent="0.3">
      <c r="A1120" t="s">
        <v>4977</v>
      </c>
      <c r="B1120" t="s">
        <v>5084</v>
      </c>
      <c r="C1120" s="90" t="s">
        <v>5085</v>
      </c>
      <c r="D1120" t="s">
        <v>5562</v>
      </c>
      <c r="E1120" s="101" t="s">
        <v>6402</v>
      </c>
      <c r="F1120" t="str" cm="1">
        <f t="array" aca="1" ref="F1120" ca="1">INDIRECT("'" &amp; A1120 &amp; "'!" &amp; B1120)</f>
        <v>a17</v>
      </c>
      <c r="G1120" t="str" cm="1">
        <f t="array" aca="1" ref="G1120" ca="1">INDIRECT("'" &amp; A1120 &amp; "'!" &amp; ADDRESS(1, COLUMN(INDIRECT("'" &amp; A1120 &amp; "'!" &amp; B1120))))</f>
        <v>1987*</v>
      </c>
      <c r="H1120" t="e">
        <f ca="1">VLOOKUP($G1120, survey_codes_dict!A:C, 2, FALSE)</f>
        <v>#N/A</v>
      </c>
      <c r="I1120" s="102" t="e">
        <f ca="1">VLOOKUP($G1120, survey_codes_dict!A:D, 4, FALSE)</f>
        <v>#N/A</v>
      </c>
      <c r="J1120" s="102" t="e">
        <f t="shared" ca="1" si="34"/>
        <v>#N/A</v>
      </c>
      <c r="K1120" s="102" t="e">
        <f t="shared" ca="1" si="35"/>
        <v>#N/A</v>
      </c>
      <c r="L1120" s="102"/>
      <c r="M1120" s="102"/>
      <c r="N1120" s="102"/>
      <c r="O1120" s="102"/>
      <c r="P1120" s="102"/>
      <c r="Q1120" s="102"/>
      <c r="R1120" s="102"/>
      <c r="S1120" s="101"/>
    </row>
    <row r="1121" spans="1:19" ht="86.4" x14ac:dyDescent="0.3">
      <c r="A1121" t="s">
        <v>4977</v>
      </c>
      <c r="B1121" t="s">
        <v>5086</v>
      </c>
      <c r="C1121" s="90" t="s">
        <v>5085</v>
      </c>
      <c r="D1121" t="s">
        <v>5562</v>
      </c>
      <c r="E1121" s="101" t="s">
        <v>6402</v>
      </c>
      <c r="F1121" t="str" cm="1">
        <f t="array" aca="1" ref="F1121" ca="1">INDIRECT("'" &amp; A1121 &amp; "'!" &amp; B1121)</f>
        <v>a14</v>
      </c>
      <c r="G1121" t="str" cm="1">
        <f t="array" aca="1" ref="G1121" ca="1">INDIRECT("'" &amp; A1121 &amp; "'!" &amp; ADDRESS(1, COLUMN(INDIRECT("'" &amp; A1121 &amp; "'!" &amp; B1121))))</f>
        <v>1987*</v>
      </c>
      <c r="H1121" t="e">
        <f ca="1">VLOOKUP($G1121, survey_codes_dict!A:C, 2, FALSE)</f>
        <v>#N/A</v>
      </c>
      <c r="I1121" s="102" t="e">
        <f ca="1">VLOOKUP($G1121, survey_codes_dict!A:D, 4, FALSE)</f>
        <v>#N/A</v>
      </c>
      <c r="J1121" s="102" t="e">
        <f t="shared" ca="1" si="34"/>
        <v>#N/A</v>
      </c>
      <c r="K1121" s="102" t="e">
        <f t="shared" ca="1" si="35"/>
        <v>#N/A</v>
      </c>
      <c r="L1121" s="102"/>
      <c r="M1121" s="102"/>
      <c r="N1121" s="102"/>
      <c r="O1121" s="102"/>
      <c r="P1121" s="102"/>
      <c r="Q1121" s="102"/>
      <c r="R1121" s="102"/>
      <c r="S1121" s="101"/>
    </row>
    <row r="1122" spans="1:19" ht="72" x14ac:dyDescent="0.3">
      <c r="A1122" t="s">
        <v>4977</v>
      </c>
      <c r="B1122" t="s">
        <v>5087</v>
      </c>
      <c r="C1122" s="90" t="s">
        <v>5088</v>
      </c>
      <c r="D1122" t="s">
        <v>5562</v>
      </c>
      <c r="E1122" s="101" t="s">
        <v>6403</v>
      </c>
      <c r="F1122" t="str" cm="1">
        <f t="array" aca="1" ref="F1122" ca="1">INDIRECT("'" &amp; A1122 &amp; "'!" &amp; B1122)</f>
        <v>a2</v>
      </c>
      <c r="G1122" t="str" cm="1">
        <f t="array" aca="1" ref="G1122" ca="1">INDIRECT("'" &amp; A1122 &amp; "'!" &amp; ADDRESS(1, COLUMN(INDIRECT("'" &amp; A1122 &amp; "'!" &amp; B1122))))</f>
        <v>1987*</v>
      </c>
      <c r="H1122" t="e">
        <f ca="1">VLOOKUP($G1122, survey_codes_dict!A:C, 2, FALSE)</f>
        <v>#N/A</v>
      </c>
      <c r="I1122" s="102" t="e">
        <f ca="1">VLOOKUP($G1122, survey_codes_dict!A:D, 4, FALSE)</f>
        <v>#N/A</v>
      </c>
      <c r="J1122" s="102" t="e">
        <f t="shared" ca="1" si="34"/>
        <v>#N/A</v>
      </c>
      <c r="K1122" s="102" t="e">
        <f t="shared" ca="1" si="35"/>
        <v>#N/A</v>
      </c>
      <c r="L1122" s="102"/>
      <c r="M1122" s="102"/>
      <c r="N1122" s="102"/>
      <c r="O1122" s="102"/>
      <c r="P1122" s="102"/>
      <c r="Q1122" s="102"/>
      <c r="R1122" s="102"/>
      <c r="S1122" s="101"/>
    </row>
    <row r="1123" spans="1:19" ht="72" x14ac:dyDescent="0.3">
      <c r="A1123" t="s">
        <v>4977</v>
      </c>
      <c r="B1123" t="s">
        <v>4472</v>
      </c>
      <c r="C1123" s="90" t="s">
        <v>5089</v>
      </c>
      <c r="D1123" t="s">
        <v>5562</v>
      </c>
      <c r="E1123" s="101" t="s">
        <v>6404</v>
      </c>
      <c r="F1123" t="str" cm="1">
        <f t="array" aca="1" ref="F1123" ca="1">INDIRECT("'" &amp; A1123 &amp; "'!" &amp; B1123)</f>
        <v>a3</v>
      </c>
      <c r="G1123" t="str" cm="1">
        <f t="array" aca="1" ref="G1123" ca="1">INDIRECT("'" &amp; A1123 &amp; "'!" &amp; ADDRESS(1, COLUMN(INDIRECT("'" &amp; A1123 &amp; "'!" &amp; B1123))))</f>
        <v>1987*</v>
      </c>
      <c r="H1123" t="e">
        <f ca="1">VLOOKUP($G1123, survey_codes_dict!A:C, 2, FALSE)</f>
        <v>#N/A</v>
      </c>
      <c r="I1123" s="102" t="e">
        <f ca="1">VLOOKUP($G1123, survey_codes_dict!A:D, 4, FALSE)</f>
        <v>#N/A</v>
      </c>
      <c r="J1123" s="102" t="e">
        <f t="shared" ca="1" si="34"/>
        <v>#N/A</v>
      </c>
      <c r="K1123" s="102" t="e">
        <f t="shared" ca="1" si="35"/>
        <v>#N/A</v>
      </c>
      <c r="L1123" s="102"/>
      <c r="M1123" s="102"/>
      <c r="N1123" s="102"/>
      <c r="O1123" s="102"/>
      <c r="P1123" s="102"/>
      <c r="Q1123" s="102"/>
      <c r="R1123" s="102"/>
      <c r="S1123" s="101"/>
    </row>
    <row r="1124" spans="1:19" ht="43.2" x14ac:dyDescent="0.3">
      <c r="A1124" t="s">
        <v>4977</v>
      </c>
      <c r="B1124" t="s">
        <v>5090</v>
      </c>
      <c r="C1124" s="90" t="s">
        <v>5091</v>
      </c>
      <c r="D1124" t="s">
        <v>5562</v>
      </c>
      <c r="E1124" s="101" t="s">
        <v>6405</v>
      </c>
      <c r="F1124" t="str" cm="1">
        <f t="array" aca="1" ref="F1124" ca="1">INDIRECT("'" &amp; A1124 &amp; "'!" &amp; B1124)</f>
        <v>a5</v>
      </c>
      <c r="G1124" t="str" cm="1">
        <f t="array" aca="1" ref="G1124" ca="1">INDIRECT("'" &amp; A1124 &amp; "'!" &amp; ADDRESS(1, COLUMN(INDIRECT("'" &amp; A1124 &amp; "'!" &amp; B1124))))</f>
        <v>1987*</v>
      </c>
      <c r="H1124" t="e">
        <f ca="1">VLOOKUP($G1124, survey_codes_dict!A:C, 2, FALSE)</f>
        <v>#N/A</v>
      </c>
      <c r="I1124" s="102" t="e">
        <f ca="1">VLOOKUP($G1124, survey_codes_dict!A:D, 4, FALSE)</f>
        <v>#N/A</v>
      </c>
      <c r="J1124" s="102" t="e">
        <f t="shared" ca="1" si="34"/>
        <v>#N/A</v>
      </c>
      <c r="K1124" s="102" t="e">
        <f t="shared" ca="1" si="35"/>
        <v>#N/A</v>
      </c>
      <c r="L1124" s="102"/>
      <c r="M1124" s="102"/>
      <c r="N1124" s="102"/>
      <c r="O1124" s="102"/>
      <c r="P1124" s="102"/>
      <c r="Q1124" s="102"/>
      <c r="R1124" s="102"/>
      <c r="S1124" s="101"/>
    </row>
    <row r="1125" spans="1:19" ht="72" x14ac:dyDescent="0.3">
      <c r="A1125" t="s">
        <v>4977</v>
      </c>
      <c r="B1125" t="s">
        <v>5092</v>
      </c>
      <c r="C1125" s="90" t="s">
        <v>5093</v>
      </c>
      <c r="D1125" t="s">
        <v>5562</v>
      </c>
      <c r="E1125" s="101" t="s">
        <v>6406</v>
      </c>
      <c r="F1125" t="str" cm="1">
        <f t="array" aca="1" ref="F1125" ca="1">INDIRECT("'" &amp; A1125 &amp; "'!" &amp; B1125)</f>
        <v>a10</v>
      </c>
      <c r="G1125" t="str" cm="1">
        <f t="array" aca="1" ref="G1125" ca="1">INDIRECT("'" &amp; A1125 &amp; "'!" &amp; ADDRESS(1, COLUMN(INDIRECT("'" &amp; A1125 &amp; "'!" &amp; B1125))))</f>
        <v>1987*</v>
      </c>
      <c r="H1125" t="e">
        <f ca="1">VLOOKUP($G1125, survey_codes_dict!A:C, 2, FALSE)</f>
        <v>#N/A</v>
      </c>
      <c r="I1125" s="102" t="e">
        <f ca="1">VLOOKUP($G1125, survey_codes_dict!A:D, 4, FALSE)</f>
        <v>#N/A</v>
      </c>
      <c r="J1125" s="102" t="e">
        <f t="shared" ca="1" si="34"/>
        <v>#N/A</v>
      </c>
      <c r="K1125" s="102" t="e">
        <f t="shared" ca="1" si="35"/>
        <v>#N/A</v>
      </c>
      <c r="L1125" s="102"/>
      <c r="M1125" s="102"/>
      <c r="N1125" s="102"/>
      <c r="O1125" s="102"/>
      <c r="P1125" s="102"/>
      <c r="Q1125" s="102"/>
      <c r="R1125" s="102"/>
      <c r="S1125" s="101"/>
    </row>
    <row r="1126" spans="1:19" ht="57.6" x14ac:dyDescent="0.3">
      <c r="A1126" t="s">
        <v>4977</v>
      </c>
      <c r="B1126" t="s">
        <v>5094</v>
      </c>
      <c r="C1126" s="90" t="s">
        <v>5095</v>
      </c>
      <c r="D1126" t="s">
        <v>5562</v>
      </c>
      <c r="E1126" s="101" t="s">
        <v>6407</v>
      </c>
      <c r="F1126" t="str" cm="1">
        <f t="array" aca="1" ref="F1126" ca="1">INDIRECT("'" &amp; A1126 &amp; "'!" &amp; B1126)</f>
        <v>a11</v>
      </c>
      <c r="G1126" t="str" cm="1">
        <f t="array" aca="1" ref="G1126" ca="1">INDIRECT("'" &amp; A1126 &amp; "'!" &amp; ADDRESS(1, COLUMN(INDIRECT("'" &amp; A1126 &amp; "'!" &amp; B1126))))</f>
        <v>1987*</v>
      </c>
      <c r="H1126" t="e">
        <f ca="1">VLOOKUP($G1126, survey_codes_dict!A:C, 2, FALSE)</f>
        <v>#N/A</v>
      </c>
      <c r="I1126" s="102" t="e">
        <f ca="1">VLOOKUP($G1126, survey_codes_dict!A:D, 4, FALSE)</f>
        <v>#N/A</v>
      </c>
      <c r="J1126" s="102" t="e">
        <f t="shared" ca="1" si="34"/>
        <v>#N/A</v>
      </c>
      <c r="K1126" s="102" t="e">
        <f t="shared" ca="1" si="35"/>
        <v>#N/A</v>
      </c>
      <c r="L1126" s="102"/>
      <c r="M1126" s="102"/>
      <c r="N1126" s="102"/>
      <c r="O1126" s="102"/>
      <c r="P1126" s="102"/>
      <c r="Q1126" s="102"/>
      <c r="R1126" s="102"/>
      <c r="S1126" s="101"/>
    </row>
    <row r="1127" spans="1:19" ht="72" x14ac:dyDescent="0.3">
      <c r="A1127" t="s">
        <v>4977</v>
      </c>
      <c r="B1127" t="s">
        <v>5096</v>
      </c>
      <c r="C1127" s="90" t="s">
        <v>5097</v>
      </c>
      <c r="D1127" t="s">
        <v>5562</v>
      </c>
      <c r="E1127" s="101" t="s">
        <v>6408</v>
      </c>
      <c r="F1127" t="str" cm="1">
        <f t="array" aca="1" ref="F1127" ca="1">INDIRECT("'" &amp; A1127 &amp; "'!" &amp; B1127)</f>
        <v>a12</v>
      </c>
      <c r="G1127" t="str" cm="1">
        <f t="array" aca="1" ref="G1127" ca="1">INDIRECT("'" &amp; A1127 &amp; "'!" &amp; ADDRESS(1, COLUMN(INDIRECT("'" &amp; A1127 &amp; "'!" &amp; B1127))))</f>
        <v>1987*</v>
      </c>
      <c r="H1127" t="e">
        <f ca="1">VLOOKUP($G1127, survey_codes_dict!A:C, 2, FALSE)</f>
        <v>#N/A</v>
      </c>
      <c r="I1127" s="102" t="e">
        <f ca="1">VLOOKUP($G1127, survey_codes_dict!A:D, 4, FALSE)</f>
        <v>#N/A</v>
      </c>
      <c r="J1127" s="102" t="e">
        <f t="shared" ca="1" si="34"/>
        <v>#N/A</v>
      </c>
      <c r="K1127" s="102" t="e">
        <f t="shared" ca="1" si="35"/>
        <v>#N/A</v>
      </c>
      <c r="L1127" s="102"/>
      <c r="M1127" s="102"/>
      <c r="N1127" s="102"/>
      <c r="O1127" s="102"/>
      <c r="P1127" s="102"/>
      <c r="Q1127" s="102"/>
      <c r="R1127" s="102"/>
      <c r="S1127" s="101"/>
    </row>
    <row r="1128" spans="1:19" ht="86.4" x14ac:dyDescent="0.3">
      <c r="A1128" t="s">
        <v>4977</v>
      </c>
      <c r="B1128" t="s">
        <v>5098</v>
      </c>
      <c r="C1128" s="90" t="s">
        <v>5099</v>
      </c>
      <c r="D1128" t="s">
        <v>5562</v>
      </c>
      <c r="E1128" s="101" t="s">
        <v>6409</v>
      </c>
      <c r="F1128" t="str" cm="1">
        <f t="array" aca="1" ref="F1128" ca="1">INDIRECT("'" &amp; A1128 &amp; "'!" &amp; B1128)</f>
        <v>a47</v>
      </c>
      <c r="G1128" t="str" cm="1">
        <f t="array" aca="1" ref="G1128" ca="1">INDIRECT("'" &amp; A1128 &amp; "'!" &amp; ADDRESS(1, COLUMN(INDIRECT("'" &amp; A1128 &amp; "'!" &amp; B1128))))</f>
        <v>1987*</v>
      </c>
      <c r="H1128" t="e">
        <f ca="1">VLOOKUP($G1128, survey_codes_dict!A:C, 2, FALSE)</f>
        <v>#N/A</v>
      </c>
      <c r="I1128" s="102" t="e">
        <f ca="1">VLOOKUP($G1128, survey_codes_dict!A:D, 4, FALSE)</f>
        <v>#N/A</v>
      </c>
      <c r="J1128" s="102" t="e">
        <f t="shared" ca="1" si="34"/>
        <v>#N/A</v>
      </c>
      <c r="K1128" s="102" t="e">
        <f t="shared" ca="1" si="35"/>
        <v>#N/A</v>
      </c>
      <c r="L1128" s="102"/>
      <c r="M1128" s="102"/>
      <c r="N1128" s="102"/>
      <c r="O1128" s="102"/>
      <c r="P1128" s="102"/>
      <c r="Q1128" s="102"/>
      <c r="R1128" s="102"/>
      <c r="S1128" s="101"/>
    </row>
    <row r="1129" spans="1:19" ht="86.4" x14ac:dyDescent="0.3">
      <c r="A1129" t="s">
        <v>4977</v>
      </c>
      <c r="B1129" t="s">
        <v>4485</v>
      </c>
      <c r="C1129" s="90" t="s">
        <v>5100</v>
      </c>
      <c r="D1129" t="s">
        <v>5562</v>
      </c>
      <c r="E1129" s="101" t="s">
        <v>6410</v>
      </c>
      <c r="F1129" t="str" cm="1">
        <f t="array" aca="1" ref="F1129" ca="1">INDIRECT("'" &amp; A1129 &amp; "'!" &amp; B1129)</f>
        <v>a48</v>
      </c>
      <c r="G1129" t="str" cm="1">
        <f t="array" aca="1" ref="G1129" ca="1">INDIRECT("'" &amp; A1129 &amp; "'!" &amp; ADDRESS(1, COLUMN(INDIRECT("'" &amp; A1129 &amp; "'!" &amp; B1129))))</f>
        <v>1987*</v>
      </c>
      <c r="H1129" t="e">
        <f ca="1">VLOOKUP($G1129, survey_codes_dict!A:C, 2, FALSE)</f>
        <v>#N/A</v>
      </c>
      <c r="I1129" s="102" t="e">
        <f ca="1">VLOOKUP($G1129, survey_codes_dict!A:D, 4, FALSE)</f>
        <v>#N/A</v>
      </c>
      <c r="J1129" s="102" t="e">
        <f t="shared" ca="1" si="34"/>
        <v>#N/A</v>
      </c>
      <c r="K1129" s="102" t="e">
        <f t="shared" ca="1" si="35"/>
        <v>#N/A</v>
      </c>
      <c r="L1129" s="102"/>
      <c r="M1129" s="102"/>
      <c r="N1129" s="102"/>
      <c r="O1129" s="102"/>
      <c r="P1129" s="102"/>
      <c r="Q1129" s="102"/>
      <c r="R1129" s="102"/>
      <c r="S1129" s="101"/>
    </row>
    <row r="1130" spans="1:19" ht="72" x14ac:dyDescent="0.3">
      <c r="A1130" t="s">
        <v>4977</v>
      </c>
      <c r="B1130" t="s">
        <v>4487</v>
      </c>
      <c r="C1130" s="90" t="s">
        <v>5101</v>
      </c>
      <c r="D1130" t="s">
        <v>5562</v>
      </c>
      <c r="E1130" s="101" t="s">
        <v>6411</v>
      </c>
      <c r="F1130" t="str" cm="1">
        <f t="array" aca="1" ref="F1130" ca="1">INDIRECT("'" &amp; A1130 &amp; "'!" &amp; B1130)</f>
        <v>a49</v>
      </c>
      <c r="G1130" t="str" cm="1">
        <f t="array" aca="1" ref="G1130" ca="1">INDIRECT("'" &amp; A1130 &amp; "'!" &amp; ADDRESS(1, COLUMN(INDIRECT("'" &amp; A1130 &amp; "'!" &amp; B1130))))</f>
        <v>1987*</v>
      </c>
      <c r="H1130" t="e">
        <f ca="1">VLOOKUP($G1130, survey_codes_dict!A:C, 2, FALSE)</f>
        <v>#N/A</v>
      </c>
      <c r="I1130" s="102" t="e">
        <f ca="1">VLOOKUP($G1130, survey_codes_dict!A:D, 4, FALSE)</f>
        <v>#N/A</v>
      </c>
      <c r="J1130" s="102" t="e">
        <f t="shared" ca="1" si="34"/>
        <v>#N/A</v>
      </c>
      <c r="K1130" s="102" t="e">
        <f t="shared" ca="1" si="35"/>
        <v>#N/A</v>
      </c>
      <c r="L1130" s="102"/>
      <c r="M1130" s="102"/>
      <c r="N1130" s="102"/>
      <c r="O1130" s="102"/>
      <c r="P1130" s="102"/>
      <c r="Q1130" s="102"/>
      <c r="R1130" s="102"/>
      <c r="S1130" s="101"/>
    </row>
    <row r="1131" spans="1:19" ht="72" x14ac:dyDescent="0.3">
      <c r="A1131" t="s">
        <v>4977</v>
      </c>
      <c r="B1131" t="s">
        <v>4489</v>
      </c>
      <c r="C1131" s="90" t="s">
        <v>5101</v>
      </c>
      <c r="D1131" t="s">
        <v>5562</v>
      </c>
      <c r="E1131" s="101" t="s">
        <v>6411</v>
      </c>
      <c r="F1131" t="str" cm="1">
        <f t="array" aca="1" ref="F1131" ca="1">INDIRECT("'" &amp; A1131 &amp; "'!" &amp; B1131)</f>
        <v>a50</v>
      </c>
      <c r="G1131" t="str" cm="1">
        <f t="array" aca="1" ref="G1131" ca="1">INDIRECT("'" &amp; A1131 &amp; "'!" &amp; ADDRESS(1, COLUMN(INDIRECT("'" &amp; A1131 &amp; "'!" &amp; B1131))))</f>
        <v>1987*</v>
      </c>
      <c r="H1131" t="e">
        <f ca="1">VLOOKUP($G1131, survey_codes_dict!A:C, 2, FALSE)</f>
        <v>#N/A</v>
      </c>
      <c r="I1131" s="102" t="e">
        <f ca="1">VLOOKUP($G1131, survey_codes_dict!A:D, 4, FALSE)</f>
        <v>#N/A</v>
      </c>
      <c r="J1131" s="102" t="e">
        <f t="shared" ca="1" si="34"/>
        <v>#N/A</v>
      </c>
      <c r="K1131" s="102" t="e">
        <f t="shared" ca="1" si="35"/>
        <v>#N/A</v>
      </c>
      <c r="L1131" s="102"/>
      <c r="M1131" s="102"/>
      <c r="N1131" s="102"/>
      <c r="O1131" s="102"/>
      <c r="P1131" s="102"/>
      <c r="Q1131" s="102"/>
      <c r="R1131" s="102"/>
      <c r="S1131" s="101"/>
    </row>
    <row r="1132" spans="1:19" ht="57.6" x14ac:dyDescent="0.3">
      <c r="A1132" t="s">
        <v>4977</v>
      </c>
      <c r="B1132" t="s">
        <v>4491</v>
      </c>
      <c r="C1132" s="90" t="s">
        <v>5102</v>
      </c>
      <c r="D1132" t="s">
        <v>5562</v>
      </c>
      <c r="E1132" s="101" t="s">
        <v>6412</v>
      </c>
      <c r="F1132" t="str" cm="1">
        <f t="array" aca="1" ref="F1132" ca="1">INDIRECT("'" &amp; A1132 &amp; "'!" &amp; B1132)</f>
        <v>a51</v>
      </c>
      <c r="G1132" t="str" cm="1">
        <f t="array" aca="1" ref="G1132" ca="1">INDIRECT("'" &amp; A1132 &amp; "'!" &amp; ADDRESS(1, COLUMN(INDIRECT("'" &amp; A1132 &amp; "'!" &amp; B1132))))</f>
        <v>1987*</v>
      </c>
      <c r="H1132" t="e">
        <f ca="1">VLOOKUP($G1132, survey_codes_dict!A:C, 2, FALSE)</f>
        <v>#N/A</v>
      </c>
      <c r="I1132" s="102" t="e">
        <f ca="1">VLOOKUP($G1132, survey_codes_dict!A:D, 4, FALSE)</f>
        <v>#N/A</v>
      </c>
      <c r="J1132" s="102" t="e">
        <f t="shared" ca="1" si="34"/>
        <v>#N/A</v>
      </c>
      <c r="K1132" s="102" t="e">
        <f t="shared" ca="1" si="35"/>
        <v>#N/A</v>
      </c>
      <c r="L1132" s="102"/>
      <c r="M1132" s="102"/>
      <c r="N1132" s="102"/>
      <c r="O1132" s="102"/>
      <c r="P1132" s="102"/>
      <c r="Q1132" s="102"/>
      <c r="R1132" s="102"/>
      <c r="S1132" s="101"/>
    </row>
    <row r="1133" spans="1:19" ht="43.2" x14ac:dyDescent="0.3">
      <c r="A1133" t="s">
        <v>4977</v>
      </c>
      <c r="B1133" t="s">
        <v>4493</v>
      </c>
      <c r="C1133" s="90" t="s">
        <v>5103</v>
      </c>
      <c r="D1133" t="s">
        <v>5562</v>
      </c>
      <c r="E1133" s="101" t="s">
        <v>6413</v>
      </c>
      <c r="F1133" t="str" cm="1">
        <f t="array" aca="1" ref="F1133" ca="1">INDIRECT("'" &amp; A1133 &amp; "'!" &amp; B1133)</f>
        <v>c35</v>
      </c>
      <c r="G1133" t="str" cm="1">
        <f t="array" aca="1" ref="G1133" ca="1">INDIRECT("'" &amp; A1133 &amp; "'!" &amp; ADDRESS(1, COLUMN(INDIRECT("'" &amp; A1133 &amp; "'!" &amp; B1133))))</f>
        <v>1988*</v>
      </c>
      <c r="H1133" t="str">
        <f ca="1">VLOOKUP($G1133, survey_codes_dict!A:C, 2, FALSE)</f>
        <v>1988_N=873</v>
      </c>
      <c r="I1133" s="102" t="str">
        <f ca="1">VLOOKUP($G1133, survey_codes_dict!A:D, 4, FALSE)</f>
        <v>1988_Panel_N=416</v>
      </c>
      <c r="J1133" s="102" t="str">
        <f t="shared" ca="1" si="34"/>
        <v>1988_N=873__c35</v>
      </c>
      <c r="K1133" s="102" t="str">
        <f t="shared" ca="1" si="35"/>
        <v>1988_Panel_N=416__c35</v>
      </c>
      <c r="L1133" s="102"/>
      <c r="M1133" s="102"/>
      <c r="N1133" s="102"/>
      <c r="O1133" s="102"/>
      <c r="P1133" s="102"/>
      <c r="Q1133" s="102"/>
      <c r="R1133" s="102"/>
      <c r="S1133" s="101"/>
    </row>
    <row r="1134" spans="1:19" ht="86.4" x14ac:dyDescent="0.3">
      <c r="A1134" t="s">
        <v>4977</v>
      </c>
      <c r="B1134" t="s">
        <v>5104</v>
      </c>
      <c r="C1134" s="90" t="s">
        <v>5105</v>
      </c>
      <c r="D1134" t="s">
        <v>5562</v>
      </c>
      <c r="E1134" s="101" t="s">
        <v>6414</v>
      </c>
      <c r="F1134" t="str" cm="1">
        <f t="array" aca="1" ref="F1134" ca="1">INDIRECT("'" &amp; A1134 &amp; "'!" &amp; B1134)</f>
        <v>a6</v>
      </c>
      <c r="G1134" t="str" cm="1">
        <f t="array" aca="1" ref="G1134" ca="1">INDIRECT("'" &amp; A1134 &amp; "'!" &amp; ADDRESS(1, COLUMN(INDIRECT("'" &amp; A1134 &amp; "'!" &amp; B1134))))</f>
        <v>1981 - 2</v>
      </c>
      <c r="H1134">
        <f ca="1">VLOOKUP($G1134, survey_codes_dict!A:C, 2, FALSE)</f>
        <v>0</v>
      </c>
      <c r="I1134" s="102" t="str">
        <f ca="1">VLOOKUP($G1134, survey_codes_dict!A:D, 4, FALSE)</f>
        <v>1981_1</v>
      </c>
      <c r="J1134" s="102" t="str">
        <f t="shared" ca="1" si="34"/>
        <v>0__a6</v>
      </c>
      <c r="K1134" s="102" t="str">
        <f t="shared" ca="1" si="35"/>
        <v>1981_1__a6</v>
      </c>
      <c r="L1134" s="102"/>
      <c r="M1134" s="102"/>
      <c r="N1134" s="102"/>
      <c r="O1134" s="102"/>
      <c r="P1134" s="102"/>
      <c r="Q1134" s="102"/>
      <c r="R1134" s="102"/>
      <c r="S1134" s="101"/>
    </row>
    <row r="1135" spans="1:19" ht="100.8" x14ac:dyDescent="0.3">
      <c r="A1135" t="s">
        <v>4977</v>
      </c>
      <c r="B1135" t="s">
        <v>5106</v>
      </c>
      <c r="C1135" s="90" t="s">
        <v>5107</v>
      </c>
      <c r="D1135" t="s">
        <v>5562</v>
      </c>
      <c r="E1135" s="101" t="s">
        <v>6415</v>
      </c>
      <c r="F1135" t="str" cm="1">
        <f t="array" aca="1" ref="F1135" ca="1">INDIRECT("'" &amp; A1135 &amp; "'!" &amp; B1135)</f>
        <v>a7</v>
      </c>
      <c r="G1135" t="str" cm="1">
        <f t="array" aca="1" ref="G1135" ca="1">INDIRECT("'" &amp; A1135 &amp; "'!" &amp; ADDRESS(1, COLUMN(INDIRECT("'" &amp; A1135 &amp; "'!" &amp; B1135))))</f>
        <v>1981 - 2</v>
      </c>
      <c r="H1135">
        <f ca="1">VLOOKUP($G1135, survey_codes_dict!A:C, 2, FALSE)</f>
        <v>0</v>
      </c>
      <c r="I1135" s="102" t="str">
        <f ca="1">VLOOKUP($G1135, survey_codes_dict!A:D, 4, FALSE)</f>
        <v>1981_1</v>
      </c>
      <c r="J1135" s="102" t="str">
        <f t="shared" ca="1" si="34"/>
        <v>0__a7</v>
      </c>
      <c r="K1135" s="102" t="str">
        <f t="shared" ca="1" si="35"/>
        <v>1981_1__a7</v>
      </c>
      <c r="L1135" s="102"/>
      <c r="M1135" s="102"/>
      <c r="N1135" s="102"/>
      <c r="O1135" s="102"/>
      <c r="P1135" s="102"/>
      <c r="Q1135" s="102"/>
      <c r="R1135" s="102"/>
      <c r="S1135" s="101"/>
    </row>
    <row r="1136" spans="1:19" ht="72" x14ac:dyDescent="0.3">
      <c r="A1136" t="s">
        <v>4977</v>
      </c>
      <c r="B1136" t="s">
        <v>5108</v>
      </c>
      <c r="C1136" s="90" t="s">
        <v>3925</v>
      </c>
      <c r="D1136" t="s">
        <v>5562</v>
      </c>
      <c r="E1136" s="101" t="s">
        <v>5925</v>
      </c>
      <c r="F1136" t="str" cm="1">
        <f t="array" aca="1" ref="F1136" ca="1">INDIRECT("'" &amp; A1136 &amp; "'!" &amp; B1136)</f>
        <v>g48</v>
      </c>
      <c r="G1136" t="str" cm="1">
        <f t="array" aca="1" ref="G1136" ca="1">INDIRECT("'" &amp; A1136 &amp; "'!" &amp; ADDRESS(1, COLUMN(INDIRECT("'" &amp; A1136 &amp; "'!" &amp; B1136))))</f>
        <v>1973 - 4</v>
      </c>
      <c r="H1136" t="str">
        <f ca="1">VLOOKUP($G1136, survey_codes_dict!A:C, 2, FALSE)</f>
        <v>1973_4</v>
      </c>
      <c r="I1136" s="102" t="str">
        <f ca="1">VLOOKUP($G1136, survey_codes_dict!A:D, 4, FALSE)</f>
        <v>1973_3</v>
      </c>
      <c r="J1136" s="102" t="str">
        <f t="shared" ca="1" si="34"/>
        <v>1973_4__g48</v>
      </c>
      <c r="K1136" s="102" t="str">
        <f t="shared" ca="1" si="35"/>
        <v>1973_3__g48</v>
      </c>
      <c r="L1136" s="102"/>
      <c r="M1136" s="102"/>
      <c r="N1136" s="102"/>
      <c r="O1136" s="102"/>
      <c r="P1136" s="102"/>
      <c r="Q1136" s="102"/>
      <c r="R1136" s="102"/>
      <c r="S1136" s="101"/>
    </row>
    <row r="1137" spans="1:19" ht="72" x14ac:dyDescent="0.3">
      <c r="A1137" t="s">
        <v>4977</v>
      </c>
      <c r="B1137" t="s">
        <v>5109</v>
      </c>
      <c r="C1137" s="90" t="s">
        <v>5110</v>
      </c>
      <c r="D1137" t="s">
        <v>5562</v>
      </c>
      <c r="E1137" s="101" t="s">
        <v>6416</v>
      </c>
      <c r="F1137" t="str" cm="1">
        <f t="array" aca="1" ref="F1137" ca="1">INDIRECT("'" &amp; A1137 &amp; "'!" &amp; B1137)</f>
        <v>f7</v>
      </c>
      <c r="G1137" t="str" cm="1">
        <f t="array" aca="1" ref="G1137" ca="1">INDIRECT("'" &amp; A1137 &amp; "'!" &amp; ADDRESS(1, COLUMN(INDIRECT("'" &amp; A1137 &amp; "'!" &amp; B1137))))</f>
        <v>1973 - 3</v>
      </c>
      <c r="H1137" t="str">
        <f ca="1">VLOOKUP($G1137, survey_codes_dict!A:C, 2, FALSE)</f>
        <v>1973_3</v>
      </c>
      <c r="I1137" s="102" t="str">
        <f ca="1">VLOOKUP($G1137, survey_codes_dict!A:D, 4, FALSE)</f>
        <v>1973_2</v>
      </c>
      <c r="J1137" s="102" t="str">
        <f t="shared" ca="1" si="34"/>
        <v>1973_3__f7</v>
      </c>
      <c r="K1137" s="102" t="str">
        <f t="shared" ca="1" si="35"/>
        <v>1973_2__f7</v>
      </c>
      <c r="L1137" s="102"/>
      <c r="M1137" s="102"/>
      <c r="N1137" s="102"/>
      <c r="O1137" s="102"/>
      <c r="P1137" s="102"/>
      <c r="Q1137" s="102"/>
      <c r="R1137" s="102"/>
      <c r="S1137" s="101"/>
    </row>
    <row r="1138" spans="1:19" ht="72" x14ac:dyDescent="0.3">
      <c r="A1138" t="s">
        <v>4977</v>
      </c>
      <c r="B1138" t="s">
        <v>5111</v>
      </c>
      <c r="C1138" s="90" t="s">
        <v>5112</v>
      </c>
      <c r="D1138" t="s">
        <v>5562</v>
      </c>
      <c r="E1138" s="101" t="s">
        <v>6417</v>
      </c>
      <c r="F1138" t="str" cm="1">
        <f t="array" aca="1" ref="F1138" ca="1">INDIRECT("'" &amp; A1138 &amp; "'!" &amp; B1138)</f>
        <v>f8</v>
      </c>
      <c r="G1138" t="str" cm="1">
        <f t="array" aca="1" ref="G1138" ca="1">INDIRECT("'" &amp; A1138 &amp; "'!" &amp; ADDRESS(1, COLUMN(INDIRECT("'" &amp; A1138 &amp; "'!" &amp; B1138))))</f>
        <v>1973 - 3</v>
      </c>
      <c r="H1138" t="str">
        <f ca="1">VLOOKUP($G1138, survey_codes_dict!A:C, 2, FALSE)</f>
        <v>1973_3</v>
      </c>
      <c r="I1138" s="102" t="str">
        <f ca="1">VLOOKUP($G1138, survey_codes_dict!A:D, 4, FALSE)</f>
        <v>1973_2</v>
      </c>
      <c r="J1138" s="102" t="str">
        <f t="shared" ca="1" si="34"/>
        <v>1973_3__f8</v>
      </c>
      <c r="K1138" s="102" t="str">
        <f t="shared" ca="1" si="35"/>
        <v>1973_2__f8</v>
      </c>
      <c r="L1138" s="102"/>
      <c r="M1138" s="102"/>
      <c r="N1138" s="102"/>
      <c r="O1138" s="102"/>
      <c r="P1138" s="102"/>
      <c r="Q1138" s="102"/>
      <c r="R1138" s="102"/>
      <c r="S1138" s="101"/>
    </row>
    <row r="1139" spans="1:19" ht="57.6" x14ac:dyDescent="0.3">
      <c r="A1139" t="s">
        <v>4977</v>
      </c>
      <c r="B1139" t="s">
        <v>5113</v>
      </c>
      <c r="C1139" s="90" t="s">
        <v>4910</v>
      </c>
      <c r="D1139" t="s">
        <v>5562</v>
      </c>
      <c r="E1139" s="101" t="s">
        <v>6315</v>
      </c>
      <c r="F1139" t="str" cm="1">
        <f t="array" aca="1" ref="F1139" ca="1">INDIRECT("'" &amp; A1139 &amp; "'!" &amp; B1139)</f>
        <v>d40</v>
      </c>
      <c r="G1139" t="str" cm="1">
        <f t="array" aca="1" ref="G1139" ca="1">INDIRECT("'" &amp; A1139 &amp; "'!" &amp; ADDRESS(1, COLUMN(INDIRECT("'" &amp; A1139 &amp; "'!" &amp; B1139))))</f>
        <v>1973 - 2</v>
      </c>
      <c r="H1139" t="str">
        <f ca="1">VLOOKUP($G1139, survey_codes_dict!A:C, 2, FALSE)</f>
        <v>1973_2</v>
      </c>
      <c r="I1139" s="102" t="str">
        <f ca="1">VLOOKUP($G1139, survey_codes_dict!A:D, 4, FALSE)</f>
        <v>1973_1</v>
      </c>
      <c r="J1139" s="102" t="str">
        <f t="shared" ca="1" si="34"/>
        <v>1973_2__d40</v>
      </c>
      <c r="K1139" s="102" t="str">
        <f t="shared" ca="1" si="35"/>
        <v>1973_1__d40</v>
      </c>
      <c r="L1139" s="102"/>
      <c r="M1139" s="102"/>
      <c r="N1139" s="102"/>
      <c r="O1139" s="102"/>
      <c r="P1139" s="102"/>
      <c r="Q1139" s="102"/>
      <c r="R1139" s="102"/>
      <c r="S1139" s="101"/>
    </row>
    <row r="1140" spans="1:19" ht="57.6" x14ac:dyDescent="0.3">
      <c r="A1140" t="s">
        <v>4977</v>
      </c>
      <c r="B1140" t="s">
        <v>5114</v>
      </c>
      <c r="C1140" s="90" t="s">
        <v>5115</v>
      </c>
      <c r="D1140" t="s">
        <v>5562</v>
      </c>
      <c r="E1140" s="101" t="s">
        <v>6418</v>
      </c>
      <c r="F1140" t="str" cm="1">
        <f t="array" aca="1" ref="F1140" ca="1">INDIRECT("'" &amp; A1140 &amp; "'!" &amp; B1140)</f>
        <v>b47</v>
      </c>
      <c r="G1140" t="str" cm="1">
        <f t="array" aca="1" ref="G1140" ca="1">INDIRECT("'" &amp; A1140 &amp; "'!" &amp; ADDRESS(1, COLUMN(INDIRECT("'" &amp; A1140 &amp; "'!" &amp; B1140))))</f>
        <v>1988*</v>
      </c>
      <c r="H1140" t="str">
        <f ca="1">VLOOKUP($G1140, survey_codes_dict!A:C, 2, FALSE)</f>
        <v>1988_N=873</v>
      </c>
      <c r="I1140" s="102" t="str">
        <f ca="1">VLOOKUP($G1140, survey_codes_dict!A:D, 4, FALSE)</f>
        <v>1988_Panel_N=416</v>
      </c>
      <c r="J1140" s="102" t="str">
        <f t="shared" ca="1" si="34"/>
        <v>1988_N=873__b47</v>
      </c>
      <c r="K1140" s="102" t="str">
        <f t="shared" ca="1" si="35"/>
        <v>1988_Panel_N=416__b47</v>
      </c>
      <c r="L1140" s="102"/>
      <c r="M1140" s="102"/>
      <c r="N1140" s="102"/>
      <c r="O1140" s="102"/>
      <c r="P1140" s="102"/>
      <c r="Q1140" s="102"/>
      <c r="R1140" s="102"/>
      <c r="S1140" s="101"/>
    </row>
    <row r="1141" spans="1:19" ht="57.6" x14ac:dyDescent="0.3">
      <c r="A1141" t="s">
        <v>4977</v>
      </c>
      <c r="B1141" t="s">
        <v>5116</v>
      </c>
      <c r="C1141" s="90" t="s">
        <v>5115</v>
      </c>
      <c r="D1141" t="s">
        <v>5562</v>
      </c>
      <c r="E1141" s="101" t="s">
        <v>6418</v>
      </c>
      <c r="F1141" t="str" cm="1">
        <f t="array" aca="1" ref="F1141" ca="1">INDIRECT("'" &amp; A1141 &amp; "'!" &amp; B1141)</f>
        <v>b48</v>
      </c>
      <c r="G1141" t="str" cm="1">
        <f t="array" aca="1" ref="G1141" ca="1">INDIRECT("'" &amp; A1141 &amp; "'!" &amp; ADDRESS(1, COLUMN(INDIRECT("'" &amp; A1141 &amp; "'!" &amp; B1141))))</f>
        <v>1988*</v>
      </c>
      <c r="H1141" t="str">
        <f ca="1">VLOOKUP($G1141, survey_codes_dict!A:C, 2, FALSE)</f>
        <v>1988_N=873</v>
      </c>
      <c r="I1141" s="102" t="str">
        <f ca="1">VLOOKUP($G1141, survey_codes_dict!A:D, 4, FALSE)</f>
        <v>1988_Panel_N=416</v>
      </c>
      <c r="J1141" s="102" t="str">
        <f t="shared" ca="1" si="34"/>
        <v>1988_N=873__b48</v>
      </c>
      <c r="K1141" s="102" t="str">
        <f t="shared" ca="1" si="35"/>
        <v>1988_Panel_N=416__b48</v>
      </c>
      <c r="L1141" s="102"/>
      <c r="M1141" s="102"/>
      <c r="N1141" s="102"/>
      <c r="O1141" s="102"/>
      <c r="P1141" s="102"/>
      <c r="Q1141" s="102"/>
      <c r="R1141" s="102"/>
      <c r="S1141" s="101"/>
    </row>
    <row r="1142" spans="1:19" ht="57.6" x14ac:dyDescent="0.3">
      <c r="A1142" t="s">
        <v>4977</v>
      </c>
      <c r="B1142" t="s">
        <v>5117</v>
      </c>
      <c r="C1142" s="90" t="s">
        <v>5118</v>
      </c>
      <c r="D1142" t="s">
        <v>5562</v>
      </c>
      <c r="E1142" s="101" t="s">
        <v>6419</v>
      </c>
      <c r="F1142" t="str" cm="1">
        <f t="array" aca="1" ref="F1142" ca="1">INDIRECT("'" &amp; A1142 &amp; "'!" &amp; B1142)</f>
        <v>b50</v>
      </c>
      <c r="G1142" t="str" cm="1">
        <f t="array" aca="1" ref="G1142" ca="1">INDIRECT("'" &amp; A1142 &amp; "'!" &amp; ADDRESS(1, COLUMN(INDIRECT("'" &amp; A1142 &amp; "'!" &amp; B1142))))</f>
        <v>1988*</v>
      </c>
      <c r="H1142" t="str">
        <f ca="1">VLOOKUP($G1142, survey_codes_dict!A:C, 2, FALSE)</f>
        <v>1988_N=873</v>
      </c>
      <c r="I1142" s="102" t="str">
        <f ca="1">VLOOKUP($G1142, survey_codes_dict!A:D, 4, FALSE)</f>
        <v>1988_Panel_N=416</v>
      </c>
      <c r="J1142" s="102" t="str">
        <f t="shared" ca="1" si="34"/>
        <v>1988_N=873__b50</v>
      </c>
      <c r="K1142" s="102" t="str">
        <f t="shared" ca="1" si="35"/>
        <v>1988_Panel_N=416__b50</v>
      </c>
      <c r="L1142" s="102"/>
      <c r="M1142" s="102"/>
      <c r="N1142" s="102"/>
      <c r="O1142" s="102"/>
      <c r="P1142" s="102"/>
      <c r="Q1142" s="102"/>
      <c r="R1142" s="102"/>
      <c r="S1142" s="101"/>
    </row>
    <row r="1143" spans="1:19" ht="57.6" x14ac:dyDescent="0.3">
      <c r="A1143" t="s">
        <v>4977</v>
      </c>
      <c r="B1143" t="s">
        <v>5119</v>
      </c>
      <c r="C1143" s="90" t="s">
        <v>5120</v>
      </c>
      <c r="D1143" t="s">
        <v>5562</v>
      </c>
      <c r="E1143" s="101" t="s">
        <v>6420</v>
      </c>
      <c r="F1143" t="str" cm="1">
        <f t="array" aca="1" ref="F1143" ca="1">INDIRECT("'" &amp; A1143 &amp; "'!" &amp; B1143)</f>
        <v>b51</v>
      </c>
      <c r="G1143" t="str" cm="1">
        <f t="array" aca="1" ref="G1143" ca="1">INDIRECT("'" &amp; A1143 &amp; "'!" &amp; ADDRESS(1, COLUMN(INDIRECT("'" &amp; A1143 &amp; "'!" &amp; B1143))))</f>
        <v>1988*</v>
      </c>
      <c r="H1143" t="str">
        <f ca="1">VLOOKUP($G1143, survey_codes_dict!A:C, 2, FALSE)</f>
        <v>1988_N=873</v>
      </c>
      <c r="I1143" s="102" t="str">
        <f ca="1">VLOOKUP($G1143, survey_codes_dict!A:D, 4, FALSE)</f>
        <v>1988_Panel_N=416</v>
      </c>
      <c r="J1143" s="102" t="str">
        <f t="shared" ca="1" si="34"/>
        <v>1988_N=873__b51</v>
      </c>
      <c r="K1143" s="102" t="str">
        <f t="shared" ca="1" si="35"/>
        <v>1988_Panel_N=416__b51</v>
      </c>
      <c r="L1143" s="102"/>
      <c r="M1143" s="102"/>
      <c r="N1143" s="102"/>
      <c r="O1143" s="102"/>
      <c r="P1143" s="102"/>
      <c r="Q1143" s="102"/>
      <c r="R1143" s="102"/>
      <c r="S1143" s="101"/>
    </row>
    <row r="1144" spans="1:19" ht="57.6" x14ac:dyDescent="0.3">
      <c r="A1144" t="s">
        <v>4977</v>
      </c>
      <c r="B1144" t="s">
        <v>4032</v>
      </c>
      <c r="C1144" s="90" t="s">
        <v>5121</v>
      </c>
      <c r="D1144" t="s">
        <v>5562</v>
      </c>
      <c r="E1144" s="101" t="s">
        <v>6421</v>
      </c>
      <c r="F1144" t="str" cm="1">
        <f t="array" aca="1" ref="F1144" ca="1">INDIRECT("'" &amp; A1144 &amp; "'!" &amp; B1144)</f>
        <v>b53</v>
      </c>
      <c r="G1144" t="str" cm="1">
        <f t="array" aca="1" ref="G1144" ca="1">INDIRECT("'" &amp; A1144 &amp; "'!" &amp; ADDRESS(1, COLUMN(INDIRECT("'" &amp; A1144 &amp; "'!" &amp; B1144))))</f>
        <v>1988*</v>
      </c>
      <c r="H1144" t="str">
        <f ca="1">VLOOKUP($G1144, survey_codes_dict!A:C, 2, FALSE)</f>
        <v>1988_N=873</v>
      </c>
      <c r="I1144" s="102" t="str">
        <f ca="1">VLOOKUP($G1144, survey_codes_dict!A:D, 4, FALSE)</f>
        <v>1988_Panel_N=416</v>
      </c>
      <c r="J1144" s="102" t="str">
        <f t="shared" ca="1" si="34"/>
        <v>1988_N=873__b53</v>
      </c>
      <c r="K1144" s="102" t="str">
        <f t="shared" ca="1" si="35"/>
        <v>1988_Panel_N=416__b53</v>
      </c>
      <c r="L1144" s="102"/>
      <c r="M1144" s="102"/>
      <c r="N1144" s="102"/>
      <c r="O1144" s="102"/>
      <c r="P1144" s="102"/>
      <c r="Q1144" s="102"/>
      <c r="R1144" s="102"/>
      <c r="S1144" s="101"/>
    </row>
    <row r="1145" spans="1:19" ht="72" x14ac:dyDescent="0.3">
      <c r="A1145" t="s">
        <v>4977</v>
      </c>
      <c r="B1145" t="s">
        <v>5122</v>
      </c>
      <c r="C1145" s="90" t="s">
        <v>4976</v>
      </c>
      <c r="D1145" t="s">
        <v>5562</v>
      </c>
      <c r="E1145" s="101" t="s">
        <v>6347</v>
      </c>
      <c r="F1145" t="str" cm="1">
        <f t="array" aca="1" ref="F1145" ca="1">INDIRECT("'" &amp; A1145 &amp; "'!" &amp; B1145)</f>
        <v>c15</v>
      </c>
      <c r="G1145" t="str" cm="1">
        <f t="array" aca="1" ref="G1145" ca="1">INDIRECT("'" &amp; A1145 &amp; "'!" &amp; ADDRESS(1, COLUMN(INDIRECT("'" &amp; A1145 &amp; "'!" &amp; B1145))))</f>
        <v>1969 - 1</v>
      </c>
      <c r="H1145" t="str">
        <f ca="1">VLOOKUP($G1145, survey_codes_dict!A:C, 2, FALSE)</f>
        <v>1969_1</v>
      </c>
      <c r="I1145" s="102">
        <f ca="1">VLOOKUP($G1145, survey_codes_dict!A:D, 4, FALSE)</f>
        <v>0</v>
      </c>
      <c r="J1145" s="102" t="str">
        <f t="shared" ca="1" si="34"/>
        <v>1969_1__c15</v>
      </c>
      <c r="K1145" s="102" t="str">
        <f t="shared" ca="1" si="35"/>
        <v>0__c15</v>
      </c>
      <c r="L1145" s="102"/>
      <c r="M1145" s="102"/>
      <c r="N1145" s="102"/>
      <c r="O1145" s="102"/>
      <c r="P1145" s="102"/>
      <c r="Q1145" s="102"/>
      <c r="R1145" s="102"/>
      <c r="S1145" s="101"/>
    </row>
    <row r="1146" spans="1:19" ht="28.8" x14ac:dyDescent="0.3">
      <c r="A1146" t="s">
        <v>5123</v>
      </c>
      <c r="B1146" t="s">
        <v>4938</v>
      </c>
      <c r="C1146" s="90" t="s">
        <v>5124</v>
      </c>
      <c r="D1146" t="s">
        <v>399</v>
      </c>
      <c r="E1146" s="101" t="s">
        <v>5652</v>
      </c>
      <c r="F1146" t="str" cm="1">
        <f t="array" aca="1" ref="F1146" ca="1">INDIRECT("'" &amp; A1146 &amp; "'!" &amp; B1146)</f>
        <v>האם לדעתך ניתן להגיע להסכם שלום עם הפלסטינים?</v>
      </c>
      <c r="G1146" t="str" cm="1">
        <f t="array" aca="1" ref="G1146" ca="1">INDIRECT("'" &amp; A1146 &amp; "'!" &amp; ADDRESS(1, COLUMN(INDIRECT("'" &amp; A1146 &amp; "'!" &amp; B1146))))</f>
        <v>שאלה</v>
      </c>
      <c r="H1146" t="e">
        <f ca="1">VLOOKUP($G1146, survey_codes_dict!A:C, 2, FALSE)</f>
        <v>#N/A</v>
      </c>
      <c r="I1146" s="102" t="e">
        <f ca="1">VLOOKUP($G1146, survey_codes_dict!A:D, 4, FALSE)</f>
        <v>#N/A</v>
      </c>
      <c r="J1146" s="102" t="e">
        <f t="shared" ca="1" si="34"/>
        <v>#N/A</v>
      </c>
      <c r="K1146" s="102" t="e">
        <f t="shared" ca="1" si="35"/>
        <v>#N/A</v>
      </c>
      <c r="L1146" s="102"/>
      <c r="M1146" s="102"/>
      <c r="N1146" s="102"/>
      <c r="O1146" s="102"/>
      <c r="P1146" s="102"/>
      <c r="Q1146" s="102"/>
      <c r="R1146" s="102"/>
      <c r="S1146" s="102"/>
    </row>
    <row r="1147" spans="1:19" ht="86.4" x14ac:dyDescent="0.3">
      <c r="A1147" t="s">
        <v>5123</v>
      </c>
      <c r="B1147" t="s">
        <v>4713</v>
      </c>
      <c r="C1147" s="90" t="s">
        <v>5125</v>
      </c>
      <c r="D1147" t="s">
        <v>5562</v>
      </c>
      <c r="E1147" s="101" t="s">
        <v>6422</v>
      </c>
      <c r="F1147" t="str" cm="1">
        <f t="array" aca="1" ref="F1147" ca="1">INDIRECT("'" &amp; A1147 &amp; "'!" &amp; B1147)</f>
        <v>v12</v>
      </c>
      <c r="G1147" cm="1">
        <f t="array" aca="1" ref="G1147" ca="1">INDIRECT("'" &amp; A1147 &amp; "'!" &amp; ADDRESS(1, COLUMN(INDIRECT("'" &amp; A1147 &amp; "'!" &amp; B1147))))</f>
        <v>2022</v>
      </c>
      <c r="H1147" t="e">
        <f ca="1">VLOOKUP($G1147, survey_codes_dict!A:C, 2, FALSE)</f>
        <v>#N/A</v>
      </c>
      <c r="I1147" s="102" t="e">
        <f ca="1">VLOOKUP($G1147, survey_codes_dict!A:D, 4, FALSE)</f>
        <v>#N/A</v>
      </c>
      <c r="J1147" s="102" t="e">
        <f t="shared" ca="1" si="34"/>
        <v>#N/A</v>
      </c>
      <c r="K1147" s="102" t="e">
        <f t="shared" ca="1" si="35"/>
        <v>#N/A</v>
      </c>
      <c r="L1147" s="102"/>
      <c r="M1147" s="102"/>
      <c r="N1147" s="102"/>
      <c r="O1147" s="102"/>
      <c r="P1147" s="102"/>
      <c r="Q1147" s="102"/>
      <c r="R1147" s="102"/>
      <c r="S1147" s="101"/>
    </row>
    <row r="1148" spans="1:19" ht="86.4" x14ac:dyDescent="0.3">
      <c r="A1148" t="s">
        <v>5123</v>
      </c>
      <c r="B1148" t="s">
        <v>3562</v>
      </c>
      <c r="C1148" s="90" t="s">
        <v>5126</v>
      </c>
      <c r="D1148" t="s">
        <v>5562</v>
      </c>
      <c r="E1148" s="101" t="s">
        <v>6423</v>
      </c>
      <c r="F1148" t="str" cm="1">
        <f t="array" aca="1" ref="F1148" ca="1">INDIRECT("'" &amp; A1148 &amp; "'!" &amp; B1148)</f>
        <v>v12</v>
      </c>
      <c r="G1148" cm="1">
        <f t="array" aca="1" ref="G1148" ca="1">INDIRECT("'" &amp; A1148 &amp; "'!" &amp; ADDRESS(1, COLUMN(INDIRECT("'" &amp; A1148 &amp; "'!" &amp; B1148))))</f>
        <v>2020</v>
      </c>
      <c r="H1148" t="e">
        <f ca="1">VLOOKUP($G1148, survey_codes_dict!A:C, 2, FALSE)</f>
        <v>#N/A</v>
      </c>
      <c r="I1148" s="102" t="e">
        <f ca="1">VLOOKUP($G1148, survey_codes_dict!A:D, 4, FALSE)</f>
        <v>#N/A</v>
      </c>
      <c r="J1148" s="102" t="e">
        <f t="shared" ca="1" si="34"/>
        <v>#N/A</v>
      </c>
      <c r="K1148" s="102" t="e">
        <f t="shared" ca="1" si="35"/>
        <v>#N/A</v>
      </c>
      <c r="L1148" s="102"/>
      <c r="M1148" s="102"/>
      <c r="N1148" s="102"/>
      <c r="O1148" s="102"/>
      <c r="P1148" s="102"/>
      <c r="Q1148" s="102"/>
      <c r="R1148" s="102"/>
      <c r="S1148" s="101"/>
    </row>
    <row r="1149" spans="1:19" ht="72" x14ac:dyDescent="0.3">
      <c r="A1149" t="s">
        <v>5123</v>
      </c>
      <c r="B1149" t="s">
        <v>3946</v>
      </c>
      <c r="C1149" s="90" t="s">
        <v>3925</v>
      </c>
      <c r="D1149" t="s">
        <v>5562</v>
      </c>
      <c r="E1149" s="101" t="s">
        <v>5925</v>
      </c>
      <c r="F1149" t="str" cm="1">
        <f t="array" aca="1" ref="F1149" ca="1">INDIRECT("'" &amp; A1149 &amp; "'!" &amp; B1149)</f>
        <v>v13</v>
      </c>
      <c r="G1149" cm="1">
        <f t="array" aca="1" ref="G1149" ca="1">INDIRECT("'" &amp; A1149 &amp; "'!" &amp; ADDRESS(1, COLUMN(INDIRECT("'" &amp; A1149 &amp; "'!" &amp; B1149))))</f>
        <v>2013</v>
      </c>
      <c r="H1149" t="e">
        <f ca="1">VLOOKUP($G1149, survey_codes_dict!A:C, 2, FALSE)</f>
        <v>#N/A</v>
      </c>
      <c r="I1149" s="102" t="e">
        <f ca="1">VLOOKUP($G1149, survey_codes_dict!A:D, 4, FALSE)</f>
        <v>#N/A</v>
      </c>
      <c r="J1149" s="102" t="e">
        <f t="shared" ca="1" si="34"/>
        <v>#N/A</v>
      </c>
      <c r="K1149" s="102" t="e">
        <f t="shared" ca="1" si="35"/>
        <v>#N/A</v>
      </c>
      <c r="L1149" s="102"/>
      <c r="M1149" s="102"/>
      <c r="N1149" s="102"/>
      <c r="O1149" s="102"/>
      <c r="P1149" s="102"/>
      <c r="Q1149" s="102"/>
      <c r="R1149" s="102"/>
      <c r="S1149" s="101"/>
    </row>
    <row r="1150" spans="1:19" ht="57.6" x14ac:dyDescent="0.3">
      <c r="A1150" t="s">
        <v>5123</v>
      </c>
      <c r="B1150" t="s">
        <v>5127</v>
      </c>
      <c r="C1150" s="90" t="s">
        <v>5128</v>
      </c>
      <c r="D1150" t="s">
        <v>5562</v>
      </c>
      <c r="E1150" s="101" t="s">
        <v>6424</v>
      </c>
      <c r="F1150" t="str" cm="1">
        <f t="array" aca="1" ref="F1150" ca="1">INDIRECT("'" &amp; A1150 &amp; "'!" &amp; B1150)</f>
        <v>cc19</v>
      </c>
      <c r="G1150" cm="1">
        <f t="array" aca="1" ref="G1150" ca="1">INDIRECT("'" &amp; A1150 &amp; "'!" &amp; ADDRESS(1, COLUMN(INDIRECT("'" &amp; A1150 &amp; "'!" &amp; B1150))))</f>
        <v>1996</v>
      </c>
      <c r="H1150" t="str">
        <f ca="1">VLOOKUP($G1150, survey_codes_dict!A:C, 2, FALSE)</f>
        <v>1996_Jews</v>
      </c>
      <c r="I1150" s="102" t="str">
        <f ca="1">VLOOKUP($G1150, survey_codes_dict!A:D, 4, FALSE)</f>
        <v>1992</v>
      </c>
      <c r="J1150" s="102" t="str">
        <f t="shared" ca="1" si="34"/>
        <v>1996_Jews__cc19</v>
      </c>
      <c r="K1150" s="102" t="str">
        <f t="shared" ca="1" si="35"/>
        <v>1992__cc19</v>
      </c>
      <c r="L1150" s="102"/>
      <c r="M1150" s="102"/>
      <c r="N1150" s="102"/>
      <c r="O1150" s="102"/>
      <c r="P1150" s="102"/>
      <c r="Q1150" s="102"/>
      <c r="R1150" s="102"/>
      <c r="S1150" s="101"/>
    </row>
    <row r="1151" spans="1:19" ht="43.2" x14ac:dyDescent="0.3">
      <c r="A1151" t="s">
        <v>5123</v>
      </c>
      <c r="B1151" t="s">
        <v>3954</v>
      </c>
      <c r="C1151" s="90" t="s">
        <v>5129</v>
      </c>
      <c r="D1151" t="s">
        <v>5562</v>
      </c>
      <c r="E1151" s="101" t="s">
        <v>6425</v>
      </c>
      <c r="F1151" t="str" cm="1">
        <f t="array" aca="1" ref="F1151" ca="1">INDIRECT("'" &amp; A1151 &amp; "'!" &amp; B1151)</f>
        <v>v13</v>
      </c>
      <c r="G1151" cm="1">
        <f t="array" aca="1" ref="G1151" ca="1">INDIRECT("'" &amp; A1151 &amp; "'!" &amp; ADDRESS(1, COLUMN(INDIRECT("'" &amp; A1151 &amp; "'!" &amp; B1151))))</f>
        <v>2020</v>
      </c>
      <c r="H1151" t="e">
        <f ca="1">VLOOKUP($G1151, survey_codes_dict!A:C, 2, FALSE)</f>
        <v>#N/A</v>
      </c>
      <c r="I1151" s="102" t="e">
        <f ca="1">VLOOKUP($G1151, survey_codes_dict!A:D, 4, FALSE)</f>
        <v>#N/A</v>
      </c>
      <c r="J1151" s="102" t="e">
        <f t="shared" ca="1" si="34"/>
        <v>#N/A</v>
      </c>
      <c r="K1151" s="102" t="e">
        <f t="shared" ca="1" si="35"/>
        <v>#N/A</v>
      </c>
      <c r="L1151" s="102"/>
      <c r="M1151" s="102"/>
      <c r="N1151" s="102"/>
      <c r="O1151" s="102"/>
      <c r="P1151" s="102"/>
      <c r="Q1151" s="102"/>
      <c r="R1151" s="102"/>
      <c r="S1151" s="101"/>
    </row>
    <row r="1152" spans="1:19" ht="72" x14ac:dyDescent="0.3">
      <c r="A1152" t="s">
        <v>5123</v>
      </c>
      <c r="B1152" t="s">
        <v>5130</v>
      </c>
      <c r="C1152" s="90" t="s">
        <v>5131</v>
      </c>
      <c r="D1152" t="s">
        <v>5562</v>
      </c>
      <c r="E1152" s="101" t="s">
        <v>6426</v>
      </c>
      <c r="F1152" t="str" cm="1">
        <f t="array" aca="1" ref="F1152" ca="1">INDIRECT("'" &amp; A1152 &amp; "'!" &amp; B1152)</f>
        <v>האם לפי דעתך על ישראל להסכים או לא להקמת מדינה פלסטינית ביהודה, שומרון וחבל עזה במסגרת הסדר קבע?</v>
      </c>
      <c r="G1152" t="str" cm="1">
        <f t="array" aca="1" ref="G1152" ca="1">INDIRECT("'" &amp; A1152 &amp; "'!" &amp; ADDRESS(1, COLUMN(INDIRECT("'" &amp; A1152 &amp; "'!" &amp; B1152))))</f>
        <v>שאלה</v>
      </c>
      <c r="H1152" t="e">
        <f ca="1">VLOOKUP($G1152, survey_codes_dict!A:C, 2, FALSE)</f>
        <v>#N/A</v>
      </c>
      <c r="I1152" s="102" t="e">
        <f ca="1">VLOOKUP($G1152, survey_codes_dict!A:D, 4, FALSE)</f>
        <v>#N/A</v>
      </c>
      <c r="J1152" s="102" t="e">
        <f t="shared" ca="1" si="34"/>
        <v>#N/A</v>
      </c>
      <c r="K1152" s="102" t="e">
        <f t="shared" ca="1" si="35"/>
        <v>#N/A</v>
      </c>
      <c r="L1152" s="102"/>
      <c r="M1152" s="102"/>
      <c r="N1152" s="102"/>
      <c r="O1152" s="102"/>
      <c r="P1152" s="102"/>
      <c r="Q1152" s="102"/>
      <c r="R1152" s="102"/>
      <c r="S1152" s="102"/>
    </row>
    <row r="1153" spans="1:19" ht="86.4" x14ac:dyDescent="0.3">
      <c r="A1153" t="s">
        <v>5123</v>
      </c>
      <c r="B1153" t="s">
        <v>5132</v>
      </c>
      <c r="C1153" s="90" t="s">
        <v>5133</v>
      </c>
      <c r="D1153" t="s">
        <v>5562</v>
      </c>
      <c r="E1153" s="101" t="s">
        <v>6427</v>
      </c>
      <c r="F1153" t="str" cm="1">
        <f t="array" aca="1" ref="F1153" ca="1">INDIRECT("'" &amp; A1153 &amp; "'!" &amp; B1153)</f>
        <v>v19</v>
      </c>
      <c r="G1153" cm="1">
        <f t="array" aca="1" ref="G1153" ca="1">INDIRECT("'" &amp; A1153 &amp; "'!" &amp; ADDRESS(1, COLUMN(INDIRECT("'" &amp; A1153 &amp; "'!" &amp; B1153))))</f>
        <v>2020</v>
      </c>
      <c r="H1153" t="e">
        <f ca="1">VLOOKUP($G1153, survey_codes_dict!A:C, 2, FALSE)</f>
        <v>#N/A</v>
      </c>
      <c r="I1153" s="102" t="e">
        <f ca="1">VLOOKUP($G1153, survey_codes_dict!A:D, 4, FALSE)</f>
        <v>#N/A</v>
      </c>
      <c r="J1153" s="102" t="e">
        <f t="shared" ca="1" si="34"/>
        <v>#N/A</v>
      </c>
      <c r="K1153" s="102" t="e">
        <f t="shared" ca="1" si="35"/>
        <v>#N/A</v>
      </c>
      <c r="L1153" s="102"/>
      <c r="M1153" s="102"/>
      <c r="N1153" s="102"/>
      <c r="O1153" s="102"/>
      <c r="P1153" s="102"/>
      <c r="Q1153" s="102"/>
      <c r="R1153" s="102"/>
      <c r="S1153" s="101"/>
    </row>
    <row r="1154" spans="1:19" ht="43.2" x14ac:dyDescent="0.3">
      <c r="A1154" t="s">
        <v>5123</v>
      </c>
      <c r="B1154" t="s">
        <v>4068</v>
      </c>
      <c r="C1154" s="90" t="s">
        <v>5134</v>
      </c>
      <c r="D1154" t="s">
        <v>5562</v>
      </c>
      <c r="E1154" s="101" t="s">
        <v>6428</v>
      </c>
      <c r="F1154" t="str" cm="1">
        <f t="array" aca="1" ref="F1154" ca="1">INDIRECT("'" &amp; A1154 &amp; "'!" &amp; B1154)</f>
        <v>a12</v>
      </c>
      <c r="G1154" cm="1">
        <f t="array" aca="1" ref="G1154" ca="1">INDIRECT("'" &amp; A1154 &amp; "'!" &amp; ADDRESS(1, COLUMN(INDIRECT("'" &amp; A1154 &amp; "'!" &amp; B1154))))</f>
        <v>1992</v>
      </c>
      <c r="H1154" t="str">
        <f ca="1">VLOOKUP($G1154, survey_codes_dict!A:C, 2, FALSE)</f>
        <v>1992</v>
      </c>
      <c r="I1154" s="102" t="str">
        <f ca="1">VLOOKUP($G1154, survey_codes_dict!A:D, 4, FALSE)</f>
        <v>1988_N=873</v>
      </c>
      <c r="J1154" s="102" t="str">
        <f t="shared" ref="J1154:J1217" ca="1" si="36">_xlfn.CONCAT($H1154, "__", F1154)</f>
        <v>1992__a12</v>
      </c>
      <c r="K1154" s="102" t="str">
        <f t="shared" ref="K1154:K1217" ca="1" si="37">_xlfn.CONCAT($I1154, "__", F1154)</f>
        <v>1988_N=873__a12</v>
      </c>
      <c r="L1154" s="102"/>
      <c r="M1154" s="102"/>
      <c r="N1154" s="102"/>
      <c r="O1154" s="102"/>
      <c r="P1154" s="102"/>
      <c r="Q1154" s="102"/>
      <c r="R1154" s="102"/>
      <c r="S1154" s="101"/>
    </row>
    <row r="1155" spans="1:19" ht="43.2" x14ac:dyDescent="0.3">
      <c r="A1155" t="s">
        <v>5123</v>
      </c>
      <c r="B1155" t="s">
        <v>5135</v>
      </c>
      <c r="C1155" s="90" t="s">
        <v>5136</v>
      </c>
      <c r="D1155" t="s">
        <v>5562</v>
      </c>
      <c r="E1155" s="101" t="s">
        <v>6429</v>
      </c>
      <c r="F1155" t="str" cm="1">
        <f t="array" aca="1" ref="F1155" ca="1">INDIRECT("'" &amp; A1155 &amp; "'!" &amp; B1155)</f>
        <v>v700</v>
      </c>
      <c r="G1155" cm="1">
        <f t="array" aca="1" ref="G1155" ca="1">INDIRECT("'" &amp; A1155 &amp; "'!" &amp; ADDRESS(1, COLUMN(INDIRECT("'" &amp; A1155 &amp; "'!" &amp; B1155))))</f>
        <v>2022</v>
      </c>
      <c r="H1155" t="e">
        <f ca="1">VLOOKUP($G1155, survey_codes_dict!A:C, 2, FALSE)</f>
        <v>#N/A</v>
      </c>
      <c r="I1155" s="102" t="e">
        <f ca="1">VLOOKUP($G1155, survey_codes_dict!A:D, 4, FALSE)</f>
        <v>#N/A</v>
      </c>
      <c r="J1155" s="102" t="e">
        <f t="shared" ca="1" si="36"/>
        <v>#N/A</v>
      </c>
      <c r="K1155" s="102" t="e">
        <f t="shared" ca="1" si="37"/>
        <v>#N/A</v>
      </c>
      <c r="L1155" s="102"/>
      <c r="M1155" s="102"/>
      <c r="N1155" s="102"/>
      <c r="O1155" s="102"/>
      <c r="P1155" s="102"/>
      <c r="Q1155" s="102"/>
      <c r="R1155" s="102"/>
      <c r="S1155" s="102"/>
    </row>
    <row r="1156" spans="1:19" ht="172.8" x14ac:dyDescent="0.3">
      <c r="A1156" t="s">
        <v>5123</v>
      </c>
      <c r="B1156" t="s">
        <v>4944</v>
      </c>
      <c r="C1156" s="90" t="s">
        <v>5137</v>
      </c>
      <c r="D1156" t="s">
        <v>5562</v>
      </c>
      <c r="E1156" s="101" t="s">
        <v>6430</v>
      </c>
      <c r="F1156" t="str" cm="1">
        <f t="array" aca="1" ref="F1156" ca="1">INDIRECT("'" &amp; A1156 &amp; "'!" &amp; B1156)</f>
        <v>v12</v>
      </c>
      <c r="G1156" cm="1">
        <f t="array" aca="1" ref="G1156" ca="1">INDIRECT("'" &amp; A1156 &amp; "'!" &amp; ADDRESS(1, COLUMN(INDIRECT("'" &amp; A1156 &amp; "'!" &amp; B1156))))</f>
        <v>2015</v>
      </c>
      <c r="H1156" t="e">
        <f ca="1">VLOOKUP($G1156, survey_codes_dict!A:C, 2, FALSE)</f>
        <v>#N/A</v>
      </c>
      <c r="I1156" s="102" t="e">
        <f ca="1">VLOOKUP($G1156, survey_codes_dict!A:D, 4, FALSE)</f>
        <v>#N/A</v>
      </c>
      <c r="J1156" s="102" t="e">
        <f t="shared" ca="1" si="36"/>
        <v>#N/A</v>
      </c>
      <c r="K1156" s="102" t="e">
        <f t="shared" ca="1" si="37"/>
        <v>#N/A</v>
      </c>
      <c r="L1156" s="102"/>
      <c r="M1156" s="102"/>
      <c r="N1156" s="102"/>
      <c r="O1156" s="102"/>
      <c r="P1156" s="102"/>
      <c r="Q1156" s="102"/>
      <c r="R1156" s="102"/>
      <c r="S1156" s="101"/>
    </row>
    <row r="1157" spans="1:19" ht="28.8" x14ac:dyDescent="0.3">
      <c r="A1157" t="s">
        <v>5123</v>
      </c>
      <c r="B1157" t="s">
        <v>3960</v>
      </c>
      <c r="C1157" s="90" t="s">
        <v>3354</v>
      </c>
      <c r="D1157" t="s">
        <v>399</v>
      </c>
      <c r="E1157" s="101" t="s">
        <v>5567</v>
      </c>
      <c r="F1157" t="str" cm="1">
        <f t="array" aca="1" ref="F1157" ca="1">INDIRECT("'" &amp; A1157 &amp; "'!" &amp; B1157)</f>
        <v>האם לדעתך ישראל צריכה להמשיך ולהחזיק ביהודה ושומרון?</v>
      </c>
      <c r="G1157" t="str" cm="1">
        <f t="array" aca="1" ref="G1157" ca="1">INDIRECT("'" &amp; A1157 &amp; "'!" &amp; ADDRESS(1, COLUMN(INDIRECT("'" &amp; A1157 &amp; "'!" &amp; B1157))))</f>
        <v>שאלה</v>
      </c>
      <c r="H1157" t="e">
        <f ca="1">VLOOKUP($G1157, survey_codes_dict!A:C, 2, FALSE)</f>
        <v>#N/A</v>
      </c>
      <c r="I1157" s="102" t="e">
        <f ca="1">VLOOKUP($G1157, survey_codes_dict!A:D, 4, FALSE)</f>
        <v>#N/A</v>
      </c>
      <c r="J1157" s="102" t="e">
        <f t="shared" ca="1" si="36"/>
        <v>#N/A</v>
      </c>
      <c r="K1157" s="102" t="e">
        <f t="shared" ca="1" si="37"/>
        <v>#N/A</v>
      </c>
      <c r="L1157" s="102"/>
      <c r="M1157" s="102"/>
      <c r="N1157" s="102"/>
      <c r="O1157" s="102"/>
      <c r="P1157" s="102"/>
      <c r="Q1157" s="102"/>
      <c r="R1157" s="102"/>
      <c r="S1157" s="102"/>
    </row>
    <row r="1158" spans="1:19" ht="72" x14ac:dyDescent="0.3">
      <c r="A1158" t="s">
        <v>5123</v>
      </c>
      <c r="B1158" t="s">
        <v>4952</v>
      </c>
      <c r="C1158" s="90" t="s">
        <v>5138</v>
      </c>
      <c r="D1158" t="s">
        <v>5562</v>
      </c>
      <c r="E1158" s="101" t="s">
        <v>6431</v>
      </c>
      <c r="F1158" t="str" cm="1">
        <f t="array" aca="1" ref="F1158" ca="1">INDIRECT("'" &amp; A1158 &amp; "'!" &amp; B1158)</f>
        <v>v14</v>
      </c>
      <c r="G1158" cm="1">
        <f t="array" aca="1" ref="G1158" ca="1">INDIRECT("'" &amp; A1158 &amp; "'!" &amp; ADDRESS(1, COLUMN(INDIRECT("'" &amp; A1158 &amp; "'!" &amp; B1158))))</f>
        <v>2015</v>
      </c>
      <c r="H1158" t="e">
        <f ca="1">VLOOKUP($G1158, survey_codes_dict!A:C, 2, FALSE)</f>
        <v>#N/A</v>
      </c>
      <c r="I1158" s="102" t="e">
        <f ca="1">VLOOKUP($G1158, survey_codes_dict!A:D, 4, FALSE)</f>
        <v>#N/A</v>
      </c>
      <c r="J1158" s="102" t="e">
        <f t="shared" ca="1" si="36"/>
        <v>#N/A</v>
      </c>
      <c r="K1158" s="102" t="e">
        <f t="shared" ca="1" si="37"/>
        <v>#N/A</v>
      </c>
      <c r="L1158" s="102"/>
      <c r="M1158" s="102"/>
      <c r="N1158" s="102"/>
      <c r="O1158" s="102"/>
      <c r="P1158" s="102"/>
      <c r="Q1158" s="102"/>
      <c r="R1158" s="102"/>
      <c r="S1158" s="101"/>
    </row>
    <row r="1159" spans="1:19" ht="72" x14ac:dyDescent="0.3">
      <c r="A1159" t="s">
        <v>5123</v>
      </c>
      <c r="B1159" t="s">
        <v>5139</v>
      </c>
      <c r="C1159" s="90" t="s">
        <v>5140</v>
      </c>
      <c r="D1159" t="s">
        <v>5562</v>
      </c>
      <c r="E1159" s="101" t="s">
        <v>6432</v>
      </c>
      <c r="F1159" t="str" cm="1">
        <f t="array" aca="1" ref="F1159" ca="1">INDIRECT("'" &amp; A1159 &amp; "'!" &amp; B1159)</f>
        <v>v25</v>
      </c>
      <c r="G1159" cm="1">
        <f t="array" aca="1" ref="G1159" ca="1">INDIRECT("'" &amp; A1159 &amp; "'!" &amp; ADDRESS(1, COLUMN(INDIRECT("'" &amp; A1159 &amp; "'!" &amp; B1159))))</f>
        <v>2015</v>
      </c>
      <c r="H1159" t="e">
        <f ca="1">VLOOKUP($G1159, survey_codes_dict!A:C, 2, FALSE)</f>
        <v>#N/A</v>
      </c>
      <c r="I1159" s="102" t="e">
        <f ca="1">VLOOKUP($G1159, survey_codes_dict!A:D, 4, FALSE)</f>
        <v>#N/A</v>
      </c>
      <c r="J1159" s="102" t="e">
        <f t="shared" ca="1" si="36"/>
        <v>#N/A</v>
      </c>
      <c r="K1159" s="102" t="e">
        <f t="shared" ca="1" si="37"/>
        <v>#N/A</v>
      </c>
      <c r="L1159" s="102"/>
      <c r="M1159" s="102"/>
      <c r="N1159" s="102"/>
      <c r="O1159" s="102"/>
      <c r="P1159" s="102"/>
      <c r="Q1159" s="102"/>
      <c r="R1159" s="102"/>
      <c r="S1159" s="101"/>
    </row>
    <row r="1160" spans="1:19" ht="57.6" x14ac:dyDescent="0.3">
      <c r="A1160" t="s">
        <v>5123</v>
      </c>
      <c r="B1160" t="s">
        <v>5141</v>
      </c>
      <c r="C1160" s="90" t="s">
        <v>5142</v>
      </c>
      <c r="D1160" t="s">
        <v>5562</v>
      </c>
      <c r="E1160" s="101" t="s">
        <v>6433</v>
      </c>
      <c r="F1160" t="str" cm="1">
        <f t="array" aca="1" ref="F1160" ca="1">INDIRECT("'" &amp; A1160 &amp; "'!" &amp; B1160)</f>
        <v>v29</v>
      </c>
      <c r="G1160" cm="1">
        <f t="array" aca="1" ref="G1160" ca="1">INDIRECT("'" &amp; A1160 &amp; "'!" &amp; ADDRESS(1, COLUMN(INDIRECT("'" &amp; A1160 &amp; "'!" &amp; B1160))))</f>
        <v>2013</v>
      </c>
      <c r="H1160" t="e">
        <f ca="1">VLOOKUP($G1160, survey_codes_dict!A:C, 2, FALSE)</f>
        <v>#N/A</v>
      </c>
      <c r="I1160" s="102" t="e">
        <f ca="1">VLOOKUP($G1160, survey_codes_dict!A:D, 4, FALSE)</f>
        <v>#N/A</v>
      </c>
      <c r="J1160" s="102" t="e">
        <f t="shared" ca="1" si="36"/>
        <v>#N/A</v>
      </c>
      <c r="K1160" s="102" t="e">
        <f t="shared" ca="1" si="37"/>
        <v>#N/A</v>
      </c>
      <c r="L1160" s="102"/>
      <c r="M1160" s="102"/>
      <c r="N1160" s="102"/>
      <c r="O1160" s="102"/>
      <c r="P1160" s="102"/>
      <c r="Q1160" s="102"/>
      <c r="R1160" s="102"/>
      <c r="S1160" s="101"/>
    </row>
    <row r="1161" spans="1:19" ht="57.6" x14ac:dyDescent="0.3">
      <c r="A1161" t="s">
        <v>5123</v>
      </c>
      <c r="B1161" t="s">
        <v>5143</v>
      </c>
      <c r="C1161" s="90" t="s">
        <v>5144</v>
      </c>
      <c r="D1161" t="s">
        <v>5562</v>
      </c>
      <c r="E1161" s="101" t="s">
        <v>6434</v>
      </c>
      <c r="F1161" t="str" cm="1">
        <f t="array" aca="1" ref="F1161" ca="1">INDIRECT("'" &amp; A1161 &amp; "'!" &amp; B1161)</f>
        <v>v27</v>
      </c>
      <c r="G1161" cm="1">
        <f t="array" aca="1" ref="G1161" ca="1">INDIRECT("'" &amp; A1161 &amp; "'!" &amp; ADDRESS(1, COLUMN(INDIRECT("'" &amp; A1161 &amp; "'!" &amp; B1161))))</f>
        <v>2015</v>
      </c>
      <c r="H1161" t="e">
        <f ca="1">VLOOKUP($G1161, survey_codes_dict!A:C, 2, FALSE)</f>
        <v>#N/A</v>
      </c>
      <c r="I1161" s="102" t="e">
        <f ca="1">VLOOKUP($G1161, survey_codes_dict!A:D, 4, FALSE)</f>
        <v>#N/A</v>
      </c>
      <c r="J1161" s="102" t="e">
        <f t="shared" ca="1" si="36"/>
        <v>#N/A</v>
      </c>
      <c r="K1161" s="102" t="e">
        <f t="shared" ca="1" si="37"/>
        <v>#N/A</v>
      </c>
      <c r="L1161" s="102"/>
      <c r="M1161" s="102"/>
      <c r="N1161" s="102"/>
      <c r="O1161" s="102"/>
      <c r="P1161" s="102"/>
      <c r="Q1161" s="102"/>
      <c r="R1161" s="102"/>
      <c r="S1161" s="101"/>
    </row>
    <row r="1162" spans="1:19" ht="72" x14ac:dyDescent="0.3">
      <c r="A1162" t="s">
        <v>5123</v>
      </c>
      <c r="B1162" t="s">
        <v>5145</v>
      </c>
      <c r="C1162" s="90" t="s">
        <v>3642</v>
      </c>
      <c r="D1162" t="s">
        <v>5562</v>
      </c>
      <c r="E1162" s="101" t="s">
        <v>5817</v>
      </c>
      <c r="F1162" t="str" cm="1">
        <f t="array" aca="1" ref="F1162" ca="1">INDIRECT("'" &amp; A1162 &amp; "'!" &amp; B1162)</f>
        <v>i16</v>
      </c>
      <c r="G1162" cm="1">
        <f t="array" aca="1" ref="G1162" ca="1">INDIRECT("'" &amp; A1162 &amp; "'!" &amp; ADDRESS(1, COLUMN(INDIRECT("'" &amp; A1162 &amp; "'!" &amp; B1162))))</f>
        <v>1992</v>
      </c>
      <c r="H1162" t="str">
        <f ca="1">VLOOKUP($G1162, survey_codes_dict!A:C, 2, FALSE)</f>
        <v>1992</v>
      </c>
      <c r="I1162" s="102" t="str">
        <f ca="1">VLOOKUP($G1162, survey_codes_dict!A:D, 4, FALSE)</f>
        <v>1988_N=873</v>
      </c>
      <c r="J1162" s="102" t="str">
        <f t="shared" ca="1" si="36"/>
        <v>1992__i16</v>
      </c>
      <c r="K1162" s="102" t="str">
        <f t="shared" ca="1" si="37"/>
        <v>1988_N=873__i16</v>
      </c>
      <c r="L1162" s="102"/>
      <c r="M1162" s="102"/>
      <c r="N1162" s="102"/>
      <c r="O1162" s="102"/>
      <c r="P1162" s="102"/>
      <c r="Q1162" s="102"/>
      <c r="R1162" s="102"/>
      <c r="S1162" s="101"/>
    </row>
    <row r="1163" spans="1:19" ht="72" x14ac:dyDescent="0.3">
      <c r="A1163" t="s">
        <v>5123</v>
      </c>
      <c r="B1163" t="s">
        <v>3609</v>
      </c>
      <c r="C1163" s="90" t="s">
        <v>5003</v>
      </c>
      <c r="D1163" t="s">
        <v>5562</v>
      </c>
      <c r="E1163" s="101" t="s">
        <v>6362</v>
      </c>
      <c r="F1163" t="str" cm="1">
        <f t="array" aca="1" ref="F1163" ca="1">INDIRECT("'" &amp; A1163 &amp; "'!" &amp; B1163)</f>
        <v>v40</v>
      </c>
      <c r="G1163" cm="1">
        <f t="array" aca="1" ref="G1163" ca="1">INDIRECT("'" &amp; A1163 &amp; "'!" &amp; ADDRESS(1, COLUMN(INDIRECT("'" &amp; A1163 &amp; "'!" &amp; B1163))))</f>
        <v>2015</v>
      </c>
      <c r="H1163" t="e">
        <f ca="1">VLOOKUP($G1163, survey_codes_dict!A:C, 2, FALSE)</f>
        <v>#N/A</v>
      </c>
      <c r="I1163" s="102" t="e">
        <f ca="1">VLOOKUP($G1163, survey_codes_dict!A:D, 4, FALSE)</f>
        <v>#N/A</v>
      </c>
      <c r="J1163" s="102" t="e">
        <f t="shared" ca="1" si="36"/>
        <v>#N/A</v>
      </c>
      <c r="K1163" s="102" t="e">
        <f t="shared" ca="1" si="37"/>
        <v>#N/A</v>
      </c>
      <c r="L1163" s="102"/>
      <c r="M1163" s="102"/>
      <c r="N1163" s="102"/>
      <c r="O1163" s="102"/>
      <c r="P1163" s="102"/>
      <c r="Q1163" s="102"/>
      <c r="R1163" s="102"/>
      <c r="S1163" s="101"/>
    </row>
    <row r="1164" spans="1:19" ht="72" x14ac:dyDescent="0.3">
      <c r="A1164" t="s">
        <v>5123</v>
      </c>
      <c r="B1164" t="s">
        <v>5146</v>
      </c>
      <c r="C1164" s="90" t="s">
        <v>5147</v>
      </c>
      <c r="D1164" t="s">
        <v>5562</v>
      </c>
      <c r="E1164" s="101" t="s">
        <v>6435</v>
      </c>
      <c r="F1164" t="str" cm="1">
        <f t="array" aca="1" ref="F1164" ca="1">INDIRECT("'" &amp; A1164 &amp; "'!" &amp; B1164)</f>
        <v>v14</v>
      </c>
      <c r="G1164" cm="1">
        <f t="array" aca="1" ref="G1164" ca="1">INDIRECT("'" &amp; A1164 &amp; "'!" &amp; ADDRESS(1, COLUMN(INDIRECT("'" &amp; A1164 &amp; "'!" &amp; B1164))))</f>
        <v>2009</v>
      </c>
      <c r="H1164" t="e">
        <f ca="1">VLOOKUP($G1164, survey_codes_dict!A:C, 2, FALSE)</f>
        <v>#N/A</v>
      </c>
      <c r="I1164" s="102" t="e">
        <f ca="1">VLOOKUP($G1164, survey_codes_dict!A:D, 4, FALSE)</f>
        <v>#N/A</v>
      </c>
      <c r="J1164" s="102" t="e">
        <f t="shared" ca="1" si="36"/>
        <v>#N/A</v>
      </c>
      <c r="K1164" s="102" t="e">
        <f t="shared" ca="1" si="37"/>
        <v>#N/A</v>
      </c>
      <c r="L1164" s="102"/>
      <c r="M1164" s="102"/>
      <c r="N1164" s="102"/>
      <c r="O1164" s="102"/>
      <c r="P1164" s="102"/>
      <c r="Q1164" s="102"/>
      <c r="R1164" s="102"/>
      <c r="S1164" s="101"/>
    </row>
    <row r="1165" spans="1:19" ht="72" x14ac:dyDescent="0.3">
      <c r="A1165" t="s">
        <v>5123</v>
      </c>
      <c r="B1165" t="s">
        <v>5005</v>
      </c>
      <c r="C1165" s="90" t="s">
        <v>5147</v>
      </c>
      <c r="D1165" t="s">
        <v>5562</v>
      </c>
      <c r="E1165" s="101" t="s">
        <v>6435</v>
      </c>
      <c r="F1165" t="str" cm="1">
        <f t="array" aca="1" ref="F1165" ca="1">INDIRECT("'" &amp; A1165 &amp; "'!" &amp; B1165)</f>
        <v>v15</v>
      </c>
      <c r="G1165" cm="1">
        <f t="array" aca="1" ref="G1165" ca="1">INDIRECT("'" &amp; A1165 &amp; "'!" &amp; ADDRESS(1, COLUMN(INDIRECT("'" &amp; A1165 &amp; "'!" &amp; B1165))))</f>
        <v>2009</v>
      </c>
      <c r="H1165" t="e">
        <f ca="1">VLOOKUP($G1165, survey_codes_dict!A:C, 2, FALSE)</f>
        <v>#N/A</v>
      </c>
      <c r="I1165" s="102" t="e">
        <f ca="1">VLOOKUP($G1165, survey_codes_dict!A:D, 4, FALSE)</f>
        <v>#N/A</v>
      </c>
      <c r="J1165" s="102" t="e">
        <f t="shared" ca="1" si="36"/>
        <v>#N/A</v>
      </c>
      <c r="K1165" s="102" t="e">
        <f t="shared" ca="1" si="37"/>
        <v>#N/A</v>
      </c>
      <c r="L1165" s="102"/>
      <c r="M1165" s="102"/>
      <c r="N1165" s="102"/>
      <c r="O1165" s="102"/>
      <c r="P1165" s="102"/>
      <c r="Q1165" s="102"/>
      <c r="R1165" s="102"/>
      <c r="S1165" s="101"/>
    </row>
    <row r="1166" spans="1:19" ht="72" x14ac:dyDescent="0.3">
      <c r="A1166" t="s">
        <v>5123</v>
      </c>
      <c r="B1166" t="s">
        <v>4280</v>
      </c>
      <c r="C1166" s="90" t="s">
        <v>5148</v>
      </c>
      <c r="D1166" t="s">
        <v>5562</v>
      </c>
      <c r="E1166" s="101" t="s">
        <v>6436</v>
      </c>
      <c r="F1166" t="str" cm="1">
        <f t="array" aca="1" ref="F1166" ca="1">INDIRECT("'" &amp; A1166 &amp; "'!" &amp; B1166)</f>
        <v>v19</v>
      </c>
      <c r="G1166" cm="1">
        <f t="array" aca="1" ref="G1166" ca="1">INDIRECT("'" &amp; A1166 &amp; "'!" &amp; ADDRESS(1, COLUMN(INDIRECT("'" &amp; A1166 &amp; "'!" &amp; B1166))))</f>
        <v>2009</v>
      </c>
      <c r="H1166" t="e">
        <f ca="1">VLOOKUP($G1166, survey_codes_dict!A:C, 2, FALSE)</f>
        <v>#N/A</v>
      </c>
      <c r="I1166" s="102" t="e">
        <f ca="1">VLOOKUP($G1166, survey_codes_dict!A:D, 4, FALSE)</f>
        <v>#N/A</v>
      </c>
      <c r="J1166" s="102" t="e">
        <f t="shared" ca="1" si="36"/>
        <v>#N/A</v>
      </c>
      <c r="K1166" s="102" t="e">
        <f t="shared" ca="1" si="37"/>
        <v>#N/A</v>
      </c>
      <c r="L1166" s="102"/>
      <c r="M1166" s="102"/>
      <c r="N1166" s="102"/>
      <c r="O1166" s="102"/>
      <c r="P1166" s="102"/>
      <c r="Q1166" s="102"/>
      <c r="R1166" s="102"/>
      <c r="S1166" s="101"/>
    </row>
    <row r="1167" spans="1:19" ht="72" x14ac:dyDescent="0.3">
      <c r="A1167" t="s">
        <v>5123</v>
      </c>
      <c r="B1167" t="s">
        <v>3894</v>
      </c>
      <c r="C1167" s="90" t="s">
        <v>5149</v>
      </c>
      <c r="D1167" t="s">
        <v>5562</v>
      </c>
      <c r="E1167" s="101" t="s">
        <v>6437</v>
      </c>
      <c r="F1167" t="str" cm="1">
        <f t="array" aca="1" ref="F1167" ca="1">INDIRECT("'" &amp; A1167 &amp; "'!" &amp; B1167)</f>
        <v>a17</v>
      </c>
      <c r="G1167" cm="1">
        <f t="array" aca="1" ref="G1167" ca="1">INDIRECT("'" &amp; A1167 &amp; "'!" &amp; ADDRESS(1, COLUMN(INDIRECT("'" &amp; A1167 &amp; "'!" &amp; B1167))))</f>
        <v>2001</v>
      </c>
      <c r="H1167" t="str">
        <f ca="1">VLOOKUP($G1167, survey_codes_dict!A:C, 2, FALSE)</f>
        <v>2001</v>
      </c>
      <c r="I1167" s="102" t="str">
        <f ca="1">VLOOKUP($G1167, survey_codes_dict!A:D, 4, FALSE)</f>
        <v>1999_1</v>
      </c>
      <c r="J1167" s="102" t="str">
        <f t="shared" ca="1" si="36"/>
        <v>2001__a17</v>
      </c>
      <c r="K1167" s="102" t="str">
        <f t="shared" ca="1" si="37"/>
        <v>1999_1__a17</v>
      </c>
      <c r="L1167" s="102"/>
      <c r="M1167" s="102"/>
      <c r="N1167" s="102"/>
      <c r="O1167" s="102"/>
      <c r="P1167" s="102"/>
      <c r="Q1167" s="102"/>
      <c r="R1167" s="102"/>
      <c r="S1167" s="101"/>
    </row>
    <row r="1168" spans="1:19" ht="72" x14ac:dyDescent="0.3">
      <c r="A1168" t="s">
        <v>5123</v>
      </c>
      <c r="B1168" t="s">
        <v>3375</v>
      </c>
      <c r="C1168" s="90" t="s">
        <v>5148</v>
      </c>
      <c r="D1168" t="s">
        <v>5562</v>
      </c>
      <c r="E1168" s="101" t="s">
        <v>6436</v>
      </c>
      <c r="F1168" t="str" cm="1">
        <f t="array" aca="1" ref="F1168" ca="1">INDIRECT("'" &amp; A1168 &amp; "'!" &amp; B1168)</f>
        <v>c34</v>
      </c>
      <c r="G1168" cm="1">
        <f t="array" aca="1" ref="G1168" ca="1">INDIRECT("'" &amp; A1168 &amp; "'!" &amp; ADDRESS(1, COLUMN(INDIRECT("'" &amp; A1168 &amp; "'!" &amp; B1168))))</f>
        <v>1996</v>
      </c>
      <c r="H1168" t="str">
        <f ca="1">VLOOKUP($G1168, survey_codes_dict!A:C, 2, FALSE)</f>
        <v>1996_Jews</v>
      </c>
      <c r="I1168" s="102" t="str">
        <f ca="1">VLOOKUP($G1168, survey_codes_dict!A:D, 4, FALSE)</f>
        <v>1992</v>
      </c>
      <c r="J1168" s="102" t="str">
        <f t="shared" ca="1" si="36"/>
        <v>1996_Jews__c34</v>
      </c>
      <c r="K1168" s="102" t="str">
        <f t="shared" ca="1" si="37"/>
        <v>1992__c34</v>
      </c>
      <c r="L1168" s="102"/>
      <c r="M1168" s="102"/>
      <c r="N1168" s="102"/>
      <c r="O1168" s="102"/>
      <c r="P1168" s="102"/>
      <c r="Q1168" s="102"/>
      <c r="R1168" s="102"/>
      <c r="S1168" s="101"/>
    </row>
    <row r="1169" spans="1:19" ht="129.6" x14ac:dyDescent="0.3">
      <c r="A1169" t="s">
        <v>5123</v>
      </c>
      <c r="B1169" t="s">
        <v>3614</v>
      </c>
      <c r="C1169" s="90" t="s">
        <v>5150</v>
      </c>
      <c r="D1169" t="s">
        <v>5562</v>
      </c>
      <c r="E1169" s="101" t="s">
        <v>6438</v>
      </c>
      <c r="F1169" t="str" cm="1">
        <f t="array" aca="1" ref="F1169" ca="1">INDIRECT("'" &amp; A1169 &amp; "'!" &amp; B1169)</f>
        <v>v38</v>
      </c>
      <c r="G1169" cm="1">
        <f t="array" aca="1" ref="G1169" ca="1">INDIRECT("'" &amp; A1169 &amp; "'!" &amp; ADDRESS(1, COLUMN(INDIRECT("'" &amp; A1169 &amp; "'!" &amp; B1169))))</f>
        <v>2009</v>
      </c>
      <c r="H1169" t="e">
        <f ca="1">VLOOKUP($G1169, survey_codes_dict!A:C, 2, FALSE)</f>
        <v>#N/A</v>
      </c>
      <c r="I1169" s="102" t="e">
        <f ca="1">VLOOKUP($G1169, survey_codes_dict!A:D, 4, FALSE)</f>
        <v>#N/A</v>
      </c>
      <c r="J1169" s="102" t="e">
        <f t="shared" ca="1" si="36"/>
        <v>#N/A</v>
      </c>
      <c r="K1169" s="102" t="e">
        <f t="shared" ca="1" si="37"/>
        <v>#N/A</v>
      </c>
      <c r="L1169" s="102"/>
      <c r="M1169" s="102"/>
      <c r="N1169" s="102"/>
      <c r="O1169" s="102"/>
      <c r="P1169" s="102"/>
      <c r="Q1169" s="102"/>
      <c r="R1169" s="102"/>
      <c r="S1169" s="101"/>
    </row>
    <row r="1170" spans="1:19" ht="57.6" x14ac:dyDescent="0.3">
      <c r="A1170" t="s">
        <v>5123</v>
      </c>
      <c r="B1170" t="s">
        <v>4074</v>
      </c>
      <c r="C1170" s="90" t="s">
        <v>5151</v>
      </c>
      <c r="D1170" t="s">
        <v>5562</v>
      </c>
      <c r="E1170" s="101" t="s">
        <v>6439</v>
      </c>
      <c r="F1170" t="str" cm="1">
        <f t="array" aca="1" ref="F1170" ca="1">INDIRECT("'" &amp; A1170 &amp; "'!" &amp; B1170)</f>
        <v>a11</v>
      </c>
      <c r="G1170" cm="1">
        <f t="array" aca="1" ref="G1170" ca="1">INDIRECT("'" &amp; A1170 &amp; "'!" &amp; ADDRESS(1, COLUMN(INDIRECT("'" &amp; A1170 &amp; "'!" &amp; B1170))))</f>
        <v>1992</v>
      </c>
      <c r="H1170" t="str">
        <f ca="1">VLOOKUP($G1170, survey_codes_dict!A:C, 2, FALSE)</f>
        <v>1992</v>
      </c>
      <c r="I1170" s="102" t="str">
        <f ca="1">VLOOKUP($G1170, survey_codes_dict!A:D, 4, FALSE)</f>
        <v>1988_N=873</v>
      </c>
      <c r="J1170" s="102" t="str">
        <f t="shared" ca="1" si="36"/>
        <v>1992__a11</v>
      </c>
      <c r="K1170" s="102" t="str">
        <f t="shared" ca="1" si="37"/>
        <v>1988_N=873__a11</v>
      </c>
      <c r="L1170" s="102"/>
      <c r="M1170" s="102"/>
      <c r="N1170" s="102"/>
      <c r="O1170" s="102"/>
      <c r="P1170" s="102"/>
      <c r="Q1170" s="102"/>
      <c r="R1170" s="102"/>
      <c r="S1170" s="101"/>
    </row>
    <row r="1171" spans="1:19" ht="43.2" x14ac:dyDescent="0.3">
      <c r="A1171" t="s">
        <v>5123</v>
      </c>
      <c r="B1171" t="s">
        <v>5152</v>
      </c>
      <c r="C1171" s="90" t="s">
        <v>5153</v>
      </c>
      <c r="D1171" t="s">
        <v>5562</v>
      </c>
      <c r="E1171" s="101" t="s">
        <v>6440</v>
      </c>
      <c r="F1171" t="str" cm="1">
        <f t="array" aca="1" ref="F1171" ca="1">INDIRECT("'" &amp; A1171 &amp; "'!" &amp; B1171)</f>
        <v>c47</v>
      </c>
      <c r="G1171" cm="1">
        <f t="array" aca="1" ref="G1171" ca="1">INDIRECT("'" &amp; A1171 &amp; "'!" &amp; ADDRESS(1, COLUMN(INDIRECT("'" &amp; A1171 &amp; "'!" &amp; B1171))))</f>
        <v>1996</v>
      </c>
      <c r="H1171" t="str">
        <f ca="1">VLOOKUP($G1171, survey_codes_dict!A:C, 2, FALSE)</f>
        <v>1996_Jews</v>
      </c>
      <c r="I1171" s="102" t="str">
        <f ca="1">VLOOKUP($G1171, survey_codes_dict!A:D, 4, FALSE)</f>
        <v>1992</v>
      </c>
      <c r="J1171" s="102" t="str">
        <f t="shared" ca="1" si="36"/>
        <v>1996_Jews__c47</v>
      </c>
      <c r="K1171" s="102" t="str">
        <f t="shared" ca="1" si="37"/>
        <v>1992__c47</v>
      </c>
      <c r="L1171" s="102"/>
      <c r="M1171" s="102"/>
      <c r="N1171" s="102"/>
      <c r="O1171" s="102"/>
      <c r="P1171" s="102"/>
      <c r="Q1171" s="102"/>
      <c r="R1171" s="102"/>
      <c r="S1171" s="101"/>
    </row>
    <row r="1172" spans="1:19" ht="72" x14ac:dyDescent="0.3">
      <c r="A1172" t="s">
        <v>5123</v>
      </c>
      <c r="B1172" t="s">
        <v>4296</v>
      </c>
      <c r="C1172" s="90" t="s">
        <v>5154</v>
      </c>
      <c r="D1172" t="s">
        <v>5562</v>
      </c>
      <c r="E1172" s="101" t="s">
        <v>6441</v>
      </c>
      <c r="F1172" t="str" cm="1">
        <f t="array" aca="1" ref="F1172" ca="1">INDIRECT("'" &amp; A1172 &amp; "'!" &amp; B1172)</f>
        <v>v45</v>
      </c>
      <c r="G1172" cm="1">
        <f t="array" aca="1" ref="G1172" ca="1">INDIRECT("'" &amp; A1172 &amp; "'!" &amp; ADDRESS(1, COLUMN(INDIRECT("'" &amp; A1172 &amp; "'!" &amp; B1172))))</f>
        <v>2009</v>
      </c>
      <c r="H1172" t="e">
        <f ca="1">VLOOKUP($G1172, survey_codes_dict!A:C, 2, FALSE)</f>
        <v>#N/A</v>
      </c>
      <c r="I1172" s="102" t="e">
        <f ca="1">VLOOKUP($G1172, survey_codes_dict!A:D, 4, FALSE)</f>
        <v>#N/A</v>
      </c>
      <c r="J1172" s="102" t="e">
        <f t="shared" ca="1" si="36"/>
        <v>#N/A</v>
      </c>
      <c r="K1172" s="102" t="e">
        <f t="shared" ca="1" si="37"/>
        <v>#N/A</v>
      </c>
      <c r="L1172" s="102"/>
      <c r="M1172" s="102"/>
      <c r="N1172" s="102"/>
      <c r="O1172" s="102"/>
      <c r="P1172" s="102"/>
      <c r="Q1172" s="102"/>
      <c r="R1172" s="102"/>
      <c r="S1172" s="101"/>
    </row>
    <row r="1173" spans="1:19" ht="57.6" x14ac:dyDescent="0.3">
      <c r="A1173" t="s">
        <v>5123</v>
      </c>
      <c r="B1173" t="s">
        <v>4302</v>
      </c>
      <c r="C1173" s="90" t="s">
        <v>5155</v>
      </c>
      <c r="D1173" t="s">
        <v>5562</v>
      </c>
      <c r="E1173" s="101" t="s">
        <v>6442</v>
      </c>
      <c r="F1173" t="str" cm="1">
        <f t="array" aca="1" ref="F1173" ca="1">INDIRECT("'" &amp; A1173 &amp; "'!" &amp; B1173)</f>
        <v>v14</v>
      </c>
      <c r="G1173" cm="1">
        <f t="array" aca="1" ref="G1173" ca="1">INDIRECT("'" &amp; A1173 &amp; "'!" &amp; ADDRESS(1, COLUMN(INDIRECT("'" &amp; A1173 &amp; "'!" &amp; B1173))))</f>
        <v>1999</v>
      </c>
      <c r="H1173" t="str">
        <f ca="1">VLOOKUP($G1173, survey_codes_dict!A:C, 2, FALSE)</f>
        <v>1999_1</v>
      </c>
      <c r="I1173" s="102" t="str">
        <f ca="1">VLOOKUP($G1173, survey_codes_dict!A:D, 4, FALSE)</f>
        <v>1996_Jews</v>
      </c>
      <c r="J1173" s="102" t="str">
        <f t="shared" ca="1" si="36"/>
        <v>1999_1__v14</v>
      </c>
      <c r="K1173" s="102" t="str">
        <f t="shared" ca="1" si="37"/>
        <v>1996_Jews__v14</v>
      </c>
      <c r="L1173" s="102"/>
      <c r="M1173" s="102"/>
      <c r="N1173" s="102"/>
      <c r="O1173" s="102"/>
      <c r="P1173" s="102"/>
      <c r="Q1173" s="102"/>
      <c r="R1173" s="102"/>
      <c r="S1173" s="101"/>
    </row>
    <row r="1174" spans="1:19" ht="57.6" x14ac:dyDescent="0.3">
      <c r="A1174" t="s">
        <v>5123</v>
      </c>
      <c r="B1174" t="s">
        <v>4304</v>
      </c>
      <c r="C1174" s="90" t="s">
        <v>4949</v>
      </c>
      <c r="D1174" t="s">
        <v>5562</v>
      </c>
      <c r="E1174" s="101" t="s">
        <v>6333</v>
      </c>
      <c r="F1174" t="str" cm="1">
        <f t="array" aca="1" ref="F1174" ca="1">INDIRECT("'" &amp; A1174 &amp; "'!" &amp; B1174)</f>
        <v>c20</v>
      </c>
      <c r="G1174" cm="1">
        <f t="array" aca="1" ref="G1174" ca="1">INDIRECT("'" &amp; A1174 &amp; "'!" &amp; ADDRESS(1, COLUMN(INDIRECT("'" &amp; A1174 &amp; "'!" &amp; B1174))))</f>
        <v>1996</v>
      </c>
      <c r="H1174" t="str">
        <f ca="1">VLOOKUP($G1174, survey_codes_dict!A:C, 2, FALSE)</f>
        <v>1996_Jews</v>
      </c>
      <c r="I1174" s="102" t="str">
        <f ca="1">VLOOKUP($G1174, survey_codes_dict!A:D, 4, FALSE)</f>
        <v>1992</v>
      </c>
      <c r="J1174" s="102" t="str">
        <f t="shared" ca="1" si="36"/>
        <v>1996_Jews__c20</v>
      </c>
      <c r="K1174" s="102" t="str">
        <f t="shared" ca="1" si="37"/>
        <v>1992__c20</v>
      </c>
      <c r="L1174" s="102"/>
      <c r="M1174" s="102"/>
      <c r="N1174" s="102"/>
      <c r="O1174" s="102"/>
      <c r="P1174" s="102"/>
      <c r="Q1174" s="102"/>
      <c r="R1174" s="102"/>
      <c r="S1174" s="101"/>
    </row>
    <row r="1175" spans="1:19" ht="72" x14ac:dyDescent="0.3">
      <c r="A1175" t="s">
        <v>5123</v>
      </c>
      <c r="B1175" t="s">
        <v>5156</v>
      </c>
      <c r="C1175" s="90" t="s">
        <v>5057</v>
      </c>
      <c r="D1175" t="s">
        <v>5562</v>
      </c>
      <c r="E1175" s="101" t="s">
        <v>6389</v>
      </c>
      <c r="F1175" t="str" cm="1">
        <f t="array" aca="1" ref="F1175" ca="1">INDIRECT("'" &amp; A1175 &amp; "'!" &amp; B1175)</f>
        <v>a11</v>
      </c>
      <c r="G1175" cm="1">
        <f t="array" aca="1" ref="G1175" ca="1">INDIRECT("'" &amp; A1175 &amp; "'!" &amp; ADDRESS(1, COLUMN(INDIRECT("'" &amp; A1175 &amp; "'!" &amp; B1175))))</f>
        <v>2003</v>
      </c>
      <c r="H1175" t="str">
        <f ca="1">VLOOKUP($G1175, survey_codes_dict!A:C, 2, FALSE)</f>
        <v>2003</v>
      </c>
      <c r="I1175" s="102" t="str">
        <f ca="1">VLOOKUP($G1175, survey_codes_dict!A:D, 4, FALSE)</f>
        <v>2001</v>
      </c>
      <c r="J1175" s="102" t="str">
        <f t="shared" ca="1" si="36"/>
        <v>2003__a11</v>
      </c>
      <c r="K1175" s="102" t="str">
        <f t="shared" ca="1" si="37"/>
        <v>2001__a11</v>
      </c>
      <c r="L1175" s="102"/>
      <c r="M1175" s="102"/>
      <c r="N1175" s="102"/>
      <c r="O1175" s="102"/>
      <c r="P1175" s="102"/>
      <c r="Q1175" s="102"/>
      <c r="R1175" s="102"/>
      <c r="S1175" s="101"/>
    </row>
    <row r="1176" spans="1:19" ht="57.6" x14ac:dyDescent="0.3">
      <c r="A1176" t="s">
        <v>5123</v>
      </c>
      <c r="B1176" t="s">
        <v>4330</v>
      </c>
      <c r="C1176" s="90" t="s">
        <v>5155</v>
      </c>
      <c r="D1176" t="s">
        <v>5562</v>
      </c>
      <c r="E1176" s="101" t="s">
        <v>6442</v>
      </c>
      <c r="F1176" t="str" cm="1">
        <f t="array" aca="1" ref="F1176" ca="1">INDIRECT("'" &amp; A1176 &amp; "'!" &amp; B1176)</f>
        <v>v12</v>
      </c>
      <c r="G1176" cm="1">
        <f t="array" aca="1" ref="G1176" ca="1">INDIRECT("'" &amp; A1176 &amp; "'!" &amp; ADDRESS(1, COLUMN(INDIRECT("'" &amp; A1176 &amp; "'!" &amp; B1176))))</f>
        <v>1999</v>
      </c>
      <c r="H1176" t="str">
        <f ca="1">VLOOKUP($G1176, survey_codes_dict!A:C, 2, FALSE)</f>
        <v>1999_1</v>
      </c>
      <c r="I1176" s="102" t="str">
        <f ca="1">VLOOKUP($G1176, survey_codes_dict!A:D, 4, FALSE)</f>
        <v>1996_Jews</v>
      </c>
      <c r="J1176" s="102" t="str">
        <f t="shared" ca="1" si="36"/>
        <v>1999_1__v12</v>
      </c>
      <c r="K1176" s="102" t="str">
        <f t="shared" ca="1" si="37"/>
        <v>1996_Jews__v12</v>
      </c>
      <c r="L1176" s="102"/>
      <c r="M1176" s="102"/>
      <c r="N1176" s="102"/>
      <c r="O1176" s="102"/>
      <c r="P1176" s="102"/>
      <c r="Q1176" s="102"/>
      <c r="R1176" s="102"/>
      <c r="S1176" s="101"/>
    </row>
    <row r="1177" spans="1:19" ht="57.6" x14ac:dyDescent="0.3">
      <c r="A1177" t="s">
        <v>5123</v>
      </c>
      <c r="B1177" t="s">
        <v>4332</v>
      </c>
      <c r="C1177" s="90" t="s">
        <v>4949</v>
      </c>
      <c r="D1177" t="s">
        <v>5562</v>
      </c>
      <c r="E1177" s="101" t="s">
        <v>6333</v>
      </c>
      <c r="F1177" t="str" cm="1">
        <f t="array" aca="1" ref="F1177" ca="1">INDIRECT("'" &amp; A1177 &amp; "'!" &amp; B1177)</f>
        <v>c18</v>
      </c>
      <c r="G1177" cm="1">
        <f t="array" aca="1" ref="G1177" ca="1">INDIRECT("'" &amp; A1177 &amp; "'!" &amp; ADDRESS(1, COLUMN(INDIRECT("'" &amp; A1177 &amp; "'!" &amp; B1177))))</f>
        <v>1996</v>
      </c>
      <c r="H1177" t="str">
        <f ca="1">VLOOKUP($G1177, survey_codes_dict!A:C, 2, FALSE)</f>
        <v>1996_Jews</v>
      </c>
      <c r="I1177" s="102" t="str">
        <f ca="1">VLOOKUP($G1177, survey_codes_dict!A:D, 4, FALSE)</f>
        <v>1992</v>
      </c>
      <c r="J1177" s="102" t="str">
        <f t="shared" ca="1" si="36"/>
        <v>1996_Jews__c18</v>
      </c>
      <c r="K1177" s="102" t="str">
        <f t="shared" ca="1" si="37"/>
        <v>1992__c18</v>
      </c>
      <c r="L1177" s="102"/>
      <c r="M1177" s="102"/>
      <c r="N1177" s="102"/>
      <c r="O1177" s="102"/>
      <c r="P1177" s="102"/>
      <c r="Q1177" s="102"/>
      <c r="R1177" s="102"/>
      <c r="S1177" s="101"/>
    </row>
    <row r="1178" spans="1:19" ht="28.8" x14ac:dyDescent="0.3">
      <c r="A1178" t="s">
        <v>5123</v>
      </c>
      <c r="B1178" t="s">
        <v>3984</v>
      </c>
      <c r="C1178" s="90" t="s">
        <v>3996</v>
      </c>
      <c r="D1178" t="s">
        <v>399</v>
      </c>
      <c r="E1178" s="101" t="s">
        <v>5593</v>
      </c>
      <c r="F1178" t="str" cm="1">
        <f t="array" aca="1" ref="F1178" ca="1">INDIRECT("'" &amp; A1178 &amp; "'!" &amp; B1178)</f>
        <v>באיזו מידה אתה מסכים או לא מסכים עם המשפטים הבאים: על הממשלה לעודד הגירת ערבים מהארץ</v>
      </c>
      <c r="G1178" t="str" cm="1">
        <f t="array" aca="1" ref="G1178" ca="1">INDIRECT("'" &amp; A1178 &amp; "'!" &amp; ADDRESS(1, COLUMN(INDIRECT("'" &amp; A1178 &amp; "'!" &amp; B1178))))</f>
        <v>שאלה</v>
      </c>
      <c r="H1178" t="e">
        <f ca="1">VLOOKUP($G1178, survey_codes_dict!A:C, 2, FALSE)</f>
        <v>#N/A</v>
      </c>
      <c r="I1178" s="102" t="e">
        <f ca="1">VLOOKUP($G1178, survey_codes_dict!A:D, 4, FALSE)</f>
        <v>#N/A</v>
      </c>
      <c r="J1178" s="102" t="e">
        <f t="shared" ca="1" si="36"/>
        <v>#N/A</v>
      </c>
      <c r="K1178" s="102" t="e">
        <f t="shared" ca="1" si="37"/>
        <v>#N/A</v>
      </c>
      <c r="L1178" s="102"/>
      <c r="M1178" s="102"/>
      <c r="N1178" s="102"/>
      <c r="O1178" s="102"/>
      <c r="P1178" s="102"/>
      <c r="Q1178" s="102"/>
      <c r="R1178" s="102"/>
      <c r="S1178" s="102"/>
    </row>
    <row r="1179" spans="1:19" ht="72" x14ac:dyDescent="0.3">
      <c r="A1179" t="s">
        <v>5123</v>
      </c>
      <c r="B1179" t="s">
        <v>3625</v>
      </c>
      <c r="C1179" s="90" t="s">
        <v>5157</v>
      </c>
      <c r="D1179" t="s">
        <v>5562</v>
      </c>
      <c r="E1179" s="101" t="s">
        <v>6443</v>
      </c>
      <c r="F1179" t="str" cm="1">
        <f t="array" aca="1" ref="F1179" ca="1">INDIRECT("'" &amp; A1179 &amp; "'!" &amp; B1179)</f>
        <v>a21</v>
      </c>
      <c r="G1179" cm="1">
        <f t="array" aca="1" ref="G1179" ca="1">INDIRECT("'" &amp; A1179 &amp; "'!" &amp; ADDRESS(1, COLUMN(INDIRECT("'" &amp; A1179 &amp; "'!" &amp; B1179))))</f>
        <v>2001</v>
      </c>
      <c r="H1179" t="str">
        <f ca="1">VLOOKUP($G1179, survey_codes_dict!A:C, 2, FALSE)</f>
        <v>2001</v>
      </c>
      <c r="I1179" s="102" t="str">
        <f ca="1">VLOOKUP($G1179, survey_codes_dict!A:D, 4, FALSE)</f>
        <v>1999_1</v>
      </c>
      <c r="J1179" s="102" t="str">
        <f t="shared" ca="1" si="36"/>
        <v>2001__a21</v>
      </c>
      <c r="K1179" s="102" t="str">
        <f t="shared" ca="1" si="37"/>
        <v>1999_1__a21</v>
      </c>
      <c r="L1179" s="102"/>
      <c r="M1179" s="102"/>
      <c r="N1179" s="102"/>
      <c r="O1179" s="102"/>
      <c r="P1179" s="102"/>
      <c r="Q1179" s="102"/>
      <c r="R1179" s="102"/>
      <c r="S1179" s="101"/>
    </row>
    <row r="1180" spans="1:19" ht="72" x14ac:dyDescent="0.3">
      <c r="A1180" t="s">
        <v>5123</v>
      </c>
      <c r="B1180" t="s">
        <v>3627</v>
      </c>
      <c r="C1180" s="90" t="s">
        <v>5057</v>
      </c>
      <c r="D1180" t="s">
        <v>5562</v>
      </c>
      <c r="E1180" s="101" t="s">
        <v>6389</v>
      </c>
      <c r="F1180" t="str" cm="1">
        <f t="array" aca="1" ref="F1180" ca="1">INDIRECT("'" &amp; A1180 &amp; "'!" &amp; B1180)</f>
        <v>v22</v>
      </c>
      <c r="G1180" cm="1">
        <f t="array" aca="1" ref="G1180" ca="1">INDIRECT("'" &amp; A1180 &amp; "'!" &amp; ADDRESS(1, COLUMN(INDIRECT("'" &amp; A1180 &amp; "'!" &amp; B1180))))</f>
        <v>1999</v>
      </c>
      <c r="H1180" t="str">
        <f ca="1">VLOOKUP($G1180, survey_codes_dict!A:C, 2, FALSE)</f>
        <v>1999_1</v>
      </c>
      <c r="I1180" s="102" t="str">
        <f ca="1">VLOOKUP($G1180, survey_codes_dict!A:D, 4, FALSE)</f>
        <v>1996_Jews</v>
      </c>
      <c r="J1180" s="102" t="str">
        <f t="shared" ca="1" si="36"/>
        <v>1999_1__v22</v>
      </c>
      <c r="K1180" s="102" t="str">
        <f t="shared" ca="1" si="37"/>
        <v>1996_Jews__v22</v>
      </c>
      <c r="L1180" s="102"/>
      <c r="M1180" s="102"/>
      <c r="N1180" s="102"/>
      <c r="O1180" s="102"/>
      <c r="P1180" s="102"/>
      <c r="Q1180" s="102"/>
      <c r="R1180" s="102"/>
      <c r="S1180" s="101"/>
    </row>
    <row r="1181" spans="1:19" ht="72" x14ac:dyDescent="0.3">
      <c r="A1181" t="s">
        <v>5123</v>
      </c>
      <c r="B1181" t="s">
        <v>5158</v>
      </c>
      <c r="C1181" s="90" t="s">
        <v>5057</v>
      </c>
      <c r="D1181" t="s">
        <v>5562</v>
      </c>
      <c r="E1181" s="101" t="s">
        <v>6389</v>
      </c>
      <c r="F1181" t="str" cm="1">
        <f t="array" aca="1" ref="F1181" ca="1">INDIRECT("'" &amp; A1181 &amp; "'!" &amp; B1181)</f>
        <v>a13</v>
      </c>
      <c r="G1181" cm="1">
        <f t="array" aca="1" ref="G1181" ca="1">INDIRECT("'" &amp; A1181 &amp; "'!" &amp; ADDRESS(1, COLUMN(INDIRECT("'" &amp; A1181 &amp; "'!" &amp; B1181))))</f>
        <v>2003</v>
      </c>
      <c r="H1181" t="str">
        <f ca="1">VLOOKUP($G1181, survey_codes_dict!A:C, 2, FALSE)</f>
        <v>2003</v>
      </c>
      <c r="I1181" s="102" t="str">
        <f ca="1">VLOOKUP($G1181, survey_codes_dict!A:D, 4, FALSE)</f>
        <v>2001</v>
      </c>
      <c r="J1181" s="102" t="str">
        <f t="shared" ca="1" si="36"/>
        <v>2003__a13</v>
      </c>
      <c r="K1181" s="102" t="str">
        <f t="shared" ca="1" si="37"/>
        <v>2001__a13</v>
      </c>
      <c r="L1181" s="102"/>
      <c r="M1181" s="102"/>
      <c r="N1181" s="102"/>
      <c r="O1181" s="102"/>
      <c r="P1181" s="102"/>
      <c r="Q1181" s="102"/>
      <c r="R1181" s="102"/>
      <c r="S1181" s="101"/>
    </row>
    <row r="1182" spans="1:19" ht="28.8" x14ac:dyDescent="0.3">
      <c r="A1182" t="s">
        <v>5123</v>
      </c>
      <c r="B1182" t="s">
        <v>5159</v>
      </c>
      <c r="C1182" s="90" t="s">
        <v>3996</v>
      </c>
      <c r="D1182" t="s">
        <v>399</v>
      </c>
      <c r="E1182" s="101" t="s">
        <v>5593</v>
      </c>
      <c r="F1182" t="str" cm="1">
        <f t="array" aca="1" ref="F1182" ca="1">INDIRECT("'" &amp; A1182 &amp; "'!" &amp; B1182)</f>
        <v>באיזו מידה אתה מסכים או לא מסכים: לטרנספר של ערביי השטחים</v>
      </c>
      <c r="G1182" t="str" cm="1">
        <f t="array" aca="1" ref="G1182" ca="1">INDIRECT("'" &amp; A1182 &amp; "'!" &amp; ADDRESS(1, COLUMN(INDIRECT("'" &amp; A1182 &amp; "'!" &amp; B1182))))</f>
        <v>שאלה</v>
      </c>
      <c r="H1182" t="e">
        <f ca="1">VLOOKUP($G1182, survey_codes_dict!A:C, 2, FALSE)</f>
        <v>#N/A</v>
      </c>
      <c r="I1182" s="102" t="e">
        <f ca="1">VLOOKUP($G1182, survey_codes_dict!A:D, 4, FALSE)</f>
        <v>#N/A</v>
      </c>
      <c r="J1182" s="102" t="e">
        <f t="shared" ca="1" si="36"/>
        <v>#N/A</v>
      </c>
      <c r="K1182" s="102" t="e">
        <f t="shared" ca="1" si="37"/>
        <v>#N/A</v>
      </c>
      <c r="L1182" s="102"/>
      <c r="M1182" s="102"/>
      <c r="N1182" s="102"/>
      <c r="O1182" s="102"/>
      <c r="P1182" s="102"/>
      <c r="Q1182" s="102"/>
      <c r="R1182" s="102"/>
      <c r="S1182" s="102"/>
    </row>
    <row r="1183" spans="1:19" ht="28.8" x14ac:dyDescent="0.3">
      <c r="A1183" t="s">
        <v>5123</v>
      </c>
      <c r="B1183" t="s">
        <v>5160</v>
      </c>
      <c r="C1183" s="90" t="s">
        <v>3996</v>
      </c>
      <c r="D1183" t="s">
        <v>399</v>
      </c>
      <c r="E1183" s="101" t="s">
        <v>5593</v>
      </c>
      <c r="F1183" t="str" cm="1">
        <f t="array" aca="1" ref="F1183" ca="1">INDIRECT("'" &amp; A1183 &amp; "'!" &amp; B1183)</f>
        <v>באיזו מידה אתה מסכים או לא מסכים: לטרנספר של ערבים אזרחי ישראל</v>
      </c>
      <c r="G1183" t="str" cm="1">
        <f t="array" aca="1" ref="G1183" ca="1">INDIRECT("'" &amp; A1183 &amp; "'!" &amp; ADDRESS(1, COLUMN(INDIRECT("'" &amp; A1183 &amp; "'!" &amp; B1183))))</f>
        <v>שאלה</v>
      </c>
      <c r="H1183" t="e">
        <f ca="1">VLOOKUP($G1183, survey_codes_dict!A:C, 2, FALSE)</f>
        <v>#N/A</v>
      </c>
      <c r="I1183" s="102" t="e">
        <f ca="1">VLOOKUP($G1183, survey_codes_dict!A:D, 4, FALSE)</f>
        <v>#N/A</v>
      </c>
      <c r="J1183" s="102" t="e">
        <f t="shared" ca="1" si="36"/>
        <v>#N/A</v>
      </c>
      <c r="K1183" s="102" t="e">
        <f t="shared" ca="1" si="37"/>
        <v>#N/A</v>
      </c>
      <c r="L1183" s="102"/>
      <c r="M1183" s="102"/>
      <c r="N1183" s="102"/>
      <c r="O1183" s="102"/>
      <c r="P1183" s="102"/>
      <c r="Q1183" s="102"/>
      <c r="R1183" s="102"/>
      <c r="S1183" s="102"/>
    </row>
    <row r="1184" spans="1:19" ht="72" x14ac:dyDescent="0.3">
      <c r="A1184" t="s">
        <v>5123</v>
      </c>
      <c r="B1184" t="s">
        <v>5161</v>
      </c>
      <c r="C1184" s="90" t="s">
        <v>5057</v>
      </c>
      <c r="D1184" t="s">
        <v>5562</v>
      </c>
      <c r="E1184" s="101" t="s">
        <v>6389</v>
      </c>
      <c r="F1184" t="str" cm="1">
        <f t="array" aca="1" ref="F1184" ca="1">INDIRECT("'" &amp; A1184 &amp; "'!" &amp; B1184)</f>
        <v>v61</v>
      </c>
      <c r="G1184" t="str" cm="1">
        <f t="array" aca="1" ref="G1184" ca="1">INDIRECT("'" &amp; A1184 &amp; "'!" &amp; ADDRESS(1, COLUMN(INDIRECT("'" &amp; A1184 &amp; "'!" &amp; B1184))))</f>
        <v>1987*</v>
      </c>
      <c r="H1184" t="e">
        <f ca="1">VLOOKUP($G1184, survey_codes_dict!A:C, 2, FALSE)</f>
        <v>#N/A</v>
      </c>
      <c r="I1184" s="102" t="e">
        <f ca="1">VLOOKUP($G1184, survey_codes_dict!A:D, 4, FALSE)</f>
        <v>#N/A</v>
      </c>
      <c r="J1184" s="102" t="e">
        <f t="shared" ca="1" si="36"/>
        <v>#N/A</v>
      </c>
      <c r="K1184" s="102" t="e">
        <f t="shared" ca="1" si="37"/>
        <v>#N/A</v>
      </c>
      <c r="L1184" s="102"/>
      <c r="M1184" s="102"/>
      <c r="N1184" s="102"/>
      <c r="O1184" s="102"/>
      <c r="P1184" s="102"/>
      <c r="Q1184" s="102"/>
      <c r="R1184" s="102"/>
      <c r="S1184" s="101"/>
    </row>
    <row r="1185" spans="1:19" ht="86.4" x14ac:dyDescent="0.3">
      <c r="A1185" t="s">
        <v>5123</v>
      </c>
      <c r="B1185" t="s">
        <v>3420</v>
      </c>
      <c r="C1185" s="90" t="s">
        <v>5162</v>
      </c>
      <c r="D1185" t="s">
        <v>5562</v>
      </c>
      <c r="E1185" s="101" t="s">
        <v>6444</v>
      </c>
      <c r="F1185" t="str" cm="1">
        <f t="array" aca="1" ref="F1185" ca="1">INDIRECT("'" &amp; A1185 &amp; "'!" &amp; B1185)</f>
        <v>v514</v>
      </c>
      <c r="G1185" cm="1">
        <f t="array" aca="1" ref="G1185" ca="1">INDIRECT("'" &amp; A1185 &amp; "'!" &amp; ADDRESS(1, COLUMN(INDIRECT("'" &amp; A1185 &amp; "'!" &amp; B1185))))</f>
        <v>2020</v>
      </c>
      <c r="H1185" t="e">
        <f ca="1">VLOOKUP($G1185, survey_codes_dict!A:C, 2, FALSE)</f>
        <v>#N/A</v>
      </c>
      <c r="I1185" s="102" t="e">
        <f ca="1">VLOOKUP($G1185, survey_codes_dict!A:D, 4, FALSE)</f>
        <v>#N/A</v>
      </c>
      <c r="J1185" s="102" t="e">
        <f t="shared" ca="1" si="36"/>
        <v>#N/A</v>
      </c>
      <c r="K1185" s="102" t="e">
        <f t="shared" ca="1" si="37"/>
        <v>#N/A</v>
      </c>
      <c r="L1185" s="102"/>
      <c r="M1185" s="102"/>
      <c r="N1185" s="102"/>
      <c r="O1185" s="102"/>
      <c r="P1185" s="102"/>
      <c r="Q1185" s="102"/>
      <c r="R1185" s="102"/>
      <c r="S1185" s="102"/>
    </row>
    <row r="1186" spans="1:19" ht="86.4" x14ac:dyDescent="0.3">
      <c r="A1186" t="s">
        <v>5123</v>
      </c>
      <c r="B1186" t="s">
        <v>3918</v>
      </c>
      <c r="C1186" s="90" t="s">
        <v>5163</v>
      </c>
      <c r="D1186" t="s">
        <v>5562</v>
      </c>
      <c r="E1186" s="101" t="s">
        <v>6445</v>
      </c>
      <c r="F1186" t="str" cm="1">
        <f t="array" aca="1" ref="F1186" ca="1">INDIRECT("'" &amp; A1186 &amp; "'!" &amp; B1186)</f>
        <v>a15</v>
      </c>
      <c r="G1186" cm="1">
        <f t="array" aca="1" ref="G1186" ca="1">INDIRECT("'" &amp; A1186 &amp; "'!" &amp; ADDRESS(1, COLUMN(INDIRECT("'" &amp; A1186 &amp; "'!" &amp; B1186))))</f>
        <v>2006</v>
      </c>
      <c r="H1186" t="str">
        <f ca="1">VLOOKUP($G1186, survey_codes_dict!A:C, 2, FALSE)</f>
        <v>2006</v>
      </c>
      <c r="I1186" s="102" t="str">
        <f ca="1">VLOOKUP($G1186, survey_codes_dict!A:D, 4, FALSE)</f>
        <v>2003</v>
      </c>
      <c r="J1186" s="102" t="str">
        <f t="shared" ca="1" si="36"/>
        <v>2006__a15</v>
      </c>
      <c r="K1186" s="102" t="str">
        <f t="shared" ca="1" si="37"/>
        <v>2003__a15</v>
      </c>
      <c r="L1186" s="102"/>
      <c r="M1186" s="102"/>
      <c r="N1186" s="102"/>
      <c r="O1186" s="102"/>
      <c r="P1186" s="102"/>
      <c r="Q1186" s="102"/>
      <c r="R1186" s="102"/>
      <c r="S1186" s="101"/>
    </row>
    <row r="1187" spans="1:19" ht="72" x14ac:dyDescent="0.3">
      <c r="A1187" t="s">
        <v>5123</v>
      </c>
      <c r="B1187" t="s">
        <v>5164</v>
      </c>
      <c r="C1187" s="90" t="s">
        <v>3925</v>
      </c>
      <c r="D1187" t="s">
        <v>5562</v>
      </c>
      <c r="E1187" s="101" t="s">
        <v>5925</v>
      </c>
      <c r="F1187" t="str" cm="1">
        <f t="array" aca="1" ref="F1187" ca="1">INDIRECT("'" &amp; A1187 &amp; "'!" &amp; B1187)</f>
        <v>a16</v>
      </c>
      <c r="G1187" cm="1">
        <f t="array" aca="1" ref="G1187" ca="1">INDIRECT("'" &amp; A1187 &amp; "'!" &amp; ADDRESS(1, COLUMN(INDIRECT("'" &amp; A1187 &amp; "'!" &amp; B1187))))</f>
        <v>2006</v>
      </c>
      <c r="H1187" t="str">
        <f ca="1">VLOOKUP($G1187, survey_codes_dict!A:C, 2, FALSE)</f>
        <v>2006</v>
      </c>
      <c r="I1187" s="102" t="str">
        <f ca="1">VLOOKUP($G1187, survey_codes_dict!A:D, 4, FALSE)</f>
        <v>2003</v>
      </c>
      <c r="J1187" s="102" t="str">
        <f t="shared" ca="1" si="36"/>
        <v>2006__a16</v>
      </c>
      <c r="K1187" s="102" t="str">
        <f t="shared" ca="1" si="37"/>
        <v>2003__a16</v>
      </c>
      <c r="L1187" s="102"/>
      <c r="M1187" s="102"/>
      <c r="N1187" s="102"/>
      <c r="O1187" s="102"/>
      <c r="P1187" s="102"/>
      <c r="Q1187" s="102"/>
      <c r="R1187" s="102"/>
      <c r="S1187" s="101"/>
    </row>
    <row r="1188" spans="1:19" ht="72" x14ac:dyDescent="0.3">
      <c r="A1188" t="s">
        <v>5123</v>
      </c>
      <c r="B1188" t="s">
        <v>5165</v>
      </c>
      <c r="C1188" s="90" t="s">
        <v>5166</v>
      </c>
      <c r="D1188" t="s">
        <v>5562</v>
      </c>
      <c r="E1188" s="101" t="s">
        <v>6446</v>
      </c>
      <c r="F1188" t="str" cm="1">
        <f t="array" aca="1" ref="F1188" ca="1">INDIRECT("'" &amp; A1188 &amp; "'!" &amp; B1188)</f>
        <v>a17</v>
      </c>
      <c r="G1188" cm="1">
        <f t="array" aca="1" ref="G1188" ca="1">INDIRECT("'" &amp; A1188 &amp; "'!" &amp; ADDRESS(1, COLUMN(INDIRECT("'" &amp; A1188 &amp; "'!" &amp; B1188))))</f>
        <v>2006</v>
      </c>
      <c r="H1188" t="str">
        <f ca="1">VLOOKUP($G1188, survey_codes_dict!A:C, 2, FALSE)</f>
        <v>2006</v>
      </c>
      <c r="I1188" s="102" t="str">
        <f ca="1">VLOOKUP($G1188, survey_codes_dict!A:D, 4, FALSE)</f>
        <v>2003</v>
      </c>
      <c r="J1188" s="102" t="str">
        <f t="shared" ca="1" si="36"/>
        <v>2006__a17</v>
      </c>
      <c r="K1188" s="102" t="str">
        <f t="shared" ca="1" si="37"/>
        <v>2003__a17</v>
      </c>
      <c r="L1188" s="102"/>
      <c r="M1188" s="102"/>
      <c r="N1188" s="102"/>
      <c r="O1188" s="102"/>
      <c r="P1188" s="102"/>
      <c r="Q1188" s="102"/>
      <c r="R1188" s="102"/>
      <c r="S1188" s="101"/>
    </row>
    <row r="1189" spans="1:19" ht="72" x14ac:dyDescent="0.3">
      <c r="A1189" t="s">
        <v>5123</v>
      </c>
      <c r="B1189" t="s">
        <v>5167</v>
      </c>
      <c r="C1189" s="90" t="s">
        <v>5168</v>
      </c>
      <c r="D1189" t="s">
        <v>5562</v>
      </c>
      <c r="E1189" s="101" t="s">
        <v>6447</v>
      </c>
      <c r="F1189" t="str" cm="1">
        <f t="array" aca="1" ref="F1189" ca="1">INDIRECT("'" &amp; A1189 &amp; "'!" &amp; B1189)</f>
        <v>a11</v>
      </c>
      <c r="G1189" cm="1">
        <f t="array" aca="1" ref="G1189" ca="1">INDIRECT("'" &amp; A1189 &amp; "'!" &amp; ADDRESS(1, COLUMN(INDIRECT("'" &amp; A1189 &amp; "'!" &amp; B1189))))</f>
        <v>2001</v>
      </c>
      <c r="H1189" t="str">
        <f ca="1">VLOOKUP($G1189, survey_codes_dict!A:C, 2, FALSE)</f>
        <v>2001</v>
      </c>
      <c r="I1189" s="102" t="str">
        <f ca="1">VLOOKUP($G1189, survey_codes_dict!A:D, 4, FALSE)</f>
        <v>1999_1</v>
      </c>
      <c r="J1189" s="102" t="str">
        <f t="shared" ca="1" si="36"/>
        <v>2001__a11</v>
      </c>
      <c r="K1189" s="102" t="str">
        <f t="shared" ca="1" si="37"/>
        <v>1999_1__a11</v>
      </c>
      <c r="L1189" s="102"/>
      <c r="M1189" s="102"/>
      <c r="N1189" s="102"/>
      <c r="O1189" s="102"/>
      <c r="P1189" s="102"/>
      <c r="Q1189" s="102"/>
      <c r="R1189" s="102"/>
      <c r="S1189" s="101"/>
    </row>
    <row r="1190" spans="1:19" ht="86.4" x14ac:dyDescent="0.3">
      <c r="A1190" t="s">
        <v>5123</v>
      </c>
      <c r="B1190" t="s">
        <v>5169</v>
      </c>
      <c r="C1190" s="90" t="s">
        <v>5170</v>
      </c>
      <c r="D1190" t="s">
        <v>5562</v>
      </c>
      <c r="E1190" s="101" t="s">
        <v>6448</v>
      </c>
      <c r="F1190" t="str" cm="1">
        <f t="array" aca="1" ref="F1190" ca="1">INDIRECT("'" &amp; A1190 &amp; "'!" &amp; B1190)</f>
        <v>a16</v>
      </c>
      <c r="G1190" cm="1">
        <f t="array" aca="1" ref="G1190" ca="1">INDIRECT("'" &amp; A1190 &amp; "'!" &amp; ADDRESS(1, COLUMN(INDIRECT("'" &amp; A1190 &amp; "'!" &amp; B1190))))</f>
        <v>2001</v>
      </c>
      <c r="H1190" t="str">
        <f ca="1">VLOOKUP($G1190, survey_codes_dict!A:C, 2, FALSE)</f>
        <v>2001</v>
      </c>
      <c r="I1190" s="102" t="str">
        <f ca="1">VLOOKUP($G1190, survey_codes_dict!A:D, 4, FALSE)</f>
        <v>1999_1</v>
      </c>
      <c r="J1190" s="102" t="str">
        <f t="shared" ca="1" si="36"/>
        <v>2001__a16</v>
      </c>
      <c r="K1190" s="102" t="str">
        <f t="shared" ca="1" si="37"/>
        <v>1999_1__a16</v>
      </c>
      <c r="L1190" s="102"/>
      <c r="M1190" s="102"/>
      <c r="N1190" s="102"/>
      <c r="O1190" s="102"/>
      <c r="P1190" s="102"/>
      <c r="Q1190" s="102"/>
      <c r="R1190" s="102"/>
      <c r="S1190" s="101"/>
    </row>
    <row r="1191" spans="1:19" ht="72" x14ac:dyDescent="0.3">
      <c r="A1191" t="s">
        <v>5123</v>
      </c>
      <c r="B1191" t="s">
        <v>3469</v>
      </c>
      <c r="C1191" s="90" t="s">
        <v>5171</v>
      </c>
      <c r="D1191" t="s">
        <v>5562</v>
      </c>
      <c r="E1191" s="101" t="s">
        <v>6449</v>
      </c>
      <c r="F1191" t="str" cm="1">
        <f t="array" aca="1" ref="F1191" ca="1">INDIRECT("'" &amp; A1191 &amp; "'!" &amp; B1191)</f>
        <v>v105</v>
      </c>
      <c r="G1191" t="str" cm="1">
        <f t="array" aca="1" ref="G1191" ca="1">INDIRECT("'" &amp; A1191 &amp; "'!" &amp; ADDRESS(1, COLUMN(INDIRECT("'" &amp; A1191 &amp; "'!" &amp; B1191))))</f>
        <v>1981 - 1</v>
      </c>
      <c r="H1191" t="str">
        <f ca="1">VLOOKUP($G1191, survey_codes_dict!A:C, 2, FALSE)</f>
        <v>1981_1</v>
      </c>
      <c r="I1191" s="102" t="str">
        <f ca="1">VLOOKUP($G1191, survey_codes_dict!A:D, 4, FALSE)</f>
        <v>1977_4</v>
      </c>
      <c r="J1191" s="102" t="str">
        <f t="shared" ca="1" si="36"/>
        <v>1981_1__v105</v>
      </c>
      <c r="K1191" s="102" t="str">
        <f t="shared" ca="1" si="37"/>
        <v>1977_4__v105</v>
      </c>
      <c r="L1191" s="102"/>
      <c r="M1191" s="102"/>
      <c r="N1191" s="102"/>
      <c r="O1191" s="102"/>
      <c r="P1191" s="102"/>
      <c r="Q1191" s="102"/>
      <c r="R1191" s="102"/>
      <c r="S1191" s="101"/>
    </row>
    <row r="1192" spans="1:19" ht="43.2" x14ac:dyDescent="0.3">
      <c r="A1192" t="s">
        <v>5123</v>
      </c>
      <c r="B1192" t="s">
        <v>5172</v>
      </c>
      <c r="C1192" s="90" t="s">
        <v>5173</v>
      </c>
      <c r="D1192" t="s">
        <v>5562</v>
      </c>
      <c r="E1192" s="101" t="s">
        <v>6450</v>
      </c>
      <c r="F1192" t="str" cm="1">
        <f t="array" aca="1" ref="F1192" ca="1">INDIRECT("'" &amp; A1192 &amp; "'!" &amp; B1192)</f>
        <v>a18</v>
      </c>
      <c r="G1192" cm="1">
        <f t="array" aca="1" ref="G1192" ca="1">INDIRECT("'" &amp; A1192 &amp; "'!" &amp; ADDRESS(1, COLUMN(INDIRECT("'" &amp; A1192 &amp; "'!" &amp; B1192))))</f>
        <v>2001</v>
      </c>
      <c r="H1192" t="str">
        <f ca="1">VLOOKUP($G1192, survey_codes_dict!A:C, 2, FALSE)</f>
        <v>2001</v>
      </c>
      <c r="I1192" s="102" t="str">
        <f ca="1">VLOOKUP($G1192, survey_codes_dict!A:D, 4, FALSE)</f>
        <v>1999_1</v>
      </c>
      <c r="J1192" s="102" t="str">
        <f t="shared" ca="1" si="36"/>
        <v>2001__a18</v>
      </c>
      <c r="K1192" s="102" t="str">
        <f t="shared" ca="1" si="37"/>
        <v>1999_1__a18</v>
      </c>
      <c r="L1192" s="102"/>
      <c r="M1192" s="102"/>
      <c r="N1192" s="102"/>
      <c r="O1192" s="102"/>
      <c r="P1192" s="102"/>
      <c r="Q1192" s="102"/>
      <c r="R1192" s="102"/>
      <c r="S1192" s="101"/>
    </row>
    <row r="1193" spans="1:19" ht="57.6" x14ac:dyDescent="0.3">
      <c r="A1193" t="s">
        <v>5123</v>
      </c>
      <c r="B1193" t="s">
        <v>5174</v>
      </c>
      <c r="C1193" s="90" t="s">
        <v>5175</v>
      </c>
      <c r="D1193" t="s">
        <v>5562</v>
      </c>
      <c r="E1193" s="101" t="s">
        <v>6451</v>
      </c>
      <c r="F1193" t="str" cm="1">
        <f t="array" aca="1" ref="F1193" ca="1">INDIRECT("'" &amp; A1193 &amp; "'!" &amp; B1193)</f>
        <v>c21</v>
      </c>
      <c r="G1193" cm="1">
        <f t="array" aca="1" ref="G1193" ca="1">INDIRECT("'" &amp; A1193 &amp; "'!" &amp; ADDRESS(1, COLUMN(INDIRECT("'" &amp; A1193 &amp; "'!" &amp; B1193))))</f>
        <v>1996</v>
      </c>
      <c r="H1193" t="str">
        <f ca="1">VLOOKUP($G1193, survey_codes_dict!A:C, 2, FALSE)</f>
        <v>1996_Jews</v>
      </c>
      <c r="I1193" s="102" t="str">
        <f ca="1">VLOOKUP($G1193, survey_codes_dict!A:D, 4, FALSE)</f>
        <v>1992</v>
      </c>
      <c r="J1193" s="102" t="str">
        <f t="shared" ca="1" si="36"/>
        <v>1996_Jews__c21</v>
      </c>
      <c r="K1193" s="102" t="str">
        <f t="shared" ca="1" si="37"/>
        <v>1992__c21</v>
      </c>
      <c r="L1193" s="102"/>
      <c r="M1193" s="102"/>
      <c r="N1193" s="102"/>
      <c r="O1193" s="102"/>
      <c r="P1193" s="102"/>
      <c r="Q1193" s="102"/>
      <c r="R1193" s="102"/>
      <c r="S1193" s="101"/>
    </row>
    <row r="1194" spans="1:19" ht="57.6" x14ac:dyDescent="0.3">
      <c r="A1194" t="s">
        <v>5123</v>
      </c>
      <c r="B1194" t="s">
        <v>5176</v>
      </c>
      <c r="C1194" s="90" t="s">
        <v>5177</v>
      </c>
      <c r="D1194" t="s">
        <v>5562</v>
      </c>
      <c r="E1194" s="101" t="s">
        <v>6452</v>
      </c>
      <c r="F1194" t="str" cm="1">
        <f t="array" aca="1" ref="F1194" ca="1">INDIRECT("'" &amp; A1194 &amp; "'!" &amp; B1194)</f>
        <v>a20</v>
      </c>
      <c r="G1194" cm="1">
        <f t="array" aca="1" ref="G1194" ca="1">INDIRECT("'" &amp; A1194 &amp; "'!" &amp; ADDRESS(1, COLUMN(INDIRECT("'" &amp; A1194 &amp; "'!" &amp; B1194))))</f>
        <v>2001</v>
      </c>
      <c r="H1194" t="str">
        <f ca="1">VLOOKUP($G1194, survey_codes_dict!A:C, 2, FALSE)</f>
        <v>2001</v>
      </c>
      <c r="I1194" s="102" t="str">
        <f ca="1">VLOOKUP($G1194, survey_codes_dict!A:D, 4, FALSE)</f>
        <v>1999_1</v>
      </c>
      <c r="J1194" s="102" t="str">
        <f t="shared" ca="1" si="36"/>
        <v>2001__a20</v>
      </c>
      <c r="K1194" s="102" t="str">
        <f t="shared" ca="1" si="37"/>
        <v>1999_1__a20</v>
      </c>
      <c r="L1194" s="102"/>
      <c r="M1194" s="102"/>
      <c r="N1194" s="102"/>
      <c r="O1194" s="102"/>
      <c r="P1194" s="102"/>
      <c r="Q1194" s="102"/>
      <c r="R1194" s="102"/>
      <c r="S1194" s="101"/>
    </row>
    <row r="1195" spans="1:19" ht="57.6" x14ac:dyDescent="0.3">
      <c r="A1195" t="s">
        <v>5123</v>
      </c>
      <c r="B1195" t="s">
        <v>3842</v>
      </c>
      <c r="C1195" s="90" t="s">
        <v>5178</v>
      </c>
      <c r="D1195" t="s">
        <v>5562</v>
      </c>
      <c r="E1195" s="101" t="s">
        <v>6453</v>
      </c>
      <c r="F1195" t="str" cm="1">
        <f t="array" aca="1" ref="F1195" ca="1">INDIRECT("'" &amp; A1195 &amp; "'!" &amp; B1195)</f>
        <v>c23</v>
      </c>
      <c r="G1195" cm="1">
        <f t="array" aca="1" ref="G1195" ca="1">INDIRECT("'" &amp; A1195 &amp; "'!" &amp; ADDRESS(1, COLUMN(INDIRECT("'" &amp; A1195 &amp; "'!" &amp; B1195))))</f>
        <v>1996</v>
      </c>
      <c r="H1195" t="str">
        <f ca="1">VLOOKUP($G1195, survey_codes_dict!A:C, 2, FALSE)</f>
        <v>1996_Jews</v>
      </c>
      <c r="I1195" s="102" t="str">
        <f ca="1">VLOOKUP($G1195, survey_codes_dict!A:D, 4, FALSE)</f>
        <v>1992</v>
      </c>
      <c r="J1195" s="102" t="str">
        <f t="shared" ca="1" si="36"/>
        <v>1996_Jews__c23</v>
      </c>
      <c r="K1195" s="102" t="str">
        <f t="shared" ca="1" si="37"/>
        <v>1992__c23</v>
      </c>
      <c r="L1195" s="102"/>
      <c r="M1195" s="102"/>
      <c r="N1195" s="102"/>
      <c r="O1195" s="102"/>
      <c r="P1195" s="102"/>
      <c r="Q1195" s="102"/>
      <c r="R1195" s="102"/>
      <c r="S1195" s="101"/>
    </row>
    <row r="1196" spans="1:19" ht="57.6" x14ac:dyDescent="0.3">
      <c r="A1196" t="s">
        <v>5123</v>
      </c>
      <c r="B1196" t="s">
        <v>5179</v>
      </c>
      <c r="C1196" s="90" t="s">
        <v>5180</v>
      </c>
      <c r="D1196" t="s">
        <v>5562</v>
      </c>
      <c r="E1196" s="101" t="s">
        <v>6454</v>
      </c>
      <c r="F1196" t="str" cm="1">
        <f t="array" aca="1" ref="F1196" ca="1">INDIRECT("'" &amp; A1196 &amp; "'!" &amp; B1196)</f>
        <v>c21</v>
      </c>
      <c r="G1196" cm="1">
        <f t="array" aca="1" ref="G1196" ca="1">INDIRECT("'" &amp; A1196 &amp; "'!" &amp; ADDRESS(1, COLUMN(INDIRECT("'" &amp; A1196 &amp; "'!" &amp; B1196))))</f>
        <v>1999</v>
      </c>
      <c r="H1196" t="str">
        <f ca="1">VLOOKUP($G1196, survey_codes_dict!A:C, 2, FALSE)</f>
        <v>1999_1</v>
      </c>
      <c r="I1196" s="102" t="str">
        <f ca="1">VLOOKUP($G1196, survey_codes_dict!A:D, 4, FALSE)</f>
        <v>1996_Jews</v>
      </c>
      <c r="J1196" s="102" t="str">
        <f t="shared" ca="1" si="36"/>
        <v>1999_1__c21</v>
      </c>
      <c r="K1196" s="102" t="str">
        <f t="shared" ca="1" si="37"/>
        <v>1996_Jews__c21</v>
      </c>
      <c r="L1196" s="102"/>
      <c r="M1196" s="102"/>
      <c r="N1196" s="102"/>
      <c r="O1196" s="102"/>
      <c r="P1196" s="102"/>
      <c r="Q1196" s="102"/>
      <c r="R1196" s="102"/>
      <c r="S1196" s="101"/>
    </row>
    <row r="1197" spans="1:19" ht="57.6" x14ac:dyDescent="0.3">
      <c r="A1197" t="s">
        <v>5123</v>
      </c>
      <c r="B1197" t="s">
        <v>4394</v>
      </c>
      <c r="C1197" s="90" t="s">
        <v>5177</v>
      </c>
      <c r="D1197" t="s">
        <v>5562</v>
      </c>
      <c r="E1197" s="101" t="s">
        <v>6452</v>
      </c>
      <c r="F1197" t="str" cm="1">
        <f t="array" aca="1" ref="F1197" ca="1">INDIRECT("'" &amp; A1197 &amp; "'!" &amp; B1197)</f>
        <v>d29</v>
      </c>
      <c r="G1197" cm="1">
        <f t="array" aca="1" ref="G1197" ca="1">INDIRECT("'" &amp; A1197 &amp; "'!" &amp; ADDRESS(1, COLUMN(INDIRECT("'" &amp; A1197 &amp; "'!" &amp; B1197))))</f>
        <v>1999</v>
      </c>
      <c r="H1197" t="str">
        <f ca="1">VLOOKUP($G1197, survey_codes_dict!A:C, 2, FALSE)</f>
        <v>1999_1</v>
      </c>
      <c r="I1197" s="102" t="str">
        <f ca="1">VLOOKUP($G1197, survey_codes_dict!A:D, 4, FALSE)</f>
        <v>1996_Jews</v>
      </c>
      <c r="J1197" s="102" t="str">
        <f t="shared" ca="1" si="36"/>
        <v>1999_1__d29</v>
      </c>
      <c r="K1197" s="102" t="str">
        <f t="shared" ca="1" si="37"/>
        <v>1996_Jews__d29</v>
      </c>
      <c r="L1197" s="102"/>
      <c r="M1197" s="102"/>
      <c r="N1197" s="102"/>
      <c r="O1197" s="102"/>
      <c r="P1197" s="102"/>
      <c r="Q1197" s="102"/>
      <c r="R1197" s="102"/>
      <c r="S1197" s="101"/>
    </row>
    <row r="1198" spans="1:19" ht="72" x14ac:dyDescent="0.3">
      <c r="A1198" t="s">
        <v>5123</v>
      </c>
      <c r="B1198" t="s">
        <v>5181</v>
      </c>
      <c r="C1198" s="90" t="s">
        <v>5182</v>
      </c>
      <c r="D1198" t="s">
        <v>5562</v>
      </c>
      <c r="E1198" s="101" t="s">
        <v>6455</v>
      </c>
      <c r="F1198" t="str" cm="1">
        <f t="array" aca="1" ref="F1198" ca="1">INDIRECT("'" &amp; A1198 &amp; "'!" &amp; B1198)</f>
        <v>a25</v>
      </c>
      <c r="G1198" cm="1">
        <f t="array" aca="1" ref="G1198" ca="1">INDIRECT("'" &amp; A1198 &amp; "'!" &amp; ADDRESS(1, COLUMN(INDIRECT("'" &amp; A1198 &amp; "'!" &amp; B1198))))</f>
        <v>2001</v>
      </c>
      <c r="H1198" t="str">
        <f ca="1">VLOOKUP($G1198, survey_codes_dict!A:C, 2, FALSE)</f>
        <v>2001</v>
      </c>
      <c r="I1198" s="102" t="str">
        <f ca="1">VLOOKUP($G1198, survey_codes_dict!A:D, 4, FALSE)</f>
        <v>1999_1</v>
      </c>
      <c r="J1198" s="102" t="str">
        <f t="shared" ca="1" si="36"/>
        <v>2001__a25</v>
      </c>
      <c r="K1198" s="102" t="str">
        <f t="shared" ca="1" si="37"/>
        <v>1999_1__a25</v>
      </c>
      <c r="L1198" s="102"/>
      <c r="M1198" s="102"/>
      <c r="N1198" s="102"/>
      <c r="O1198" s="102"/>
      <c r="P1198" s="102"/>
      <c r="Q1198" s="102"/>
      <c r="R1198" s="102"/>
      <c r="S1198" s="101"/>
    </row>
    <row r="1199" spans="1:19" ht="43.2" x14ac:dyDescent="0.3">
      <c r="A1199" t="s">
        <v>5123</v>
      </c>
      <c r="B1199" t="s">
        <v>5183</v>
      </c>
      <c r="C1199" s="90" t="s">
        <v>5184</v>
      </c>
      <c r="D1199" t="s">
        <v>5562</v>
      </c>
      <c r="E1199" s="101" t="s">
        <v>6456</v>
      </c>
      <c r="F1199" t="str" cm="1">
        <f t="array" aca="1" ref="F1199" ca="1">INDIRECT("'" &amp; A1199 &amp; "'!" &amp; B1199)</f>
        <v>a30</v>
      </c>
      <c r="G1199" cm="1">
        <f t="array" aca="1" ref="G1199" ca="1">INDIRECT("'" &amp; A1199 &amp; "'!" &amp; ADDRESS(1, COLUMN(INDIRECT("'" &amp; A1199 &amp; "'!" &amp; B1199))))</f>
        <v>2001</v>
      </c>
      <c r="H1199" t="str">
        <f ca="1">VLOOKUP($G1199, survey_codes_dict!A:C, 2, FALSE)</f>
        <v>2001</v>
      </c>
      <c r="I1199" s="102" t="str">
        <f ca="1">VLOOKUP($G1199, survey_codes_dict!A:D, 4, FALSE)</f>
        <v>1999_1</v>
      </c>
      <c r="J1199" s="102" t="str">
        <f t="shared" ca="1" si="36"/>
        <v>2001__a30</v>
      </c>
      <c r="K1199" s="102" t="str">
        <f t="shared" ca="1" si="37"/>
        <v>1999_1__a30</v>
      </c>
      <c r="L1199" s="102"/>
      <c r="M1199" s="102"/>
      <c r="N1199" s="102"/>
      <c r="O1199" s="102"/>
      <c r="P1199" s="102"/>
      <c r="Q1199" s="102"/>
      <c r="R1199" s="102"/>
      <c r="S1199" s="101"/>
    </row>
    <row r="1200" spans="1:19" ht="43.2" x14ac:dyDescent="0.3">
      <c r="A1200" t="s">
        <v>5123</v>
      </c>
      <c r="B1200" t="s">
        <v>5185</v>
      </c>
      <c r="C1200" s="90" t="s">
        <v>5186</v>
      </c>
      <c r="D1200" t="s">
        <v>5562</v>
      </c>
      <c r="E1200" s="101" t="s">
        <v>6457</v>
      </c>
      <c r="F1200" t="str" cm="1">
        <f t="array" aca="1" ref="F1200" ca="1">INDIRECT("'" &amp; A1200 &amp; "'!" &amp; B1200)</f>
        <v>a37</v>
      </c>
      <c r="G1200" cm="1">
        <f t="array" aca="1" ref="G1200" ca="1">INDIRECT("'" &amp; A1200 &amp; "'!" &amp; ADDRESS(1, COLUMN(INDIRECT("'" &amp; A1200 &amp; "'!" &amp; B1200))))</f>
        <v>2001</v>
      </c>
      <c r="H1200" t="str">
        <f ca="1">VLOOKUP($G1200, survey_codes_dict!A:C, 2, FALSE)</f>
        <v>2001</v>
      </c>
      <c r="I1200" s="102" t="str">
        <f ca="1">VLOOKUP($G1200, survey_codes_dict!A:D, 4, FALSE)</f>
        <v>1999_1</v>
      </c>
      <c r="J1200" s="102" t="str">
        <f t="shared" ca="1" si="36"/>
        <v>2001__a37</v>
      </c>
      <c r="K1200" s="102" t="str">
        <f t="shared" ca="1" si="37"/>
        <v>1999_1__a37</v>
      </c>
      <c r="L1200" s="102"/>
      <c r="M1200" s="102"/>
      <c r="N1200" s="102"/>
      <c r="O1200" s="102"/>
      <c r="P1200" s="102"/>
      <c r="Q1200" s="102"/>
      <c r="R1200" s="102"/>
      <c r="S1200" s="101"/>
    </row>
    <row r="1201" spans="1:19" ht="72" x14ac:dyDescent="0.3">
      <c r="A1201" t="s">
        <v>5123</v>
      </c>
      <c r="B1201" t="s">
        <v>5187</v>
      </c>
      <c r="C1201" s="90" t="s">
        <v>5188</v>
      </c>
      <c r="D1201" t="s">
        <v>5562</v>
      </c>
      <c r="E1201" s="101" t="s">
        <v>6458</v>
      </c>
      <c r="F1201" t="str" cm="1">
        <f t="array" aca="1" ref="F1201" ca="1">INDIRECT("'" &amp; A1201 &amp; "'!" &amp; B1201)</f>
        <v>v16</v>
      </c>
      <c r="G1201" cm="1">
        <f t="array" aca="1" ref="G1201" ca="1">INDIRECT("'" &amp; A1201 &amp; "'!" &amp; ADDRESS(1, COLUMN(INDIRECT("'" &amp; A1201 &amp; "'!" &amp; B1201))))</f>
        <v>1999</v>
      </c>
      <c r="H1201" t="str">
        <f ca="1">VLOOKUP($G1201, survey_codes_dict!A:C, 2, FALSE)</f>
        <v>1999_1</v>
      </c>
      <c r="I1201" s="102" t="str">
        <f ca="1">VLOOKUP($G1201, survey_codes_dict!A:D, 4, FALSE)</f>
        <v>1996_Jews</v>
      </c>
      <c r="J1201" s="102" t="str">
        <f t="shared" ca="1" si="36"/>
        <v>1999_1__v16</v>
      </c>
      <c r="K1201" s="102" t="str">
        <f t="shared" ca="1" si="37"/>
        <v>1996_Jews__v16</v>
      </c>
      <c r="L1201" s="102"/>
      <c r="M1201" s="102"/>
      <c r="N1201" s="102"/>
      <c r="O1201" s="102"/>
      <c r="P1201" s="102"/>
      <c r="Q1201" s="102"/>
      <c r="R1201" s="102"/>
      <c r="S1201" s="101"/>
    </row>
    <row r="1202" spans="1:19" ht="43.2" x14ac:dyDescent="0.3">
      <c r="A1202" t="s">
        <v>5123</v>
      </c>
      <c r="B1202" t="s">
        <v>5189</v>
      </c>
      <c r="C1202" s="90" t="s">
        <v>5190</v>
      </c>
      <c r="D1202" t="s">
        <v>5562</v>
      </c>
      <c r="E1202" s="101" t="s">
        <v>6459</v>
      </c>
      <c r="F1202" t="str" cm="1">
        <f t="array" aca="1" ref="F1202" ca="1">INDIRECT("'" &amp; A1202 &amp; "'!" &amp; B1202)</f>
        <v>v26</v>
      </c>
      <c r="G1202" cm="1">
        <f t="array" aca="1" ref="G1202" ca="1">INDIRECT("'" &amp; A1202 &amp; "'!" &amp; ADDRESS(1, COLUMN(INDIRECT("'" &amp; A1202 &amp; "'!" &amp; B1202))))</f>
        <v>1999</v>
      </c>
      <c r="H1202" t="str">
        <f ca="1">VLOOKUP($G1202, survey_codes_dict!A:C, 2, FALSE)</f>
        <v>1999_1</v>
      </c>
      <c r="I1202" s="102" t="str">
        <f ca="1">VLOOKUP($G1202, survey_codes_dict!A:D, 4, FALSE)</f>
        <v>1996_Jews</v>
      </c>
      <c r="J1202" s="102" t="str">
        <f t="shared" ca="1" si="36"/>
        <v>1999_1__v26</v>
      </c>
      <c r="K1202" s="102" t="str">
        <f t="shared" ca="1" si="37"/>
        <v>1996_Jews__v26</v>
      </c>
      <c r="L1202" s="102"/>
      <c r="M1202" s="102"/>
      <c r="N1202" s="102"/>
      <c r="O1202" s="102"/>
      <c r="P1202" s="102"/>
      <c r="Q1202" s="102"/>
      <c r="R1202" s="102"/>
      <c r="S1202" s="101"/>
    </row>
    <row r="1203" spans="1:19" ht="43.2" x14ac:dyDescent="0.3">
      <c r="A1203" t="s">
        <v>5123</v>
      </c>
      <c r="B1203" t="s">
        <v>5191</v>
      </c>
      <c r="C1203" s="90" t="s">
        <v>3644</v>
      </c>
      <c r="D1203" t="s">
        <v>5562</v>
      </c>
      <c r="E1203" s="101" t="s">
        <v>5818</v>
      </c>
      <c r="F1203" t="str" cm="1">
        <f t="array" aca="1" ref="F1203" ca="1">INDIRECT("'" &amp; A1203 &amp; "'!" &amp; B1203)</f>
        <v>i25</v>
      </c>
      <c r="G1203" cm="1">
        <f t="array" aca="1" ref="G1203" ca="1">INDIRECT("'" &amp; A1203 &amp; "'!" &amp; ADDRESS(1, COLUMN(INDIRECT("'" &amp; A1203 &amp; "'!" &amp; B1203))))</f>
        <v>1992</v>
      </c>
      <c r="H1203" t="str">
        <f ca="1">VLOOKUP($G1203, survey_codes_dict!A:C, 2, FALSE)</f>
        <v>1992</v>
      </c>
      <c r="I1203" s="102" t="str">
        <f ca="1">VLOOKUP($G1203, survey_codes_dict!A:D, 4, FALSE)</f>
        <v>1988_N=873</v>
      </c>
      <c r="J1203" s="102" t="str">
        <f t="shared" ca="1" si="36"/>
        <v>1992__i25</v>
      </c>
      <c r="K1203" s="102" t="str">
        <f t="shared" ca="1" si="37"/>
        <v>1988_N=873__i25</v>
      </c>
      <c r="L1203" s="102"/>
      <c r="M1203" s="102"/>
      <c r="N1203" s="102"/>
      <c r="O1203" s="102"/>
      <c r="P1203" s="102"/>
      <c r="Q1203" s="102"/>
      <c r="R1203" s="102"/>
      <c r="S1203" s="101"/>
    </row>
    <row r="1204" spans="1:19" ht="43.2" x14ac:dyDescent="0.3">
      <c r="A1204" t="s">
        <v>5123</v>
      </c>
      <c r="B1204" t="s">
        <v>5192</v>
      </c>
      <c r="C1204" s="90" t="s">
        <v>5193</v>
      </c>
      <c r="D1204" t="s">
        <v>5562</v>
      </c>
      <c r="E1204" s="101" t="s">
        <v>6460</v>
      </c>
      <c r="F1204" t="str" cm="1">
        <f t="array" aca="1" ref="F1204" ca="1">INDIRECT("'" &amp; A1204 &amp; "'!" &amp; B1204)</f>
        <v>d30</v>
      </c>
      <c r="G1204" cm="1">
        <f t="array" aca="1" ref="G1204" ca="1">INDIRECT("'" &amp; A1204 &amp; "'!" &amp; ADDRESS(1, COLUMN(INDIRECT("'" &amp; A1204 &amp; "'!" &amp; B1204))))</f>
        <v>1999</v>
      </c>
      <c r="H1204" t="str">
        <f ca="1">VLOOKUP($G1204, survey_codes_dict!A:C, 2, FALSE)</f>
        <v>1999_1</v>
      </c>
      <c r="I1204" s="102" t="str">
        <f ca="1">VLOOKUP($G1204, survey_codes_dict!A:D, 4, FALSE)</f>
        <v>1996_Jews</v>
      </c>
      <c r="J1204" s="102" t="str">
        <f t="shared" ca="1" si="36"/>
        <v>1999_1__d30</v>
      </c>
      <c r="K1204" s="102" t="str">
        <f t="shared" ca="1" si="37"/>
        <v>1996_Jews__d30</v>
      </c>
      <c r="L1204" s="102"/>
      <c r="M1204" s="102"/>
      <c r="N1204" s="102"/>
      <c r="O1204" s="102"/>
      <c r="P1204" s="102"/>
      <c r="Q1204" s="102"/>
      <c r="R1204" s="102"/>
      <c r="S1204" s="101"/>
    </row>
    <row r="1205" spans="1:19" ht="86.4" x14ac:dyDescent="0.3">
      <c r="A1205" t="s">
        <v>5123</v>
      </c>
      <c r="B1205" t="s">
        <v>5194</v>
      </c>
      <c r="C1205" s="90" t="s">
        <v>5195</v>
      </c>
      <c r="D1205" t="s">
        <v>5562</v>
      </c>
      <c r="E1205" s="101" t="s">
        <v>6461</v>
      </c>
      <c r="F1205" t="str" cm="1">
        <f t="array" aca="1" ref="F1205" ca="1">INDIRECT("'" &amp; A1205 &amp; "'!" &amp; B1205)</f>
        <v>c25</v>
      </c>
      <c r="G1205" cm="1">
        <f t="array" aca="1" ref="G1205" ca="1">INDIRECT("'" &amp; A1205 &amp; "'!" &amp; ADDRESS(1, COLUMN(INDIRECT("'" &amp; A1205 &amp; "'!" &amp; B1205))))</f>
        <v>1996</v>
      </c>
      <c r="H1205" t="str">
        <f ca="1">VLOOKUP($G1205, survey_codes_dict!A:C, 2, FALSE)</f>
        <v>1996_Jews</v>
      </c>
      <c r="I1205" s="102" t="str">
        <f ca="1">VLOOKUP($G1205, survey_codes_dict!A:D, 4, FALSE)</f>
        <v>1992</v>
      </c>
      <c r="J1205" s="102" t="str">
        <f t="shared" ca="1" si="36"/>
        <v>1996_Jews__c25</v>
      </c>
      <c r="K1205" s="102" t="str">
        <f t="shared" ca="1" si="37"/>
        <v>1992__c25</v>
      </c>
      <c r="L1205" s="102"/>
      <c r="M1205" s="102"/>
      <c r="N1205" s="102"/>
      <c r="O1205" s="102"/>
      <c r="P1205" s="102"/>
      <c r="Q1205" s="102"/>
      <c r="R1205" s="102"/>
      <c r="S1205" s="101"/>
    </row>
    <row r="1206" spans="1:19" ht="72" x14ac:dyDescent="0.3">
      <c r="A1206" t="s">
        <v>5123</v>
      </c>
      <c r="B1206" t="s">
        <v>5196</v>
      </c>
      <c r="C1206" s="90" t="s">
        <v>5197</v>
      </c>
      <c r="D1206" t="s">
        <v>5562</v>
      </c>
      <c r="E1206" s="101" t="s">
        <v>6462</v>
      </c>
      <c r="F1206" t="str" cm="1">
        <f t="array" aca="1" ref="F1206" ca="1">INDIRECT("'" &amp; A1206 &amp; "'!" &amp; B1206)</f>
        <v>c26</v>
      </c>
      <c r="G1206" cm="1">
        <f t="array" aca="1" ref="G1206" ca="1">INDIRECT("'" &amp; A1206 &amp; "'!" &amp; ADDRESS(1, COLUMN(INDIRECT("'" &amp; A1206 &amp; "'!" &amp; B1206))))</f>
        <v>1996</v>
      </c>
      <c r="H1206" t="str">
        <f ca="1">VLOOKUP($G1206, survey_codes_dict!A:C, 2, FALSE)</f>
        <v>1996_Jews</v>
      </c>
      <c r="I1206" s="102" t="str">
        <f ca="1">VLOOKUP($G1206, survey_codes_dict!A:D, 4, FALSE)</f>
        <v>1992</v>
      </c>
      <c r="J1206" s="102" t="str">
        <f t="shared" ca="1" si="36"/>
        <v>1996_Jews__c26</v>
      </c>
      <c r="K1206" s="102" t="str">
        <f t="shared" ca="1" si="37"/>
        <v>1992__c26</v>
      </c>
      <c r="L1206" s="102"/>
      <c r="M1206" s="102"/>
      <c r="N1206" s="102"/>
      <c r="O1206" s="102"/>
      <c r="P1206" s="102"/>
      <c r="Q1206" s="102"/>
      <c r="R1206" s="102"/>
      <c r="S1206" s="101"/>
    </row>
    <row r="1207" spans="1:19" ht="72" x14ac:dyDescent="0.3">
      <c r="A1207" t="s">
        <v>5123</v>
      </c>
      <c r="B1207" t="s">
        <v>5198</v>
      </c>
      <c r="C1207" s="90" t="s">
        <v>5199</v>
      </c>
      <c r="D1207" t="s">
        <v>5562</v>
      </c>
      <c r="E1207" s="101" t="s">
        <v>6463</v>
      </c>
      <c r="F1207" t="str" cm="1">
        <f t="array" aca="1" ref="F1207" ca="1">INDIRECT("'" &amp; A1207 &amp; "'!" &amp; B1207)</f>
        <v>c30</v>
      </c>
      <c r="G1207" cm="1">
        <f t="array" aca="1" ref="G1207" ca="1">INDIRECT("'" &amp; A1207 &amp; "'!" &amp; ADDRESS(1, COLUMN(INDIRECT("'" &amp; A1207 &amp; "'!" &amp; B1207))))</f>
        <v>1996</v>
      </c>
      <c r="H1207" t="str">
        <f ca="1">VLOOKUP($G1207, survey_codes_dict!A:C, 2, FALSE)</f>
        <v>1996_Jews</v>
      </c>
      <c r="I1207" s="102" t="str">
        <f ca="1">VLOOKUP($G1207, survey_codes_dict!A:D, 4, FALSE)</f>
        <v>1992</v>
      </c>
      <c r="J1207" s="102" t="str">
        <f t="shared" ca="1" si="36"/>
        <v>1996_Jews__c30</v>
      </c>
      <c r="K1207" s="102" t="str">
        <f t="shared" ca="1" si="37"/>
        <v>1992__c30</v>
      </c>
      <c r="L1207" s="102"/>
      <c r="M1207" s="102"/>
      <c r="N1207" s="102"/>
      <c r="O1207" s="102"/>
      <c r="P1207" s="102"/>
      <c r="Q1207" s="102"/>
      <c r="R1207" s="102"/>
      <c r="S1207" s="101"/>
    </row>
    <row r="1208" spans="1:19" ht="43.2" x14ac:dyDescent="0.3">
      <c r="A1208" t="s">
        <v>5123</v>
      </c>
      <c r="B1208" t="s">
        <v>5200</v>
      </c>
      <c r="C1208" s="90" t="s">
        <v>5201</v>
      </c>
      <c r="D1208" t="s">
        <v>5562</v>
      </c>
      <c r="E1208" s="101" t="s">
        <v>6464</v>
      </c>
      <c r="F1208" t="str" cm="1">
        <f t="array" aca="1" ref="F1208" ca="1">INDIRECT("'" &amp; A1208 &amp; "'!" &amp; B1208)</f>
        <v>a13</v>
      </c>
      <c r="G1208" cm="1">
        <f t="array" aca="1" ref="G1208" ca="1">INDIRECT("'" &amp; A1208 &amp; "'!" &amp; ADDRESS(1, COLUMN(INDIRECT("'" &amp; A1208 &amp; "'!" &amp; B1208))))</f>
        <v>1992</v>
      </c>
      <c r="H1208" t="str">
        <f ca="1">VLOOKUP($G1208, survey_codes_dict!A:C, 2, FALSE)</f>
        <v>1992</v>
      </c>
      <c r="I1208" s="102" t="str">
        <f ca="1">VLOOKUP($G1208, survey_codes_dict!A:D, 4, FALSE)</f>
        <v>1988_N=873</v>
      </c>
      <c r="J1208" s="102" t="str">
        <f t="shared" ca="1" si="36"/>
        <v>1992__a13</v>
      </c>
      <c r="K1208" s="102" t="str">
        <f t="shared" ca="1" si="37"/>
        <v>1988_N=873__a13</v>
      </c>
      <c r="L1208" s="102"/>
      <c r="M1208" s="102"/>
      <c r="N1208" s="102"/>
      <c r="O1208" s="102"/>
      <c r="P1208" s="102"/>
      <c r="Q1208" s="102"/>
      <c r="R1208" s="102"/>
      <c r="S1208" s="101"/>
    </row>
    <row r="1209" spans="1:19" ht="43.2" x14ac:dyDescent="0.3">
      <c r="A1209" t="s">
        <v>5123</v>
      </c>
      <c r="B1209" t="s">
        <v>5202</v>
      </c>
      <c r="C1209" s="90" t="s">
        <v>5203</v>
      </c>
      <c r="D1209" t="s">
        <v>5562</v>
      </c>
      <c r="E1209" s="101" t="s">
        <v>6465</v>
      </c>
      <c r="F1209" t="str" cm="1">
        <f t="array" aca="1" ref="F1209" ca="1">INDIRECT("'" &amp; A1209 &amp; "'!" &amp; B1209)</f>
        <v>a14</v>
      </c>
      <c r="G1209" cm="1">
        <f t="array" aca="1" ref="G1209" ca="1">INDIRECT("'" &amp; A1209 &amp; "'!" &amp; ADDRESS(1, COLUMN(INDIRECT("'" &amp; A1209 &amp; "'!" &amp; B1209))))</f>
        <v>1992</v>
      </c>
      <c r="H1209" t="str">
        <f ca="1">VLOOKUP($G1209, survey_codes_dict!A:C, 2, FALSE)</f>
        <v>1992</v>
      </c>
      <c r="I1209" s="102" t="str">
        <f ca="1">VLOOKUP($G1209, survey_codes_dict!A:D, 4, FALSE)</f>
        <v>1988_N=873</v>
      </c>
      <c r="J1209" s="102" t="str">
        <f t="shared" ca="1" si="36"/>
        <v>1992__a14</v>
      </c>
      <c r="K1209" s="102" t="str">
        <f t="shared" ca="1" si="37"/>
        <v>1988_N=873__a14</v>
      </c>
      <c r="L1209" s="102"/>
      <c r="M1209" s="102"/>
      <c r="N1209" s="102"/>
      <c r="O1209" s="102"/>
      <c r="P1209" s="102"/>
      <c r="Q1209" s="102"/>
      <c r="R1209" s="102"/>
      <c r="S1209" s="101"/>
    </row>
    <row r="1210" spans="1:19" ht="72" x14ac:dyDescent="0.3">
      <c r="A1210" t="s">
        <v>5123</v>
      </c>
      <c r="B1210" t="s">
        <v>5204</v>
      </c>
      <c r="C1210" s="90" t="s">
        <v>5205</v>
      </c>
      <c r="D1210" t="s">
        <v>5562</v>
      </c>
      <c r="E1210" s="101" t="s">
        <v>6466</v>
      </c>
      <c r="F1210" t="str" cm="1">
        <f t="array" aca="1" ref="F1210" ca="1">INDIRECT("'" &amp; A1210 &amp; "'!" &amp; B1210)</f>
        <v>c32</v>
      </c>
      <c r="G1210" cm="1">
        <f t="array" aca="1" ref="G1210" ca="1">INDIRECT("'" &amp; A1210 &amp; "'!" &amp; ADDRESS(1, COLUMN(INDIRECT("'" &amp; A1210 &amp; "'!" &amp; B1210))))</f>
        <v>1996</v>
      </c>
      <c r="H1210" t="str">
        <f ca="1">VLOOKUP($G1210, survey_codes_dict!A:C, 2, FALSE)</f>
        <v>1996_Jews</v>
      </c>
      <c r="I1210" s="102" t="str">
        <f ca="1">VLOOKUP($G1210, survey_codes_dict!A:D, 4, FALSE)</f>
        <v>1992</v>
      </c>
      <c r="J1210" s="102" t="str">
        <f t="shared" ca="1" si="36"/>
        <v>1996_Jews__c32</v>
      </c>
      <c r="K1210" s="102" t="str">
        <f t="shared" ca="1" si="37"/>
        <v>1992__c32</v>
      </c>
      <c r="L1210" s="102"/>
      <c r="M1210" s="102"/>
      <c r="N1210" s="102"/>
      <c r="O1210" s="102"/>
      <c r="P1210" s="102"/>
      <c r="Q1210" s="102"/>
      <c r="R1210" s="102"/>
      <c r="S1210" s="101"/>
    </row>
    <row r="1211" spans="1:19" ht="201.6" x14ac:dyDescent="0.3">
      <c r="A1211" t="s">
        <v>5123</v>
      </c>
      <c r="B1211" t="s">
        <v>5206</v>
      </c>
      <c r="C1211" s="90" t="s">
        <v>5207</v>
      </c>
      <c r="D1211" t="s">
        <v>5562</v>
      </c>
      <c r="E1211" s="101" t="s">
        <v>6467</v>
      </c>
      <c r="F1211" t="str" cm="1">
        <f t="array" aca="1" ref="F1211" ca="1">INDIRECT("'" &amp; A1211 &amp; "'!" &amp; B1211)</f>
        <v>c44</v>
      </c>
      <c r="G1211" cm="1">
        <f t="array" aca="1" ref="G1211" ca="1">INDIRECT("'" &amp; A1211 &amp; "'!" &amp; ADDRESS(1, COLUMN(INDIRECT("'" &amp; A1211 &amp; "'!" &amp; B1211))))</f>
        <v>1996</v>
      </c>
      <c r="H1211" t="str">
        <f ca="1">VLOOKUP($G1211, survey_codes_dict!A:C, 2, FALSE)</f>
        <v>1996_Jews</v>
      </c>
      <c r="I1211" s="102" t="str">
        <f ca="1">VLOOKUP($G1211, survey_codes_dict!A:D, 4, FALSE)</f>
        <v>1992</v>
      </c>
      <c r="J1211" s="102" t="str">
        <f t="shared" ca="1" si="36"/>
        <v>1996_Jews__c44</v>
      </c>
      <c r="K1211" s="102" t="str">
        <f t="shared" ca="1" si="37"/>
        <v>1992__c44</v>
      </c>
      <c r="L1211" s="102"/>
      <c r="M1211" s="102"/>
      <c r="N1211" s="102"/>
      <c r="O1211" s="102"/>
      <c r="P1211" s="102"/>
      <c r="Q1211" s="102"/>
      <c r="R1211" s="102"/>
      <c r="S1211" s="101"/>
    </row>
    <row r="1212" spans="1:19" ht="216" x14ac:dyDescent="0.3">
      <c r="A1212" t="s">
        <v>5123</v>
      </c>
      <c r="B1212" t="s">
        <v>5208</v>
      </c>
      <c r="C1212" s="90" t="s">
        <v>5209</v>
      </c>
      <c r="D1212" t="s">
        <v>5562</v>
      </c>
      <c r="E1212" s="101" t="s">
        <v>6468</v>
      </c>
      <c r="F1212" t="str" cm="1">
        <f t="array" aca="1" ref="F1212" ca="1">INDIRECT("'" &amp; A1212 &amp; "'!" &amp; B1212)</f>
        <v>c45</v>
      </c>
      <c r="G1212" cm="1">
        <f t="array" aca="1" ref="G1212" ca="1">INDIRECT("'" &amp; A1212 &amp; "'!" &amp; ADDRESS(1, COLUMN(INDIRECT("'" &amp; A1212 &amp; "'!" &amp; B1212))))</f>
        <v>1996</v>
      </c>
      <c r="H1212" t="str">
        <f ca="1">VLOOKUP($G1212, survey_codes_dict!A:C, 2, FALSE)</f>
        <v>1996_Jews</v>
      </c>
      <c r="I1212" s="102" t="str">
        <f ca="1">VLOOKUP($G1212, survey_codes_dict!A:D, 4, FALSE)</f>
        <v>1992</v>
      </c>
      <c r="J1212" s="102" t="str">
        <f t="shared" ca="1" si="36"/>
        <v>1996_Jews__c45</v>
      </c>
      <c r="K1212" s="102" t="str">
        <f t="shared" ca="1" si="37"/>
        <v>1992__c45</v>
      </c>
      <c r="L1212" s="102"/>
      <c r="M1212" s="102"/>
      <c r="N1212" s="102"/>
      <c r="O1212" s="102"/>
      <c r="P1212" s="102"/>
      <c r="Q1212" s="102"/>
      <c r="R1212" s="102"/>
      <c r="S1212" s="101"/>
    </row>
    <row r="1213" spans="1:19" ht="28.8" x14ac:dyDescent="0.3">
      <c r="A1213" t="s">
        <v>5123</v>
      </c>
      <c r="B1213" t="s">
        <v>5210</v>
      </c>
      <c r="C1213" s="90" t="s">
        <v>5211</v>
      </c>
      <c r="D1213" t="s">
        <v>5672</v>
      </c>
      <c r="E1213" s="101" t="s">
        <v>5653</v>
      </c>
      <c r="F1213" t="str" cm="1">
        <f t="array" aca="1" ref="F1213" ca="1">INDIRECT("'" &amp; A1213 &amp; "'!" &amp; B1213)</f>
        <v>a471</v>
      </c>
      <c r="G1213" cm="1">
        <f t="array" aca="1" ref="G1213" ca="1">INDIRECT("'" &amp; A1213 &amp; "'!" &amp; ADDRESS(1, COLUMN(INDIRECT("'" &amp; A1213 &amp; "'!" &amp; B1213))))</f>
        <v>1992</v>
      </c>
      <c r="H1213" t="str">
        <f ca="1">VLOOKUP($G1213, survey_codes_dict!A:C, 2, FALSE)</f>
        <v>1992</v>
      </c>
      <c r="I1213" s="102" t="str">
        <f ca="1">VLOOKUP($G1213, survey_codes_dict!A:D, 4, FALSE)</f>
        <v>1988_N=873</v>
      </c>
      <c r="J1213" s="102" t="str">
        <f t="shared" ca="1" si="36"/>
        <v>1992__a471</v>
      </c>
      <c r="K1213" s="102" t="str">
        <f t="shared" ca="1" si="37"/>
        <v>1988_N=873__a471</v>
      </c>
      <c r="L1213" s="102"/>
      <c r="M1213" s="102"/>
      <c r="N1213" s="102"/>
      <c r="O1213" s="102"/>
      <c r="P1213" s="102"/>
      <c r="Q1213" s="102"/>
      <c r="R1213" s="102"/>
      <c r="S1213" s="101"/>
    </row>
    <row r="1214" spans="1:19" ht="72" x14ac:dyDescent="0.3">
      <c r="A1214" t="s">
        <v>5123</v>
      </c>
      <c r="B1214" t="s">
        <v>5212</v>
      </c>
      <c r="C1214" s="90" t="s">
        <v>5213</v>
      </c>
      <c r="D1214" t="s">
        <v>5562</v>
      </c>
      <c r="E1214" s="101" t="s">
        <v>6469</v>
      </c>
      <c r="F1214" t="str" cm="1">
        <f t="array" aca="1" ref="F1214" ca="1">INDIRECT("'" &amp; A1214 &amp; "'!" &amp; B1214)</f>
        <v>a9</v>
      </c>
      <c r="G1214" cm="1">
        <f t="array" aca="1" ref="G1214" ca="1">INDIRECT("'" &amp; A1214 &amp; "'!" &amp; ADDRESS(1, COLUMN(INDIRECT("'" &amp; A1214 &amp; "'!" &amp; B1214))))</f>
        <v>1992</v>
      </c>
      <c r="H1214" t="str">
        <f ca="1">VLOOKUP($G1214, survey_codes_dict!A:C, 2, FALSE)</f>
        <v>1992</v>
      </c>
      <c r="I1214" s="102" t="str">
        <f ca="1">VLOOKUP($G1214, survey_codes_dict!A:D, 4, FALSE)</f>
        <v>1988_N=873</v>
      </c>
      <c r="J1214" s="102" t="str">
        <f t="shared" ca="1" si="36"/>
        <v>1992__a9</v>
      </c>
      <c r="K1214" s="102" t="str">
        <f t="shared" ca="1" si="37"/>
        <v>1988_N=873__a9</v>
      </c>
      <c r="L1214" s="102"/>
      <c r="M1214" s="102"/>
      <c r="N1214" s="102"/>
      <c r="O1214" s="102"/>
      <c r="P1214" s="102"/>
      <c r="Q1214" s="102"/>
      <c r="R1214" s="102"/>
      <c r="S1214" s="101"/>
    </row>
    <row r="1215" spans="1:19" ht="43.2" x14ac:dyDescent="0.3">
      <c r="A1215" t="s">
        <v>5123</v>
      </c>
      <c r="B1215" t="s">
        <v>5214</v>
      </c>
      <c r="C1215" s="90" t="s">
        <v>5215</v>
      </c>
      <c r="D1215" t="s">
        <v>5562</v>
      </c>
      <c r="E1215" s="101" t="s">
        <v>6470</v>
      </c>
      <c r="F1215" t="str" cm="1">
        <f t="array" aca="1" ref="F1215" ca="1">INDIRECT("'" &amp; A1215 &amp; "'!" &amp; B1215)</f>
        <v>a10</v>
      </c>
      <c r="G1215" cm="1">
        <f t="array" aca="1" ref="G1215" ca="1">INDIRECT("'" &amp; A1215 &amp; "'!" &amp; ADDRESS(1, COLUMN(INDIRECT("'" &amp; A1215 &amp; "'!" &amp; B1215))))</f>
        <v>1992</v>
      </c>
      <c r="H1215" t="str">
        <f ca="1">VLOOKUP($G1215, survey_codes_dict!A:C, 2, FALSE)</f>
        <v>1992</v>
      </c>
      <c r="I1215" s="102" t="str">
        <f ca="1">VLOOKUP($G1215, survey_codes_dict!A:D, 4, FALSE)</f>
        <v>1988_N=873</v>
      </c>
      <c r="J1215" s="102" t="str">
        <f t="shared" ca="1" si="36"/>
        <v>1992__a10</v>
      </c>
      <c r="K1215" s="102" t="str">
        <f t="shared" ca="1" si="37"/>
        <v>1988_N=873__a10</v>
      </c>
      <c r="L1215" s="102"/>
      <c r="M1215" s="102"/>
      <c r="N1215" s="102"/>
      <c r="O1215" s="102"/>
      <c r="P1215" s="102"/>
      <c r="Q1215" s="102"/>
      <c r="R1215" s="102"/>
      <c r="S1215" s="101"/>
    </row>
    <row r="1216" spans="1:19" ht="43.2" x14ac:dyDescent="0.3">
      <c r="A1216" t="s">
        <v>5123</v>
      </c>
      <c r="B1216" t="s">
        <v>5216</v>
      </c>
      <c r="C1216" s="90" t="s">
        <v>5217</v>
      </c>
      <c r="D1216" t="s">
        <v>5562</v>
      </c>
      <c r="E1216" s="101" t="s">
        <v>6471</v>
      </c>
      <c r="F1216" t="str" cm="1">
        <f t="array" aca="1" ref="F1216" ca="1">INDIRECT("'" &amp; A1216 &amp; "'!" &amp; B1216)</f>
        <v>ccc11</v>
      </c>
      <c r="G1216" cm="1">
        <f t="array" aca="1" ref="G1216" ca="1">INDIRECT("'" &amp; A1216 &amp; "'!" &amp; ADDRESS(1, COLUMN(INDIRECT("'" &amp; A1216 &amp; "'!" &amp; B1216))))</f>
        <v>1996</v>
      </c>
      <c r="H1216" t="str">
        <f ca="1">VLOOKUP($G1216, survey_codes_dict!A:C, 2, FALSE)</f>
        <v>1996_Jews</v>
      </c>
      <c r="I1216" s="102" t="str">
        <f ca="1">VLOOKUP($G1216, survey_codes_dict!A:D, 4, FALSE)</f>
        <v>1992</v>
      </c>
      <c r="J1216" s="102" t="str">
        <f t="shared" ca="1" si="36"/>
        <v>1996_Jews__ccc11</v>
      </c>
      <c r="K1216" s="102" t="str">
        <f t="shared" ca="1" si="37"/>
        <v>1992__ccc11</v>
      </c>
      <c r="L1216" s="102"/>
      <c r="M1216" s="102"/>
      <c r="N1216" s="102"/>
      <c r="O1216" s="102"/>
      <c r="P1216" s="102"/>
      <c r="Q1216" s="102"/>
      <c r="R1216" s="102"/>
      <c r="S1216" s="101"/>
    </row>
    <row r="1217" spans="1:19" ht="57.6" x14ac:dyDescent="0.3">
      <c r="A1217" t="s">
        <v>5123</v>
      </c>
      <c r="B1217" t="s">
        <v>5218</v>
      </c>
      <c r="C1217" s="90" t="s">
        <v>5219</v>
      </c>
      <c r="D1217" t="s">
        <v>5562</v>
      </c>
      <c r="E1217" s="101" t="s">
        <v>6472</v>
      </c>
      <c r="F1217" t="str" cm="1">
        <f t="array" aca="1" ref="F1217" ca="1">INDIRECT("'" &amp; A1217 &amp; "'!" &amp; B1217)</f>
        <v>ccc14</v>
      </c>
      <c r="G1217" cm="1">
        <f t="array" aca="1" ref="G1217" ca="1">INDIRECT("'" &amp; A1217 &amp; "'!" &amp; ADDRESS(1, COLUMN(INDIRECT("'" &amp; A1217 &amp; "'!" &amp; B1217))))</f>
        <v>1996</v>
      </c>
      <c r="H1217" t="str">
        <f ca="1">VLOOKUP($G1217, survey_codes_dict!A:C, 2, FALSE)</f>
        <v>1996_Jews</v>
      </c>
      <c r="I1217" s="102" t="str">
        <f ca="1">VLOOKUP($G1217, survey_codes_dict!A:D, 4, FALSE)</f>
        <v>1992</v>
      </c>
      <c r="J1217" s="102" t="str">
        <f t="shared" ca="1" si="36"/>
        <v>1996_Jews__ccc14</v>
      </c>
      <c r="K1217" s="102" t="str">
        <f t="shared" ca="1" si="37"/>
        <v>1992__ccc14</v>
      </c>
      <c r="L1217" s="102"/>
      <c r="M1217" s="102"/>
      <c r="N1217" s="102"/>
      <c r="O1217" s="102"/>
      <c r="P1217" s="102"/>
      <c r="Q1217" s="102"/>
      <c r="R1217" s="102"/>
      <c r="S1217" s="101"/>
    </row>
    <row r="1218" spans="1:19" ht="72" x14ac:dyDescent="0.3">
      <c r="A1218" t="s">
        <v>5123</v>
      </c>
      <c r="B1218" t="s">
        <v>5220</v>
      </c>
      <c r="C1218" s="90" t="s">
        <v>5221</v>
      </c>
      <c r="D1218" t="s">
        <v>5562</v>
      </c>
      <c r="E1218" s="101" t="s">
        <v>6473</v>
      </c>
      <c r="F1218" t="str" cm="1">
        <f t="array" aca="1" ref="F1218" ca="1">INDIRECT("'" &amp; A1218 &amp; "'!" &amp; B1218)</f>
        <v>a20</v>
      </c>
      <c r="G1218" cm="1">
        <f t="array" aca="1" ref="G1218" ca="1">INDIRECT("'" &amp; A1218 &amp; "'!" &amp; ADDRESS(1, COLUMN(INDIRECT("'" &amp; A1218 &amp; "'!" &amp; B1218))))</f>
        <v>1992</v>
      </c>
      <c r="H1218" t="str">
        <f ca="1">VLOOKUP($G1218, survey_codes_dict!A:C, 2, FALSE)</f>
        <v>1992</v>
      </c>
      <c r="I1218" s="102" t="str">
        <f ca="1">VLOOKUP($G1218, survey_codes_dict!A:D, 4, FALSE)</f>
        <v>1988_N=873</v>
      </c>
      <c r="J1218" s="102" t="str">
        <f t="shared" ref="J1218:J1281" ca="1" si="38">_xlfn.CONCAT($H1218, "__", F1218)</f>
        <v>1992__a20</v>
      </c>
      <c r="K1218" s="102" t="str">
        <f t="shared" ref="K1218:K1281" ca="1" si="39">_xlfn.CONCAT($I1218, "__", F1218)</f>
        <v>1988_N=873__a20</v>
      </c>
      <c r="L1218" s="102"/>
      <c r="M1218" s="102"/>
      <c r="N1218" s="102"/>
      <c r="O1218" s="102"/>
      <c r="P1218" s="102"/>
      <c r="Q1218" s="102"/>
      <c r="R1218" s="102"/>
      <c r="S1218" s="101"/>
    </row>
    <row r="1219" spans="1:19" ht="72" x14ac:dyDescent="0.3">
      <c r="A1219" t="s">
        <v>5123</v>
      </c>
      <c r="B1219" t="s">
        <v>5222</v>
      </c>
      <c r="C1219" s="90" t="s">
        <v>5223</v>
      </c>
      <c r="D1219" t="s">
        <v>5562</v>
      </c>
      <c r="E1219" s="101" t="s">
        <v>6474</v>
      </c>
      <c r="F1219" t="str" cm="1">
        <f t="array" aca="1" ref="F1219" ca="1">INDIRECT("'" &amp; A1219 &amp; "'!" &amp; B1219)</f>
        <v>a21</v>
      </c>
      <c r="G1219" cm="1">
        <f t="array" aca="1" ref="G1219" ca="1">INDIRECT("'" &amp; A1219 &amp; "'!" &amp; ADDRESS(1, COLUMN(INDIRECT("'" &amp; A1219 &amp; "'!" &amp; B1219))))</f>
        <v>1992</v>
      </c>
      <c r="H1219" t="str">
        <f ca="1">VLOOKUP($G1219, survey_codes_dict!A:C, 2, FALSE)</f>
        <v>1992</v>
      </c>
      <c r="I1219" s="102" t="str">
        <f ca="1">VLOOKUP($G1219, survey_codes_dict!A:D, 4, FALSE)</f>
        <v>1988_N=873</v>
      </c>
      <c r="J1219" s="102" t="str">
        <f t="shared" ca="1" si="38"/>
        <v>1992__a21</v>
      </c>
      <c r="K1219" s="102" t="str">
        <f t="shared" ca="1" si="39"/>
        <v>1988_N=873__a21</v>
      </c>
      <c r="L1219" s="102"/>
      <c r="M1219" s="102"/>
      <c r="N1219" s="102"/>
      <c r="O1219" s="102"/>
      <c r="P1219" s="102"/>
      <c r="Q1219" s="102"/>
      <c r="R1219" s="102"/>
      <c r="S1219" s="101"/>
    </row>
    <row r="1220" spans="1:19" ht="72" x14ac:dyDescent="0.3">
      <c r="A1220" t="s">
        <v>5123</v>
      </c>
      <c r="B1220" t="s">
        <v>5224</v>
      </c>
      <c r="C1220" s="90" t="s">
        <v>5225</v>
      </c>
      <c r="D1220" t="s">
        <v>5562</v>
      </c>
      <c r="E1220" s="101" t="s">
        <v>6475</v>
      </c>
      <c r="F1220" t="str" cm="1">
        <f t="array" aca="1" ref="F1220" ca="1">INDIRECT("'" &amp; A1220 &amp; "'!" &amp; B1220)</f>
        <v>a22</v>
      </c>
      <c r="G1220" cm="1">
        <f t="array" aca="1" ref="G1220" ca="1">INDIRECT("'" &amp; A1220 &amp; "'!" &amp; ADDRESS(1, COLUMN(INDIRECT("'" &amp; A1220 &amp; "'!" &amp; B1220))))</f>
        <v>1992</v>
      </c>
      <c r="H1220" t="str">
        <f ca="1">VLOOKUP($G1220, survey_codes_dict!A:C, 2, FALSE)</f>
        <v>1992</v>
      </c>
      <c r="I1220" s="102" t="str">
        <f ca="1">VLOOKUP($G1220, survey_codes_dict!A:D, 4, FALSE)</f>
        <v>1988_N=873</v>
      </c>
      <c r="J1220" s="102" t="str">
        <f t="shared" ca="1" si="38"/>
        <v>1992__a22</v>
      </c>
      <c r="K1220" s="102" t="str">
        <f t="shared" ca="1" si="39"/>
        <v>1988_N=873__a22</v>
      </c>
      <c r="L1220" s="102"/>
      <c r="M1220" s="102"/>
      <c r="N1220" s="102"/>
      <c r="O1220" s="102"/>
      <c r="P1220" s="102"/>
      <c r="Q1220" s="102"/>
      <c r="R1220" s="102"/>
      <c r="S1220" s="101"/>
    </row>
    <row r="1221" spans="1:19" ht="72" x14ac:dyDescent="0.3">
      <c r="A1221" t="s">
        <v>5123</v>
      </c>
      <c r="B1221" t="s">
        <v>3547</v>
      </c>
      <c r="C1221" s="90" t="s">
        <v>5226</v>
      </c>
      <c r="D1221" t="s">
        <v>5562</v>
      </c>
      <c r="E1221" s="101" t="s">
        <v>6476</v>
      </c>
      <c r="F1221" t="str" cm="1">
        <f t="array" aca="1" ref="F1221" ca="1">INDIRECT("'" &amp; A1221 &amp; "'!" &amp; B1221)</f>
        <v>a31</v>
      </c>
      <c r="G1221" cm="1">
        <f t="array" aca="1" ref="G1221" ca="1">INDIRECT("'" &amp; A1221 &amp; "'!" &amp; ADDRESS(1, COLUMN(INDIRECT("'" &amp; A1221 &amp; "'!" &amp; B1221))))</f>
        <v>1992</v>
      </c>
      <c r="H1221" t="str">
        <f ca="1">VLOOKUP($G1221, survey_codes_dict!A:C, 2, FALSE)</f>
        <v>1992</v>
      </c>
      <c r="I1221" s="102" t="str">
        <f ca="1">VLOOKUP($G1221, survey_codes_dict!A:D, 4, FALSE)</f>
        <v>1988_N=873</v>
      </c>
      <c r="J1221" s="102" t="str">
        <f t="shared" ca="1" si="38"/>
        <v>1992__a31</v>
      </c>
      <c r="K1221" s="102" t="str">
        <f t="shared" ca="1" si="39"/>
        <v>1988_N=873__a31</v>
      </c>
      <c r="L1221" s="102"/>
      <c r="M1221" s="102"/>
      <c r="N1221" s="102"/>
      <c r="O1221" s="102"/>
      <c r="P1221" s="102"/>
      <c r="Q1221" s="102"/>
      <c r="R1221" s="102"/>
      <c r="S1221" s="101"/>
    </row>
    <row r="1222" spans="1:19" ht="72" x14ac:dyDescent="0.3">
      <c r="A1222" t="s">
        <v>5123</v>
      </c>
      <c r="B1222" t="s">
        <v>5227</v>
      </c>
      <c r="C1222" s="90" t="s">
        <v>5046</v>
      </c>
      <c r="D1222" t="s">
        <v>5562</v>
      </c>
      <c r="E1222" s="101" t="s">
        <v>6384</v>
      </c>
      <c r="F1222" t="str" cm="1">
        <f t="array" aca="1" ref="F1222" ca="1">INDIRECT("'" &amp; A1222 &amp; "'!" &amp; B1222)</f>
        <v>a44</v>
      </c>
      <c r="G1222" cm="1">
        <f t="array" aca="1" ref="G1222" ca="1">INDIRECT("'" &amp; A1222 &amp; "'!" &amp; ADDRESS(1, COLUMN(INDIRECT("'" &amp; A1222 &amp; "'!" &amp; B1222))))</f>
        <v>1992</v>
      </c>
      <c r="H1222" t="str">
        <f ca="1">VLOOKUP($G1222, survey_codes_dict!A:C, 2, FALSE)</f>
        <v>1992</v>
      </c>
      <c r="I1222" s="102" t="str">
        <f ca="1">VLOOKUP($G1222, survey_codes_dict!A:D, 4, FALSE)</f>
        <v>1988_N=873</v>
      </c>
      <c r="J1222" s="102" t="str">
        <f t="shared" ca="1" si="38"/>
        <v>1992__a44</v>
      </c>
      <c r="K1222" s="102" t="str">
        <f t="shared" ca="1" si="39"/>
        <v>1988_N=873__a44</v>
      </c>
      <c r="L1222" s="102"/>
      <c r="M1222" s="102"/>
      <c r="N1222" s="102"/>
      <c r="O1222" s="102"/>
      <c r="P1222" s="102"/>
      <c r="Q1222" s="102"/>
      <c r="R1222" s="102"/>
      <c r="S1222" s="101"/>
    </row>
    <row r="1223" spans="1:19" ht="72" x14ac:dyDescent="0.3">
      <c r="A1223" t="s">
        <v>5123</v>
      </c>
      <c r="B1223" t="s">
        <v>5228</v>
      </c>
      <c r="C1223" s="90" t="s">
        <v>5229</v>
      </c>
      <c r="D1223" t="s">
        <v>5562</v>
      </c>
      <c r="E1223" s="101" t="s">
        <v>6477</v>
      </c>
      <c r="F1223" t="str" cm="1">
        <f t="array" aca="1" ref="F1223" ca="1">INDIRECT("'" &amp; A1223 &amp; "'!" &amp; B1223)</f>
        <v>a45</v>
      </c>
      <c r="G1223" cm="1">
        <f t="array" aca="1" ref="G1223" ca="1">INDIRECT("'" &amp; A1223 &amp; "'!" &amp; ADDRESS(1, COLUMN(INDIRECT("'" &amp; A1223 &amp; "'!" &amp; B1223))))</f>
        <v>1992</v>
      </c>
      <c r="H1223" t="str">
        <f ca="1">VLOOKUP($G1223, survey_codes_dict!A:C, 2, FALSE)</f>
        <v>1992</v>
      </c>
      <c r="I1223" s="102" t="str">
        <f ca="1">VLOOKUP($G1223, survey_codes_dict!A:D, 4, FALSE)</f>
        <v>1988_N=873</v>
      </c>
      <c r="J1223" s="102" t="str">
        <f t="shared" ca="1" si="38"/>
        <v>1992__a45</v>
      </c>
      <c r="K1223" s="102" t="str">
        <f t="shared" ca="1" si="39"/>
        <v>1988_N=873__a45</v>
      </c>
      <c r="L1223" s="102"/>
      <c r="M1223" s="102"/>
      <c r="N1223" s="102"/>
      <c r="O1223" s="102"/>
      <c r="P1223" s="102"/>
      <c r="Q1223" s="102"/>
      <c r="R1223" s="102"/>
      <c r="S1223" s="101"/>
    </row>
    <row r="1224" spans="1:19" ht="43.2" x14ac:dyDescent="0.3">
      <c r="A1224" t="s">
        <v>5123</v>
      </c>
      <c r="B1224" t="s">
        <v>5230</v>
      </c>
      <c r="C1224" s="90" t="s">
        <v>5231</v>
      </c>
      <c r="D1224" t="s">
        <v>5562</v>
      </c>
      <c r="E1224" s="101" t="s">
        <v>6478</v>
      </c>
      <c r="F1224" t="str" cm="1">
        <f t="array" aca="1" ref="F1224" ca="1">INDIRECT("'" &amp; A1224 &amp; "'!" &amp; B1224)</f>
        <v>a120</v>
      </c>
      <c r="G1224" cm="1">
        <f t="array" aca="1" ref="G1224" ca="1">INDIRECT("'" &amp; A1224 &amp; "'!" &amp; ADDRESS(1, COLUMN(INDIRECT("'" &amp; A1224 &amp; "'!" &amp; B1224))))</f>
        <v>1992</v>
      </c>
      <c r="H1224" t="str">
        <f ca="1">VLOOKUP($G1224, survey_codes_dict!A:C, 2, FALSE)</f>
        <v>1992</v>
      </c>
      <c r="I1224" s="102" t="str">
        <f ca="1">VLOOKUP($G1224, survey_codes_dict!A:D, 4, FALSE)</f>
        <v>1988_N=873</v>
      </c>
      <c r="J1224" s="102" t="str">
        <f t="shared" ca="1" si="38"/>
        <v>1992__a120</v>
      </c>
      <c r="K1224" s="102" t="str">
        <f t="shared" ca="1" si="39"/>
        <v>1988_N=873__a120</v>
      </c>
      <c r="L1224" s="102"/>
      <c r="M1224" s="102"/>
      <c r="N1224" s="102"/>
      <c r="O1224" s="102"/>
      <c r="P1224" s="102"/>
      <c r="Q1224" s="102"/>
      <c r="R1224" s="102"/>
      <c r="S1224" s="101"/>
    </row>
    <row r="1225" spans="1:19" ht="43.2" x14ac:dyDescent="0.3">
      <c r="A1225" t="s">
        <v>5123</v>
      </c>
      <c r="B1225" t="s">
        <v>5232</v>
      </c>
      <c r="C1225" s="90" t="s">
        <v>3644</v>
      </c>
      <c r="D1225" t="s">
        <v>5562</v>
      </c>
      <c r="E1225" s="101" t="s">
        <v>5818</v>
      </c>
      <c r="F1225" t="str" cm="1">
        <f t="array" aca="1" ref="F1225" ca="1">INDIRECT("'" &amp; A1225 &amp; "'!" &amp; B1225)</f>
        <v>i28</v>
      </c>
      <c r="G1225" cm="1">
        <f t="array" aca="1" ref="G1225" ca="1">INDIRECT("'" &amp; A1225 &amp; "'!" &amp; ADDRESS(1, COLUMN(INDIRECT("'" &amp; A1225 &amp; "'!" &amp; B1225))))</f>
        <v>1992</v>
      </c>
      <c r="H1225" t="str">
        <f ca="1">VLOOKUP($G1225, survey_codes_dict!A:C, 2, FALSE)</f>
        <v>1992</v>
      </c>
      <c r="I1225" s="102" t="str">
        <f ca="1">VLOOKUP($G1225, survey_codes_dict!A:D, 4, FALSE)</f>
        <v>1988_N=873</v>
      </c>
      <c r="J1225" s="102" t="str">
        <f t="shared" ca="1" si="38"/>
        <v>1992__i28</v>
      </c>
      <c r="K1225" s="102" t="str">
        <f t="shared" ca="1" si="39"/>
        <v>1988_N=873__i28</v>
      </c>
      <c r="L1225" s="102"/>
      <c r="M1225" s="102"/>
      <c r="N1225" s="102"/>
      <c r="O1225" s="102"/>
      <c r="P1225" s="102"/>
      <c r="Q1225" s="102"/>
      <c r="R1225" s="102"/>
      <c r="S1225" s="101"/>
    </row>
    <row r="1226" spans="1:19" ht="57.6" x14ac:dyDescent="0.3">
      <c r="A1226" t="s">
        <v>5123</v>
      </c>
      <c r="B1226" t="s">
        <v>5054</v>
      </c>
      <c r="C1226" s="90" t="s">
        <v>5233</v>
      </c>
      <c r="D1226" t="s">
        <v>5562</v>
      </c>
      <c r="E1226" s="101" t="s">
        <v>6479</v>
      </c>
      <c r="F1226" t="str" cm="1">
        <f t="array" aca="1" ref="F1226" ca="1">INDIRECT("'" &amp; A1226 &amp; "'!" &amp; B1226)</f>
        <v>v8</v>
      </c>
      <c r="G1226" t="str" cm="1">
        <f t="array" aca="1" ref="G1226" ca="1">INDIRECT("'" &amp; A1226 &amp; "'!" &amp; ADDRESS(1, COLUMN(INDIRECT("'" &amp; A1226 &amp; "'!" &amp; B1226))))</f>
        <v>1987*</v>
      </c>
      <c r="H1226" t="e">
        <f ca="1">VLOOKUP($G1226, survey_codes_dict!A:C, 2, FALSE)</f>
        <v>#N/A</v>
      </c>
      <c r="I1226" s="102" t="e">
        <f ca="1">VLOOKUP($G1226, survey_codes_dict!A:D, 4, FALSE)</f>
        <v>#N/A</v>
      </c>
      <c r="J1226" s="102" t="e">
        <f t="shared" ca="1" si="38"/>
        <v>#N/A</v>
      </c>
      <c r="K1226" s="102" t="e">
        <f t="shared" ca="1" si="39"/>
        <v>#N/A</v>
      </c>
      <c r="L1226" s="102"/>
      <c r="M1226" s="102"/>
      <c r="N1226" s="102"/>
      <c r="O1226" s="102"/>
      <c r="P1226" s="102"/>
      <c r="Q1226" s="102"/>
      <c r="R1226" s="102"/>
      <c r="S1226" s="101"/>
    </row>
    <row r="1227" spans="1:19" ht="72" x14ac:dyDescent="0.3">
      <c r="A1227" t="s">
        <v>5123</v>
      </c>
      <c r="B1227" t="s">
        <v>5058</v>
      </c>
      <c r="C1227" s="90" t="s">
        <v>5234</v>
      </c>
      <c r="D1227" t="s">
        <v>5562</v>
      </c>
      <c r="E1227" s="101" t="s">
        <v>6480</v>
      </c>
      <c r="F1227" t="str" cm="1">
        <f t="array" aca="1" ref="F1227" ca="1">INDIRECT("'" &amp; A1227 &amp; "'!" &amp; B1227)</f>
        <v>v18</v>
      </c>
      <c r="G1227" t="str" cm="1">
        <f t="array" aca="1" ref="G1227" ca="1">INDIRECT("'" &amp; A1227 &amp; "'!" &amp; ADDRESS(1, COLUMN(INDIRECT("'" &amp; A1227 &amp; "'!" &amp; B1227))))</f>
        <v>1987*</v>
      </c>
      <c r="H1227" t="e">
        <f ca="1">VLOOKUP($G1227, survey_codes_dict!A:C, 2, FALSE)</f>
        <v>#N/A</v>
      </c>
      <c r="I1227" s="102" t="e">
        <f ca="1">VLOOKUP($G1227, survey_codes_dict!A:D, 4, FALSE)</f>
        <v>#N/A</v>
      </c>
      <c r="J1227" s="102" t="e">
        <f t="shared" ca="1" si="38"/>
        <v>#N/A</v>
      </c>
      <c r="K1227" s="102" t="e">
        <f t="shared" ca="1" si="39"/>
        <v>#N/A</v>
      </c>
      <c r="L1227" s="102"/>
      <c r="M1227" s="102"/>
      <c r="N1227" s="102"/>
      <c r="O1227" s="102"/>
      <c r="P1227" s="102"/>
      <c r="Q1227" s="102"/>
      <c r="R1227" s="102"/>
      <c r="S1227" s="101"/>
    </row>
    <row r="1228" spans="1:19" ht="43.2" x14ac:dyDescent="0.3">
      <c r="A1228" t="s">
        <v>5123</v>
      </c>
      <c r="B1228" t="s">
        <v>5235</v>
      </c>
      <c r="C1228" s="90" t="s">
        <v>5236</v>
      </c>
      <c r="D1228" t="s">
        <v>5562</v>
      </c>
      <c r="E1228" s="101" t="s">
        <v>6481</v>
      </c>
      <c r="F1228" t="str" cm="1">
        <f t="array" aca="1" ref="F1228" ca="1">INDIRECT("'" &amp; A1228 &amp; "'!" &amp; B1228)</f>
        <v>v71</v>
      </c>
      <c r="G1228" t="str" cm="1">
        <f t="array" aca="1" ref="G1228" ca="1">INDIRECT("'" &amp; A1228 &amp; "'!" &amp; ADDRESS(1, COLUMN(INDIRECT("'" &amp; A1228 &amp; "'!" &amp; B1228))))</f>
        <v>1987*</v>
      </c>
      <c r="H1228" t="e">
        <f ca="1">VLOOKUP($G1228, survey_codes_dict!A:C, 2, FALSE)</f>
        <v>#N/A</v>
      </c>
      <c r="I1228" s="102" t="e">
        <f ca="1">VLOOKUP($G1228, survey_codes_dict!A:D, 4, FALSE)</f>
        <v>#N/A</v>
      </c>
      <c r="J1228" s="102" t="e">
        <f t="shared" ca="1" si="38"/>
        <v>#N/A</v>
      </c>
      <c r="K1228" s="102" t="e">
        <f t="shared" ca="1" si="39"/>
        <v>#N/A</v>
      </c>
      <c r="L1228" s="102"/>
      <c r="M1228" s="102"/>
      <c r="N1228" s="102"/>
      <c r="O1228" s="102"/>
      <c r="P1228" s="102"/>
      <c r="Q1228" s="102"/>
      <c r="R1228" s="102"/>
      <c r="S1228" s="101"/>
    </row>
    <row r="1229" spans="1:19" ht="43.2" x14ac:dyDescent="0.3">
      <c r="A1229" t="s">
        <v>5123</v>
      </c>
      <c r="B1229" t="s">
        <v>5060</v>
      </c>
      <c r="C1229" s="90" t="s">
        <v>5217</v>
      </c>
      <c r="D1229" t="s">
        <v>5562</v>
      </c>
      <c r="E1229" s="101" t="s">
        <v>6471</v>
      </c>
      <c r="F1229" t="str" cm="1">
        <f t="array" aca="1" ref="F1229" ca="1">INDIRECT("'" &amp; A1229 &amp; "'!" &amp; B1229)</f>
        <v>v72</v>
      </c>
      <c r="G1229" t="str" cm="1">
        <f t="array" aca="1" ref="G1229" ca="1">INDIRECT("'" &amp; A1229 &amp; "'!" &amp; ADDRESS(1, COLUMN(INDIRECT("'" &amp; A1229 &amp; "'!" &amp; B1229))))</f>
        <v>1987*</v>
      </c>
      <c r="H1229" t="e">
        <f ca="1">VLOOKUP($G1229, survey_codes_dict!A:C, 2, FALSE)</f>
        <v>#N/A</v>
      </c>
      <c r="I1229" s="102" t="e">
        <f ca="1">VLOOKUP($G1229, survey_codes_dict!A:D, 4, FALSE)</f>
        <v>#N/A</v>
      </c>
      <c r="J1229" s="102" t="e">
        <f t="shared" ca="1" si="38"/>
        <v>#N/A</v>
      </c>
      <c r="K1229" s="102" t="e">
        <f t="shared" ca="1" si="39"/>
        <v>#N/A</v>
      </c>
      <c r="L1229" s="102"/>
      <c r="M1229" s="102"/>
      <c r="N1229" s="102"/>
      <c r="O1229" s="102"/>
      <c r="P1229" s="102"/>
      <c r="Q1229" s="102"/>
      <c r="R1229" s="102"/>
      <c r="S1229" s="101"/>
    </row>
    <row r="1230" spans="1:19" ht="57.6" x14ac:dyDescent="0.3">
      <c r="A1230" t="s">
        <v>5123</v>
      </c>
      <c r="B1230" t="s">
        <v>4016</v>
      </c>
      <c r="C1230" s="90" t="s">
        <v>5237</v>
      </c>
      <c r="D1230" t="s">
        <v>5562</v>
      </c>
      <c r="E1230" s="101" t="s">
        <v>6482</v>
      </c>
      <c r="F1230" t="str" cm="1">
        <f t="array" aca="1" ref="F1230" ca="1">INDIRECT("'" &amp; A1230 &amp; "'!" &amp; B1230)</f>
        <v>b46</v>
      </c>
      <c r="G1230" cm="1">
        <f t="array" aca="1" ref="G1230" ca="1">INDIRECT("'" &amp; A1230 &amp; "'!" &amp; ADDRESS(1, COLUMN(INDIRECT("'" &amp; A1230 &amp; "'!" &amp; B1230))))</f>
        <v>2001</v>
      </c>
      <c r="H1230" t="str">
        <f ca="1">VLOOKUP($G1230, survey_codes_dict!A:C, 2, FALSE)</f>
        <v>2001</v>
      </c>
      <c r="I1230" s="102" t="str">
        <f ca="1">VLOOKUP($G1230, survey_codes_dict!A:D, 4, FALSE)</f>
        <v>1999_1</v>
      </c>
      <c r="J1230" s="102" t="str">
        <f t="shared" ca="1" si="38"/>
        <v>2001__b46</v>
      </c>
      <c r="K1230" s="102" t="str">
        <f t="shared" ca="1" si="39"/>
        <v>1999_1__b46</v>
      </c>
      <c r="L1230" s="102"/>
      <c r="M1230" s="102"/>
      <c r="N1230" s="102"/>
      <c r="O1230" s="102"/>
      <c r="P1230" s="102"/>
      <c r="Q1230" s="102"/>
      <c r="R1230" s="102"/>
      <c r="S1230" s="101"/>
    </row>
    <row r="1231" spans="1:19" ht="57.6" x14ac:dyDescent="0.3">
      <c r="A1231" t="s">
        <v>5123</v>
      </c>
      <c r="B1231" t="s">
        <v>5062</v>
      </c>
      <c r="C1231" s="90" t="s">
        <v>5238</v>
      </c>
      <c r="D1231" t="s">
        <v>5562</v>
      </c>
      <c r="E1231" s="101" t="s">
        <v>6483</v>
      </c>
      <c r="F1231" t="str" cm="1">
        <f t="array" aca="1" ref="F1231" ca="1">INDIRECT("'" &amp; A1231 &amp; "'!" &amp; B1231)</f>
        <v>a89</v>
      </c>
      <c r="G1231" t="str" cm="1">
        <f t="array" aca="1" ref="G1231" ca="1">INDIRECT("'" &amp; A1231 &amp; "'!" &amp; ADDRESS(1, COLUMN(INDIRECT("'" &amp; A1231 &amp; "'!" &amp; B1231))))</f>
        <v>1987*</v>
      </c>
      <c r="H1231" t="e">
        <f ca="1">VLOOKUP($G1231, survey_codes_dict!A:C, 2, FALSE)</f>
        <v>#N/A</v>
      </c>
      <c r="I1231" s="102" t="e">
        <f ca="1">VLOOKUP($G1231, survey_codes_dict!A:D, 4, FALSE)</f>
        <v>#N/A</v>
      </c>
      <c r="J1231" s="102" t="e">
        <f t="shared" ca="1" si="38"/>
        <v>#N/A</v>
      </c>
      <c r="K1231" s="102" t="e">
        <f t="shared" ca="1" si="39"/>
        <v>#N/A</v>
      </c>
      <c r="L1231" s="102"/>
      <c r="M1231" s="102"/>
      <c r="N1231" s="102"/>
      <c r="O1231" s="102"/>
      <c r="P1231" s="102"/>
      <c r="Q1231" s="102"/>
      <c r="R1231" s="102"/>
      <c r="S1231" s="101"/>
    </row>
    <row r="1232" spans="1:19" ht="43.2" x14ac:dyDescent="0.3">
      <c r="A1232" t="s">
        <v>5123</v>
      </c>
      <c r="B1232" t="s">
        <v>5064</v>
      </c>
      <c r="C1232" s="90" t="s">
        <v>5239</v>
      </c>
      <c r="D1232" t="s">
        <v>5562</v>
      </c>
      <c r="E1232" s="101" t="s">
        <v>6484</v>
      </c>
      <c r="F1232" t="str" cm="1">
        <f t="array" aca="1" ref="F1232" ca="1">INDIRECT("'" &amp; A1232 &amp; "'!" &amp; B1232)</f>
        <v>a91</v>
      </c>
      <c r="G1232" t="str" cm="1">
        <f t="array" aca="1" ref="G1232" ca="1">INDIRECT("'" &amp; A1232 &amp; "'!" &amp; ADDRESS(1, COLUMN(INDIRECT("'" &amp; A1232 &amp; "'!" &amp; B1232))))</f>
        <v>1987*</v>
      </c>
      <c r="H1232" t="e">
        <f ca="1">VLOOKUP($G1232, survey_codes_dict!A:C, 2, FALSE)</f>
        <v>#N/A</v>
      </c>
      <c r="I1232" s="102" t="e">
        <f ca="1">VLOOKUP($G1232, survey_codes_dict!A:D, 4, FALSE)</f>
        <v>#N/A</v>
      </c>
      <c r="J1232" s="102" t="e">
        <f t="shared" ca="1" si="38"/>
        <v>#N/A</v>
      </c>
      <c r="K1232" s="102" t="e">
        <f t="shared" ca="1" si="39"/>
        <v>#N/A</v>
      </c>
      <c r="L1232" s="102"/>
      <c r="M1232" s="102"/>
      <c r="N1232" s="102"/>
      <c r="O1232" s="102"/>
      <c r="P1232" s="102"/>
      <c r="Q1232" s="102"/>
      <c r="R1232" s="102"/>
      <c r="S1232" s="101"/>
    </row>
    <row r="1233" spans="1:19" ht="115.2" x14ac:dyDescent="0.3">
      <c r="A1233" t="s">
        <v>5123</v>
      </c>
      <c r="B1233" t="s">
        <v>4464</v>
      </c>
      <c r="C1233" s="90" t="s">
        <v>5240</v>
      </c>
      <c r="D1233" t="s">
        <v>5562</v>
      </c>
      <c r="E1233" s="101" t="s">
        <v>6485</v>
      </c>
      <c r="F1233" t="str" cm="1">
        <f t="array" aca="1" ref="F1233" ca="1">INDIRECT("'" &amp; A1233 &amp; "'!" &amp; B1233)</f>
        <v>b12</v>
      </c>
      <c r="G1233" t="str" cm="1">
        <f t="array" aca="1" ref="G1233" ca="1">INDIRECT("'" &amp; A1233 &amp; "'!" &amp; ADDRESS(1, COLUMN(INDIRECT("'" &amp; A1233 &amp; "'!" &amp; B1233))))</f>
        <v>1988*</v>
      </c>
      <c r="H1233" t="str">
        <f ca="1">VLOOKUP($G1233, survey_codes_dict!A:C, 2, FALSE)</f>
        <v>1988_N=873</v>
      </c>
      <c r="I1233" s="102" t="str">
        <f ca="1">VLOOKUP($G1233, survey_codes_dict!A:D, 4, FALSE)</f>
        <v>1988_Panel_N=416</v>
      </c>
      <c r="J1233" s="102" t="str">
        <f t="shared" ca="1" si="38"/>
        <v>1988_N=873__b12</v>
      </c>
      <c r="K1233" s="102" t="str">
        <f t="shared" ca="1" si="39"/>
        <v>1988_Panel_N=416__b12</v>
      </c>
      <c r="L1233" s="102"/>
      <c r="M1233" s="102"/>
      <c r="N1233" s="102"/>
      <c r="O1233" s="102"/>
      <c r="P1233" s="102"/>
      <c r="Q1233" s="102"/>
      <c r="R1233" s="102"/>
      <c r="S1233" s="101"/>
    </row>
    <row r="1234" spans="1:19" ht="86.4" x14ac:dyDescent="0.3">
      <c r="A1234" t="s">
        <v>5123</v>
      </c>
      <c r="B1234" t="s">
        <v>5241</v>
      </c>
      <c r="C1234" s="90" t="s">
        <v>5242</v>
      </c>
      <c r="D1234" t="s">
        <v>5562</v>
      </c>
      <c r="E1234" s="101" t="s">
        <v>6486</v>
      </c>
      <c r="F1234" t="str" cm="1">
        <f t="array" aca="1" ref="F1234" ca="1">INDIRECT("'" &amp; A1234 &amp; "'!" &amp; B1234)</f>
        <v>c7</v>
      </c>
      <c r="G1234" t="str" cm="1">
        <f t="array" aca="1" ref="G1234" ca="1">INDIRECT("'" &amp; A1234 &amp; "'!" &amp; ADDRESS(1, COLUMN(INDIRECT("'" &amp; A1234 &amp; "'!" &amp; B1234))))</f>
        <v>1977 - 4</v>
      </c>
      <c r="H1234" t="str">
        <f ca="1">VLOOKUP($G1234, survey_codes_dict!A:C, 2, FALSE)</f>
        <v>1977_4</v>
      </c>
      <c r="I1234" s="102" t="str">
        <f ca="1">VLOOKUP($G1234, survey_codes_dict!A:D, 4, FALSE)</f>
        <v>1977_3</v>
      </c>
      <c r="J1234" s="102" t="str">
        <f t="shared" ca="1" si="38"/>
        <v>1977_4__c7</v>
      </c>
      <c r="K1234" s="102" t="str">
        <f t="shared" ca="1" si="39"/>
        <v>1977_3__c7</v>
      </c>
      <c r="L1234" s="102"/>
      <c r="M1234" s="102"/>
      <c r="N1234" s="102"/>
      <c r="O1234" s="102"/>
      <c r="P1234" s="102"/>
      <c r="Q1234" s="102"/>
      <c r="R1234" s="102"/>
      <c r="S1234" s="101"/>
    </row>
    <row r="1235" spans="1:19" ht="72" x14ac:dyDescent="0.3">
      <c r="A1235" t="s">
        <v>5123</v>
      </c>
      <c r="B1235" t="s">
        <v>5243</v>
      </c>
      <c r="C1235" s="90" t="s">
        <v>5244</v>
      </c>
      <c r="D1235" t="s">
        <v>5562</v>
      </c>
      <c r="E1235" s="101" t="s">
        <v>6487</v>
      </c>
      <c r="F1235" t="str" cm="1">
        <f t="array" aca="1" ref="F1235" ca="1">INDIRECT("'" &amp; A1235 &amp; "'!" &amp; B1235)</f>
        <v>b45</v>
      </c>
      <c r="G1235" t="str" cm="1">
        <f t="array" aca="1" ref="G1235" ca="1">INDIRECT("'" &amp; A1235 &amp; "'!" &amp; ADDRESS(1, COLUMN(INDIRECT("'" &amp; A1235 &amp; "'!" &amp; B1235))))</f>
        <v>1988*</v>
      </c>
      <c r="H1235" t="str">
        <f ca="1">VLOOKUP($G1235, survey_codes_dict!A:C, 2, FALSE)</f>
        <v>1988_N=873</v>
      </c>
      <c r="I1235" s="102" t="str">
        <f ca="1">VLOOKUP($G1235, survey_codes_dict!A:D, 4, FALSE)</f>
        <v>1988_Panel_N=416</v>
      </c>
      <c r="J1235" s="102" t="str">
        <f t="shared" ca="1" si="38"/>
        <v>1988_N=873__b45</v>
      </c>
      <c r="K1235" s="102" t="str">
        <f t="shared" ca="1" si="39"/>
        <v>1988_Panel_N=416__b45</v>
      </c>
      <c r="L1235" s="102"/>
      <c r="M1235" s="102"/>
      <c r="N1235" s="102"/>
      <c r="O1235" s="102"/>
      <c r="P1235" s="102"/>
      <c r="Q1235" s="102"/>
      <c r="R1235" s="102"/>
      <c r="S1235" s="101"/>
    </row>
    <row r="1236" spans="1:19" ht="43.2" x14ac:dyDescent="0.3">
      <c r="A1236" t="s">
        <v>5123</v>
      </c>
      <c r="B1236" t="s">
        <v>5245</v>
      </c>
      <c r="C1236" s="90" t="s">
        <v>3383</v>
      </c>
      <c r="D1236" t="s">
        <v>5562</v>
      </c>
      <c r="E1236" s="101" t="s">
        <v>5706</v>
      </c>
      <c r="F1236" t="str" cm="1">
        <f t="array" aca="1" ref="F1236" ca="1">INDIRECT("'" &amp; A1236 &amp; "'!" &amp; B1236)</f>
        <v>c56</v>
      </c>
      <c r="G1236" t="str" cm="1">
        <f t="array" aca="1" ref="G1236" ca="1">INDIRECT("'" &amp; A1236 &amp; "'!" &amp; ADDRESS(1, COLUMN(INDIRECT("'" &amp; A1236 &amp; "'!" &amp; B1236))))</f>
        <v>1988*</v>
      </c>
      <c r="H1236" t="str">
        <f ca="1">VLOOKUP($G1236, survey_codes_dict!A:C, 2, FALSE)</f>
        <v>1988_N=873</v>
      </c>
      <c r="I1236" s="102" t="str">
        <f ca="1">VLOOKUP($G1236, survey_codes_dict!A:D, 4, FALSE)</f>
        <v>1988_Panel_N=416</v>
      </c>
      <c r="J1236" s="102" t="str">
        <f t="shared" ca="1" si="38"/>
        <v>1988_N=873__c56</v>
      </c>
      <c r="K1236" s="102" t="str">
        <f t="shared" ca="1" si="39"/>
        <v>1988_Panel_N=416__c56</v>
      </c>
      <c r="L1236" s="102"/>
      <c r="M1236" s="102"/>
      <c r="N1236" s="102"/>
      <c r="O1236" s="102"/>
      <c r="P1236" s="102"/>
      <c r="Q1236" s="102"/>
      <c r="R1236" s="102"/>
      <c r="S1236" s="101"/>
    </row>
    <row r="1237" spans="1:19" ht="72" x14ac:dyDescent="0.3">
      <c r="A1237" t="s">
        <v>5123</v>
      </c>
      <c r="B1237" t="s">
        <v>5246</v>
      </c>
      <c r="C1237" s="90" t="s">
        <v>5247</v>
      </c>
      <c r="D1237" t="s">
        <v>5562</v>
      </c>
      <c r="E1237" s="101" t="s">
        <v>6488</v>
      </c>
      <c r="F1237" t="str" cm="1">
        <f t="array" aca="1" ref="F1237" ca="1">INDIRECT("'" &amp; A1237 &amp; "'!" &amp; B1237)</f>
        <v>b8</v>
      </c>
      <c r="G1237" t="str" cm="1">
        <f t="array" aca="1" ref="G1237" ca="1">INDIRECT("'" &amp; A1237 &amp; "'!" &amp; ADDRESS(1, COLUMN(INDIRECT("'" &amp; A1237 &amp; "'!" &amp; B1237))))</f>
        <v>1981 - 3</v>
      </c>
      <c r="H1237" t="str">
        <f ca="1">VLOOKUP($G1237, survey_codes_dict!A:C, 2, FALSE)</f>
        <v>1981_3</v>
      </c>
      <c r="I1237" s="102">
        <f ca="1">VLOOKUP($G1237, survey_codes_dict!A:D, 4, FALSE)</f>
        <v>0</v>
      </c>
      <c r="J1237" s="102" t="str">
        <f t="shared" ca="1" si="38"/>
        <v>1981_3__b8</v>
      </c>
      <c r="K1237" s="102" t="str">
        <f t="shared" ca="1" si="39"/>
        <v>0__b8</v>
      </c>
      <c r="L1237" s="102"/>
      <c r="M1237" s="102"/>
      <c r="N1237" s="102"/>
      <c r="O1237" s="102"/>
      <c r="P1237" s="102"/>
      <c r="Q1237" s="102"/>
      <c r="R1237" s="102"/>
      <c r="S1237" s="101"/>
    </row>
    <row r="1238" spans="1:19" ht="72" x14ac:dyDescent="0.3">
      <c r="A1238" t="s">
        <v>5123</v>
      </c>
      <c r="B1238" t="s">
        <v>5248</v>
      </c>
      <c r="C1238" s="90" t="s">
        <v>5249</v>
      </c>
      <c r="D1238" t="s">
        <v>5562</v>
      </c>
      <c r="E1238" s="101" t="s">
        <v>6489</v>
      </c>
      <c r="F1238" t="str" cm="1">
        <f t="array" aca="1" ref="F1238" ca="1">INDIRECT("'" &amp; A1238 &amp; "'!" &amp; B1238)</f>
        <v>b9</v>
      </c>
      <c r="G1238" t="str" cm="1">
        <f t="array" aca="1" ref="G1238" ca="1">INDIRECT("'" &amp; A1238 &amp; "'!" &amp; ADDRESS(1, COLUMN(INDIRECT("'" &amp; A1238 &amp; "'!" &amp; B1238))))</f>
        <v>1981 - 3</v>
      </c>
      <c r="H1238" t="str">
        <f ca="1">VLOOKUP($G1238, survey_codes_dict!A:C, 2, FALSE)</f>
        <v>1981_3</v>
      </c>
      <c r="I1238" s="102">
        <f ca="1">VLOOKUP($G1238, survey_codes_dict!A:D, 4, FALSE)</f>
        <v>0</v>
      </c>
      <c r="J1238" s="102" t="str">
        <f t="shared" ca="1" si="38"/>
        <v>1981_3__b9</v>
      </c>
      <c r="K1238" s="102" t="str">
        <f t="shared" ca="1" si="39"/>
        <v>0__b9</v>
      </c>
      <c r="L1238" s="102"/>
      <c r="M1238" s="102"/>
      <c r="N1238" s="102"/>
      <c r="O1238" s="102"/>
      <c r="P1238" s="102"/>
      <c r="Q1238" s="102"/>
      <c r="R1238" s="102"/>
      <c r="S1238" s="101"/>
    </row>
    <row r="1239" spans="1:19" ht="72" x14ac:dyDescent="0.3">
      <c r="A1239" t="s">
        <v>5123</v>
      </c>
      <c r="B1239" t="s">
        <v>5250</v>
      </c>
      <c r="C1239" s="90" t="s">
        <v>5251</v>
      </c>
      <c r="D1239" t="s">
        <v>5562</v>
      </c>
      <c r="E1239" s="101" t="s">
        <v>6490</v>
      </c>
      <c r="F1239" t="str" cm="1">
        <f t="array" aca="1" ref="F1239" ca="1">INDIRECT("'" &amp; A1239 &amp; "'!" &amp; B1239)</f>
        <v>c61</v>
      </c>
      <c r="G1239" t="str" cm="1">
        <f t="array" aca="1" ref="G1239" ca="1">INDIRECT("'" &amp; A1239 &amp; "'!" &amp; ADDRESS(1, COLUMN(INDIRECT("'" &amp; A1239 &amp; "'!" &amp; B1239))))</f>
        <v>1973 - 2</v>
      </c>
      <c r="H1239" t="str">
        <f ca="1">VLOOKUP($G1239, survey_codes_dict!A:C, 2, FALSE)</f>
        <v>1973_2</v>
      </c>
      <c r="I1239" s="102" t="str">
        <f ca="1">VLOOKUP($G1239, survey_codes_dict!A:D, 4, FALSE)</f>
        <v>1973_1</v>
      </c>
      <c r="J1239" s="102" t="str">
        <f t="shared" ca="1" si="38"/>
        <v>1973_2__c61</v>
      </c>
      <c r="K1239" s="102" t="str">
        <f t="shared" ca="1" si="39"/>
        <v>1973_1__c61</v>
      </c>
      <c r="L1239" s="102"/>
      <c r="M1239" s="102"/>
      <c r="N1239" s="102"/>
      <c r="O1239" s="102"/>
      <c r="P1239" s="102"/>
      <c r="Q1239" s="102"/>
      <c r="R1239" s="102"/>
      <c r="S1239" s="101"/>
    </row>
    <row r="1240" spans="1:19" ht="72" x14ac:dyDescent="0.3">
      <c r="A1240" t="s">
        <v>5123</v>
      </c>
      <c r="B1240" t="s">
        <v>5252</v>
      </c>
      <c r="C1240" s="90" t="s">
        <v>5253</v>
      </c>
      <c r="D1240" t="s">
        <v>5562</v>
      </c>
      <c r="E1240" s="101" t="s">
        <v>6491</v>
      </c>
      <c r="F1240" t="str" cm="1">
        <f t="array" aca="1" ref="F1240" ca="1">INDIRECT("'" &amp; A1240 &amp; "'!" &amp; B1240)</f>
        <v>v49</v>
      </c>
      <c r="G1240" t="str" cm="1">
        <f t="array" aca="1" ref="G1240" ca="1">INDIRECT("'" &amp; A1240 &amp; "'!" &amp; ADDRESS(1, COLUMN(INDIRECT("'" &amp; A1240 &amp; "'!" &amp; B1240))))</f>
        <v>1973 - 1</v>
      </c>
      <c r="H1240" t="str">
        <f ca="1">VLOOKUP($G1240, survey_codes_dict!A:C, 2, FALSE)</f>
        <v>1973_1</v>
      </c>
      <c r="I1240" s="102" t="str">
        <f ca="1">VLOOKUP($G1240, survey_codes_dict!A:D, 4, FALSE)</f>
        <v>1969_2</v>
      </c>
      <c r="J1240" s="102" t="str">
        <f t="shared" ca="1" si="38"/>
        <v>1973_1__v49</v>
      </c>
      <c r="K1240" s="102" t="str">
        <f t="shared" ca="1" si="39"/>
        <v>1969_2__v49</v>
      </c>
      <c r="L1240" s="102"/>
      <c r="M1240" s="102"/>
      <c r="N1240" s="102"/>
      <c r="O1240" s="102"/>
      <c r="P1240" s="102"/>
      <c r="Q1240" s="102"/>
      <c r="R1240" s="102"/>
      <c r="S1240" s="101"/>
    </row>
    <row r="1241" spans="1:19" ht="100.8" x14ac:dyDescent="0.3">
      <c r="A1241" t="s">
        <v>5123</v>
      </c>
      <c r="B1241" t="s">
        <v>4143</v>
      </c>
      <c r="C1241" s="90" t="s">
        <v>5254</v>
      </c>
      <c r="D1241" t="s">
        <v>5562</v>
      </c>
      <c r="E1241" s="101" t="s">
        <v>6492</v>
      </c>
      <c r="F1241" t="str" cm="1">
        <f t="array" aca="1" ref="F1241" ca="1">INDIRECT("'" &amp; A1241 &amp; "'!" &amp; B1241)</f>
        <v>b10</v>
      </c>
      <c r="G1241" t="str" cm="1">
        <f t="array" aca="1" ref="G1241" ca="1">INDIRECT("'" &amp; A1241 &amp; "'!" &amp; ADDRESS(1, COLUMN(INDIRECT("'" &amp; A1241 &amp; "'!" &amp; B1241))))</f>
        <v>1981 - 3</v>
      </c>
      <c r="H1241" t="str">
        <f ca="1">VLOOKUP($G1241, survey_codes_dict!A:C, 2, FALSE)</f>
        <v>1981_3</v>
      </c>
      <c r="I1241" s="102">
        <f ca="1">VLOOKUP($G1241, survey_codes_dict!A:D, 4, FALSE)</f>
        <v>0</v>
      </c>
      <c r="J1241" s="102" t="str">
        <f t="shared" ca="1" si="38"/>
        <v>1981_3__b10</v>
      </c>
      <c r="K1241" s="102" t="str">
        <f t="shared" ca="1" si="39"/>
        <v>0__b10</v>
      </c>
      <c r="L1241" s="102"/>
      <c r="M1241" s="102"/>
      <c r="N1241" s="102"/>
      <c r="O1241" s="102"/>
      <c r="P1241" s="102"/>
      <c r="Q1241" s="102"/>
      <c r="R1241" s="102"/>
      <c r="S1241" s="101"/>
    </row>
    <row r="1242" spans="1:19" ht="57.6" x14ac:dyDescent="0.3">
      <c r="A1242" t="s">
        <v>5123</v>
      </c>
      <c r="B1242" t="s">
        <v>5255</v>
      </c>
      <c r="C1242" s="90" t="s">
        <v>4874</v>
      </c>
      <c r="D1242" t="s">
        <v>5562</v>
      </c>
      <c r="E1242" s="101" t="s">
        <v>6300</v>
      </c>
      <c r="F1242" t="str" cm="1">
        <f t="array" aca="1" ref="F1242" ca="1">INDIRECT("'" &amp; A1242 &amp; "'!" &amp; B1242)</f>
        <v>a38</v>
      </c>
      <c r="G1242" cm="1">
        <f t="array" aca="1" ref="G1242" ca="1">INDIRECT("'" &amp; A1242 &amp; "'!" &amp; ADDRESS(1, COLUMN(INDIRECT("'" &amp; A1242 &amp; "'!" &amp; B1242))))</f>
        <v>2003</v>
      </c>
      <c r="H1242" t="str">
        <f ca="1">VLOOKUP($G1242, survey_codes_dict!A:C, 2, FALSE)</f>
        <v>2003</v>
      </c>
      <c r="I1242" s="102" t="str">
        <f ca="1">VLOOKUP($G1242, survey_codes_dict!A:D, 4, FALSE)</f>
        <v>2001</v>
      </c>
      <c r="J1242" s="102" t="str">
        <f t="shared" ca="1" si="38"/>
        <v>2003__a38</v>
      </c>
      <c r="K1242" s="102" t="str">
        <f t="shared" ca="1" si="39"/>
        <v>2001__a38</v>
      </c>
      <c r="L1242" s="102"/>
      <c r="M1242" s="102"/>
      <c r="N1242" s="102"/>
      <c r="O1242" s="102"/>
      <c r="P1242" s="102"/>
      <c r="Q1242" s="102"/>
      <c r="R1242" s="102"/>
      <c r="S1242" s="101"/>
    </row>
    <row r="1243" spans="1:19" ht="57.6" x14ac:dyDescent="0.3">
      <c r="A1243" t="s">
        <v>5123</v>
      </c>
      <c r="B1243" t="s">
        <v>5256</v>
      </c>
      <c r="C1243" s="90" t="s">
        <v>4874</v>
      </c>
      <c r="D1243" t="s">
        <v>5562</v>
      </c>
      <c r="E1243" s="101" t="s">
        <v>6300</v>
      </c>
      <c r="F1243" t="str" cm="1">
        <f t="array" aca="1" ref="F1243" ca="1">INDIRECT("'" &amp; A1243 &amp; "'!" &amp; B1243)</f>
        <v>v69</v>
      </c>
      <c r="G1243" cm="1">
        <f t="array" aca="1" ref="G1243" ca="1">INDIRECT("'" &amp; A1243 &amp; "'!" &amp; ADDRESS(1, COLUMN(INDIRECT("'" &amp; A1243 &amp; "'!" &amp; B1243))))</f>
        <v>1999</v>
      </c>
      <c r="H1243" t="str">
        <f ca="1">VLOOKUP($G1243, survey_codes_dict!A:C, 2, FALSE)</f>
        <v>1999_1</v>
      </c>
      <c r="I1243" s="102" t="str">
        <f ca="1">VLOOKUP($G1243, survey_codes_dict!A:D, 4, FALSE)</f>
        <v>1996_Jews</v>
      </c>
      <c r="J1243" s="102" t="str">
        <f t="shared" ca="1" si="38"/>
        <v>1999_1__v69</v>
      </c>
      <c r="K1243" s="102" t="str">
        <f t="shared" ca="1" si="39"/>
        <v>1996_Jews__v69</v>
      </c>
      <c r="L1243" s="102"/>
      <c r="M1243" s="102"/>
      <c r="N1243" s="102"/>
      <c r="O1243" s="102"/>
      <c r="P1243" s="102"/>
      <c r="Q1243" s="102"/>
      <c r="R1243" s="102"/>
      <c r="S1243" s="101"/>
    </row>
    <row r="1244" spans="1:19" ht="86.4" x14ac:dyDescent="0.3">
      <c r="A1244" t="s">
        <v>5123</v>
      </c>
      <c r="B1244" t="s">
        <v>5257</v>
      </c>
      <c r="C1244" s="90" t="s">
        <v>5258</v>
      </c>
      <c r="D1244" t="s">
        <v>5562</v>
      </c>
      <c r="E1244" s="101" t="s">
        <v>6493</v>
      </c>
      <c r="F1244" t="str" cm="1">
        <f t="array" aca="1" ref="F1244" ca="1">INDIRECT("'" &amp; A1244 &amp; "'!" &amp; B1244)</f>
        <v>a5</v>
      </c>
      <c r="G1244" t="str" cm="1">
        <f t="array" aca="1" ref="G1244" ca="1">INDIRECT("'" &amp; A1244 &amp; "'!" &amp; ADDRESS(1, COLUMN(INDIRECT("'" &amp; A1244 &amp; "'!" &amp; B1244))))</f>
        <v>1981 - 2</v>
      </c>
      <c r="H1244">
        <f ca="1">VLOOKUP($G1244, survey_codes_dict!A:C, 2, FALSE)</f>
        <v>0</v>
      </c>
      <c r="I1244" s="102" t="str">
        <f ca="1">VLOOKUP($G1244, survey_codes_dict!A:D, 4, FALSE)</f>
        <v>1981_1</v>
      </c>
      <c r="J1244" s="102" t="str">
        <f t="shared" ca="1" si="38"/>
        <v>0__a5</v>
      </c>
      <c r="K1244" s="102" t="str">
        <f t="shared" ca="1" si="39"/>
        <v>1981_1__a5</v>
      </c>
      <c r="L1244" s="102"/>
      <c r="M1244" s="102"/>
      <c r="N1244" s="102"/>
      <c r="O1244" s="102"/>
      <c r="P1244" s="102"/>
      <c r="Q1244" s="102"/>
      <c r="R1244" s="102"/>
      <c r="S1244" s="101"/>
    </row>
    <row r="1245" spans="1:19" ht="100.8" x14ac:dyDescent="0.3">
      <c r="A1245" t="s">
        <v>5123</v>
      </c>
      <c r="B1245" t="s">
        <v>5259</v>
      </c>
      <c r="C1245" s="90" t="s">
        <v>5260</v>
      </c>
      <c r="D1245" t="s">
        <v>5562</v>
      </c>
      <c r="E1245" s="101" t="s">
        <v>6494</v>
      </c>
      <c r="F1245" t="str" cm="1">
        <f t="array" aca="1" ref="F1245" ca="1">INDIRECT("'" &amp; A1245 &amp; "'!" &amp; B1245)</f>
        <v>v7</v>
      </c>
      <c r="G1245" t="str" cm="1">
        <f t="array" aca="1" ref="G1245" ca="1">INDIRECT("'" &amp; A1245 &amp; "'!" &amp; ADDRESS(1, COLUMN(INDIRECT("'" &amp; A1245 &amp; "'!" &amp; B1245))))</f>
        <v>1981 - 1</v>
      </c>
      <c r="H1245" t="str">
        <f ca="1">VLOOKUP($G1245, survey_codes_dict!A:C, 2, FALSE)</f>
        <v>1981_1</v>
      </c>
      <c r="I1245" s="102" t="str">
        <f ca="1">VLOOKUP($G1245, survey_codes_dict!A:D, 4, FALSE)</f>
        <v>1977_4</v>
      </c>
      <c r="J1245" s="102" t="str">
        <f t="shared" ca="1" si="38"/>
        <v>1981_1__v7</v>
      </c>
      <c r="K1245" s="102" t="str">
        <f t="shared" ca="1" si="39"/>
        <v>1977_4__v7</v>
      </c>
      <c r="L1245" s="102"/>
      <c r="M1245" s="102"/>
      <c r="N1245" s="102"/>
      <c r="O1245" s="102"/>
      <c r="P1245" s="102"/>
      <c r="Q1245" s="102"/>
      <c r="R1245" s="102"/>
      <c r="S1245" s="101"/>
    </row>
    <row r="1246" spans="1:19" ht="72" x14ac:dyDescent="0.3">
      <c r="A1246" t="s">
        <v>5123</v>
      </c>
      <c r="B1246" t="s">
        <v>5261</v>
      </c>
      <c r="C1246" s="90" t="s">
        <v>3778</v>
      </c>
      <c r="D1246" t="s">
        <v>5562</v>
      </c>
      <c r="E1246" s="101" t="s">
        <v>5869</v>
      </c>
      <c r="F1246" t="str" cm="1">
        <f t="array" aca="1" ref="F1246" ca="1">INDIRECT("'" &amp; A1246 &amp; "'!" &amp; B1246)</f>
        <v>v10</v>
      </c>
      <c r="G1246" t="str" cm="1">
        <f t="array" aca="1" ref="G1246" ca="1">INDIRECT("'" &amp; A1246 &amp; "'!" &amp; ADDRESS(1, COLUMN(INDIRECT("'" &amp; A1246 &amp; "'!" &amp; B1246))))</f>
        <v>1977 - 1</v>
      </c>
      <c r="H1246" t="str">
        <f ca="1">VLOOKUP($G1246, survey_codes_dict!A:C, 2, FALSE)</f>
        <v>1977_1</v>
      </c>
      <c r="I1246" s="102" t="str">
        <f ca="1">VLOOKUP($G1246, survey_codes_dict!A:D, 4, FALSE)</f>
        <v>1973_5</v>
      </c>
      <c r="J1246" s="102" t="str">
        <f t="shared" ca="1" si="38"/>
        <v>1977_1__v10</v>
      </c>
      <c r="K1246" s="102" t="str">
        <f t="shared" ca="1" si="39"/>
        <v>1973_5__v10</v>
      </c>
      <c r="L1246" s="102"/>
      <c r="M1246" s="102"/>
      <c r="N1246" s="102"/>
      <c r="O1246" s="102"/>
      <c r="P1246" s="102"/>
      <c r="Q1246" s="102"/>
      <c r="R1246" s="102"/>
      <c r="S1246" s="101"/>
    </row>
    <row r="1247" spans="1:19" ht="86.4" x14ac:dyDescent="0.3">
      <c r="A1247" t="s">
        <v>5123</v>
      </c>
      <c r="B1247" t="s">
        <v>5262</v>
      </c>
      <c r="C1247" s="90" t="s">
        <v>5263</v>
      </c>
      <c r="D1247" t="s">
        <v>5562</v>
      </c>
      <c r="E1247" s="101" t="s">
        <v>6495</v>
      </c>
      <c r="F1247" t="str" cm="1">
        <f t="array" aca="1" ref="F1247" ca="1">INDIRECT("'" &amp; A1247 &amp; "'!" &amp; B1247)</f>
        <v>c6</v>
      </c>
      <c r="G1247" t="str" cm="1">
        <f t="array" aca="1" ref="G1247" ca="1">INDIRECT("'" &amp; A1247 &amp; "'!" &amp; ADDRESS(1, COLUMN(INDIRECT("'" &amp; A1247 &amp; "'!" &amp; B1247))))</f>
        <v>1977 - 4</v>
      </c>
      <c r="H1247" t="str">
        <f ca="1">VLOOKUP($G1247, survey_codes_dict!A:C, 2, FALSE)</f>
        <v>1977_4</v>
      </c>
      <c r="I1247" s="102" t="str">
        <f ca="1">VLOOKUP($G1247, survey_codes_dict!A:D, 4, FALSE)</f>
        <v>1977_3</v>
      </c>
      <c r="J1247" s="102" t="str">
        <f t="shared" ca="1" si="38"/>
        <v>1977_4__c6</v>
      </c>
      <c r="K1247" s="102" t="str">
        <f t="shared" ca="1" si="39"/>
        <v>1977_3__c6</v>
      </c>
      <c r="L1247" s="102"/>
      <c r="M1247" s="102"/>
      <c r="N1247" s="102"/>
      <c r="O1247" s="102"/>
      <c r="P1247" s="102"/>
      <c r="Q1247" s="102"/>
      <c r="R1247" s="102"/>
      <c r="S1247" s="101"/>
    </row>
    <row r="1248" spans="1:19" ht="100.8" x14ac:dyDescent="0.3">
      <c r="A1248" t="s">
        <v>5123</v>
      </c>
      <c r="B1248" t="s">
        <v>5264</v>
      </c>
      <c r="C1248" s="90" t="s">
        <v>5265</v>
      </c>
      <c r="D1248" t="s">
        <v>5562</v>
      </c>
      <c r="E1248" s="101" t="s">
        <v>6496</v>
      </c>
      <c r="F1248" t="str" cm="1">
        <f t="array" aca="1" ref="F1248" ca="1">INDIRECT("'" &amp; A1248 &amp; "'!" &amp; B1248)</f>
        <v>b3</v>
      </c>
      <c r="G1248" t="str" cm="1">
        <f t="array" aca="1" ref="G1248" ca="1">INDIRECT("'" &amp; A1248 &amp; "'!" &amp; ADDRESS(1, COLUMN(INDIRECT("'" &amp; A1248 &amp; "'!" &amp; B1248))))</f>
        <v>1977 - 3</v>
      </c>
      <c r="H1248" t="str">
        <f ca="1">VLOOKUP($G1248, survey_codes_dict!A:C, 2, FALSE)</f>
        <v>1977_3</v>
      </c>
      <c r="I1248" s="102" t="str">
        <f ca="1">VLOOKUP($G1248, survey_codes_dict!A:D, 4, FALSE)</f>
        <v>1977_2</v>
      </c>
      <c r="J1248" s="102" t="str">
        <f t="shared" ca="1" si="38"/>
        <v>1977_3__b3</v>
      </c>
      <c r="K1248" s="102" t="str">
        <f t="shared" ca="1" si="39"/>
        <v>1977_2__b3</v>
      </c>
      <c r="L1248" s="102"/>
      <c r="M1248" s="102"/>
      <c r="N1248" s="102"/>
      <c r="O1248" s="102"/>
      <c r="P1248" s="102"/>
      <c r="Q1248" s="102"/>
      <c r="R1248" s="102"/>
      <c r="S1248" s="101"/>
    </row>
    <row r="1249" spans="1:19" ht="72" x14ac:dyDescent="0.3">
      <c r="A1249" t="s">
        <v>5123</v>
      </c>
      <c r="B1249" t="s">
        <v>5266</v>
      </c>
      <c r="C1249" s="90" t="s">
        <v>5267</v>
      </c>
      <c r="D1249" t="s">
        <v>5562</v>
      </c>
      <c r="E1249" s="101" t="s">
        <v>6497</v>
      </c>
      <c r="F1249" t="str" cm="1">
        <f t="array" aca="1" ref="F1249" ca="1">INDIRECT("'" &amp; A1249 &amp; "'!" &amp; B1249)</f>
        <v>h33</v>
      </c>
      <c r="G1249" t="str" cm="1">
        <f t="array" aca="1" ref="G1249" ca="1">INDIRECT("'" &amp; A1249 &amp; "'!" &amp; ADDRESS(1, COLUMN(INDIRECT("'" &amp; A1249 &amp; "'!" &amp; B1249))))</f>
        <v>1973 - 5</v>
      </c>
      <c r="H1249" t="str">
        <f ca="1">VLOOKUP($G1249, survey_codes_dict!A:C, 2, FALSE)</f>
        <v>1973_5</v>
      </c>
      <c r="I1249" s="102" t="str">
        <f ca="1">VLOOKUP($G1249, survey_codes_dict!A:D, 4, FALSE)</f>
        <v>1973_4</v>
      </c>
      <c r="J1249" s="102" t="str">
        <f t="shared" ca="1" si="38"/>
        <v>1973_5__h33</v>
      </c>
      <c r="K1249" s="102" t="str">
        <f t="shared" ca="1" si="39"/>
        <v>1973_4__h33</v>
      </c>
      <c r="L1249" s="102"/>
      <c r="M1249" s="102"/>
      <c r="N1249" s="102"/>
      <c r="O1249" s="102"/>
      <c r="P1249" s="102"/>
      <c r="Q1249" s="102"/>
      <c r="R1249" s="102"/>
      <c r="S1249" s="101"/>
    </row>
    <row r="1250" spans="1:19" ht="72" x14ac:dyDescent="0.3">
      <c r="A1250" t="s">
        <v>5123</v>
      </c>
      <c r="B1250" t="s">
        <v>5268</v>
      </c>
      <c r="C1250" s="90" t="s">
        <v>5267</v>
      </c>
      <c r="D1250" t="s">
        <v>5562</v>
      </c>
      <c r="E1250" s="101" t="s">
        <v>6497</v>
      </c>
      <c r="F1250" t="str" cm="1">
        <f t="array" aca="1" ref="F1250" ca="1">INDIRECT("'" &amp; A1250 &amp; "'!" &amp; B1250)</f>
        <v>h35</v>
      </c>
      <c r="G1250" t="str" cm="1">
        <f t="array" aca="1" ref="G1250" ca="1">INDIRECT("'" &amp; A1250 &amp; "'!" &amp; ADDRESS(1, COLUMN(INDIRECT("'" &amp; A1250 &amp; "'!" &amp; B1250))))</f>
        <v>1973 - 5</v>
      </c>
      <c r="H1250" t="str">
        <f ca="1">VLOOKUP($G1250, survey_codes_dict!A:C, 2, FALSE)</f>
        <v>1973_5</v>
      </c>
      <c r="I1250" s="102" t="str">
        <f ca="1">VLOOKUP($G1250, survey_codes_dict!A:D, 4, FALSE)</f>
        <v>1973_4</v>
      </c>
      <c r="J1250" s="102" t="str">
        <f t="shared" ca="1" si="38"/>
        <v>1973_5__h35</v>
      </c>
      <c r="K1250" s="102" t="str">
        <f t="shared" ca="1" si="39"/>
        <v>1973_4__h35</v>
      </c>
      <c r="L1250" s="102"/>
      <c r="M1250" s="102"/>
      <c r="N1250" s="102"/>
      <c r="O1250" s="102"/>
      <c r="P1250" s="102"/>
      <c r="Q1250" s="102"/>
      <c r="R1250" s="102"/>
      <c r="S1250" s="101"/>
    </row>
    <row r="1251" spans="1:19" ht="72" x14ac:dyDescent="0.3">
      <c r="A1251" t="s">
        <v>5123</v>
      </c>
      <c r="B1251" t="s">
        <v>5269</v>
      </c>
      <c r="C1251" s="90" t="s">
        <v>5270</v>
      </c>
      <c r="D1251" t="s">
        <v>5562</v>
      </c>
      <c r="E1251" s="101" t="s">
        <v>6498</v>
      </c>
      <c r="F1251" t="str" cm="1">
        <f t="array" aca="1" ref="F1251" ca="1">INDIRECT("'" &amp; A1251 &amp; "'!" &amp; B1251)</f>
        <v>h37</v>
      </c>
      <c r="G1251" t="str" cm="1">
        <f t="array" aca="1" ref="G1251" ca="1">INDIRECT("'" &amp; A1251 &amp; "'!" &amp; ADDRESS(1, COLUMN(INDIRECT("'" &amp; A1251 &amp; "'!" &amp; B1251))))</f>
        <v>1973 - 5</v>
      </c>
      <c r="H1251" t="str">
        <f ca="1">VLOOKUP($G1251, survey_codes_dict!A:C, 2, FALSE)</f>
        <v>1973_5</v>
      </c>
      <c r="I1251" s="102" t="str">
        <f ca="1">VLOOKUP($G1251, survey_codes_dict!A:D, 4, FALSE)</f>
        <v>1973_4</v>
      </c>
      <c r="J1251" s="102" t="str">
        <f t="shared" ca="1" si="38"/>
        <v>1973_5__h37</v>
      </c>
      <c r="K1251" s="102" t="str">
        <f t="shared" ca="1" si="39"/>
        <v>1973_4__h37</v>
      </c>
      <c r="L1251" s="102"/>
      <c r="M1251" s="102"/>
      <c r="N1251" s="102"/>
      <c r="O1251" s="102"/>
      <c r="P1251" s="102"/>
      <c r="Q1251" s="102"/>
      <c r="R1251" s="102"/>
      <c r="S1251" s="101"/>
    </row>
    <row r="1252" spans="1:19" ht="72" x14ac:dyDescent="0.3">
      <c r="A1252" t="s">
        <v>5123</v>
      </c>
      <c r="B1252" t="s">
        <v>5271</v>
      </c>
      <c r="C1252" s="90" t="s">
        <v>3646</v>
      </c>
      <c r="D1252" t="s">
        <v>5562</v>
      </c>
      <c r="E1252" s="101" t="s">
        <v>5819</v>
      </c>
      <c r="F1252" t="str" cm="1">
        <f t="array" aca="1" ref="F1252" ca="1">INDIRECT("'" &amp; A1252 &amp; "'!" &amp; B1252)</f>
        <v>g46</v>
      </c>
      <c r="G1252" t="str" cm="1">
        <f t="array" aca="1" ref="G1252" ca="1">INDIRECT("'" &amp; A1252 &amp; "'!" &amp; ADDRESS(1, COLUMN(INDIRECT("'" &amp; A1252 &amp; "'!" &amp; B1252))))</f>
        <v>1973 - 4</v>
      </c>
      <c r="H1252" t="str">
        <f ca="1">VLOOKUP($G1252, survey_codes_dict!A:C, 2, FALSE)</f>
        <v>1973_4</v>
      </c>
      <c r="I1252" s="102" t="str">
        <f ca="1">VLOOKUP($G1252, survey_codes_dict!A:D, 4, FALSE)</f>
        <v>1973_3</v>
      </c>
      <c r="J1252" s="102" t="str">
        <f t="shared" ca="1" si="38"/>
        <v>1973_4__g46</v>
      </c>
      <c r="K1252" s="102" t="str">
        <f t="shared" ca="1" si="39"/>
        <v>1973_3__g46</v>
      </c>
      <c r="L1252" s="102"/>
      <c r="M1252" s="102"/>
      <c r="N1252" s="102"/>
      <c r="O1252" s="102"/>
      <c r="P1252" s="102"/>
      <c r="Q1252" s="102"/>
      <c r="R1252" s="102"/>
      <c r="S1252" s="101"/>
    </row>
    <row r="1253" spans="1:19" ht="72" x14ac:dyDescent="0.3">
      <c r="A1253" t="s">
        <v>5123</v>
      </c>
      <c r="B1253" t="s">
        <v>5272</v>
      </c>
      <c r="C1253" s="90" t="s">
        <v>3646</v>
      </c>
      <c r="D1253" t="s">
        <v>5562</v>
      </c>
      <c r="E1253" s="101" t="s">
        <v>5819</v>
      </c>
      <c r="F1253" t="str" cm="1">
        <f t="array" aca="1" ref="F1253" ca="1">INDIRECT("'" &amp; A1253 &amp; "'!" &amp; B1253)</f>
        <v>g47</v>
      </c>
      <c r="G1253" t="str" cm="1">
        <f t="array" aca="1" ref="G1253" ca="1">INDIRECT("'" &amp; A1253 &amp; "'!" &amp; ADDRESS(1, COLUMN(INDIRECT("'" &amp; A1253 &amp; "'!" &amp; B1253))))</f>
        <v>1973 - 4</v>
      </c>
      <c r="H1253" t="str">
        <f ca="1">VLOOKUP($G1253, survey_codes_dict!A:C, 2, FALSE)</f>
        <v>1973_4</v>
      </c>
      <c r="I1253" s="102" t="str">
        <f ca="1">VLOOKUP($G1253, survey_codes_dict!A:D, 4, FALSE)</f>
        <v>1973_3</v>
      </c>
      <c r="J1253" s="102" t="str">
        <f t="shared" ca="1" si="38"/>
        <v>1973_4__g47</v>
      </c>
      <c r="K1253" s="102" t="str">
        <f t="shared" ca="1" si="39"/>
        <v>1973_3__g47</v>
      </c>
      <c r="L1253" s="102"/>
      <c r="M1253" s="102"/>
      <c r="N1253" s="102"/>
      <c r="O1253" s="102"/>
      <c r="P1253" s="102"/>
      <c r="Q1253" s="102"/>
      <c r="R1253" s="102"/>
      <c r="S1253" s="101"/>
    </row>
    <row r="1254" spans="1:19" ht="72" x14ac:dyDescent="0.3">
      <c r="A1254" t="s">
        <v>5123</v>
      </c>
      <c r="B1254" t="s">
        <v>4482</v>
      </c>
      <c r="C1254" s="90" t="s">
        <v>5273</v>
      </c>
      <c r="D1254" t="s">
        <v>5562</v>
      </c>
      <c r="E1254" s="101" t="s">
        <v>6499</v>
      </c>
      <c r="F1254" t="str" cm="1">
        <f t="array" aca="1" ref="F1254" ca="1">INDIRECT("'" &amp; A1254 &amp; "'!" &amp; B1254)</f>
        <v>c37</v>
      </c>
      <c r="G1254" t="str" cm="1">
        <f t="array" aca="1" ref="G1254" ca="1">INDIRECT("'" &amp; A1254 &amp; "'!" &amp; ADDRESS(1, COLUMN(INDIRECT("'" &amp; A1254 &amp; "'!" &amp; B1254))))</f>
        <v>1969 - 2</v>
      </c>
      <c r="H1254" t="str">
        <f ca="1">VLOOKUP($G1254, survey_codes_dict!A:C, 2, FALSE)</f>
        <v>1969_2</v>
      </c>
      <c r="I1254" s="102" t="str">
        <f ca="1">VLOOKUP($G1254, survey_codes_dict!A:D, 4, FALSE)</f>
        <v>1969_1</v>
      </c>
      <c r="J1254" s="102" t="str">
        <f t="shared" ca="1" si="38"/>
        <v>1969_2__c37</v>
      </c>
      <c r="K1254" s="102" t="str">
        <f t="shared" ca="1" si="39"/>
        <v>1969_1__c37</v>
      </c>
      <c r="L1254" s="102"/>
      <c r="M1254" s="102"/>
      <c r="N1254" s="102"/>
      <c r="O1254" s="102"/>
      <c r="P1254" s="102"/>
      <c r="Q1254" s="102"/>
      <c r="R1254" s="102"/>
      <c r="S1254" s="101"/>
    </row>
    <row r="1255" spans="1:19" ht="86.4" x14ac:dyDescent="0.3">
      <c r="A1255" t="s">
        <v>5123</v>
      </c>
      <c r="B1255" t="s">
        <v>5274</v>
      </c>
      <c r="C1255" s="90" t="s">
        <v>5275</v>
      </c>
      <c r="D1255" t="s">
        <v>5562</v>
      </c>
      <c r="E1255" s="101" t="s">
        <v>6500</v>
      </c>
      <c r="F1255" t="str" cm="1">
        <f t="array" aca="1" ref="F1255" ca="1">INDIRECT("'" &amp; A1255 &amp; "'!" &amp; B1255)</f>
        <v>b12</v>
      </c>
      <c r="G1255" t="str" cm="1">
        <f t="array" aca="1" ref="G1255" ca="1">INDIRECT("'" &amp; A1255 &amp; "'!" &amp; ADDRESS(1, COLUMN(INDIRECT("'" &amp; A1255 &amp; "'!" &amp; B1255))))</f>
        <v>1969 - 1</v>
      </c>
      <c r="H1255" t="str">
        <f ca="1">VLOOKUP($G1255, survey_codes_dict!A:C, 2, FALSE)</f>
        <v>1969_1</v>
      </c>
      <c r="I1255" s="102">
        <f ca="1">VLOOKUP($G1255, survey_codes_dict!A:D, 4, FALSE)</f>
        <v>0</v>
      </c>
      <c r="J1255" s="102" t="str">
        <f t="shared" ca="1" si="38"/>
        <v>1969_1__b12</v>
      </c>
      <c r="K1255" s="102" t="str">
        <f t="shared" ca="1" si="39"/>
        <v>0__b12</v>
      </c>
      <c r="L1255" s="102"/>
      <c r="M1255" s="102"/>
      <c r="N1255" s="102"/>
      <c r="O1255" s="102"/>
      <c r="P1255" s="102"/>
      <c r="Q1255" s="102"/>
      <c r="R1255" s="102"/>
      <c r="S1255" s="101"/>
    </row>
    <row r="1256" spans="1:19" ht="86.4" x14ac:dyDescent="0.3">
      <c r="A1256" t="s">
        <v>5123</v>
      </c>
      <c r="B1256" t="s">
        <v>5276</v>
      </c>
      <c r="C1256" s="90" t="s">
        <v>4932</v>
      </c>
      <c r="D1256" t="s">
        <v>5562</v>
      </c>
      <c r="E1256" s="101" t="s">
        <v>6326</v>
      </c>
      <c r="F1256" t="str" cm="1">
        <f t="array" aca="1" ref="F1256" ca="1">INDIRECT("'" &amp; A1256 &amp; "'!" &amp; B1256)</f>
        <v>c33</v>
      </c>
      <c r="G1256" t="str" cm="1">
        <f t="array" aca="1" ref="G1256" ca="1">INDIRECT("'" &amp; A1256 &amp; "'!" &amp; ADDRESS(1, COLUMN(INDIRECT("'" &amp; A1256 &amp; "'!" &amp; B1256))))</f>
        <v>1969 - 1</v>
      </c>
      <c r="H1256" t="str">
        <f ca="1">VLOOKUP($G1256, survey_codes_dict!A:C, 2, FALSE)</f>
        <v>1969_1</v>
      </c>
      <c r="I1256" s="102">
        <f ca="1">VLOOKUP($G1256, survey_codes_dict!A:D, 4, FALSE)</f>
        <v>0</v>
      </c>
      <c r="J1256" s="102" t="str">
        <f t="shared" ca="1" si="38"/>
        <v>1969_1__c33</v>
      </c>
      <c r="K1256" s="102" t="str">
        <f t="shared" ca="1" si="39"/>
        <v>0__c33</v>
      </c>
      <c r="L1256" s="102"/>
      <c r="M1256" s="102"/>
      <c r="N1256" s="102"/>
      <c r="O1256" s="102"/>
      <c r="P1256" s="102"/>
      <c r="Q1256" s="102"/>
      <c r="R1256" s="102"/>
      <c r="S1256" s="101"/>
    </row>
    <row r="1257" spans="1:19" ht="86.4" x14ac:dyDescent="0.3">
      <c r="A1257" t="s">
        <v>5123</v>
      </c>
      <c r="B1257" t="s">
        <v>3739</v>
      </c>
      <c r="C1257" s="90" t="s">
        <v>4932</v>
      </c>
      <c r="D1257" t="s">
        <v>5562</v>
      </c>
      <c r="E1257" s="101" t="s">
        <v>6326</v>
      </c>
      <c r="F1257" t="str" cm="1">
        <f t="array" aca="1" ref="F1257" ca="1">INDIRECT("'" &amp; A1257 &amp; "'!" &amp; B1257)</f>
        <v>c35</v>
      </c>
      <c r="G1257" t="str" cm="1">
        <f t="array" aca="1" ref="G1257" ca="1">INDIRECT("'" &amp; A1257 &amp; "'!" &amp; ADDRESS(1, COLUMN(INDIRECT("'" &amp; A1257 &amp; "'!" &amp; B1257))))</f>
        <v>1969 - 1</v>
      </c>
      <c r="H1257" t="str">
        <f ca="1">VLOOKUP($G1257, survey_codes_dict!A:C, 2, FALSE)</f>
        <v>1969_1</v>
      </c>
      <c r="I1257" s="102">
        <f ca="1">VLOOKUP($G1257, survey_codes_dict!A:D, 4, FALSE)</f>
        <v>0</v>
      </c>
      <c r="J1257" s="102" t="str">
        <f t="shared" ca="1" si="38"/>
        <v>1969_1__c35</v>
      </c>
      <c r="K1257" s="102" t="str">
        <f t="shared" ca="1" si="39"/>
        <v>0__c35</v>
      </c>
      <c r="L1257" s="102"/>
      <c r="M1257" s="102"/>
      <c r="N1257" s="102"/>
      <c r="O1257" s="102"/>
      <c r="P1257" s="102"/>
      <c r="Q1257" s="102"/>
      <c r="R1257" s="102"/>
      <c r="S1257" s="101"/>
    </row>
    <row r="1258" spans="1:19" ht="86.4" x14ac:dyDescent="0.3">
      <c r="A1258" t="s">
        <v>5123</v>
      </c>
      <c r="B1258" t="s">
        <v>5277</v>
      </c>
      <c r="C1258" s="90" t="s">
        <v>5278</v>
      </c>
      <c r="D1258" t="s">
        <v>5562</v>
      </c>
      <c r="E1258" s="101" t="s">
        <v>6501</v>
      </c>
      <c r="F1258" t="str" cm="1">
        <f t="array" aca="1" ref="F1258" ca="1">INDIRECT("'" &amp; A1258 &amp; "'!" &amp; B1258)</f>
        <v>c36</v>
      </c>
      <c r="G1258" t="str" cm="1">
        <f t="array" aca="1" ref="G1258" ca="1">INDIRECT("'" &amp; A1258 &amp; "'!" &amp; ADDRESS(1, COLUMN(INDIRECT("'" &amp; A1258 &amp; "'!" &amp; B1258))))</f>
        <v>1969 - 1</v>
      </c>
      <c r="H1258" t="str">
        <f ca="1">VLOOKUP($G1258, survey_codes_dict!A:C, 2, FALSE)</f>
        <v>1969_1</v>
      </c>
      <c r="I1258" s="102">
        <f ca="1">VLOOKUP($G1258, survey_codes_dict!A:D, 4, FALSE)</f>
        <v>0</v>
      </c>
      <c r="J1258" s="102" t="str">
        <f t="shared" ca="1" si="38"/>
        <v>1969_1__c36</v>
      </c>
      <c r="K1258" s="102" t="str">
        <f t="shared" ca="1" si="39"/>
        <v>0__c36</v>
      </c>
      <c r="L1258" s="102"/>
      <c r="M1258" s="102"/>
      <c r="N1258" s="102"/>
      <c r="O1258" s="102"/>
      <c r="P1258" s="102"/>
      <c r="Q1258" s="102"/>
      <c r="R1258" s="102"/>
      <c r="S1258" s="101"/>
    </row>
    <row r="1259" spans="1:19" ht="129.6" x14ac:dyDescent="0.3">
      <c r="A1259" t="s">
        <v>5123</v>
      </c>
      <c r="B1259" t="s">
        <v>5279</v>
      </c>
      <c r="C1259" s="90" t="s">
        <v>5280</v>
      </c>
      <c r="D1259" t="s">
        <v>5562</v>
      </c>
      <c r="E1259" s="101" t="s">
        <v>6502</v>
      </c>
      <c r="F1259" t="str" cm="1">
        <f t="array" aca="1" ref="F1259" ca="1">INDIRECT("'" &amp; A1259 &amp; "'!" &amp; B1259)</f>
        <v>c38</v>
      </c>
      <c r="G1259" t="str" cm="1">
        <f t="array" aca="1" ref="G1259" ca="1">INDIRECT("'" &amp; A1259 &amp; "'!" &amp; ADDRESS(1, COLUMN(INDIRECT("'" &amp; A1259 &amp; "'!" &amp; B1259))))</f>
        <v>1969 - 1</v>
      </c>
      <c r="H1259" t="str">
        <f ca="1">VLOOKUP($G1259, survey_codes_dict!A:C, 2, FALSE)</f>
        <v>1969_1</v>
      </c>
      <c r="I1259" s="102">
        <f ca="1">VLOOKUP($G1259, survey_codes_dict!A:D, 4, FALSE)</f>
        <v>0</v>
      </c>
      <c r="J1259" s="102" t="str">
        <f t="shared" ca="1" si="38"/>
        <v>1969_1__c38</v>
      </c>
      <c r="K1259" s="102" t="str">
        <f t="shared" ca="1" si="39"/>
        <v>0__c38</v>
      </c>
      <c r="L1259" s="102"/>
      <c r="M1259" s="102"/>
      <c r="N1259" s="102"/>
      <c r="O1259" s="102"/>
      <c r="P1259" s="102"/>
      <c r="Q1259" s="102"/>
      <c r="R1259" s="102"/>
      <c r="S1259" s="101"/>
    </row>
    <row r="1260" spans="1:19" ht="129.6" x14ac:dyDescent="0.3">
      <c r="A1260" t="s">
        <v>5123</v>
      </c>
      <c r="B1260" t="s">
        <v>5281</v>
      </c>
      <c r="C1260" s="90" t="s">
        <v>5282</v>
      </c>
      <c r="D1260" t="s">
        <v>5562</v>
      </c>
      <c r="E1260" s="101" t="s">
        <v>6503</v>
      </c>
      <c r="F1260" t="str" cm="1">
        <f t="array" aca="1" ref="F1260" ca="1">INDIRECT("'" &amp; A1260 &amp; "'!" &amp; B1260)</f>
        <v>c39</v>
      </c>
      <c r="G1260" t="str" cm="1">
        <f t="array" aca="1" ref="G1260" ca="1">INDIRECT("'" &amp; A1260 &amp; "'!" &amp; ADDRESS(1, COLUMN(INDIRECT("'" &amp; A1260 &amp; "'!" &amp; B1260))))</f>
        <v>1969 - 1</v>
      </c>
      <c r="H1260" t="str">
        <f ca="1">VLOOKUP($G1260, survey_codes_dict!A:C, 2, FALSE)</f>
        <v>1969_1</v>
      </c>
      <c r="I1260" s="102">
        <f ca="1">VLOOKUP($G1260, survey_codes_dict!A:D, 4, FALSE)</f>
        <v>0</v>
      </c>
      <c r="J1260" s="102" t="str">
        <f t="shared" ca="1" si="38"/>
        <v>1969_1__c39</v>
      </c>
      <c r="K1260" s="102" t="str">
        <f t="shared" ca="1" si="39"/>
        <v>0__c39</v>
      </c>
      <c r="L1260" s="102"/>
      <c r="M1260" s="102"/>
      <c r="N1260" s="102"/>
      <c r="O1260" s="102"/>
      <c r="P1260" s="102"/>
      <c r="Q1260" s="102"/>
      <c r="R1260" s="102"/>
      <c r="S1260" s="101"/>
    </row>
    <row r="1261" spans="1:19" ht="72" x14ac:dyDescent="0.3">
      <c r="A1261" t="s">
        <v>5123</v>
      </c>
      <c r="B1261" t="s">
        <v>5283</v>
      </c>
      <c r="C1261" s="90" t="s">
        <v>5284</v>
      </c>
      <c r="D1261" t="s">
        <v>5562</v>
      </c>
      <c r="E1261" s="101" t="s">
        <v>6504</v>
      </c>
      <c r="F1261" t="str" cm="1">
        <f t="array" aca="1" ref="F1261" ca="1">INDIRECT("'" &amp; A1261 &amp; "'!" &amp; B1261)</f>
        <v>c42</v>
      </c>
      <c r="G1261" t="str" cm="1">
        <f t="array" aca="1" ref="G1261" ca="1">INDIRECT("'" &amp; A1261 &amp; "'!" &amp; ADDRESS(1, COLUMN(INDIRECT("'" &amp; A1261 &amp; "'!" &amp; B1261))))</f>
        <v>1969 - 1</v>
      </c>
      <c r="H1261" t="str">
        <f ca="1">VLOOKUP($G1261, survey_codes_dict!A:C, 2, FALSE)</f>
        <v>1969_1</v>
      </c>
      <c r="I1261" s="102">
        <f ca="1">VLOOKUP($G1261, survey_codes_dict!A:D, 4, FALSE)</f>
        <v>0</v>
      </c>
      <c r="J1261" s="102" t="str">
        <f t="shared" ca="1" si="38"/>
        <v>1969_1__c42</v>
      </c>
      <c r="K1261" s="102" t="str">
        <f t="shared" ca="1" si="39"/>
        <v>0__c42</v>
      </c>
      <c r="L1261" s="102"/>
      <c r="M1261" s="102"/>
      <c r="N1261" s="102"/>
      <c r="O1261" s="102"/>
      <c r="P1261" s="102"/>
      <c r="Q1261" s="102"/>
      <c r="R1261" s="102"/>
      <c r="S1261" s="101"/>
    </row>
    <row r="1262" spans="1:19" ht="115.2" x14ac:dyDescent="0.3">
      <c r="A1262" t="s">
        <v>5123</v>
      </c>
      <c r="B1262" t="s">
        <v>5285</v>
      </c>
      <c r="C1262" s="90" t="s">
        <v>5286</v>
      </c>
      <c r="D1262" t="s">
        <v>5562</v>
      </c>
      <c r="E1262" s="101" t="s">
        <v>6505</v>
      </c>
      <c r="F1262" t="str" cm="1">
        <f t="array" aca="1" ref="F1262" ca="1">INDIRECT("'" &amp; A1262 &amp; "'!" &amp; B1262)</f>
        <v>v701</v>
      </c>
      <c r="G1262" cm="1">
        <f t="array" aca="1" ref="G1262" ca="1">INDIRECT("'" &amp; A1262 &amp; "'!" &amp; ADDRESS(1, COLUMN(INDIRECT("'" &amp; A1262 &amp; "'!" &amp; B1262))))</f>
        <v>2022</v>
      </c>
      <c r="H1262" t="e">
        <f ca="1">VLOOKUP($G1262, survey_codes_dict!A:C, 2, FALSE)</f>
        <v>#N/A</v>
      </c>
      <c r="I1262" s="102" t="e">
        <f ca="1">VLOOKUP($G1262, survey_codes_dict!A:D, 4, FALSE)</f>
        <v>#N/A</v>
      </c>
      <c r="J1262" s="102" t="e">
        <f t="shared" ca="1" si="38"/>
        <v>#N/A</v>
      </c>
      <c r="K1262" s="102" t="e">
        <f t="shared" ca="1" si="39"/>
        <v>#N/A</v>
      </c>
      <c r="L1262" s="102"/>
      <c r="M1262" s="102"/>
      <c r="N1262" s="102"/>
      <c r="O1262" s="102"/>
      <c r="P1262" s="102"/>
      <c r="Q1262" s="102"/>
      <c r="R1262" s="102"/>
      <c r="S1262" s="101"/>
    </row>
    <row r="1263" spans="1:19" ht="57.6" x14ac:dyDescent="0.3">
      <c r="A1263" t="s">
        <v>5287</v>
      </c>
      <c r="B1263" t="s">
        <v>3562</v>
      </c>
      <c r="C1263" s="90" t="s">
        <v>5288</v>
      </c>
      <c r="D1263" t="s">
        <v>5562</v>
      </c>
      <c r="E1263" s="101" t="s">
        <v>6506</v>
      </c>
      <c r="F1263" t="str" cm="1">
        <f t="array" aca="1" ref="F1263" ca="1">INDIRECT("'" &amp; A1263 &amp; "'!" &amp; B1263)</f>
        <v>v115</v>
      </c>
      <c r="G1263" cm="1">
        <f t="array" aca="1" ref="G1263" ca="1">INDIRECT("'" &amp; A1263 &amp; "'!" &amp; ADDRESS(1, COLUMN(INDIRECT("'" &amp; A1263 &amp; "'!" &amp; B1263))))</f>
        <v>2020</v>
      </c>
      <c r="H1263" t="e">
        <f ca="1">VLOOKUP($G1263, survey_codes_dict!A:C, 2, FALSE)</f>
        <v>#N/A</v>
      </c>
      <c r="I1263" s="102" t="e">
        <f ca="1">VLOOKUP($G1263, survey_codes_dict!A:D, 4, FALSE)</f>
        <v>#N/A</v>
      </c>
      <c r="J1263" s="102" t="e">
        <f t="shared" ca="1" si="38"/>
        <v>#N/A</v>
      </c>
      <c r="K1263" s="102" t="e">
        <f t="shared" ca="1" si="39"/>
        <v>#N/A</v>
      </c>
      <c r="L1263" s="102"/>
      <c r="M1263" s="102"/>
      <c r="N1263" s="102"/>
      <c r="O1263" s="102"/>
      <c r="P1263" s="102"/>
      <c r="Q1263" s="102"/>
      <c r="R1263" s="102"/>
      <c r="S1263" s="101"/>
    </row>
    <row r="1264" spans="1:19" ht="86.4" x14ac:dyDescent="0.3">
      <c r="A1264" t="s">
        <v>5287</v>
      </c>
      <c r="B1264" t="s">
        <v>4064</v>
      </c>
      <c r="C1264" s="90" t="s">
        <v>5289</v>
      </c>
      <c r="D1264" t="s">
        <v>5562</v>
      </c>
      <c r="E1264" s="101" t="s">
        <v>6507</v>
      </c>
      <c r="F1264" t="str" cm="1">
        <f t="array" aca="1" ref="F1264" ca="1">INDIRECT("'" &amp; A1264 &amp; "'!" &amp; B1264)</f>
        <v>באיזו מידה אתה מסכים או לא מסכים, עם המשפטים הבאים: אתה מרגיש מחויב למשטר הדמוקרטי בישראל, גם אם יש תקופות שבהן ההחלטות לא מוצאות חן בעיניך?</v>
      </c>
      <c r="G1264" t="str" cm="1">
        <f t="array" aca="1" ref="G1264" ca="1">INDIRECT("'" &amp; A1264 &amp; "'!" &amp; ADDRESS(1, COLUMN(INDIRECT("'" &amp; A1264 &amp; "'!" &amp; B1264))))</f>
        <v>שאלה</v>
      </c>
      <c r="H1264" t="e">
        <f ca="1">VLOOKUP($G1264, survey_codes_dict!A:C, 2, FALSE)</f>
        <v>#N/A</v>
      </c>
      <c r="I1264" s="102" t="e">
        <f ca="1">VLOOKUP($G1264, survey_codes_dict!A:D, 4, FALSE)</f>
        <v>#N/A</v>
      </c>
      <c r="J1264" s="102" t="e">
        <f t="shared" ca="1" si="38"/>
        <v>#N/A</v>
      </c>
      <c r="K1264" s="102" t="e">
        <f t="shared" ca="1" si="39"/>
        <v>#N/A</v>
      </c>
      <c r="L1264" s="102"/>
      <c r="M1264" s="102"/>
      <c r="N1264" s="102"/>
      <c r="O1264" s="102"/>
      <c r="P1264" s="102"/>
      <c r="Q1264" s="102"/>
      <c r="R1264" s="102"/>
      <c r="S1264" s="102"/>
    </row>
    <row r="1265" spans="1:19" ht="72" x14ac:dyDescent="0.3">
      <c r="A1265" t="s">
        <v>5287</v>
      </c>
      <c r="B1265" t="s">
        <v>3774</v>
      </c>
      <c r="C1265" s="90" t="s">
        <v>4020</v>
      </c>
      <c r="D1265" t="s">
        <v>5562</v>
      </c>
      <c r="E1265" s="101" t="s">
        <v>5947</v>
      </c>
      <c r="F1265" cm="1">
        <f t="array" aca="1" ref="F1265" ca="1">INDIRECT("'" &amp; A1265 &amp; "'!" &amp; B1265)</f>
        <v>0</v>
      </c>
      <c r="G1265" cm="1">
        <f t="array" aca="1" ref="G1265" ca="1">INDIRECT("'" &amp; A1265 &amp; "'!" &amp; ADDRESS(1, COLUMN(INDIRECT("'" &amp; A1265 &amp; "'!" &amp; B1265))))</f>
        <v>2020</v>
      </c>
      <c r="H1265" t="e">
        <f ca="1">VLOOKUP($G1265, survey_codes_dict!A:C, 2, FALSE)</f>
        <v>#N/A</v>
      </c>
      <c r="I1265" s="102" t="e">
        <f ca="1">VLOOKUP($G1265, survey_codes_dict!A:D, 4, FALSE)</f>
        <v>#N/A</v>
      </c>
      <c r="J1265" s="102" t="e">
        <f t="shared" ca="1" si="38"/>
        <v>#N/A</v>
      </c>
      <c r="K1265" s="102" t="e">
        <f t="shared" ca="1" si="39"/>
        <v>#N/A</v>
      </c>
      <c r="L1265" s="102"/>
      <c r="M1265" s="102"/>
      <c r="N1265" s="102"/>
      <c r="O1265" s="102"/>
      <c r="P1265" s="102"/>
      <c r="Q1265" s="102"/>
      <c r="R1265" s="102"/>
      <c r="S1265" s="102"/>
    </row>
    <row r="1266" spans="1:19" ht="72" x14ac:dyDescent="0.3">
      <c r="A1266" t="s">
        <v>5287</v>
      </c>
      <c r="B1266" t="s">
        <v>3958</v>
      </c>
      <c r="C1266" s="90" t="s">
        <v>5003</v>
      </c>
      <c r="D1266" t="s">
        <v>5562</v>
      </c>
      <c r="E1266" s="101" t="s">
        <v>6362</v>
      </c>
      <c r="F1266" t="str" cm="1">
        <f t="array" aca="1" ref="F1266" ca="1">INDIRECT("'" &amp; A1266 &amp; "'!" &amp; B1266)</f>
        <v>v46</v>
      </c>
      <c r="G1266" cm="1">
        <f t="array" aca="1" ref="G1266" ca="1">INDIRECT("'" &amp; A1266 &amp; "'!" &amp; ADDRESS(1, COLUMN(INDIRECT("'" &amp; A1266 &amp; "'!" &amp; B1266))))</f>
        <v>2015</v>
      </c>
      <c r="H1266" t="e">
        <f ca="1">VLOOKUP($G1266, survey_codes_dict!A:C, 2, FALSE)</f>
        <v>#N/A</v>
      </c>
      <c r="I1266" s="102" t="e">
        <f ca="1">VLOOKUP($G1266, survey_codes_dict!A:D, 4, FALSE)</f>
        <v>#N/A</v>
      </c>
      <c r="J1266" s="102" t="e">
        <f t="shared" ca="1" si="38"/>
        <v>#N/A</v>
      </c>
      <c r="K1266" s="102" t="e">
        <f t="shared" ca="1" si="39"/>
        <v>#N/A</v>
      </c>
      <c r="L1266" s="102"/>
      <c r="M1266" s="102"/>
      <c r="N1266" s="102"/>
      <c r="O1266" s="102"/>
      <c r="P1266" s="102"/>
      <c r="Q1266" s="102"/>
      <c r="R1266" s="102"/>
      <c r="S1266" s="101"/>
    </row>
    <row r="1267" spans="1:19" ht="72" x14ac:dyDescent="0.3">
      <c r="A1267" t="s">
        <v>5287</v>
      </c>
      <c r="B1267" t="s">
        <v>5290</v>
      </c>
      <c r="C1267" s="90" t="s">
        <v>5291</v>
      </c>
      <c r="D1267" t="s">
        <v>5562</v>
      </c>
      <c r="E1267" s="101" t="s">
        <v>6508</v>
      </c>
      <c r="F1267" cm="1">
        <f t="array" aca="1" ref="F1267" ca="1">INDIRECT("'" &amp; A1267 &amp; "'!" &amp; B1267)</f>
        <v>0</v>
      </c>
      <c r="G1267" cm="1">
        <f t="array" aca="1" ref="G1267" ca="1">INDIRECT("'" &amp; A1267 &amp; "'!" &amp; ADDRESS(1, COLUMN(INDIRECT("'" &amp; A1267 &amp; "'!" &amp; B1267))))</f>
        <v>2020</v>
      </c>
      <c r="H1267" t="e">
        <f ca="1">VLOOKUP($G1267, survey_codes_dict!A:C, 2, FALSE)</f>
        <v>#N/A</v>
      </c>
      <c r="I1267" s="102" t="e">
        <f ca="1">VLOOKUP($G1267, survey_codes_dict!A:D, 4, FALSE)</f>
        <v>#N/A</v>
      </c>
      <c r="J1267" s="102" t="e">
        <f t="shared" ca="1" si="38"/>
        <v>#N/A</v>
      </c>
      <c r="K1267" s="102" t="e">
        <f t="shared" ca="1" si="39"/>
        <v>#N/A</v>
      </c>
      <c r="L1267" s="102"/>
      <c r="M1267" s="102"/>
      <c r="N1267" s="102"/>
      <c r="O1267" s="102"/>
      <c r="P1267" s="102"/>
      <c r="Q1267" s="102"/>
      <c r="R1267" s="102"/>
      <c r="S1267" s="102"/>
    </row>
    <row r="1268" spans="1:19" ht="72" x14ac:dyDescent="0.3">
      <c r="A1268" t="s">
        <v>5287</v>
      </c>
      <c r="B1268" t="s">
        <v>5292</v>
      </c>
      <c r="C1268" s="90" t="s">
        <v>5293</v>
      </c>
      <c r="D1268" t="s">
        <v>5562</v>
      </c>
      <c r="E1268" s="101" t="s">
        <v>6509</v>
      </c>
      <c r="F1268" t="str" cm="1">
        <f t="array" aca="1" ref="F1268" ca="1">INDIRECT("'" &amp; A1268 &amp; "'!" &amp; B1268)</f>
        <v>v32</v>
      </c>
      <c r="G1268" cm="1">
        <f t="array" aca="1" ref="G1268" ca="1">INDIRECT("'" &amp; A1268 &amp; "'!" &amp; ADDRESS(1, COLUMN(INDIRECT("'" &amp; A1268 &amp; "'!" &amp; B1268))))</f>
        <v>1999</v>
      </c>
      <c r="H1268" t="str">
        <f ca="1">VLOOKUP($G1268, survey_codes_dict!A:C, 2, FALSE)</f>
        <v>1999_1</v>
      </c>
      <c r="I1268" s="102" t="str">
        <f ca="1">VLOOKUP($G1268, survey_codes_dict!A:D, 4, FALSE)</f>
        <v>1996_Jews</v>
      </c>
      <c r="J1268" s="102" t="str">
        <f t="shared" ca="1" si="38"/>
        <v>1999_1__v32</v>
      </c>
      <c r="K1268" s="102" t="str">
        <f t="shared" ca="1" si="39"/>
        <v>1996_Jews__v32</v>
      </c>
      <c r="L1268" s="102"/>
      <c r="M1268" s="102"/>
      <c r="N1268" s="102"/>
      <c r="O1268" s="102"/>
      <c r="P1268" s="102"/>
      <c r="Q1268" s="102"/>
      <c r="R1268" s="102"/>
      <c r="S1268" s="101"/>
    </row>
    <row r="1269" spans="1:19" ht="72" x14ac:dyDescent="0.3">
      <c r="A1269" t="s">
        <v>5287</v>
      </c>
      <c r="B1269" t="s">
        <v>5294</v>
      </c>
      <c r="C1269" s="90" t="s">
        <v>3770</v>
      </c>
      <c r="D1269" t="s">
        <v>5562</v>
      </c>
      <c r="E1269" s="101" t="s">
        <v>5866</v>
      </c>
      <c r="F1269" t="str" cm="1">
        <f t="array" aca="1" ref="F1269" ca="1">INDIRECT("'" &amp; A1269 &amp; "'!" &amp; B1269)</f>
        <v>d22</v>
      </c>
      <c r="G1269" cm="1">
        <f t="array" aca="1" ref="G1269" ca="1">INDIRECT("'" &amp; A1269 &amp; "'!" &amp; ADDRESS(1, COLUMN(INDIRECT("'" &amp; A1269 &amp; "'!" &amp; B1269))))</f>
        <v>1999</v>
      </c>
      <c r="H1269" t="str">
        <f ca="1">VLOOKUP($G1269, survey_codes_dict!A:C, 2, FALSE)</f>
        <v>1999_1</v>
      </c>
      <c r="I1269" s="102" t="str">
        <f ca="1">VLOOKUP($G1269, survey_codes_dict!A:D, 4, FALSE)</f>
        <v>1996_Jews</v>
      </c>
      <c r="J1269" s="102" t="str">
        <f t="shared" ca="1" si="38"/>
        <v>1999_1__d22</v>
      </c>
      <c r="K1269" s="102" t="str">
        <f t="shared" ca="1" si="39"/>
        <v>1996_Jews__d22</v>
      </c>
      <c r="L1269" s="102"/>
      <c r="M1269" s="102"/>
      <c r="N1269" s="102"/>
      <c r="O1269" s="102"/>
      <c r="P1269" s="102"/>
      <c r="Q1269" s="102"/>
      <c r="R1269" s="102"/>
      <c r="S1269" s="101"/>
    </row>
    <row r="1270" spans="1:19" ht="216" x14ac:dyDescent="0.3">
      <c r="A1270" t="s">
        <v>5287</v>
      </c>
      <c r="B1270" t="s">
        <v>4288</v>
      </c>
      <c r="C1270" s="90" t="s">
        <v>5295</v>
      </c>
      <c r="D1270" t="s">
        <v>5562</v>
      </c>
      <c r="E1270" s="101" t="s">
        <v>6510</v>
      </c>
      <c r="F1270" t="str" cm="1">
        <f t="array" aca="1" ref="F1270" ca="1">INDIRECT("'" &amp; A1270 &amp; "'!" &amp; B1270)</f>
        <v>v512_code</v>
      </c>
      <c r="G1270" cm="1">
        <f t="array" aca="1" ref="G1270" ca="1">INDIRECT("'" &amp; A1270 &amp; "'!" &amp; ADDRESS(1, COLUMN(INDIRECT("'" &amp; A1270 &amp; "'!" &amp; B1270))))</f>
        <v>2020</v>
      </c>
      <c r="H1270" t="e">
        <f ca="1">VLOOKUP($G1270, survey_codes_dict!A:C, 2, FALSE)</f>
        <v>#N/A</v>
      </c>
      <c r="I1270" s="102" t="e">
        <f ca="1">VLOOKUP($G1270, survey_codes_dict!A:D, 4, FALSE)</f>
        <v>#N/A</v>
      </c>
      <c r="J1270" s="102" t="e">
        <f t="shared" ca="1" si="38"/>
        <v>#N/A</v>
      </c>
      <c r="K1270" s="102" t="e">
        <f t="shared" ca="1" si="39"/>
        <v>#N/A</v>
      </c>
      <c r="L1270" s="102"/>
      <c r="M1270" s="102"/>
      <c r="N1270" s="102"/>
      <c r="O1270" s="102"/>
      <c r="P1270" s="102"/>
      <c r="Q1270" s="102"/>
      <c r="R1270" s="102"/>
      <c r="S1270" s="102"/>
    </row>
    <row r="1271" spans="1:19" ht="100.8" x14ac:dyDescent="0.3">
      <c r="A1271" t="s">
        <v>5287</v>
      </c>
      <c r="B1271" t="s">
        <v>5296</v>
      </c>
      <c r="C1271" s="90" t="s">
        <v>5297</v>
      </c>
      <c r="D1271" t="s">
        <v>5562</v>
      </c>
      <c r="E1271" s="101" t="s">
        <v>6511</v>
      </c>
      <c r="F1271" t="str" cm="1">
        <f t="array" aca="1" ref="F1271" ca="1">INDIRECT("'" &amp; A1271 &amp; "'!" &amp; B1271)</f>
        <v>E10_after</v>
      </c>
      <c r="G1271" cm="1">
        <f t="array" aca="1" ref="G1271" ca="1">INDIRECT("'" &amp; A1271 &amp; "'!" &amp; ADDRESS(1, COLUMN(INDIRECT("'" &amp; A1271 &amp; "'!" &amp; B1271))))</f>
        <v>2020</v>
      </c>
      <c r="H1271" t="e">
        <f ca="1">VLOOKUP($G1271, survey_codes_dict!A:C, 2, FALSE)</f>
        <v>#N/A</v>
      </c>
      <c r="I1271" s="102" t="e">
        <f ca="1">VLOOKUP($G1271, survey_codes_dict!A:D, 4, FALSE)</f>
        <v>#N/A</v>
      </c>
      <c r="J1271" s="102" t="e">
        <f t="shared" ca="1" si="38"/>
        <v>#N/A</v>
      </c>
      <c r="K1271" s="102" t="e">
        <f t="shared" ca="1" si="39"/>
        <v>#N/A</v>
      </c>
      <c r="L1271" s="102"/>
      <c r="M1271" s="102"/>
      <c r="N1271" s="102"/>
      <c r="O1271" s="102"/>
      <c r="P1271" s="102"/>
      <c r="Q1271" s="102"/>
      <c r="R1271" s="102"/>
      <c r="S1271" s="102"/>
    </row>
    <row r="1272" spans="1:19" ht="72" x14ac:dyDescent="0.3">
      <c r="A1272" t="s">
        <v>5287</v>
      </c>
      <c r="B1272" t="s">
        <v>4330</v>
      </c>
      <c r="C1272" s="90" t="s">
        <v>5298</v>
      </c>
      <c r="D1272" t="s">
        <v>5562</v>
      </c>
      <c r="E1272" s="101" t="s">
        <v>6512</v>
      </c>
      <c r="F1272" t="str" cm="1">
        <f t="array" aca="1" ref="F1272" ca="1">INDIRECT("'" &amp; A1272 &amp; "'!" &amp; B1272)</f>
        <v>v34</v>
      </c>
      <c r="G1272" cm="1">
        <f t="array" aca="1" ref="G1272" ca="1">INDIRECT("'" &amp; A1272 &amp; "'!" &amp; ADDRESS(1, COLUMN(INDIRECT("'" &amp; A1272 &amp; "'!" &amp; B1272))))</f>
        <v>1999</v>
      </c>
      <c r="H1272" t="str">
        <f ca="1">VLOOKUP($G1272, survey_codes_dict!A:C, 2, FALSE)</f>
        <v>1999_1</v>
      </c>
      <c r="I1272" s="102" t="str">
        <f ca="1">VLOOKUP($G1272, survey_codes_dict!A:D, 4, FALSE)</f>
        <v>1996_Jews</v>
      </c>
      <c r="J1272" s="102" t="str">
        <f t="shared" ca="1" si="38"/>
        <v>1999_1__v34</v>
      </c>
      <c r="K1272" s="102" t="str">
        <f t="shared" ca="1" si="39"/>
        <v>1996_Jews__v34</v>
      </c>
      <c r="L1272" s="102"/>
      <c r="M1272" s="102"/>
      <c r="N1272" s="102"/>
      <c r="O1272" s="102"/>
      <c r="P1272" s="102"/>
      <c r="Q1272" s="102"/>
      <c r="R1272" s="102"/>
      <c r="S1272" s="101"/>
    </row>
    <row r="1273" spans="1:19" ht="72" x14ac:dyDescent="0.3">
      <c r="A1273" t="s">
        <v>5287</v>
      </c>
      <c r="B1273" t="s">
        <v>3627</v>
      </c>
      <c r="C1273" s="90" t="s">
        <v>5299</v>
      </c>
      <c r="D1273" t="s">
        <v>5562</v>
      </c>
      <c r="E1273" s="101" t="s">
        <v>6513</v>
      </c>
      <c r="F1273" t="str" cm="1">
        <f t="array" aca="1" ref="F1273" ca="1">INDIRECT("'" &amp; A1273 &amp; "'!" &amp; B1273)</f>
        <v>d27</v>
      </c>
      <c r="G1273" cm="1">
        <f t="array" aca="1" ref="G1273" ca="1">INDIRECT("'" &amp; A1273 &amp; "'!" &amp; ADDRESS(1, COLUMN(INDIRECT("'" &amp; A1273 &amp; "'!" &amp; B1273))))</f>
        <v>1999</v>
      </c>
      <c r="H1273" t="str">
        <f ca="1">VLOOKUP($G1273, survey_codes_dict!A:C, 2, FALSE)</f>
        <v>1999_1</v>
      </c>
      <c r="I1273" s="102" t="str">
        <f ca="1">VLOOKUP($G1273, survey_codes_dict!A:D, 4, FALSE)</f>
        <v>1996_Jews</v>
      </c>
      <c r="J1273" s="102" t="str">
        <f t="shared" ca="1" si="38"/>
        <v>1999_1__d27</v>
      </c>
      <c r="K1273" s="102" t="str">
        <f t="shared" ca="1" si="39"/>
        <v>1996_Jews__d27</v>
      </c>
      <c r="L1273" s="102"/>
      <c r="M1273" s="102"/>
      <c r="N1273" s="102"/>
      <c r="O1273" s="102"/>
      <c r="P1273" s="102"/>
      <c r="Q1273" s="102"/>
      <c r="R1273" s="102"/>
      <c r="S1273" s="101"/>
    </row>
    <row r="1274" spans="1:19" ht="57.6" x14ac:dyDescent="0.3">
      <c r="A1274" t="s">
        <v>5287</v>
      </c>
      <c r="B1274" t="s">
        <v>5300</v>
      </c>
      <c r="C1274" s="90" t="s">
        <v>5301</v>
      </c>
      <c r="D1274" t="s">
        <v>5562</v>
      </c>
      <c r="E1274" s="101" t="s">
        <v>6514</v>
      </c>
      <c r="F1274" t="str" cm="1">
        <f t="array" aca="1" ref="F1274" ca="1">INDIRECT("'" &amp; A1274 &amp; "'!" &amp; B1274)</f>
        <v>v114</v>
      </c>
      <c r="G1274" cm="1">
        <f t="array" aca="1" ref="G1274" ca="1">INDIRECT("'" &amp; A1274 &amp; "'!" &amp; ADDRESS(1, COLUMN(INDIRECT("'" &amp; A1274 &amp; "'!" &amp; B1274))))</f>
        <v>43556</v>
      </c>
      <c r="H1274" t="e">
        <f ca="1">VLOOKUP($G1274, survey_codes_dict!A:C, 2, FALSE)</f>
        <v>#N/A</v>
      </c>
      <c r="I1274" s="102" t="e">
        <f ca="1">VLOOKUP($G1274, survey_codes_dict!A:D, 4, FALSE)</f>
        <v>#N/A</v>
      </c>
      <c r="J1274" s="102" t="e">
        <f t="shared" ca="1" si="38"/>
        <v>#N/A</v>
      </c>
      <c r="K1274" s="102" t="e">
        <f t="shared" ca="1" si="39"/>
        <v>#N/A</v>
      </c>
      <c r="L1274" s="102"/>
      <c r="M1274" s="102"/>
      <c r="N1274" s="102"/>
      <c r="O1274" s="102"/>
      <c r="P1274" s="102"/>
      <c r="Q1274" s="102"/>
      <c r="R1274" s="102"/>
      <c r="S1274" s="101"/>
    </row>
    <row r="1275" spans="1:19" ht="72" x14ac:dyDescent="0.3">
      <c r="A1275" t="s">
        <v>5287</v>
      </c>
      <c r="B1275" t="s">
        <v>4964</v>
      </c>
      <c r="C1275" s="90" t="s">
        <v>3712</v>
      </c>
      <c r="D1275" t="s">
        <v>5562</v>
      </c>
      <c r="E1275" s="101" t="s">
        <v>5848</v>
      </c>
      <c r="F1275" t="str" cm="1">
        <f t="array" aca="1" ref="F1275" ca="1">INDIRECT("'" &amp; A1275 &amp; "'!" &amp; B1275)</f>
        <v>i21</v>
      </c>
      <c r="G1275" cm="1">
        <f t="array" aca="1" ref="G1275" ca="1">INDIRECT("'" &amp; A1275 &amp; "'!" &amp; ADDRESS(1, COLUMN(INDIRECT("'" &amp; A1275 &amp; "'!" &amp; B1275))))</f>
        <v>1992</v>
      </c>
      <c r="H1275" t="str">
        <f ca="1">VLOOKUP($G1275, survey_codes_dict!A:C, 2, FALSE)</f>
        <v>1992</v>
      </c>
      <c r="I1275" s="102" t="str">
        <f ca="1">VLOOKUP($G1275, survey_codes_dict!A:D, 4, FALSE)</f>
        <v>1988_N=873</v>
      </c>
      <c r="J1275" s="102" t="str">
        <f t="shared" ca="1" si="38"/>
        <v>1992__i21</v>
      </c>
      <c r="K1275" s="102" t="str">
        <f t="shared" ca="1" si="39"/>
        <v>1988_N=873__i21</v>
      </c>
      <c r="L1275" s="102"/>
      <c r="M1275" s="102"/>
      <c r="N1275" s="102"/>
      <c r="O1275" s="102"/>
      <c r="P1275" s="102"/>
      <c r="Q1275" s="102"/>
      <c r="R1275" s="102"/>
      <c r="S1275" s="101"/>
    </row>
    <row r="1276" spans="1:19" ht="43.2" x14ac:dyDescent="0.3">
      <c r="A1276" t="s">
        <v>5287</v>
      </c>
      <c r="B1276" t="s">
        <v>5302</v>
      </c>
      <c r="C1276" s="90" t="s">
        <v>3644</v>
      </c>
      <c r="D1276" t="s">
        <v>5562</v>
      </c>
      <c r="E1276" s="101" t="s">
        <v>5818</v>
      </c>
      <c r="F1276" t="str" cm="1">
        <f t="array" aca="1" ref="F1276" ca="1">INDIRECT("'" &amp; A1276 &amp; "'!" &amp; B1276)</f>
        <v>i30</v>
      </c>
      <c r="G1276" cm="1">
        <f t="array" aca="1" ref="G1276" ca="1">INDIRECT("'" &amp; A1276 &amp; "'!" &amp; ADDRESS(1, COLUMN(INDIRECT("'" &amp; A1276 &amp; "'!" &amp; B1276))))</f>
        <v>1992</v>
      </c>
      <c r="H1276" t="str">
        <f ca="1">VLOOKUP($G1276, survey_codes_dict!A:C, 2, FALSE)</f>
        <v>1992</v>
      </c>
      <c r="I1276" s="102" t="str">
        <f ca="1">VLOOKUP($G1276, survey_codes_dict!A:D, 4, FALSE)</f>
        <v>1988_N=873</v>
      </c>
      <c r="J1276" s="102" t="str">
        <f t="shared" ca="1" si="38"/>
        <v>1992__i30</v>
      </c>
      <c r="K1276" s="102" t="str">
        <f t="shared" ca="1" si="39"/>
        <v>1988_N=873__i30</v>
      </c>
      <c r="L1276" s="102"/>
      <c r="M1276" s="102"/>
      <c r="N1276" s="102"/>
      <c r="O1276" s="102"/>
      <c r="P1276" s="102"/>
      <c r="Q1276" s="102"/>
      <c r="R1276" s="102"/>
      <c r="S1276" s="101"/>
    </row>
    <row r="1277" spans="1:19" ht="72" x14ac:dyDescent="0.3">
      <c r="A1277" t="s">
        <v>5287</v>
      </c>
      <c r="B1277" t="s">
        <v>5303</v>
      </c>
      <c r="C1277" s="90" t="s">
        <v>5154</v>
      </c>
      <c r="D1277" t="s">
        <v>5562</v>
      </c>
      <c r="E1277" s="101" t="s">
        <v>6441</v>
      </c>
      <c r="F1277" t="str" cm="1">
        <f t="array" aca="1" ref="F1277" ca="1">INDIRECT("'" &amp; A1277 &amp; "'!" &amp; B1277)</f>
        <v>v42</v>
      </c>
      <c r="G1277" cm="1">
        <f t="array" aca="1" ref="G1277" ca="1">INDIRECT("'" &amp; A1277 &amp; "'!" &amp; ADDRESS(1, COLUMN(INDIRECT("'" &amp; A1277 &amp; "'!" &amp; B1277))))</f>
        <v>2009</v>
      </c>
      <c r="H1277" t="e">
        <f ca="1">VLOOKUP($G1277, survey_codes_dict!A:C, 2, FALSE)</f>
        <v>#N/A</v>
      </c>
      <c r="I1277" s="102" t="e">
        <f ca="1">VLOOKUP($G1277, survey_codes_dict!A:D, 4, FALSE)</f>
        <v>#N/A</v>
      </c>
      <c r="J1277" s="102" t="e">
        <f t="shared" ca="1" si="38"/>
        <v>#N/A</v>
      </c>
      <c r="K1277" s="102" t="e">
        <f t="shared" ca="1" si="39"/>
        <v>#N/A</v>
      </c>
      <c r="L1277" s="102"/>
      <c r="M1277" s="102"/>
      <c r="N1277" s="102"/>
      <c r="O1277" s="102"/>
      <c r="P1277" s="102"/>
      <c r="Q1277" s="102"/>
      <c r="R1277" s="102"/>
      <c r="S1277" s="101"/>
    </row>
    <row r="1278" spans="1:19" ht="86.4" x14ac:dyDescent="0.3">
      <c r="A1278" t="s">
        <v>5287</v>
      </c>
      <c r="B1278" t="s">
        <v>4965</v>
      </c>
      <c r="C1278" s="90" t="s">
        <v>5304</v>
      </c>
      <c r="D1278" t="s">
        <v>5562</v>
      </c>
      <c r="E1278" s="101" t="s">
        <v>6515</v>
      </c>
      <c r="F1278" t="str" cm="1">
        <f t="array" aca="1" ref="F1278" ca="1">INDIRECT("'" &amp; A1278 &amp; "'!" &amp; B1278)</f>
        <v>c3</v>
      </c>
      <c r="G1278" t="str" cm="1">
        <f t="array" aca="1" ref="G1278" ca="1">INDIRECT("'" &amp; A1278 &amp; "'!" &amp; ADDRESS(1, COLUMN(INDIRECT("'" &amp; A1278 &amp; "'!" &amp; B1278))))</f>
        <v>1988*</v>
      </c>
      <c r="H1278" t="str">
        <f ca="1">VLOOKUP($G1278, survey_codes_dict!A:C, 2, FALSE)</f>
        <v>1988_N=873</v>
      </c>
      <c r="I1278" s="102" t="str">
        <f ca="1">VLOOKUP($G1278, survey_codes_dict!A:D, 4, FALSE)</f>
        <v>1988_Panel_N=416</v>
      </c>
      <c r="J1278" s="102" t="str">
        <f t="shared" ca="1" si="38"/>
        <v>1988_N=873__c3</v>
      </c>
      <c r="K1278" s="102" t="str">
        <f t="shared" ca="1" si="39"/>
        <v>1988_Panel_N=416__c3</v>
      </c>
      <c r="L1278" s="102"/>
      <c r="M1278" s="102"/>
      <c r="N1278" s="102"/>
      <c r="O1278" s="102"/>
      <c r="P1278" s="102"/>
      <c r="Q1278" s="102"/>
      <c r="R1278" s="102"/>
      <c r="S1278" s="101"/>
    </row>
    <row r="1279" spans="1:19" ht="86.4" x14ac:dyDescent="0.3">
      <c r="A1279" t="s">
        <v>5287</v>
      </c>
      <c r="B1279" t="s">
        <v>5305</v>
      </c>
      <c r="C1279" s="90" t="s">
        <v>4834</v>
      </c>
      <c r="D1279" t="s">
        <v>5562</v>
      </c>
      <c r="E1279" s="101" t="s">
        <v>6279</v>
      </c>
      <c r="F1279" t="str" cm="1">
        <f t="array" aca="1" ref="F1279" ca="1">INDIRECT("'" &amp; A1279 &amp; "'!" &amp; B1279)</f>
        <v>a10</v>
      </c>
      <c r="G1279" t="str" cm="1">
        <f t="array" aca="1" ref="G1279" ca="1">INDIRECT("'" &amp; A1279 &amp; "'!" &amp; ADDRESS(1, COLUMN(INDIRECT("'" &amp; A1279 &amp; "'!" &amp; B1279))))</f>
        <v>1981 - 2</v>
      </c>
      <c r="H1279">
        <f ca="1">VLOOKUP($G1279, survey_codes_dict!A:C, 2, FALSE)</f>
        <v>0</v>
      </c>
      <c r="I1279" s="102" t="str">
        <f ca="1">VLOOKUP($G1279, survey_codes_dict!A:D, 4, FALSE)</f>
        <v>1981_1</v>
      </c>
      <c r="J1279" s="102" t="str">
        <f t="shared" ca="1" si="38"/>
        <v>0__a10</v>
      </c>
      <c r="K1279" s="102" t="str">
        <f t="shared" ca="1" si="39"/>
        <v>1981_1__a10</v>
      </c>
      <c r="L1279" s="102"/>
      <c r="M1279" s="102"/>
      <c r="N1279" s="102"/>
      <c r="O1279" s="102"/>
      <c r="P1279" s="102"/>
      <c r="Q1279" s="102"/>
      <c r="R1279" s="102"/>
      <c r="S1279" s="101"/>
    </row>
    <row r="1280" spans="1:19" ht="72" x14ac:dyDescent="0.3">
      <c r="A1280" t="s">
        <v>5287</v>
      </c>
      <c r="B1280" t="s">
        <v>3915</v>
      </c>
      <c r="C1280" s="90" t="s">
        <v>5154</v>
      </c>
      <c r="D1280" t="s">
        <v>5562</v>
      </c>
      <c r="E1280" s="101" t="s">
        <v>6441</v>
      </c>
      <c r="F1280" t="str" cm="1">
        <f t="array" aca="1" ref="F1280" ca="1">INDIRECT("'" &amp; A1280 &amp; "'!" &amp; B1280)</f>
        <v>v53</v>
      </c>
      <c r="G1280" cm="1">
        <f t="array" aca="1" ref="G1280" ca="1">INDIRECT("'" &amp; A1280 &amp; "'!" &amp; ADDRESS(1, COLUMN(INDIRECT("'" &amp; A1280 &amp; "'!" &amp; B1280))))</f>
        <v>2009</v>
      </c>
      <c r="H1280" t="e">
        <f ca="1">VLOOKUP($G1280, survey_codes_dict!A:C, 2, FALSE)</f>
        <v>#N/A</v>
      </c>
      <c r="I1280" s="102" t="e">
        <f ca="1">VLOOKUP($G1280, survey_codes_dict!A:D, 4, FALSE)</f>
        <v>#N/A</v>
      </c>
      <c r="J1280" s="102" t="e">
        <f t="shared" ca="1" si="38"/>
        <v>#N/A</v>
      </c>
      <c r="K1280" s="102" t="e">
        <f t="shared" ca="1" si="39"/>
        <v>#N/A</v>
      </c>
      <c r="L1280" s="102"/>
      <c r="M1280" s="102"/>
      <c r="N1280" s="102"/>
      <c r="O1280" s="102"/>
      <c r="P1280" s="102"/>
      <c r="Q1280" s="102"/>
      <c r="R1280" s="102"/>
      <c r="S1280" s="101"/>
    </row>
    <row r="1281" spans="1:19" ht="28.8" x14ac:dyDescent="0.3">
      <c r="A1281" t="s">
        <v>5287</v>
      </c>
      <c r="B1281" t="s">
        <v>5160</v>
      </c>
      <c r="C1281" s="90" t="s">
        <v>3354</v>
      </c>
      <c r="D1281" t="s">
        <v>399</v>
      </c>
      <c r="E1281" s="101" t="s">
        <v>5567</v>
      </c>
      <c r="F1281" t="str" cm="1">
        <f t="array" aca="1" ref="F1281" ca="1">INDIRECT("'" &amp; A1281 &amp; "'!" &amp; B1281)</f>
        <v>האם אתה חושב שבהחלטות גורליות למדינה כמו החזרת שטחים צריכים להשתתף רק יהודים או גם ערבים אזרחי ישראל?</v>
      </c>
      <c r="G1281" t="str" cm="1">
        <f t="array" aca="1" ref="G1281" ca="1">INDIRECT("'" &amp; A1281 &amp; "'!" &amp; ADDRESS(1, COLUMN(INDIRECT("'" &amp; A1281 &amp; "'!" &amp; B1281))))</f>
        <v>שאלה</v>
      </c>
      <c r="H1281" t="e">
        <f ca="1">VLOOKUP($G1281, survey_codes_dict!A:C, 2, FALSE)</f>
        <v>#N/A</v>
      </c>
      <c r="I1281" s="102" t="e">
        <f ca="1">VLOOKUP($G1281, survey_codes_dict!A:D, 4, FALSE)</f>
        <v>#N/A</v>
      </c>
      <c r="J1281" s="102" t="e">
        <f t="shared" ca="1" si="38"/>
        <v>#N/A</v>
      </c>
      <c r="K1281" s="102" t="e">
        <f t="shared" ca="1" si="39"/>
        <v>#N/A</v>
      </c>
      <c r="L1281" s="102"/>
      <c r="M1281" s="102"/>
      <c r="N1281" s="102"/>
      <c r="O1281" s="102"/>
      <c r="P1281" s="102"/>
      <c r="Q1281" s="102"/>
      <c r="R1281" s="102"/>
      <c r="S1281" s="102"/>
    </row>
    <row r="1282" spans="1:19" ht="72" x14ac:dyDescent="0.3">
      <c r="A1282" t="s">
        <v>5287</v>
      </c>
      <c r="B1282" t="s">
        <v>5306</v>
      </c>
      <c r="C1282" s="90" t="s">
        <v>5307</v>
      </c>
      <c r="D1282" t="s">
        <v>5562</v>
      </c>
      <c r="E1282" s="101" t="s">
        <v>6516</v>
      </c>
      <c r="F1282" t="str" cm="1">
        <f t="array" aca="1" ref="F1282" ca="1">INDIRECT("'" &amp; A1282 &amp; "'!" &amp; B1282)</f>
        <v>a56</v>
      </c>
      <c r="G1282" cm="1">
        <f t="array" aca="1" ref="G1282" ca="1">INDIRECT("'" &amp; A1282 &amp; "'!" &amp; ADDRESS(1, COLUMN(INDIRECT("'" &amp; A1282 &amp; "'!" &amp; B1282))))</f>
        <v>2001</v>
      </c>
      <c r="H1282" t="str">
        <f ca="1">VLOOKUP($G1282, survey_codes_dict!A:C, 2, FALSE)</f>
        <v>2001</v>
      </c>
      <c r="I1282" s="102" t="str">
        <f ca="1">VLOOKUP($G1282, survey_codes_dict!A:D, 4, FALSE)</f>
        <v>1999_1</v>
      </c>
      <c r="J1282" s="102" t="str">
        <f t="shared" ref="J1282:J1345" ca="1" si="40">_xlfn.CONCAT($H1282, "__", F1282)</f>
        <v>2001__a56</v>
      </c>
      <c r="K1282" s="102" t="str">
        <f t="shared" ref="K1282:K1345" ca="1" si="41">_xlfn.CONCAT($I1282, "__", F1282)</f>
        <v>1999_1__a56</v>
      </c>
      <c r="L1282" s="102"/>
      <c r="M1282" s="102"/>
      <c r="N1282" s="102"/>
      <c r="O1282" s="102"/>
      <c r="P1282" s="102"/>
      <c r="Q1282" s="102"/>
      <c r="R1282" s="102"/>
      <c r="S1282" s="101"/>
    </row>
    <row r="1283" spans="1:19" ht="72" x14ac:dyDescent="0.3">
      <c r="A1283" t="s">
        <v>5287</v>
      </c>
      <c r="B1283" t="s">
        <v>4353</v>
      </c>
      <c r="C1283" s="90" t="s">
        <v>5298</v>
      </c>
      <c r="D1283" t="s">
        <v>5562</v>
      </c>
      <c r="E1283" s="101" t="s">
        <v>6512</v>
      </c>
      <c r="F1283" t="str" cm="1">
        <f t="array" aca="1" ref="F1283" ca="1">INDIRECT("'" &amp; A1283 &amp; "'!" &amp; B1283)</f>
        <v>v35</v>
      </c>
      <c r="G1283" cm="1">
        <f t="array" aca="1" ref="G1283" ca="1">INDIRECT("'" &amp; A1283 &amp; "'!" &amp; ADDRESS(1, COLUMN(INDIRECT("'" &amp; A1283 &amp; "'!" &amp; B1283))))</f>
        <v>1999</v>
      </c>
      <c r="H1283" t="str">
        <f ca="1">VLOOKUP($G1283, survey_codes_dict!A:C, 2, FALSE)</f>
        <v>1999_1</v>
      </c>
      <c r="I1283" s="102" t="str">
        <f ca="1">VLOOKUP($G1283, survey_codes_dict!A:D, 4, FALSE)</f>
        <v>1996_Jews</v>
      </c>
      <c r="J1283" s="102" t="str">
        <f t="shared" ca="1" si="40"/>
        <v>1999_1__v35</v>
      </c>
      <c r="K1283" s="102" t="str">
        <f t="shared" ca="1" si="41"/>
        <v>1996_Jews__v35</v>
      </c>
      <c r="L1283" s="102"/>
      <c r="M1283" s="102"/>
      <c r="N1283" s="102"/>
      <c r="O1283" s="102"/>
      <c r="P1283" s="102"/>
      <c r="Q1283" s="102"/>
      <c r="R1283" s="102"/>
      <c r="S1283" s="101"/>
    </row>
    <row r="1284" spans="1:19" ht="72" x14ac:dyDescent="0.3">
      <c r="A1284" t="s">
        <v>5287</v>
      </c>
      <c r="B1284" t="s">
        <v>5308</v>
      </c>
      <c r="C1284" s="90" t="s">
        <v>5309</v>
      </c>
      <c r="D1284" t="s">
        <v>5562</v>
      </c>
      <c r="E1284" s="101" t="s">
        <v>6517</v>
      </c>
      <c r="F1284" t="str" cm="1">
        <f t="array" aca="1" ref="F1284" ca="1">INDIRECT("'" &amp; A1284 &amp; "'!" &amp; B1284)</f>
        <v>c24</v>
      </c>
      <c r="G1284" cm="1">
        <f t="array" aca="1" ref="G1284" ca="1">INDIRECT("'" &amp; A1284 &amp; "'!" &amp; ADDRESS(1, COLUMN(INDIRECT("'" &amp; A1284 &amp; "'!" &amp; B1284))))</f>
        <v>1996</v>
      </c>
      <c r="H1284" t="str">
        <f ca="1">VLOOKUP($G1284, survey_codes_dict!A:C, 2, FALSE)</f>
        <v>1996_Jews</v>
      </c>
      <c r="I1284" s="102" t="str">
        <f ca="1">VLOOKUP($G1284, survey_codes_dict!A:D, 4, FALSE)</f>
        <v>1992</v>
      </c>
      <c r="J1284" s="102" t="str">
        <f t="shared" ca="1" si="40"/>
        <v>1996_Jews__c24</v>
      </c>
      <c r="K1284" s="102" t="str">
        <f t="shared" ca="1" si="41"/>
        <v>1992__c24</v>
      </c>
      <c r="L1284" s="102"/>
      <c r="M1284" s="102"/>
      <c r="N1284" s="102"/>
      <c r="O1284" s="102"/>
      <c r="P1284" s="102"/>
      <c r="Q1284" s="102"/>
      <c r="R1284" s="102"/>
      <c r="S1284" s="101"/>
    </row>
    <row r="1285" spans="1:19" ht="100.8" x14ac:dyDescent="0.3">
      <c r="A1285" t="s">
        <v>5287</v>
      </c>
      <c r="B1285" t="s">
        <v>5310</v>
      </c>
      <c r="C1285" s="90" t="s">
        <v>5311</v>
      </c>
      <c r="D1285" t="s">
        <v>5562</v>
      </c>
      <c r="E1285" s="101" t="s">
        <v>6518</v>
      </c>
      <c r="F1285" t="str" cm="1">
        <f t="array" aca="1" ref="F1285" ca="1">INDIRECT("'" &amp; A1285 &amp; "'!" &amp; B1285)</f>
        <v>v11</v>
      </c>
      <c r="G1285" cm="1">
        <f t="array" aca="1" ref="G1285" ca="1">INDIRECT("'" &amp; A1285 &amp; "'!" &amp; ADDRESS(1, COLUMN(INDIRECT("'" &amp; A1285 &amp; "'!" &amp; B1285))))</f>
        <v>1984</v>
      </c>
      <c r="H1285" t="str">
        <f ca="1">VLOOKUP($G1285, survey_codes_dict!A:C, 2, FALSE)</f>
        <v>1984</v>
      </c>
      <c r="I1285" s="102" t="str">
        <f ca="1">VLOOKUP($G1285, survey_codes_dict!A:D, 4, FALSE)</f>
        <v>1981_3</v>
      </c>
      <c r="J1285" s="102" t="str">
        <f t="shared" ca="1" si="40"/>
        <v>1984__v11</v>
      </c>
      <c r="K1285" s="102" t="str">
        <f t="shared" ca="1" si="41"/>
        <v>1981_3__v11</v>
      </c>
      <c r="L1285" s="102"/>
      <c r="M1285" s="102"/>
      <c r="N1285" s="102"/>
      <c r="O1285" s="102"/>
      <c r="P1285" s="102"/>
      <c r="Q1285" s="102"/>
      <c r="R1285" s="102"/>
      <c r="S1285" s="101"/>
    </row>
    <row r="1286" spans="1:19" ht="100.8" x14ac:dyDescent="0.3">
      <c r="A1286" t="s">
        <v>5287</v>
      </c>
      <c r="B1286" t="s">
        <v>5030</v>
      </c>
      <c r="C1286" s="90" t="s">
        <v>5312</v>
      </c>
      <c r="D1286" t="s">
        <v>5562</v>
      </c>
      <c r="E1286" s="101" t="s">
        <v>6519</v>
      </c>
      <c r="F1286" t="str" cm="1">
        <f t="array" aca="1" ref="F1286" ca="1">INDIRECT("'" &amp; A1286 &amp; "'!" &amp; B1286)</f>
        <v>a16</v>
      </c>
      <c r="G1286" cm="1">
        <f t="array" aca="1" ref="G1286" ca="1">INDIRECT("'" &amp; A1286 &amp; "'!" &amp; ADDRESS(1, COLUMN(INDIRECT("'" &amp; A1286 &amp; "'!" &amp; B1286))))</f>
        <v>1992</v>
      </c>
      <c r="H1286" t="str">
        <f ca="1">VLOOKUP($G1286, survey_codes_dict!A:C, 2, FALSE)</f>
        <v>1992</v>
      </c>
      <c r="I1286" s="102" t="str">
        <f ca="1">VLOOKUP($G1286, survey_codes_dict!A:D, 4, FALSE)</f>
        <v>1988_N=873</v>
      </c>
      <c r="J1286" s="102" t="str">
        <f t="shared" ca="1" si="40"/>
        <v>1992__a16</v>
      </c>
      <c r="K1286" s="102" t="str">
        <f t="shared" ca="1" si="41"/>
        <v>1988_N=873__a16</v>
      </c>
      <c r="L1286" s="102"/>
      <c r="M1286" s="102"/>
      <c r="N1286" s="102"/>
      <c r="O1286" s="102"/>
      <c r="P1286" s="102"/>
      <c r="Q1286" s="102"/>
      <c r="R1286" s="102"/>
      <c r="S1286" s="101"/>
    </row>
    <row r="1287" spans="1:19" ht="100.8" x14ac:dyDescent="0.3">
      <c r="A1287" t="s">
        <v>5287</v>
      </c>
      <c r="B1287" t="s">
        <v>5313</v>
      </c>
      <c r="C1287" s="90" t="s">
        <v>5314</v>
      </c>
      <c r="D1287" t="s">
        <v>5562</v>
      </c>
      <c r="E1287" s="101" t="s">
        <v>6520</v>
      </c>
      <c r="F1287" t="str" cm="1">
        <f t="array" aca="1" ref="F1287" ca="1">INDIRECT("'" &amp; A1287 &amp; "'!" &amp; B1287)</f>
        <v>v68a</v>
      </c>
      <c r="G1287" cm="1">
        <f t="array" aca="1" ref="G1287" ca="1">INDIRECT("'" &amp; A1287 &amp; "'!" &amp; ADDRESS(1, COLUMN(INDIRECT("'" &amp; A1287 &amp; "'!" &amp; B1287))))</f>
        <v>2009</v>
      </c>
      <c r="H1287" t="e">
        <f ca="1">VLOOKUP($G1287, survey_codes_dict!A:C, 2, FALSE)</f>
        <v>#N/A</v>
      </c>
      <c r="I1287" s="102" t="e">
        <f ca="1">VLOOKUP($G1287, survey_codes_dict!A:D, 4, FALSE)</f>
        <v>#N/A</v>
      </c>
      <c r="J1287" s="102" t="e">
        <f t="shared" ca="1" si="40"/>
        <v>#N/A</v>
      </c>
      <c r="K1287" s="102" t="e">
        <f t="shared" ca="1" si="41"/>
        <v>#N/A</v>
      </c>
      <c r="L1287" s="102"/>
      <c r="M1287" s="102"/>
      <c r="N1287" s="102"/>
      <c r="O1287" s="102"/>
      <c r="P1287" s="102"/>
      <c r="Q1287" s="102"/>
      <c r="R1287" s="102"/>
      <c r="S1287" s="102"/>
    </row>
    <row r="1288" spans="1:19" ht="43.2" x14ac:dyDescent="0.3">
      <c r="A1288" t="s">
        <v>5287</v>
      </c>
      <c r="B1288" t="s">
        <v>5315</v>
      </c>
      <c r="C1288" s="90" t="s">
        <v>5217</v>
      </c>
      <c r="D1288" t="s">
        <v>5562</v>
      </c>
      <c r="E1288" s="101" t="s">
        <v>6471</v>
      </c>
      <c r="F1288" t="str" cm="1">
        <f t="array" aca="1" ref="F1288" ca="1">INDIRECT("'" &amp; A1288 &amp; "'!" &amp; B1288)</f>
        <v>v27</v>
      </c>
      <c r="G1288" t="str" cm="1">
        <f t="array" aca="1" ref="G1288" ca="1">INDIRECT("'" &amp; A1288 &amp; "'!" &amp; ADDRESS(1, COLUMN(INDIRECT("'" &amp; A1288 &amp; "'!" &amp; B1288))))</f>
        <v>1987*</v>
      </c>
      <c r="H1288" t="e">
        <f ca="1">VLOOKUP($G1288, survey_codes_dict!A:C, 2, FALSE)</f>
        <v>#N/A</v>
      </c>
      <c r="I1288" s="102" t="e">
        <f ca="1">VLOOKUP($G1288, survey_codes_dict!A:D, 4, FALSE)</f>
        <v>#N/A</v>
      </c>
      <c r="J1288" s="102" t="e">
        <f t="shared" ca="1" si="40"/>
        <v>#N/A</v>
      </c>
      <c r="K1288" s="102" t="e">
        <f t="shared" ca="1" si="41"/>
        <v>#N/A</v>
      </c>
      <c r="L1288" s="102"/>
      <c r="M1288" s="102"/>
      <c r="N1288" s="102"/>
      <c r="O1288" s="102"/>
      <c r="P1288" s="102"/>
      <c r="Q1288" s="102"/>
      <c r="R1288" s="102"/>
      <c r="S1288" s="101"/>
    </row>
    <row r="1289" spans="1:19" ht="57.6" x14ac:dyDescent="0.3">
      <c r="A1289" t="s">
        <v>5287</v>
      </c>
      <c r="B1289" t="s">
        <v>5316</v>
      </c>
      <c r="C1289" s="90" t="s">
        <v>5317</v>
      </c>
      <c r="D1289" t="s">
        <v>5562</v>
      </c>
      <c r="E1289" s="101" t="s">
        <v>6521</v>
      </c>
      <c r="F1289" t="str" cm="1">
        <f t="array" aca="1" ref="F1289" ca="1">INDIRECT("'" &amp; A1289 &amp; "'!" &amp; B1289)</f>
        <v>v119</v>
      </c>
      <c r="G1289" t="str" cm="1">
        <f t="array" aca="1" ref="G1289" ca="1">INDIRECT("'" &amp; A1289 &amp; "'!" &amp; ADDRESS(1, COLUMN(INDIRECT("'" &amp; A1289 &amp; "'!" &amp; B1289))))</f>
        <v>1987*</v>
      </c>
      <c r="H1289" t="e">
        <f ca="1">VLOOKUP($G1289, survey_codes_dict!A:C, 2, FALSE)</f>
        <v>#N/A</v>
      </c>
      <c r="I1289" s="102" t="e">
        <f ca="1">VLOOKUP($G1289, survey_codes_dict!A:D, 4, FALSE)</f>
        <v>#N/A</v>
      </c>
      <c r="J1289" s="102" t="e">
        <f t="shared" ca="1" si="40"/>
        <v>#N/A</v>
      </c>
      <c r="K1289" s="102" t="e">
        <f t="shared" ca="1" si="41"/>
        <v>#N/A</v>
      </c>
      <c r="L1289" s="102"/>
      <c r="M1289" s="102"/>
      <c r="N1289" s="102"/>
      <c r="O1289" s="102"/>
      <c r="P1289" s="102"/>
      <c r="Q1289" s="102"/>
      <c r="R1289" s="102"/>
      <c r="S1289" s="101"/>
    </row>
    <row r="1290" spans="1:19" ht="86.4" x14ac:dyDescent="0.3">
      <c r="A1290" t="s">
        <v>5287</v>
      </c>
      <c r="B1290" t="s">
        <v>5318</v>
      </c>
      <c r="C1290" s="90" t="s">
        <v>4834</v>
      </c>
      <c r="D1290" t="s">
        <v>5562</v>
      </c>
      <c r="E1290" s="101" t="s">
        <v>6279</v>
      </c>
      <c r="F1290" t="str" cm="1">
        <f t="array" aca="1" ref="F1290" ca="1">INDIRECT("'" &amp; A1290 &amp; "'!" &amp; B1290)</f>
        <v>b76</v>
      </c>
      <c r="G1290" t="str" cm="1">
        <f t="array" aca="1" ref="G1290" ca="1">INDIRECT("'" &amp; A1290 &amp; "'!" &amp; ADDRESS(1, COLUMN(INDIRECT("'" &amp; A1290 &amp; "'!" &amp; B1290))))</f>
        <v>1988*</v>
      </c>
      <c r="H1290" t="str">
        <f ca="1">VLOOKUP($G1290, survey_codes_dict!A:C, 2, FALSE)</f>
        <v>1988_N=873</v>
      </c>
      <c r="I1290" s="102" t="str">
        <f ca="1">VLOOKUP($G1290, survey_codes_dict!A:D, 4, FALSE)</f>
        <v>1988_Panel_N=416</v>
      </c>
      <c r="J1290" s="102" t="str">
        <f t="shared" ca="1" si="40"/>
        <v>1988_N=873__b76</v>
      </c>
      <c r="K1290" s="102" t="str">
        <f t="shared" ca="1" si="41"/>
        <v>1988_Panel_N=416__b76</v>
      </c>
      <c r="L1290" s="102"/>
      <c r="M1290" s="102"/>
      <c r="N1290" s="102"/>
      <c r="O1290" s="102"/>
      <c r="P1290" s="102"/>
      <c r="Q1290" s="102"/>
      <c r="R1290" s="102"/>
      <c r="S1290" s="101"/>
    </row>
    <row r="1291" spans="1:19" ht="86.4" x14ac:dyDescent="0.3">
      <c r="A1291" t="s">
        <v>5287</v>
      </c>
      <c r="B1291" t="s">
        <v>4746</v>
      </c>
      <c r="C1291" s="90" t="s">
        <v>5319</v>
      </c>
      <c r="D1291" t="s">
        <v>5562</v>
      </c>
      <c r="E1291" s="101" t="s">
        <v>6522</v>
      </c>
      <c r="F1291" t="str" cm="1">
        <f t="array" aca="1" ref="F1291" ca="1">INDIRECT("'" &amp; A1291 &amp; "'!" &amp; B1291)</f>
        <v>b82</v>
      </c>
      <c r="G1291" t="str" cm="1">
        <f t="array" aca="1" ref="G1291" ca="1">INDIRECT("'" &amp; A1291 &amp; "'!" &amp; ADDRESS(1, COLUMN(INDIRECT("'" &amp; A1291 &amp; "'!" &amp; B1291))))</f>
        <v>1988*</v>
      </c>
      <c r="H1291" t="str">
        <f ca="1">VLOOKUP($G1291, survey_codes_dict!A:C, 2, FALSE)</f>
        <v>1988_N=873</v>
      </c>
      <c r="I1291" s="102" t="str">
        <f ca="1">VLOOKUP($G1291, survey_codes_dict!A:D, 4, FALSE)</f>
        <v>1988_Panel_N=416</v>
      </c>
      <c r="J1291" s="102" t="str">
        <f t="shared" ca="1" si="40"/>
        <v>1988_N=873__b82</v>
      </c>
      <c r="K1291" s="102" t="str">
        <f t="shared" ca="1" si="41"/>
        <v>1988_Panel_N=416__b82</v>
      </c>
      <c r="L1291" s="102"/>
      <c r="M1291" s="102"/>
      <c r="N1291" s="102"/>
      <c r="O1291" s="102"/>
      <c r="P1291" s="102"/>
      <c r="Q1291" s="102"/>
      <c r="R1291" s="102"/>
      <c r="S1291" s="101"/>
    </row>
    <row r="1292" spans="1:19" ht="86.4" x14ac:dyDescent="0.3">
      <c r="A1292" t="s">
        <v>5287</v>
      </c>
      <c r="B1292" t="s">
        <v>5320</v>
      </c>
      <c r="C1292" s="90" t="s">
        <v>5321</v>
      </c>
      <c r="D1292" t="s">
        <v>5562</v>
      </c>
      <c r="E1292" s="101" t="s">
        <v>6523</v>
      </c>
      <c r="F1292" t="str" cm="1">
        <f t="array" aca="1" ref="F1292" ca="1">INDIRECT("'" &amp; A1292 &amp; "'!" &amp; B1292)</f>
        <v>b88</v>
      </c>
      <c r="G1292" t="str" cm="1">
        <f t="array" aca="1" ref="G1292" ca="1">INDIRECT("'" &amp; A1292 &amp; "'!" &amp; ADDRESS(1, COLUMN(INDIRECT("'" &amp; A1292 &amp; "'!" &amp; B1292))))</f>
        <v>1988*</v>
      </c>
      <c r="H1292" t="str">
        <f ca="1">VLOOKUP($G1292, survey_codes_dict!A:C, 2, FALSE)</f>
        <v>1988_N=873</v>
      </c>
      <c r="I1292" s="102" t="str">
        <f ca="1">VLOOKUP($G1292, survey_codes_dict!A:D, 4, FALSE)</f>
        <v>1988_Panel_N=416</v>
      </c>
      <c r="J1292" s="102" t="str">
        <f t="shared" ca="1" si="40"/>
        <v>1988_N=873__b88</v>
      </c>
      <c r="K1292" s="102" t="str">
        <f t="shared" ca="1" si="41"/>
        <v>1988_Panel_N=416__b88</v>
      </c>
      <c r="L1292" s="102"/>
      <c r="M1292" s="102"/>
      <c r="N1292" s="102"/>
      <c r="O1292" s="102"/>
      <c r="P1292" s="102"/>
      <c r="Q1292" s="102"/>
      <c r="R1292" s="102"/>
      <c r="S1292" s="101"/>
    </row>
    <row r="1293" spans="1:19" ht="86.4" x14ac:dyDescent="0.3">
      <c r="A1293" t="s">
        <v>5287</v>
      </c>
      <c r="B1293" t="s">
        <v>5322</v>
      </c>
      <c r="C1293" s="90" t="s">
        <v>5304</v>
      </c>
      <c r="D1293" t="s">
        <v>5562</v>
      </c>
      <c r="E1293" s="101" t="s">
        <v>6515</v>
      </c>
      <c r="F1293" t="str" cm="1">
        <f t="array" aca="1" ref="F1293" ca="1">INDIRECT("'" &amp; A1293 &amp; "'!" &amp; B1293)</f>
        <v>c5</v>
      </c>
      <c r="G1293" t="str" cm="1">
        <f t="array" aca="1" ref="G1293" ca="1">INDIRECT("'" &amp; A1293 &amp; "'!" &amp; ADDRESS(1, COLUMN(INDIRECT("'" &amp; A1293 &amp; "'!" &amp; B1293))))</f>
        <v>1988*</v>
      </c>
      <c r="H1293" t="str">
        <f ca="1">VLOOKUP($G1293, survey_codes_dict!A:C, 2, FALSE)</f>
        <v>1988_N=873</v>
      </c>
      <c r="I1293" s="102" t="str">
        <f ca="1">VLOOKUP($G1293, survey_codes_dict!A:D, 4, FALSE)</f>
        <v>1988_Panel_N=416</v>
      </c>
      <c r="J1293" s="102" t="str">
        <f t="shared" ca="1" si="40"/>
        <v>1988_N=873__c5</v>
      </c>
      <c r="K1293" s="102" t="str">
        <f t="shared" ca="1" si="41"/>
        <v>1988_Panel_N=416__c5</v>
      </c>
      <c r="L1293" s="102"/>
      <c r="M1293" s="102"/>
      <c r="N1293" s="102"/>
      <c r="O1293" s="102"/>
      <c r="P1293" s="102"/>
      <c r="Q1293" s="102"/>
      <c r="R1293" s="102"/>
      <c r="S1293" s="101"/>
    </row>
    <row r="1294" spans="1:19" ht="72" x14ac:dyDescent="0.3">
      <c r="A1294" t="s">
        <v>5287</v>
      </c>
      <c r="B1294" t="s">
        <v>5323</v>
      </c>
      <c r="C1294" s="90" t="s">
        <v>3646</v>
      </c>
      <c r="D1294" t="s">
        <v>5562</v>
      </c>
      <c r="E1294" s="101" t="s">
        <v>5819</v>
      </c>
      <c r="F1294" t="str" cm="1">
        <f t="array" aca="1" ref="F1294" ca="1">INDIRECT("'" &amp; A1294 &amp; "'!" &amp; B1294)</f>
        <v>v72</v>
      </c>
      <c r="G1294" t="str" cm="1">
        <f t="array" aca="1" ref="G1294" ca="1">INDIRECT("'" &amp; A1294 &amp; "'!" &amp; ADDRESS(1, COLUMN(INDIRECT("'" &amp; A1294 &amp; "'!" &amp; B1294))))</f>
        <v>1981 - 1</v>
      </c>
      <c r="H1294" t="str">
        <f ca="1">VLOOKUP($G1294, survey_codes_dict!A:C, 2, FALSE)</f>
        <v>1981_1</v>
      </c>
      <c r="I1294" s="102" t="str">
        <f ca="1">VLOOKUP($G1294, survey_codes_dict!A:D, 4, FALSE)</f>
        <v>1977_4</v>
      </c>
      <c r="J1294" s="102" t="str">
        <f t="shared" ca="1" si="40"/>
        <v>1981_1__v72</v>
      </c>
      <c r="K1294" s="102" t="str">
        <f t="shared" ca="1" si="41"/>
        <v>1977_4__v72</v>
      </c>
      <c r="L1294" s="102"/>
      <c r="M1294" s="102"/>
      <c r="N1294" s="102"/>
      <c r="O1294" s="102"/>
      <c r="P1294" s="102"/>
      <c r="Q1294" s="102"/>
      <c r="R1294" s="102"/>
      <c r="S1294" s="101"/>
    </row>
    <row r="1295" spans="1:19" ht="100.8" x14ac:dyDescent="0.3">
      <c r="A1295" t="s">
        <v>5287</v>
      </c>
      <c r="B1295" t="s">
        <v>5324</v>
      </c>
      <c r="C1295" s="90" t="s">
        <v>5325</v>
      </c>
      <c r="D1295" t="s">
        <v>5562</v>
      </c>
      <c r="E1295" s="101" t="s">
        <v>6524</v>
      </c>
      <c r="F1295" t="str" cm="1">
        <f t="array" aca="1" ref="F1295" ca="1">INDIRECT("'" &amp; A1295 &amp; "'!" &amp; B1295)</f>
        <v>v41</v>
      </c>
      <c r="G1295" cm="1">
        <f t="array" aca="1" ref="G1295" ca="1">INDIRECT("'" &amp; A1295 &amp; "'!" &amp; ADDRESS(1, COLUMN(INDIRECT("'" &amp; A1295 &amp; "'!" &amp; B1295))))</f>
        <v>1984</v>
      </c>
      <c r="H1295" t="str">
        <f ca="1">VLOOKUP($G1295, survey_codes_dict!A:C, 2, FALSE)</f>
        <v>1984</v>
      </c>
      <c r="I1295" s="102" t="str">
        <f ca="1">VLOOKUP($G1295, survey_codes_dict!A:D, 4, FALSE)</f>
        <v>1981_3</v>
      </c>
      <c r="J1295" s="102" t="str">
        <f t="shared" ca="1" si="40"/>
        <v>1984__v41</v>
      </c>
      <c r="K1295" s="102" t="str">
        <f t="shared" ca="1" si="41"/>
        <v>1981_3__v41</v>
      </c>
      <c r="L1295" s="102"/>
      <c r="M1295" s="102"/>
      <c r="N1295" s="102"/>
      <c r="O1295" s="102"/>
      <c r="P1295" s="102"/>
      <c r="Q1295" s="102"/>
      <c r="R1295" s="102"/>
      <c r="S1295" s="101"/>
    </row>
    <row r="1296" spans="1:19" ht="72" x14ac:dyDescent="0.3">
      <c r="A1296" t="s">
        <v>5287</v>
      </c>
      <c r="B1296" t="s">
        <v>5326</v>
      </c>
      <c r="C1296" s="90" t="s">
        <v>5327</v>
      </c>
      <c r="D1296" t="s">
        <v>5562</v>
      </c>
      <c r="E1296" s="101" t="s">
        <v>6525</v>
      </c>
      <c r="F1296" t="str" cm="1">
        <f t="array" aca="1" ref="F1296" ca="1">INDIRECT("'" &amp; A1296 &amp; "'!" &amp; B1296)</f>
        <v>c14</v>
      </c>
      <c r="G1296" t="str" cm="1">
        <f t="array" aca="1" ref="G1296" ca="1">INDIRECT("'" &amp; A1296 &amp; "'!" &amp; ADDRESS(1, COLUMN(INDIRECT("'" &amp; A1296 &amp; "'!" &amp; B1296))))</f>
        <v>1969 - 3</v>
      </c>
      <c r="H1296" t="e">
        <f ca="1">VLOOKUP($G1296, survey_codes_dict!A:C, 2, FALSE)</f>
        <v>#N/A</v>
      </c>
      <c r="I1296" s="102" t="e">
        <f ca="1">VLOOKUP($G1296, survey_codes_dict!A:D, 4, FALSE)</f>
        <v>#N/A</v>
      </c>
      <c r="J1296" s="102" t="e">
        <f t="shared" ca="1" si="40"/>
        <v>#N/A</v>
      </c>
      <c r="K1296" s="102" t="e">
        <f t="shared" ca="1" si="41"/>
        <v>#N/A</v>
      </c>
      <c r="L1296" s="102"/>
      <c r="M1296" s="102"/>
      <c r="N1296" s="102"/>
      <c r="O1296" s="102"/>
      <c r="P1296" s="102"/>
      <c r="Q1296" s="102"/>
      <c r="R1296" s="102"/>
      <c r="S1296" s="101"/>
    </row>
    <row r="1297" spans="1:19" ht="144" x14ac:dyDescent="0.3">
      <c r="A1297" t="s">
        <v>5287</v>
      </c>
      <c r="B1297" t="s">
        <v>5328</v>
      </c>
      <c r="C1297" s="90" t="s">
        <v>5329</v>
      </c>
      <c r="D1297" t="s">
        <v>5562</v>
      </c>
      <c r="E1297" s="101" t="s">
        <v>6526</v>
      </c>
      <c r="F1297" t="str" cm="1">
        <f t="array" aca="1" ref="F1297" ca="1">INDIRECT("'" &amp; A1297 &amp; "'!" &amp; B1297)</f>
        <v>v103</v>
      </c>
      <c r="G1297" t="str" cm="1">
        <f t="array" aca="1" ref="G1297" ca="1">INDIRECT("'" &amp; A1297 &amp; "'!" &amp; ADDRESS(1, COLUMN(INDIRECT("'" &amp; A1297 &amp; "'!" &amp; B1297))))</f>
        <v>1981 - 1</v>
      </c>
      <c r="H1297" t="str">
        <f ca="1">VLOOKUP($G1297, survey_codes_dict!A:C, 2, FALSE)</f>
        <v>1981_1</v>
      </c>
      <c r="I1297" s="102" t="str">
        <f ca="1">VLOOKUP($G1297, survey_codes_dict!A:D, 4, FALSE)</f>
        <v>1977_4</v>
      </c>
      <c r="J1297" s="102" t="str">
        <f t="shared" ca="1" si="40"/>
        <v>1981_1__v103</v>
      </c>
      <c r="K1297" s="102" t="str">
        <f t="shared" ca="1" si="41"/>
        <v>1977_4__v103</v>
      </c>
      <c r="L1297" s="102"/>
      <c r="M1297" s="102"/>
      <c r="N1297" s="102"/>
      <c r="O1297" s="102"/>
      <c r="P1297" s="102"/>
      <c r="Q1297" s="102"/>
      <c r="R1297" s="102"/>
      <c r="S1297" s="101"/>
    </row>
    <row r="1298" spans="1:19" ht="72" x14ac:dyDescent="0.3">
      <c r="A1298" t="s">
        <v>5287</v>
      </c>
      <c r="B1298" t="s">
        <v>5330</v>
      </c>
      <c r="C1298" s="90" t="s">
        <v>3712</v>
      </c>
      <c r="D1298" t="s">
        <v>5562</v>
      </c>
      <c r="E1298" s="101" t="s">
        <v>5848</v>
      </c>
      <c r="F1298" t="str" cm="1">
        <f t="array" aca="1" ref="F1298" ca="1">INDIRECT("'" &amp; A1298 &amp; "'!" &amp; B1298)</f>
        <v>g9</v>
      </c>
      <c r="G1298" t="str" cm="1">
        <f t="array" aca="1" ref="G1298" ca="1">INDIRECT("'" &amp; A1298 &amp; "'!" &amp; ADDRESS(1, COLUMN(INDIRECT("'" &amp; A1298 &amp; "'!" &amp; B1298))))</f>
        <v>1973 - 4</v>
      </c>
      <c r="H1298" t="str">
        <f ca="1">VLOOKUP($G1298, survey_codes_dict!A:C, 2, FALSE)</f>
        <v>1973_4</v>
      </c>
      <c r="I1298" s="102" t="str">
        <f ca="1">VLOOKUP($G1298, survey_codes_dict!A:D, 4, FALSE)</f>
        <v>1973_3</v>
      </c>
      <c r="J1298" s="102" t="str">
        <f t="shared" ca="1" si="40"/>
        <v>1973_4__g9</v>
      </c>
      <c r="K1298" s="102" t="str">
        <f t="shared" ca="1" si="41"/>
        <v>1973_3__g9</v>
      </c>
      <c r="L1298" s="102"/>
      <c r="M1298" s="102"/>
      <c r="N1298" s="102"/>
      <c r="O1298" s="102"/>
      <c r="P1298" s="102"/>
      <c r="Q1298" s="102"/>
      <c r="R1298" s="102"/>
      <c r="S1298" s="101"/>
    </row>
    <row r="1299" spans="1:19" ht="72" x14ac:dyDescent="0.3">
      <c r="A1299" t="s">
        <v>5287</v>
      </c>
      <c r="B1299" t="s">
        <v>5331</v>
      </c>
      <c r="C1299" s="90" t="s">
        <v>3712</v>
      </c>
      <c r="D1299" t="s">
        <v>5562</v>
      </c>
      <c r="E1299" s="101" t="s">
        <v>5848</v>
      </c>
      <c r="F1299" t="str" cm="1">
        <f t="array" aca="1" ref="F1299" ca="1">INDIRECT("'" &amp; A1299 &amp; "'!" &amp; B1299)</f>
        <v>d16</v>
      </c>
      <c r="G1299" t="str" cm="1">
        <f t="array" aca="1" ref="G1299" ca="1">INDIRECT("'" &amp; A1299 &amp; "'!" &amp; ADDRESS(1, COLUMN(INDIRECT("'" &amp; A1299 &amp; "'!" &amp; B1299))))</f>
        <v>1973 - 2</v>
      </c>
      <c r="H1299" t="str">
        <f ca="1">VLOOKUP($G1299, survey_codes_dict!A:C, 2, FALSE)</f>
        <v>1973_2</v>
      </c>
      <c r="I1299" s="102" t="str">
        <f ca="1">VLOOKUP($G1299, survey_codes_dict!A:D, 4, FALSE)</f>
        <v>1973_1</v>
      </c>
      <c r="J1299" s="102" t="str">
        <f t="shared" ca="1" si="40"/>
        <v>1973_2__d16</v>
      </c>
      <c r="K1299" s="102" t="str">
        <f t="shared" ca="1" si="41"/>
        <v>1973_1__d16</v>
      </c>
      <c r="L1299" s="102"/>
      <c r="M1299" s="102"/>
      <c r="N1299" s="102"/>
      <c r="O1299" s="102"/>
      <c r="P1299" s="102"/>
      <c r="Q1299" s="102"/>
      <c r="R1299" s="102"/>
      <c r="S1299" s="101"/>
    </row>
    <row r="1300" spans="1:19" ht="72" x14ac:dyDescent="0.3">
      <c r="A1300" t="s">
        <v>5287</v>
      </c>
      <c r="B1300" t="s">
        <v>5332</v>
      </c>
      <c r="C1300" s="90" t="s">
        <v>3712</v>
      </c>
      <c r="D1300" t="s">
        <v>5562</v>
      </c>
      <c r="E1300" s="101" t="s">
        <v>5848</v>
      </c>
      <c r="F1300" t="str" cm="1">
        <f t="array" aca="1" ref="F1300" ca="1">INDIRECT("'" &amp; A1300 &amp; "'!" &amp; B1300)</f>
        <v>c42</v>
      </c>
      <c r="G1300" t="str" cm="1">
        <f t="array" aca="1" ref="G1300" ca="1">INDIRECT("'" &amp; A1300 &amp; "'!" &amp; ADDRESS(1, COLUMN(INDIRECT("'" &amp; A1300 &amp; "'!" &amp; B1300))))</f>
        <v>1973 - 2</v>
      </c>
      <c r="H1300" t="str">
        <f ca="1">VLOOKUP($G1300, survey_codes_dict!A:C, 2, FALSE)</f>
        <v>1973_2</v>
      </c>
      <c r="I1300" s="102" t="str">
        <f ca="1">VLOOKUP($G1300, survey_codes_dict!A:D, 4, FALSE)</f>
        <v>1973_1</v>
      </c>
      <c r="J1300" s="102" t="str">
        <f t="shared" ca="1" si="40"/>
        <v>1973_2__c42</v>
      </c>
      <c r="K1300" s="102" t="str">
        <f t="shared" ca="1" si="41"/>
        <v>1973_1__c42</v>
      </c>
      <c r="L1300" s="102"/>
      <c r="M1300" s="102"/>
      <c r="N1300" s="102"/>
      <c r="O1300" s="102"/>
      <c r="P1300" s="102"/>
      <c r="Q1300" s="102"/>
      <c r="R1300" s="102"/>
      <c r="S1300" s="101"/>
    </row>
    <row r="1301" spans="1:19" ht="72" x14ac:dyDescent="0.3">
      <c r="A1301" t="s">
        <v>5287</v>
      </c>
      <c r="B1301" t="s">
        <v>5333</v>
      </c>
      <c r="C1301" s="90" t="s">
        <v>3712</v>
      </c>
      <c r="D1301" t="s">
        <v>5562</v>
      </c>
      <c r="E1301" s="101" t="s">
        <v>5848</v>
      </c>
      <c r="F1301" t="str" cm="1">
        <f t="array" aca="1" ref="F1301" ca="1">INDIRECT("'" &amp; A1301 &amp; "'!" &amp; B1301)</f>
        <v>g10</v>
      </c>
      <c r="G1301" t="str" cm="1">
        <f t="array" aca="1" ref="G1301" ca="1">INDIRECT("'" &amp; A1301 &amp; "'!" &amp; ADDRESS(1, COLUMN(INDIRECT("'" &amp; A1301 &amp; "'!" &amp; B1301))))</f>
        <v>1973 - 4</v>
      </c>
      <c r="H1301" t="str">
        <f ca="1">VLOOKUP($G1301, survey_codes_dict!A:C, 2, FALSE)</f>
        <v>1973_4</v>
      </c>
      <c r="I1301" s="102" t="str">
        <f ca="1">VLOOKUP($G1301, survey_codes_dict!A:D, 4, FALSE)</f>
        <v>1973_3</v>
      </c>
      <c r="J1301" s="102" t="str">
        <f t="shared" ca="1" si="40"/>
        <v>1973_4__g10</v>
      </c>
      <c r="K1301" s="102" t="str">
        <f t="shared" ca="1" si="41"/>
        <v>1973_3__g10</v>
      </c>
      <c r="L1301" s="102"/>
      <c r="M1301" s="102"/>
      <c r="N1301" s="102"/>
      <c r="O1301" s="102"/>
      <c r="P1301" s="102"/>
      <c r="Q1301" s="102"/>
      <c r="R1301" s="102"/>
      <c r="S1301" s="101"/>
    </row>
    <row r="1302" spans="1:19" ht="72" x14ac:dyDescent="0.3">
      <c r="A1302" t="s">
        <v>5287</v>
      </c>
      <c r="B1302" t="s">
        <v>5334</v>
      </c>
      <c r="C1302" s="90" t="s">
        <v>3712</v>
      </c>
      <c r="D1302" t="s">
        <v>5562</v>
      </c>
      <c r="E1302" s="101" t="s">
        <v>5848</v>
      </c>
      <c r="F1302" t="str" cm="1">
        <f t="array" aca="1" ref="F1302" ca="1">INDIRECT("'" &amp; A1302 &amp; "'!" &amp; B1302)</f>
        <v>d17</v>
      </c>
      <c r="G1302" t="str" cm="1">
        <f t="array" aca="1" ref="G1302" ca="1">INDIRECT("'" &amp; A1302 &amp; "'!" &amp; ADDRESS(1, COLUMN(INDIRECT("'" &amp; A1302 &amp; "'!" &amp; B1302))))</f>
        <v>1973 - 2</v>
      </c>
      <c r="H1302" t="str">
        <f ca="1">VLOOKUP($G1302, survey_codes_dict!A:C, 2, FALSE)</f>
        <v>1973_2</v>
      </c>
      <c r="I1302" s="102" t="str">
        <f ca="1">VLOOKUP($G1302, survey_codes_dict!A:D, 4, FALSE)</f>
        <v>1973_1</v>
      </c>
      <c r="J1302" s="102" t="str">
        <f t="shared" ca="1" si="40"/>
        <v>1973_2__d17</v>
      </c>
      <c r="K1302" s="102" t="str">
        <f t="shared" ca="1" si="41"/>
        <v>1973_1__d17</v>
      </c>
      <c r="L1302" s="102"/>
      <c r="M1302" s="102"/>
      <c r="N1302" s="102"/>
      <c r="O1302" s="102"/>
      <c r="P1302" s="102"/>
      <c r="Q1302" s="102"/>
      <c r="R1302" s="102"/>
      <c r="S1302" s="101"/>
    </row>
    <row r="1303" spans="1:19" ht="72" x14ac:dyDescent="0.3">
      <c r="A1303" t="s">
        <v>5287</v>
      </c>
      <c r="B1303" t="s">
        <v>5335</v>
      </c>
      <c r="C1303" s="90" t="s">
        <v>3712</v>
      </c>
      <c r="D1303" t="s">
        <v>5562</v>
      </c>
      <c r="E1303" s="101" t="s">
        <v>5848</v>
      </c>
      <c r="F1303" t="str" cm="1">
        <f t="array" aca="1" ref="F1303" ca="1">INDIRECT("'" &amp; A1303 &amp; "'!" &amp; B1303)</f>
        <v>c43</v>
      </c>
      <c r="G1303" t="str" cm="1">
        <f t="array" aca="1" ref="G1303" ca="1">INDIRECT("'" &amp; A1303 &amp; "'!" &amp; ADDRESS(1, COLUMN(INDIRECT("'" &amp; A1303 &amp; "'!" &amp; B1303))))</f>
        <v>1973 - 2</v>
      </c>
      <c r="H1303" t="str">
        <f ca="1">VLOOKUP($G1303, survey_codes_dict!A:C, 2, FALSE)</f>
        <v>1973_2</v>
      </c>
      <c r="I1303" s="102" t="str">
        <f ca="1">VLOOKUP($G1303, survey_codes_dict!A:D, 4, FALSE)</f>
        <v>1973_1</v>
      </c>
      <c r="J1303" s="102" t="str">
        <f t="shared" ca="1" si="40"/>
        <v>1973_2__c43</v>
      </c>
      <c r="K1303" s="102" t="str">
        <f t="shared" ca="1" si="41"/>
        <v>1973_1__c43</v>
      </c>
      <c r="L1303" s="102"/>
      <c r="M1303" s="102"/>
      <c r="N1303" s="102"/>
      <c r="O1303" s="102"/>
      <c r="P1303" s="102"/>
      <c r="Q1303" s="102"/>
      <c r="R1303" s="102"/>
      <c r="S1303" s="101"/>
    </row>
    <row r="1304" spans="1:19" ht="72" x14ac:dyDescent="0.3">
      <c r="A1304" t="s">
        <v>5287</v>
      </c>
      <c r="B1304" t="s">
        <v>5336</v>
      </c>
      <c r="C1304" s="90" t="s">
        <v>3712</v>
      </c>
      <c r="D1304" t="s">
        <v>5562</v>
      </c>
      <c r="E1304" s="101" t="s">
        <v>5848</v>
      </c>
      <c r="F1304" t="str" cm="1">
        <f t="array" aca="1" ref="F1304" ca="1">INDIRECT("'" &amp; A1304 &amp; "'!" &amp; B1304)</f>
        <v>f10</v>
      </c>
      <c r="G1304" t="str" cm="1">
        <f t="array" aca="1" ref="G1304" ca="1">INDIRECT("'" &amp; A1304 &amp; "'!" &amp; ADDRESS(1, COLUMN(INDIRECT("'" &amp; A1304 &amp; "'!" &amp; B1304))))</f>
        <v>1973 - 3</v>
      </c>
      <c r="H1304" t="str">
        <f ca="1">VLOOKUP($G1304, survey_codes_dict!A:C, 2, FALSE)</f>
        <v>1973_3</v>
      </c>
      <c r="I1304" s="102" t="str">
        <f ca="1">VLOOKUP($G1304, survey_codes_dict!A:D, 4, FALSE)</f>
        <v>1973_2</v>
      </c>
      <c r="J1304" s="102" t="str">
        <f t="shared" ca="1" si="40"/>
        <v>1973_3__f10</v>
      </c>
      <c r="K1304" s="102" t="str">
        <f t="shared" ca="1" si="41"/>
        <v>1973_2__f10</v>
      </c>
      <c r="L1304" s="102"/>
      <c r="M1304" s="102"/>
      <c r="N1304" s="102"/>
      <c r="O1304" s="102"/>
      <c r="P1304" s="102"/>
      <c r="Q1304" s="102"/>
      <c r="R1304" s="102"/>
      <c r="S1304" s="101"/>
    </row>
    <row r="1305" spans="1:19" ht="72" x14ac:dyDescent="0.3">
      <c r="A1305" t="s">
        <v>5287</v>
      </c>
      <c r="B1305" t="s">
        <v>4708</v>
      </c>
      <c r="C1305" s="90" t="s">
        <v>5337</v>
      </c>
      <c r="D1305" t="s">
        <v>5562</v>
      </c>
      <c r="E1305" s="101" t="s">
        <v>6527</v>
      </c>
      <c r="F1305" t="str" cm="1">
        <f t="array" aca="1" ref="F1305" ca="1">INDIRECT("'" &amp; A1305 &amp; "'!" &amp; B1305)</f>
        <v>f44</v>
      </c>
      <c r="G1305" t="str" cm="1">
        <f t="array" aca="1" ref="G1305" ca="1">INDIRECT("'" &amp; A1305 &amp; "'!" &amp; ADDRESS(1, COLUMN(INDIRECT("'" &amp; A1305 &amp; "'!" &amp; B1305))))</f>
        <v>1973 - 3</v>
      </c>
      <c r="H1305" t="str">
        <f ca="1">VLOOKUP($G1305, survey_codes_dict!A:C, 2, FALSE)</f>
        <v>1973_3</v>
      </c>
      <c r="I1305" s="102" t="str">
        <f ca="1">VLOOKUP($G1305, survey_codes_dict!A:D, 4, FALSE)</f>
        <v>1973_2</v>
      </c>
      <c r="J1305" s="102" t="str">
        <f t="shared" ca="1" si="40"/>
        <v>1973_3__f44</v>
      </c>
      <c r="K1305" s="102" t="str">
        <f t="shared" ca="1" si="41"/>
        <v>1973_2__f44</v>
      </c>
      <c r="L1305" s="102"/>
      <c r="M1305" s="102"/>
      <c r="N1305" s="102"/>
      <c r="O1305" s="102"/>
      <c r="P1305" s="102"/>
      <c r="Q1305" s="102"/>
      <c r="R1305" s="102"/>
      <c r="S1305" s="101"/>
    </row>
    <row r="1306" spans="1:19" ht="72" x14ac:dyDescent="0.3">
      <c r="A1306" t="s">
        <v>5287</v>
      </c>
      <c r="B1306" t="s">
        <v>5338</v>
      </c>
      <c r="C1306" s="90" t="s">
        <v>5339</v>
      </c>
      <c r="D1306" t="s">
        <v>5562</v>
      </c>
      <c r="E1306" s="101" t="s">
        <v>6528</v>
      </c>
      <c r="F1306" t="str" cm="1">
        <f t="array" aca="1" ref="F1306" ca="1">INDIRECT("'" &amp; A1306 &amp; "'!" &amp; B1306)</f>
        <v>g50</v>
      </c>
      <c r="G1306" t="str" cm="1">
        <f t="array" aca="1" ref="G1306" ca="1">INDIRECT("'" &amp; A1306 &amp; "'!" &amp; ADDRESS(1, COLUMN(INDIRECT("'" &amp; A1306 &amp; "'!" &amp; B1306))))</f>
        <v>1973 - 4</v>
      </c>
      <c r="H1306" t="str">
        <f ca="1">VLOOKUP($G1306, survey_codes_dict!A:C, 2, FALSE)</f>
        <v>1973_4</v>
      </c>
      <c r="I1306" s="102" t="str">
        <f ca="1">VLOOKUP($G1306, survey_codes_dict!A:D, 4, FALSE)</f>
        <v>1973_3</v>
      </c>
      <c r="J1306" s="102" t="str">
        <f t="shared" ca="1" si="40"/>
        <v>1973_4__g50</v>
      </c>
      <c r="K1306" s="102" t="str">
        <f t="shared" ca="1" si="41"/>
        <v>1973_3__g50</v>
      </c>
      <c r="L1306" s="102"/>
      <c r="M1306" s="102"/>
      <c r="N1306" s="102"/>
      <c r="O1306" s="102"/>
      <c r="P1306" s="102"/>
      <c r="Q1306" s="102"/>
      <c r="R1306" s="102"/>
      <c r="S1306" s="101"/>
    </row>
    <row r="1307" spans="1:19" ht="72" x14ac:dyDescent="0.3">
      <c r="A1307" t="s">
        <v>5287</v>
      </c>
      <c r="B1307" t="s">
        <v>5340</v>
      </c>
      <c r="C1307" s="90" t="s">
        <v>5341</v>
      </c>
      <c r="D1307" t="s">
        <v>5562</v>
      </c>
      <c r="E1307" s="101" t="s">
        <v>6529</v>
      </c>
      <c r="F1307" t="str" cm="1">
        <f t="array" aca="1" ref="F1307" ca="1">INDIRECT("'" &amp; A1307 &amp; "'!" &amp; B1307)</f>
        <v>c28</v>
      </c>
      <c r="G1307" t="str" cm="1">
        <f t="array" aca="1" ref="G1307" ca="1">INDIRECT("'" &amp; A1307 &amp; "'!" &amp; ADDRESS(1, COLUMN(INDIRECT("'" &amp; A1307 &amp; "'!" &amp; B1307))))</f>
        <v>1973 - 2</v>
      </c>
      <c r="H1307" t="str">
        <f ca="1">VLOOKUP($G1307, survey_codes_dict!A:C, 2, FALSE)</f>
        <v>1973_2</v>
      </c>
      <c r="I1307" s="102" t="str">
        <f ca="1">VLOOKUP($G1307, survey_codes_dict!A:D, 4, FALSE)</f>
        <v>1973_1</v>
      </c>
      <c r="J1307" s="102" t="str">
        <f t="shared" ca="1" si="40"/>
        <v>1973_2__c28</v>
      </c>
      <c r="K1307" s="102" t="str">
        <f t="shared" ca="1" si="41"/>
        <v>1973_1__c28</v>
      </c>
      <c r="L1307" s="102"/>
      <c r="M1307" s="102"/>
      <c r="N1307" s="102"/>
      <c r="O1307" s="102"/>
      <c r="P1307" s="102"/>
      <c r="Q1307" s="102"/>
      <c r="R1307" s="102"/>
      <c r="S1307" s="101"/>
    </row>
    <row r="1308" spans="1:19" ht="72" x14ac:dyDescent="0.3">
      <c r="A1308" t="s">
        <v>5287</v>
      </c>
      <c r="B1308" t="s">
        <v>5342</v>
      </c>
      <c r="C1308" s="90" t="s">
        <v>5343</v>
      </c>
      <c r="D1308" t="s">
        <v>5562</v>
      </c>
      <c r="E1308" s="101" t="s">
        <v>6530</v>
      </c>
      <c r="F1308" t="str" cm="1">
        <f t="array" aca="1" ref="F1308" ca="1">INDIRECT("'" &amp; A1308 &amp; "'!" &amp; B1308)</f>
        <v>c29</v>
      </c>
      <c r="G1308" t="str" cm="1">
        <f t="array" aca="1" ref="G1308" ca="1">INDIRECT("'" &amp; A1308 &amp; "'!" &amp; ADDRESS(1, COLUMN(INDIRECT("'" &amp; A1308 &amp; "'!" &amp; B1308))))</f>
        <v>1973 - 2</v>
      </c>
      <c r="H1308" t="str">
        <f ca="1">VLOOKUP($G1308, survey_codes_dict!A:C, 2, FALSE)</f>
        <v>1973_2</v>
      </c>
      <c r="I1308" s="102" t="str">
        <f ca="1">VLOOKUP($G1308, survey_codes_dict!A:D, 4, FALSE)</f>
        <v>1973_1</v>
      </c>
      <c r="J1308" s="102" t="str">
        <f t="shared" ca="1" si="40"/>
        <v>1973_2__c29</v>
      </c>
      <c r="K1308" s="102" t="str">
        <f t="shared" ca="1" si="41"/>
        <v>1973_1__c29</v>
      </c>
      <c r="L1308" s="102"/>
      <c r="M1308" s="102"/>
      <c r="N1308" s="102"/>
      <c r="O1308" s="102"/>
      <c r="P1308" s="102"/>
      <c r="Q1308" s="102"/>
      <c r="R1308" s="102"/>
      <c r="S1308" s="101"/>
    </row>
    <row r="1309" spans="1:19" ht="72" x14ac:dyDescent="0.3">
      <c r="A1309" t="s">
        <v>5287</v>
      </c>
      <c r="B1309" t="s">
        <v>5344</v>
      </c>
      <c r="C1309" s="90" t="s">
        <v>4905</v>
      </c>
      <c r="D1309" t="s">
        <v>5562</v>
      </c>
      <c r="E1309" s="101" t="s">
        <v>6312</v>
      </c>
      <c r="F1309" t="str" cm="1">
        <f t="array" aca="1" ref="F1309" ca="1">INDIRECT("'" &amp; A1309 &amp; "'!" &amp; B1309)</f>
        <v>c33</v>
      </c>
      <c r="G1309" t="str" cm="1">
        <f t="array" aca="1" ref="G1309" ca="1">INDIRECT("'" &amp; A1309 &amp; "'!" &amp; ADDRESS(1, COLUMN(INDIRECT("'" &amp; A1309 &amp; "'!" &amp; B1309))))</f>
        <v>1973 - 2</v>
      </c>
      <c r="H1309" t="str">
        <f ca="1">VLOOKUP($G1309, survey_codes_dict!A:C, 2, FALSE)</f>
        <v>1973_2</v>
      </c>
      <c r="I1309" s="102" t="str">
        <f ca="1">VLOOKUP($G1309, survey_codes_dict!A:D, 4, FALSE)</f>
        <v>1973_1</v>
      </c>
      <c r="J1309" s="102" t="str">
        <f t="shared" ca="1" si="40"/>
        <v>1973_2__c33</v>
      </c>
      <c r="K1309" s="102" t="str">
        <f t="shared" ca="1" si="41"/>
        <v>1973_1__c33</v>
      </c>
      <c r="L1309" s="102"/>
      <c r="M1309" s="102"/>
      <c r="N1309" s="102"/>
      <c r="O1309" s="102"/>
      <c r="P1309" s="102"/>
      <c r="Q1309" s="102"/>
      <c r="R1309" s="102"/>
      <c r="S1309" s="101"/>
    </row>
    <row r="1310" spans="1:19" ht="72" x14ac:dyDescent="0.3">
      <c r="A1310" t="s">
        <v>5287</v>
      </c>
      <c r="B1310" t="s">
        <v>5345</v>
      </c>
      <c r="C1310" s="90" t="s">
        <v>5346</v>
      </c>
      <c r="D1310" t="s">
        <v>5562</v>
      </c>
      <c r="E1310" s="101" t="s">
        <v>6531</v>
      </c>
      <c r="F1310" t="str" cm="1">
        <f t="array" aca="1" ref="F1310" ca="1">INDIRECT("'" &amp; A1310 &amp; "'!" &amp; B1310)</f>
        <v>c34</v>
      </c>
      <c r="G1310" t="str" cm="1">
        <f t="array" aca="1" ref="G1310" ca="1">INDIRECT("'" &amp; A1310 &amp; "'!" &amp; ADDRESS(1, COLUMN(INDIRECT("'" &amp; A1310 &amp; "'!" &amp; B1310))))</f>
        <v>1973 - 2</v>
      </c>
      <c r="H1310" t="str">
        <f ca="1">VLOOKUP($G1310, survey_codes_dict!A:C, 2, FALSE)</f>
        <v>1973_2</v>
      </c>
      <c r="I1310" s="102" t="str">
        <f ca="1">VLOOKUP($G1310, survey_codes_dict!A:D, 4, FALSE)</f>
        <v>1973_1</v>
      </c>
      <c r="J1310" s="102" t="str">
        <f t="shared" ca="1" si="40"/>
        <v>1973_2__c34</v>
      </c>
      <c r="K1310" s="102" t="str">
        <f t="shared" ca="1" si="41"/>
        <v>1973_1__c34</v>
      </c>
      <c r="L1310" s="102"/>
      <c r="M1310" s="102"/>
      <c r="N1310" s="102"/>
      <c r="O1310" s="102"/>
      <c r="P1310" s="102"/>
      <c r="Q1310" s="102"/>
      <c r="R1310" s="102"/>
      <c r="S1310" s="101"/>
    </row>
    <row r="1311" spans="1:19" ht="57.6" x14ac:dyDescent="0.3">
      <c r="A1311" t="s">
        <v>5287</v>
      </c>
      <c r="B1311" t="s">
        <v>5347</v>
      </c>
      <c r="C1311" s="90" t="s">
        <v>5348</v>
      </c>
      <c r="D1311" t="s">
        <v>5562</v>
      </c>
      <c r="E1311" s="101" t="s">
        <v>6532</v>
      </c>
      <c r="F1311" t="str" cm="1">
        <f t="array" aca="1" ref="F1311" ca="1">INDIRECT("'" &amp; A1311 &amp; "'!" &amp; B1311)</f>
        <v>d20</v>
      </c>
      <c r="G1311" t="str" cm="1">
        <f t="array" aca="1" ref="G1311" ca="1">INDIRECT("'" &amp; A1311 &amp; "'!" &amp; ADDRESS(1, COLUMN(INDIRECT("'" &amp; A1311 &amp; "'!" &amp; B1311))))</f>
        <v>1973 - 2</v>
      </c>
      <c r="H1311" t="str">
        <f ca="1">VLOOKUP($G1311, survey_codes_dict!A:C, 2, FALSE)</f>
        <v>1973_2</v>
      </c>
      <c r="I1311" s="102" t="str">
        <f ca="1">VLOOKUP($G1311, survey_codes_dict!A:D, 4, FALSE)</f>
        <v>1973_1</v>
      </c>
      <c r="J1311" s="102" t="str">
        <f t="shared" ca="1" si="40"/>
        <v>1973_2__d20</v>
      </c>
      <c r="K1311" s="102" t="str">
        <f t="shared" ca="1" si="41"/>
        <v>1973_1__d20</v>
      </c>
      <c r="L1311" s="102"/>
      <c r="M1311" s="102"/>
      <c r="N1311" s="102"/>
      <c r="O1311" s="102"/>
      <c r="P1311" s="102"/>
      <c r="Q1311" s="102"/>
      <c r="R1311" s="102"/>
      <c r="S1311" s="101"/>
    </row>
    <row r="1312" spans="1:19" ht="72" x14ac:dyDescent="0.3">
      <c r="A1312" t="s">
        <v>5287</v>
      </c>
      <c r="B1312" t="s">
        <v>3538</v>
      </c>
      <c r="C1312" s="90" t="s">
        <v>5343</v>
      </c>
      <c r="D1312" t="s">
        <v>5562</v>
      </c>
      <c r="E1312" s="101" t="s">
        <v>6530</v>
      </c>
      <c r="F1312" t="str" cm="1">
        <f t="array" aca="1" ref="F1312" ca="1">INDIRECT("'" &amp; A1312 &amp; "'!" &amp; B1312)</f>
        <v>v15</v>
      </c>
      <c r="G1312" t="str" cm="1">
        <f t="array" aca="1" ref="G1312" ca="1">INDIRECT("'" &amp; A1312 &amp; "'!" &amp; ADDRESS(1, COLUMN(INDIRECT("'" &amp; A1312 &amp; "'!" &amp; B1312))))</f>
        <v>1973 - 1</v>
      </c>
      <c r="H1312" t="str">
        <f ca="1">VLOOKUP($G1312, survey_codes_dict!A:C, 2, FALSE)</f>
        <v>1973_1</v>
      </c>
      <c r="I1312" s="102" t="str">
        <f ca="1">VLOOKUP($G1312, survey_codes_dict!A:D, 4, FALSE)</f>
        <v>1969_2</v>
      </c>
      <c r="J1312" s="102" t="str">
        <f t="shared" ca="1" si="40"/>
        <v>1973_1__v15</v>
      </c>
      <c r="K1312" s="102" t="str">
        <f t="shared" ca="1" si="41"/>
        <v>1969_2__v15</v>
      </c>
      <c r="L1312" s="102"/>
      <c r="M1312" s="102"/>
      <c r="N1312" s="102"/>
      <c r="O1312" s="102"/>
      <c r="P1312" s="102"/>
      <c r="Q1312" s="102"/>
      <c r="R1312" s="102"/>
      <c r="S1312" s="101"/>
    </row>
    <row r="1313" spans="1:19" ht="72" x14ac:dyDescent="0.3">
      <c r="A1313" t="s">
        <v>5287</v>
      </c>
      <c r="B1313" t="s">
        <v>5349</v>
      </c>
      <c r="C1313" s="90" t="s">
        <v>3712</v>
      </c>
      <c r="D1313" t="s">
        <v>5562</v>
      </c>
      <c r="E1313" s="101" t="s">
        <v>5848</v>
      </c>
      <c r="F1313" t="str" cm="1">
        <f t="array" aca="1" ref="F1313" ca="1">INDIRECT("'" &amp; A1313 &amp; "'!" &amp; B1313)</f>
        <v>d29</v>
      </c>
      <c r="G1313" t="str" cm="1">
        <f t="array" aca="1" ref="G1313" ca="1">INDIRECT("'" &amp; A1313 &amp; "'!" &amp; ADDRESS(1, COLUMN(INDIRECT("'" &amp; A1313 &amp; "'!" &amp; B1313))))</f>
        <v>1973 - 2</v>
      </c>
      <c r="H1313" t="str">
        <f ca="1">VLOOKUP($G1313, survey_codes_dict!A:C, 2, FALSE)</f>
        <v>1973_2</v>
      </c>
      <c r="I1313" s="102" t="str">
        <f ca="1">VLOOKUP($G1313, survey_codes_dict!A:D, 4, FALSE)</f>
        <v>1973_1</v>
      </c>
      <c r="J1313" s="102" t="str">
        <f t="shared" ca="1" si="40"/>
        <v>1973_2__d29</v>
      </c>
      <c r="K1313" s="102" t="str">
        <f t="shared" ca="1" si="41"/>
        <v>1973_1__d29</v>
      </c>
      <c r="L1313" s="102"/>
      <c r="M1313" s="102"/>
      <c r="N1313" s="102"/>
      <c r="O1313" s="102"/>
      <c r="P1313" s="102"/>
      <c r="Q1313" s="102"/>
      <c r="R1313" s="102"/>
      <c r="S1313" s="101"/>
    </row>
    <row r="1314" spans="1:19" ht="72" x14ac:dyDescent="0.3">
      <c r="A1314" t="s">
        <v>5287</v>
      </c>
      <c r="B1314" t="s">
        <v>5350</v>
      </c>
      <c r="C1314" s="90" t="s">
        <v>3712</v>
      </c>
      <c r="D1314" t="s">
        <v>5562</v>
      </c>
      <c r="E1314" s="101" t="s">
        <v>5848</v>
      </c>
      <c r="F1314" t="str" cm="1">
        <f t="array" aca="1" ref="F1314" ca="1">INDIRECT("'" &amp; A1314 &amp; "'!" &amp; B1314)</f>
        <v>d30</v>
      </c>
      <c r="G1314" t="str" cm="1">
        <f t="array" aca="1" ref="G1314" ca="1">INDIRECT("'" &amp; A1314 &amp; "'!" &amp; ADDRESS(1, COLUMN(INDIRECT("'" &amp; A1314 &amp; "'!" &amp; B1314))))</f>
        <v>1973 - 2</v>
      </c>
      <c r="H1314" t="str">
        <f ca="1">VLOOKUP($G1314, survey_codes_dict!A:C, 2, FALSE)</f>
        <v>1973_2</v>
      </c>
      <c r="I1314" s="102" t="str">
        <f ca="1">VLOOKUP($G1314, survey_codes_dict!A:D, 4, FALSE)</f>
        <v>1973_1</v>
      </c>
      <c r="J1314" s="102" t="str">
        <f t="shared" ca="1" si="40"/>
        <v>1973_2__d30</v>
      </c>
      <c r="K1314" s="102" t="str">
        <f t="shared" ca="1" si="41"/>
        <v>1973_1__d30</v>
      </c>
      <c r="L1314" s="102"/>
      <c r="M1314" s="102"/>
      <c r="N1314" s="102"/>
      <c r="O1314" s="102"/>
      <c r="P1314" s="102"/>
      <c r="Q1314" s="102"/>
      <c r="R1314" s="102"/>
      <c r="S1314" s="101"/>
    </row>
    <row r="1315" spans="1:19" ht="72" x14ac:dyDescent="0.3">
      <c r="A1315" t="s">
        <v>5287</v>
      </c>
      <c r="B1315" t="s">
        <v>5351</v>
      </c>
      <c r="C1315" s="90" t="s">
        <v>5352</v>
      </c>
      <c r="D1315" t="s">
        <v>5562</v>
      </c>
      <c r="E1315" s="101" t="s">
        <v>6533</v>
      </c>
      <c r="F1315" t="str" cm="1">
        <f t="array" aca="1" ref="F1315" ca="1">INDIRECT("'" &amp; A1315 &amp; "'!" &amp; B1315)</f>
        <v>c39</v>
      </c>
      <c r="G1315" t="str" cm="1">
        <f t="array" aca="1" ref="G1315" ca="1">INDIRECT("'" &amp; A1315 &amp; "'!" &amp; ADDRESS(1, COLUMN(INDIRECT("'" &amp; A1315 &amp; "'!" &amp; B1315))))</f>
        <v>1969 - 2</v>
      </c>
      <c r="H1315" t="str">
        <f ca="1">VLOOKUP($G1315, survey_codes_dict!A:C, 2, FALSE)</f>
        <v>1969_2</v>
      </c>
      <c r="I1315" s="102" t="str">
        <f ca="1">VLOOKUP($G1315, survey_codes_dict!A:D, 4, FALSE)</f>
        <v>1969_1</v>
      </c>
      <c r="J1315" s="102" t="str">
        <f t="shared" ca="1" si="40"/>
        <v>1969_2__c39</v>
      </c>
      <c r="K1315" s="102" t="str">
        <f t="shared" ca="1" si="41"/>
        <v>1969_1__c39</v>
      </c>
      <c r="L1315" s="102"/>
      <c r="M1315" s="102"/>
      <c r="N1315" s="102"/>
      <c r="O1315" s="102"/>
      <c r="P1315" s="102"/>
      <c r="Q1315" s="102"/>
      <c r="R1315" s="102"/>
      <c r="S1315" s="101"/>
    </row>
    <row r="1316" spans="1:19" ht="86.4" x14ac:dyDescent="0.3">
      <c r="A1316" t="s">
        <v>5287</v>
      </c>
      <c r="B1316" t="s">
        <v>5353</v>
      </c>
      <c r="C1316" s="90" t="s">
        <v>5354</v>
      </c>
      <c r="D1316" t="s">
        <v>5562</v>
      </c>
      <c r="E1316" s="101" t="s">
        <v>6534</v>
      </c>
      <c r="F1316" t="str" cm="1">
        <f t="array" aca="1" ref="F1316" ca="1">INDIRECT("'" &amp; A1316 &amp; "'!" &amp; B1316)</f>
        <v>v616</v>
      </c>
      <c r="G1316" cm="1">
        <f t="array" aca="1" ref="G1316" ca="1">INDIRECT("'" &amp; A1316 &amp; "'!" &amp; ADDRESS(1, COLUMN(INDIRECT("'" &amp; A1316 &amp; "'!" &amp; B1316))))</f>
        <v>2021</v>
      </c>
      <c r="H1316" t="e">
        <f ca="1">VLOOKUP($G1316, survey_codes_dict!A:C, 2, FALSE)</f>
        <v>#N/A</v>
      </c>
      <c r="I1316" s="102" t="e">
        <f ca="1">VLOOKUP($G1316, survey_codes_dict!A:D, 4, FALSE)</f>
        <v>#N/A</v>
      </c>
      <c r="J1316" s="102" t="e">
        <f t="shared" ca="1" si="40"/>
        <v>#N/A</v>
      </c>
      <c r="K1316" s="102" t="e">
        <f t="shared" ca="1" si="41"/>
        <v>#N/A</v>
      </c>
      <c r="L1316" s="102"/>
      <c r="M1316" s="102"/>
      <c r="N1316" s="102"/>
      <c r="O1316" s="102"/>
      <c r="P1316" s="102"/>
      <c r="Q1316" s="102"/>
      <c r="R1316" s="102"/>
      <c r="S1316" s="102"/>
    </row>
    <row r="1317" spans="1:19" ht="72" x14ac:dyDescent="0.3">
      <c r="A1317" t="s">
        <v>5287</v>
      </c>
      <c r="B1317" t="s">
        <v>5355</v>
      </c>
      <c r="C1317" s="90" t="s">
        <v>3712</v>
      </c>
      <c r="D1317" t="s">
        <v>5562</v>
      </c>
      <c r="E1317" s="101" t="s">
        <v>5848</v>
      </c>
      <c r="F1317" t="str" cm="1">
        <f t="array" aca="1" ref="F1317" ca="1">INDIRECT("'" &amp; A1317 &amp; "'!" &amp; B1317)</f>
        <v>v35</v>
      </c>
      <c r="G1317" t="str" cm="1">
        <f t="array" aca="1" ref="G1317" ca="1">INDIRECT("'" &amp; A1317 &amp; "'!" &amp; ADDRESS(1, COLUMN(INDIRECT("'" &amp; A1317 &amp; "'!" &amp; B1317))))</f>
        <v>1977 - 1</v>
      </c>
      <c r="H1317" t="str">
        <f ca="1">VLOOKUP($G1317, survey_codes_dict!A:C, 2, FALSE)</f>
        <v>1977_1</v>
      </c>
      <c r="I1317" s="102" t="str">
        <f ca="1">VLOOKUP($G1317, survey_codes_dict!A:D, 4, FALSE)</f>
        <v>1973_5</v>
      </c>
      <c r="J1317" s="102" t="str">
        <f t="shared" ca="1" si="40"/>
        <v>1977_1__v35</v>
      </c>
      <c r="K1317" s="102" t="str">
        <f t="shared" ca="1" si="41"/>
        <v>1973_5__v35</v>
      </c>
      <c r="L1317" s="102"/>
      <c r="M1317" s="102"/>
      <c r="N1317" s="102"/>
      <c r="O1317" s="102"/>
      <c r="P1317" s="102"/>
      <c r="Q1317" s="102"/>
      <c r="R1317" s="102"/>
      <c r="S1317" s="101"/>
    </row>
    <row r="1318" spans="1:19" ht="72" x14ac:dyDescent="0.3">
      <c r="A1318" t="s">
        <v>5287</v>
      </c>
      <c r="B1318" t="s">
        <v>5356</v>
      </c>
      <c r="C1318" s="90" t="s">
        <v>5357</v>
      </c>
      <c r="D1318" t="s">
        <v>5562</v>
      </c>
      <c r="E1318" s="101" t="s">
        <v>6535</v>
      </c>
      <c r="F1318" t="str" cm="1">
        <f t="array" aca="1" ref="F1318" ca="1">INDIRECT("'" &amp; A1318 &amp; "'!" &amp; B1318)</f>
        <v>g35</v>
      </c>
      <c r="G1318" t="str" cm="1">
        <f t="array" aca="1" ref="G1318" ca="1">INDIRECT("'" &amp; A1318 &amp; "'!" &amp; ADDRESS(1, COLUMN(INDIRECT("'" &amp; A1318 &amp; "'!" &amp; B1318))))</f>
        <v>1973 - 4</v>
      </c>
      <c r="H1318" t="str">
        <f ca="1">VLOOKUP($G1318, survey_codes_dict!A:C, 2, FALSE)</f>
        <v>1973_4</v>
      </c>
      <c r="I1318" s="102" t="str">
        <f ca="1">VLOOKUP($G1318, survey_codes_dict!A:D, 4, FALSE)</f>
        <v>1973_3</v>
      </c>
      <c r="J1318" s="102" t="str">
        <f t="shared" ca="1" si="40"/>
        <v>1973_4__g35</v>
      </c>
      <c r="K1318" s="102" t="str">
        <f t="shared" ca="1" si="41"/>
        <v>1973_3__g35</v>
      </c>
      <c r="L1318" s="102"/>
      <c r="M1318" s="102"/>
      <c r="N1318" s="102"/>
      <c r="O1318" s="102"/>
      <c r="P1318" s="102"/>
      <c r="Q1318" s="102"/>
      <c r="R1318" s="102"/>
      <c r="S1318" s="101"/>
    </row>
    <row r="1319" spans="1:19" ht="72" x14ac:dyDescent="0.3">
      <c r="A1319" t="s">
        <v>5287</v>
      </c>
      <c r="B1319" t="s">
        <v>5358</v>
      </c>
      <c r="C1319" s="90" t="s">
        <v>3778</v>
      </c>
      <c r="D1319" t="s">
        <v>5562</v>
      </c>
      <c r="E1319" s="101" t="s">
        <v>5869</v>
      </c>
      <c r="F1319" t="str" cm="1">
        <f t="array" aca="1" ref="F1319" ca="1">INDIRECT("'" &amp; A1319 &amp; "'!" &amp; B1319)</f>
        <v>v71</v>
      </c>
      <c r="G1319" t="str" cm="1">
        <f t="array" aca="1" ref="G1319" ca="1">INDIRECT("'" &amp; A1319 &amp; "'!" &amp; ADDRESS(1, COLUMN(INDIRECT("'" &amp; A1319 &amp; "'!" &amp; B1319))))</f>
        <v>1981 - 1</v>
      </c>
      <c r="H1319" t="str">
        <f ca="1">VLOOKUP($G1319, survey_codes_dict!A:C, 2, FALSE)</f>
        <v>1981_1</v>
      </c>
      <c r="I1319" s="102" t="str">
        <f ca="1">VLOOKUP($G1319, survey_codes_dict!A:D, 4, FALSE)</f>
        <v>1977_4</v>
      </c>
      <c r="J1319" s="102" t="str">
        <f t="shared" ca="1" si="40"/>
        <v>1981_1__v71</v>
      </c>
      <c r="K1319" s="102" t="str">
        <f t="shared" ca="1" si="41"/>
        <v>1977_4__v71</v>
      </c>
      <c r="L1319" s="102"/>
      <c r="M1319" s="102"/>
      <c r="N1319" s="102"/>
      <c r="O1319" s="102"/>
      <c r="P1319" s="102"/>
      <c r="Q1319" s="102"/>
      <c r="R1319" s="102"/>
      <c r="S1319" s="101"/>
    </row>
    <row r="1320" spans="1:19" ht="72" x14ac:dyDescent="0.3">
      <c r="A1320" t="s">
        <v>5287</v>
      </c>
      <c r="B1320" t="s">
        <v>5359</v>
      </c>
      <c r="C1320" s="90" t="s">
        <v>5360</v>
      </c>
      <c r="D1320" t="s">
        <v>5562</v>
      </c>
      <c r="E1320" s="101" t="s">
        <v>6536</v>
      </c>
      <c r="F1320" t="str" cm="1">
        <f t="array" aca="1" ref="F1320" ca="1">INDIRECT("'" &amp; A1320 &amp; "'!" &amp; B1320)</f>
        <v>after_v14a</v>
      </c>
      <c r="G1320" cm="1">
        <f t="array" aca="1" ref="G1320" ca="1">INDIRECT("'" &amp; A1320 &amp; "'!" &amp; ADDRESS(1, COLUMN(INDIRECT("'" &amp; A1320 &amp; "'!" &amp; B1320))))</f>
        <v>2015</v>
      </c>
      <c r="H1320" t="e">
        <f ca="1">VLOOKUP($G1320, survey_codes_dict!A:C, 2, FALSE)</f>
        <v>#N/A</v>
      </c>
      <c r="I1320" s="102" t="e">
        <f ca="1">VLOOKUP($G1320, survey_codes_dict!A:D, 4, FALSE)</f>
        <v>#N/A</v>
      </c>
      <c r="J1320" s="102" t="e">
        <f t="shared" ca="1" si="40"/>
        <v>#N/A</v>
      </c>
      <c r="K1320" s="102" t="e">
        <f t="shared" ca="1" si="41"/>
        <v>#N/A</v>
      </c>
      <c r="L1320" s="102"/>
      <c r="M1320" s="102"/>
      <c r="N1320" s="102"/>
      <c r="O1320" s="102"/>
      <c r="P1320" s="102"/>
      <c r="Q1320" s="102"/>
      <c r="R1320" s="102"/>
      <c r="S1320" s="102"/>
    </row>
    <row r="1321" spans="1:19" ht="129.6" x14ac:dyDescent="0.3">
      <c r="A1321" t="s">
        <v>5287</v>
      </c>
      <c r="B1321" t="s">
        <v>5361</v>
      </c>
      <c r="C1321" s="90" t="s">
        <v>5362</v>
      </c>
      <c r="D1321" t="s">
        <v>5562</v>
      </c>
      <c r="E1321" s="101" t="s">
        <v>6537</v>
      </c>
      <c r="F1321" t="str" cm="1">
        <f t="array" aca="1" ref="F1321" ca="1">INDIRECT("'" &amp; A1321 &amp; "'!" &amp; B1321)</f>
        <v>v27</v>
      </c>
      <c r="G1321" t="str" cm="1">
        <f t="array" aca="1" ref="G1321" ca="1">INDIRECT("'" &amp; A1321 &amp; "'!" &amp; ADDRESS(1, COLUMN(INDIRECT("'" &amp; A1321 &amp; "'!" &amp; B1321))))</f>
        <v>1977 - 1</v>
      </c>
      <c r="H1321" t="str">
        <f ca="1">VLOOKUP($G1321, survey_codes_dict!A:C, 2, FALSE)</f>
        <v>1977_1</v>
      </c>
      <c r="I1321" s="102" t="str">
        <f ca="1">VLOOKUP($G1321, survey_codes_dict!A:D, 4, FALSE)</f>
        <v>1973_5</v>
      </c>
      <c r="J1321" s="102" t="str">
        <f t="shared" ca="1" si="40"/>
        <v>1977_1__v27</v>
      </c>
      <c r="K1321" s="102" t="str">
        <f t="shared" ca="1" si="41"/>
        <v>1973_5__v27</v>
      </c>
      <c r="L1321" s="102"/>
      <c r="M1321" s="102"/>
      <c r="N1321" s="102"/>
      <c r="O1321" s="102"/>
      <c r="P1321" s="102"/>
      <c r="Q1321" s="102"/>
      <c r="R1321" s="102"/>
      <c r="S1321" s="101"/>
    </row>
    <row r="1322" spans="1:19" ht="100.8" x14ac:dyDescent="0.3">
      <c r="A1322" t="s">
        <v>5287</v>
      </c>
      <c r="B1322" t="s">
        <v>5363</v>
      </c>
      <c r="C1322" s="90" t="s">
        <v>5364</v>
      </c>
      <c r="D1322" t="s">
        <v>5562</v>
      </c>
      <c r="E1322" s="101" t="s">
        <v>6538</v>
      </c>
      <c r="F1322" t="str" cm="1">
        <f t="array" aca="1" ref="F1322" ca="1">INDIRECT("'" &amp; A1322 &amp; "'!" &amp; B1322)</f>
        <v>b4</v>
      </c>
      <c r="G1322" t="str" cm="1">
        <f t="array" aca="1" ref="G1322" ca="1">INDIRECT("'" &amp; A1322 &amp; "'!" &amp; ADDRESS(1, COLUMN(INDIRECT("'" &amp; A1322 &amp; "'!" &amp; B1322))))</f>
        <v>1969 - 1</v>
      </c>
      <c r="H1322" t="str">
        <f ca="1">VLOOKUP($G1322, survey_codes_dict!A:C, 2, FALSE)</f>
        <v>1969_1</v>
      </c>
      <c r="I1322" s="102">
        <f ca="1">VLOOKUP($G1322, survey_codes_dict!A:D, 4, FALSE)</f>
        <v>0</v>
      </c>
      <c r="J1322" s="102" t="str">
        <f t="shared" ca="1" si="40"/>
        <v>1969_1__b4</v>
      </c>
      <c r="K1322" s="102" t="str">
        <f t="shared" ca="1" si="41"/>
        <v>0__b4</v>
      </c>
      <c r="L1322" s="102"/>
      <c r="M1322" s="102"/>
      <c r="N1322" s="102"/>
      <c r="O1322" s="102"/>
      <c r="P1322" s="102"/>
      <c r="Q1322" s="102"/>
      <c r="R1322" s="102"/>
      <c r="S1322" s="101"/>
    </row>
    <row r="1323" spans="1:19" ht="129.6" x14ac:dyDescent="0.3">
      <c r="A1323" t="s">
        <v>5287</v>
      </c>
      <c r="B1323" t="s">
        <v>5365</v>
      </c>
      <c r="C1323" s="90" t="s">
        <v>5366</v>
      </c>
      <c r="D1323" t="s">
        <v>5562</v>
      </c>
      <c r="E1323" s="101" t="s">
        <v>6539</v>
      </c>
      <c r="F1323" t="str" cm="1">
        <f t="array" aca="1" ref="F1323" ca="1">INDIRECT("'" &amp; A1323 &amp; "'!" &amp; B1323)</f>
        <v>v36</v>
      </c>
      <c r="G1323" t="str" cm="1">
        <f t="array" aca="1" ref="G1323" ca="1">INDIRECT("'" &amp; A1323 &amp; "'!" &amp; ADDRESS(1, COLUMN(INDIRECT("'" &amp; A1323 &amp; "'!" &amp; B1323))))</f>
        <v>1977 - 1</v>
      </c>
      <c r="H1323" t="str">
        <f ca="1">VLOOKUP($G1323, survey_codes_dict!A:C, 2, FALSE)</f>
        <v>1977_1</v>
      </c>
      <c r="I1323" s="102" t="str">
        <f ca="1">VLOOKUP($G1323, survey_codes_dict!A:D, 4, FALSE)</f>
        <v>1973_5</v>
      </c>
      <c r="J1323" s="102" t="str">
        <f t="shared" ca="1" si="40"/>
        <v>1977_1__v36</v>
      </c>
      <c r="K1323" s="102" t="str">
        <f t="shared" ca="1" si="41"/>
        <v>1973_5__v36</v>
      </c>
      <c r="L1323" s="102"/>
      <c r="M1323" s="102"/>
      <c r="N1323" s="102"/>
      <c r="O1323" s="102"/>
      <c r="P1323" s="102"/>
      <c r="Q1323" s="102"/>
      <c r="R1323" s="102"/>
      <c r="S1323" s="101"/>
    </row>
    <row r="1324" spans="1:19" ht="86.4" x14ac:dyDescent="0.3">
      <c r="A1324" t="s">
        <v>5287</v>
      </c>
      <c r="B1324" t="s">
        <v>5367</v>
      </c>
      <c r="C1324" s="90" t="s">
        <v>5368</v>
      </c>
      <c r="D1324" t="s">
        <v>5562</v>
      </c>
      <c r="E1324" s="101" t="s">
        <v>6540</v>
      </c>
      <c r="F1324" t="str" cm="1">
        <f t="array" aca="1" ref="F1324" ca="1">INDIRECT("'" &amp; A1324 &amp; "'!" &amp; B1324)</f>
        <v>v617</v>
      </c>
      <c r="G1324" cm="1">
        <f t="array" aca="1" ref="G1324" ca="1">INDIRECT("'" &amp; A1324 &amp; "'!" &amp; ADDRESS(1, COLUMN(INDIRECT("'" &amp; A1324 &amp; "'!" &amp; B1324))))</f>
        <v>2021</v>
      </c>
      <c r="H1324" t="e">
        <f ca="1">VLOOKUP($G1324, survey_codes_dict!A:C, 2, FALSE)</f>
        <v>#N/A</v>
      </c>
      <c r="I1324" s="102" t="e">
        <f ca="1">VLOOKUP($G1324, survey_codes_dict!A:D, 4, FALSE)</f>
        <v>#N/A</v>
      </c>
      <c r="J1324" s="102" t="e">
        <f t="shared" ca="1" si="40"/>
        <v>#N/A</v>
      </c>
      <c r="K1324" s="102" t="e">
        <f t="shared" ca="1" si="41"/>
        <v>#N/A</v>
      </c>
      <c r="L1324" s="102"/>
      <c r="M1324" s="102"/>
      <c r="N1324" s="102"/>
      <c r="O1324" s="102"/>
      <c r="P1324" s="102"/>
      <c r="Q1324" s="102"/>
      <c r="R1324" s="102"/>
      <c r="S1324" s="102"/>
    </row>
    <row r="1325" spans="1:19" ht="86.4" x14ac:dyDescent="0.3">
      <c r="A1325" t="s">
        <v>5287</v>
      </c>
      <c r="B1325" t="s">
        <v>5369</v>
      </c>
      <c r="C1325" s="90" t="s">
        <v>5370</v>
      </c>
      <c r="D1325" t="s">
        <v>5562</v>
      </c>
      <c r="E1325" s="101" t="s">
        <v>6541</v>
      </c>
      <c r="F1325" t="str" cm="1">
        <f t="array" aca="1" ref="F1325" ca="1">INDIRECT("'" &amp; A1325 &amp; "'!" &amp; B1325)</f>
        <v>v618</v>
      </c>
      <c r="G1325" cm="1">
        <f t="array" aca="1" ref="G1325" ca="1">INDIRECT("'" &amp; A1325 &amp; "'!" &amp; ADDRESS(1, COLUMN(INDIRECT("'" &amp; A1325 &amp; "'!" &amp; B1325))))</f>
        <v>2021</v>
      </c>
      <c r="H1325" t="e">
        <f ca="1">VLOOKUP($G1325, survey_codes_dict!A:C, 2, FALSE)</f>
        <v>#N/A</v>
      </c>
      <c r="I1325" s="102" t="e">
        <f ca="1">VLOOKUP($G1325, survey_codes_dict!A:D, 4, FALSE)</f>
        <v>#N/A</v>
      </c>
      <c r="J1325" s="102" t="e">
        <f t="shared" ca="1" si="40"/>
        <v>#N/A</v>
      </c>
      <c r="K1325" s="102" t="e">
        <f t="shared" ca="1" si="41"/>
        <v>#N/A</v>
      </c>
      <c r="L1325" s="102"/>
      <c r="M1325" s="102"/>
      <c r="N1325" s="102"/>
      <c r="O1325" s="102"/>
      <c r="P1325" s="102"/>
      <c r="Q1325" s="102"/>
      <c r="R1325" s="102"/>
      <c r="S1325" s="102"/>
    </row>
    <row r="1326" spans="1:19" ht="86.4" x14ac:dyDescent="0.3">
      <c r="A1326" t="s">
        <v>5371</v>
      </c>
      <c r="B1326" t="s">
        <v>4978</v>
      </c>
      <c r="C1326" s="90" t="s">
        <v>5372</v>
      </c>
      <c r="D1326" t="s">
        <v>5562</v>
      </c>
      <c r="E1326" s="101" t="s">
        <v>6542</v>
      </c>
      <c r="F1326" t="str" cm="1">
        <f t="array" aca="1" ref="F1326" ca="1">INDIRECT("'" &amp; A1326 &amp; "'!" &amp; B1326)</f>
        <v>v611</v>
      </c>
      <c r="G1326" cm="1">
        <f t="array" aca="1" ref="G1326" ca="1">INDIRECT("'" &amp; A1326 &amp; "'!" &amp; ADDRESS(1, COLUMN(INDIRECT("'" &amp; A1326 &amp; "'!" &amp; B1326))))</f>
        <v>2021</v>
      </c>
      <c r="H1326" t="e">
        <f ca="1">VLOOKUP($G1326, survey_codes_dict!A:C, 2, FALSE)</f>
        <v>#N/A</v>
      </c>
      <c r="I1326" s="102" t="e">
        <f ca="1">VLOOKUP($G1326, survey_codes_dict!A:D, 4, FALSE)</f>
        <v>#N/A</v>
      </c>
      <c r="J1326" s="102" t="e">
        <f t="shared" ca="1" si="40"/>
        <v>#N/A</v>
      </c>
      <c r="K1326" s="102" t="e">
        <f t="shared" ca="1" si="41"/>
        <v>#N/A</v>
      </c>
      <c r="L1326" s="102"/>
      <c r="M1326" s="102"/>
      <c r="N1326" s="102"/>
      <c r="O1326" s="102"/>
      <c r="P1326" s="102"/>
      <c r="Q1326" s="102"/>
      <c r="R1326" s="102"/>
      <c r="S1326" s="102"/>
    </row>
    <row r="1327" spans="1:19" ht="100.8" x14ac:dyDescent="0.3">
      <c r="A1327" t="s">
        <v>5371</v>
      </c>
      <c r="B1327" t="s">
        <v>3562</v>
      </c>
      <c r="C1327" s="90" t="s">
        <v>5373</v>
      </c>
      <c r="D1327" t="s">
        <v>5562</v>
      </c>
      <c r="E1327" s="101" t="s">
        <v>6543</v>
      </c>
      <c r="F1327" t="str" cm="1">
        <f t="array" aca="1" ref="F1327" ca="1">INDIRECT("'" &amp; A1327 &amp; "'!" &amp; B1327)</f>
        <v>v505</v>
      </c>
      <c r="G1327" cm="1">
        <f t="array" aca="1" ref="G1327" ca="1">INDIRECT("'" &amp; A1327 &amp; "'!" &amp; ADDRESS(1, COLUMN(INDIRECT("'" &amp; A1327 &amp; "'!" &amp; B1327))))</f>
        <v>2020</v>
      </c>
      <c r="H1327" t="e">
        <f ca="1">VLOOKUP($G1327, survey_codes_dict!A:C, 2, FALSE)</f>
        <v>#N/A</v>
      </c>
      <c r="I1327" s="102" t="e">
        <f ca="1">VLOOKUP($G1327, survey_codes_dict!A:D, 4, FALSE)</f>
        <v>#N/A</v>
      </c>
      <c r="J1327" s="102" t="e">
        <f t="shared" ca="1" si="40"/>
        <v>#N/A</v>
      </c>
      <c r="K1327" s="102" t="e">
        <f t="shared" ca="1" si="41"/>
        <v>#N/A</v>
      </c>
      <c r="L1327" s="102"/>
      <c r="M1327" s="102"/>
      <c r="N1327" s="102"/>
      <c r="O1327" s="102"/>
      <c r="P1327" s="102"/>
      <c r="Q1327" s="102"/>
      <c r="R1327" s="102"/>
      <c r="S1327" s="102"/>
    </row>
    <row r="1328" spans="1:19" ht="100.8" x14ac:dyDescent="0.3">
      <c r="A1328" t="s">
        <v>5371</v>
      </c>
      <c r="B1328" t="s">
        <v>3774</v>
      </c>
      <c r="C1328" s="90" t="s">
        <v>5374</v>
      </c>
      <c r="D1328" t="s">
        <v>5562</v>
      </c>
      <c r="E1328" s="101" t="s">
        <v>6544</v>
      </c>
      <c r="F1328" t="str" cm="1">
        <f t="array" aca="1" ref="F1328" ca="1">INDIRECT("'" &amp; A1328 &amp; "'!" &amp; B1328)</f>
        <v>v506</v>
      </c>
      <c r="G1328" cm="1">
        <f t="array" aca="1" ref="G1328" ca="1">INDIRECT("'" &amp; A1328 &amp; "'!" &amp; ADDRESS(1, COLUMN(INDIRECT("'" &amp; A1328 &amp; "'!" &amp; B1328))))</f>
        <v>2020</v>
      </c>
      <c r="H1328" t="e">
        <f ca="1">VLOOKUP($G1328, survey_codes_dict!A:C, 2, FALSE)</f>
        <v>#N/A</v>
      </c>
      <c r="I1328" s="102" t="e">
        <f ca="1">VLOOKUP($G1328, survey_codes_dict!A:D, 4, FALSE)</f>
        <v>#N/A</v>
      </c>
      <c r="J1328" s="102" t="e">
        <f t="shared" ca="1" si="40"/>
        <v>#N/A</v>
      </c>
      <c r="K1328" s="102" t="e">
        <f t="shared" ca="1" si="41"/>
        <v>#N/A</v>
      </c>
      <c r="L1328" s="102"/>
      <c r="M1328" s="102"/>
      <c r="N1328" s="102"/>
      <c r="O1328" s="102"/>
      <c r="P1328" s="102"/>
      <c r="Q1328" s="102"/>
      <c r="R1328" s="102"/>
      <c r="S1328" s="102"/>
    </row>
    <row r="1329" spans="1:19" ht="43.2" x14ac:dyDescent="0.3">
      <c r="A1329" t="s">
        <v>5371</v>
      </c>
      <c r="B1329" t="s">
        <v>3952</v>
      </c>
      <c r="C1329" s="90" t="s">
        <v>5375</v>
      </c>
      <c r="D1329" t="s">
        <v>5562</v>
      </c>
      <c r="E1329" s="101" t="s">
        <v>6545</v>
      </c>
      <c r="F1329" t="str" cm="1">
        <f t="array" aca="1" ref="F1329" ca="1">INDIRECT("'" &amp; A1329 &amp; "'!" &amp; B1329)</f>
        <v>האם אתה משתמש ברשתות חברתיות כמו וואטספ, פייסבוק, טוויטר, אינסטגרם, טלגרם וכד'?</v>
      </c>
      <c r="G1329" t="str" cm="1">
        <f t="array" aca="1" ref="G1329" ca="1">INDIRECT("'" &amp; A1329 &amp; "'!" &amp; ADDRESS(1, COLUMN(INDIRECT("'" &amp; A1329 &amp; "'!" &amp; B1329))))</f>
        <v>שאלה</v>
      </c>
      <c r="H1329" t="e">
        <f ca="1">VLOOKUP($G1329, survey_codes_dict!A:C, 2, FALSE)</f>
        <v>#N/A</v>
      </c>
      <c r="I1329" s="102" t="e">
        <f ca="1">VLOOKUP($G1329, survey_codes_dict!A:D, 4, FALSE)</f>
        <v>#N/A</v>
      </c>
      <c r="J1329" s="102" t="e">
        <f t="shared" ca="1" si="40"/>
        <v>#N/A</v>
      </c>
      <c r="K1329" s="102" t="e">
        <f t="shared" ca="1" si="41"/>
        <v>#N/A</v>
      </c>
      <c r="L1329" s="102"/>
      <c r="M1329" s="102"/>
      <c r="N1329" s="102"/>
      <c r="O1329" s="102"/>
      <c r="P1329" s="102"/>
      <c r="Q1329" s="102"/>
      <c r="R1329" s="102"/>
      <c r="S1329" s="102"/>
    </row>
    <row r="1330" spans="1:19" ht="43.2" x14ac:dyDescent="0.3">
      <c r="A1330" t="s">
        <v>5371</v>
      </c>
      <c r="B1330" t="s">
        <v>3579</v>
      </c>
      <c r="C1330" s="90" t="s">
        <v>3498</v>
      </c>
      <c r="D1330" t="s">
        <v>5562</v>
      </c>
      <c r="E1330" s="101" t="s">
        <v>5757</v>
      </c>
      <c r="F1330" cm="1">
        <f t="array" aca="1" ref="F1330" ca="1">INDIRECT("'" &amp; A1330 &amp; "'!" &amp; B1330)</f>
        <v>0</v>
      </c>
      <c r="G1330" cm="1">
        <f t="array" aca="1" ref="G1330" ca="1">INDIRECT("'" &amp; A1330 &amp; "'!" &amp; ADDRESS(1, COLUMN(INDIRECT("'" &amp; A1330 &amp; "'!" &amp; B1330))))</f>
        <v>43556</v>
      </c>
      <c r="H1330" t="e">
        <f ca="1">VLOOKUP($G1330, survey_codes_dict!A:C, 2, FALSE)</f>
        <v>#N/A</v>
      </c>
      <c r="I1330" s="102" t="e">
        <f ca="1">VLOOKUP($G1330, survey_codes_dict!A:D, 4, FALSE)</f>
        <v>#N/A</v>
      </c>
      <c r="J1330" s="102" t="e">
        <f t="shared" ca="1" si="40"/>
        <v>#N/A</v>
      </c>
      <c r="K1330" s="102" t="e">
        <f t="shared" ca="1" si="41"/>
        <v>#N/A</v>
      </c>
      <c r="L1330" s="102"/>
      <c r="M1330" s="102"/>
      <c r="N1330" s="102"/>
      <c r="O1330" s="102"/>
      <c r="P1330" s="102"/>
      <c r="Q1330" s="102"/>
      <c r="R1330" s="102"/>
      <c r="S1330" s="102"/>
    </row>
    <row r="1331" spans="1:19" ht="86.4" x14ac:dyDescent="0.3">
      <c r="A1331" t="s">
        <v>5371</v>
      </c>
      <c r="B1331" t="s">
        <v>5376</v>
      </c>
      <c r="C1331" s="90" t="s">
        <v>5377</v>
      </c>
      <c r="D1331" t="s">
        <v>5562</v>
      </c>
      <c r="E1331" s="101" t="s">
        <v>6546</v>
      </c>
      <c r="F1331" t="str" cm="1">
        <f t="array" aca="1" ref="F1331" ca="1">INDIRECT("'" &amp; A1331 &amp; "'!" &amp; B1331)</f>
        <v>v93</v>
      </c>
      <c r="G1331" cm="1">
        <f t="array" aca="1" ref="G1331" ca="1">INDIRECT("'" &amp; A1331 &amp; "'!" &amp; ADDRESS(1, COLUMN(INDIRECT("'" &amp; A1331 &amp; "'!" &amp; B1331))))</f>
        <v>43556</v>
      </c>
      <c r="H1331" t="e">
        <f ca="1">VLOOKUP($G1331, survey_codes_dict!A:C, 2, FALSE)</f>
        <v>#N/A</v>
      </c>
      <c r="I1331" s="102" t="e">
        <f ca="1">VLOOKUP($G1331, survey_codes_dict!A:D, 4, FALSE)</f>
        <v>#N/A</v>
      </c>
      <c r="J1331" s="102" t="e">
        <f t="shared" ca="1" si="40"/>
        <v>#N/A</v>
      </c>
      <c r="K1331" s="102" t="e">
        <f t="shared" ca="1" si="41"/>
        <v>#N/A</v>
      </c>
      <c r="L1331" s="102"/>
      <c r="M1331" s="102"/>
      <c r="N1331" s="102"/>
      <c r="O1331" s="102"/>
      <c r="P1331" s="102"/>
      <c r="Q1331" s="102"/>
      <c r="R1331" s="102"/>
      <c r="S1331" s="101"/>
    </row>
    <row r="1332" spans="1:19" ht="115.2" x14ac:dyDescent="0.3">
      <c r="A1332" t="s">
        <v>5371</v>
      </c>
      <c r="B1332" t="s">
        <v>4256</v>
      </c>
      <c r="C1332" s="90" t="s">
        <v>5378</v>
      </c>
      <c r="D1332" t="s">
        <v>5562</v>
      </c>
      <c r="E1332" s="101" t="s">
        <v>6547</v>
      </c>
      <c r="F1332" t="str" cm="1">
        <f t="array" aca="1" ref="F1332" ca="1">INDIRECT("'" &amp; A1332 &amp; "'!" &amp; B1332)</f>
        <v>v89</v>
      </c>
      <c r="G1332" cm="1">
        <f t="array" aca="1" ref="G1332" ca="1">INDIRECT("'" &amp; A1332 &amp; "'!" &amp; ADDRESS(1, COLUMN(INDIRECT("'" &amp; A1332 &amp; "'!" &amp; B1332))))</f>
        <v>2013</v>
      </c>
      <c r="H1332" t="e">
        <f ca="1">VLOOKUP($G1332, survey_codes_dict!A:C, 2, FALSE)</f>
        <v>#N/A</v>
      </c>
      <c r="I1332" s="102" t="e">
        <f ca="1">VLOOKUP($G1332, survey_codes_dict!A:D, 4, FALSE)</f>
        <v>#N/A</v>
      </c>
      <c r="J1332" s="102" t="e">
        <f t="shared" ca="1" si="40"/>
        <v>#N/A</v>
      </c>
      <c r="K1332" s="102" t="e">
        <f t="shared" ca="1" si="41"/>
        <v>#N/A</v>
      </c>
      <c r="L1332" s="102"/>
      <c r="M1332" s="102"/>
      <c r="N1332" s="102"/>
      <c r="O1332" s="102"/>
      <c r="P1332" s="102"/>
      <c r="Q1332" s="102"/>
      <c r="R1332" s="102"/>
      <c r="S1332" s="101"/>
    </row>
    <row r="1333" spans="1:19" ht="158.4" x14ac:dyDescent="0.3">
      <c r="A1333" t="s">
        <v>5371</v>
      </c>
      <c r="B1333" t="s">
        <v>4724</v>
      </c>
      <c r="C1333" s="90" t="s">
        <v>5379</v>
      </c>
      <c r="D1333" t="s">
        <v>5562</v>
      </c>
      <c r="E1333" s="101" t="s">
        <v>6548</v>
      </c>
      <c r="F1333" t="str" cm="1">
        <f t="array" aca="1" ref="F1333" ca="1">INDIRECT("'" &amp; A1333 &amp; "'!" &amp; B1333)</f>
        <v>b64</v>
      </c>
      <c r="G1333" cm="1">
        <f t="array" aca="1" ref="G1333" ca="1">INDIRECT("'" &amp; A1333 &amp; "'!" &amp; ADDRESS(1, COLUMN(INDIRECT("'" &amp; A1333 &amp; "'!" &amp; B1333))))</f>
        <v>2006</v>
      </c>
      <c r="H1333" t="str">
        <f ca="1">VLOOKUP($G1333, survey_codes_dict!A:C, 2, FALSE)</f>
        <v>2006</v>
      </c>
      <c r="I1333" s="102" t="str">
        <f ca="1">VLOOKUP($G1333, survey_codes_dict!A:D, 4, FALSE)</f>
        <v>2003</v>
      </c>
      <c r="J1333" s="102" t="str">
        <f t="shared" ca="1" si="40"/>
        <v>2006__b64</v>
      </c>
      <c r="K1333" s="102" t="str">
        <f t="shared" ca="1" si="41"/>
        <v>2003__b64</v>
      </c>
      <c r="L1333" s="102"/>
      <c r="M1333" s="102"/>
      <c r="N1333" s="102"/>
      <c r="O1333" s="102"/>
      <c r="P1333" s="102"/>
      <c r="Q1333" s="102"/>
      <c r="R1333" s="102"/>
      <c r="S1333" s="101"/>
    </row>
    <row r="1334" spans="1:19" ht="28.8" x14ac:dyDescent="0.3">
      <c r="A1334" t="s">
        <v>5371</v>
      </c>
      <c r="B1334" t="s">
        <v>4990</v>
      </c>
      <c r="C1334" s="90" t="s">
        <v>3980</v>
      </c>
      <c r="D1334" t="s">
        <v>399</v>
      </c>
      <c r="E1334" s="101" t="s">
        <v>5591</v>
      </c>
      <c r="F1334" t="str" cm="1">
        <f t="array" aca="1" ref="F1334" ca="1">INDIRECT("'" &amp; A1334 &amp; "'!" &amp; B1334)</f>
        <v>b79</v>
      </c>
      <c r="G1334" cm="1">
        <f t="array" aca="1" ref="G1334" ca="1">INDIRECT("'" &amp; A1334 &amp; "'!" &amp; ADDRESS(1, COLUMN(INDIRECT("'" &amp; A1334 &amp; "'!" &amp; B1334))))</f>
        <v>2001</v>
      </c>
      <c r="H1334" t="str">
        <f ca="1">VLOOKUP($G1334, survey_codes_dict!A:C, 2, FALSE)</f>
        <v>2001</v>
      </c>
      <c r="I1334" s="102" t="str">
        <f ca="1">VLOOKUP($G1334, survey_codes_dict!A:D, 4, FALSE)</f>
        <v>1999_1</v>
      </c>
      <c r="J1334" s="102" t="str">
        <f t="shared" ca="1" si="40"/>
        <v>2001__b79</v>
      </c>
      <c r="K1334" s="102" t="str">
        <f t="shared" ca="1" si="41"/>
        <v>1999_1__b79</v>
      </c>
      <c r="L1334" s="102"/>
      <c r="M1334" s="102"/>
      <c r="N1334" s="102"/>
      <c r="O1334" s="102"/>
      <c r="P1334" s="102"/>
      <c r="Q1334" s="102"/>
      <c r="R1334" s="102"/>
      <c r="S1334" s="101"/>
    </row>
    <row r="1335" spans="1:19" ht="129.6" x14ac:dyDescent="0.3">
      <c r="A1335" t="s">
        <v>5371</v>
      </c>
      <c r="B1335" t="s">
        <v>5380</v>
      </c>
      <c r="C1335" s="90" t="s">
        <v>5381</v>
      </c>
      <c r="D1335" t="s">
        <v>5562</v>
      </c>
      <c r="E1335" s="101" t="s">
        <v>6549</v>
      </c>
      <c r="F1335" t="str" cm="1">
        <f t="array" aca="1" ref="F1335" ca="1">INDIRECT("'" &amp; A1335 &amp; "'!" &amp; B1335)</f>
        <v>b152</v>
      </c>
      <c r="G1335" t="str" cm="1">
        <f t="array" aca="1" ref="G1335" ca="1">INDIRECT("'" &amp; A1335 &amp; "'!" &amp; ADDRESS(1, COLUMN(INDIRECT("'" &amp; A1335 &amp; "'!" &amp; B1335))))</f>
        <v>1981 - 3</v>
      </c>
      <c r="H1335" t="str">
        <f ca="1">VLOOKUP($G1335, survey_codes_dict!A:C, 2, FALSE)</f>
        <v>1981_3</v>
      </c>
      <c r="I1335" s="102">
        <f ca="1">VLOOKUP($G1335, survey_codes_dict!A:D, 4, FALSE)</f>
        <v>0</v>
      </c>
      <c r="J1335" s="102" t="str">
        <f t="shared" ca="1" si="40"/>
        <v>1981_3__b152</v>
      </c>
      <c r="K1335" s="102" t="str">
        <f t="shared" ca="1" si="41"/>
        <v>0__b152</v>
      </c>
      <c r="L1335" s="102"/>
      <c r="M1335" s="102"/>
      <c r="N1335" s="102"/>
      <c r="O1335" s="102"/>
      <c r="P1335" s="102"/>
      <c r="Q1335" s="102"/>
      <c r="R1335" s="102"/>
      <c r="S1335" s="101"/>
    </row>
    <row r="1336" spans="1:19" ht="57.6" x14ac:dyDescent="0.3">
      <c r="A1336" t="s">
        <v>5371</v>
      </c>
      <c r="B1336" t="s">
        <v>5382</v>
      </c>
      <c r="C1336" s="90" t="s">
        <v>5383</v>
      </c>
      <c r="D1336" t="s">
        <v>5562</v>
      </c>
      <c r="E1336" s="101" t="s">
        <v>6550</v>
      </c>
      <c r="F1336" t="str" cm="1">
        <f t="array" aca="1" ref="F1336" ca="1">INDIRECT("'" &amp; A1336 &amp; "'!" &amp; B1336)</f>
        <v>v146</v>
      </c>
      <c r="G1336" t="str" cm="1">
        <f t="array" aca="1" ref="G1336" ca="1">INDIRECT("'" &amp; A1336 &amp; "'!" &amp; ADDRESS(1, COLUMN(INDIRECT("'" &amp; A1336 &amp; "'!" &amp; B1336))))</f>
        <v>1981 - 1</v>
      </c>
      <c r="H1336" t="str">
        <f ca="1">VLOOKUP($G1336, survey_codes_dict!A:C, 2, FALSE)</f>
        <v>1981_1</v>
      </c>
      <c r="I1336" s="102" t="str">
        <f ca="1">VLOOKUP($G1336, survey_codes_dict!A:D, 4, FALSE)</f>
        <v>1977_4</v>
      </c>
      <c r="J1336" s="102" t="str">
        <f t="shared" ca="1" si="40"/>
        <v>1981_1__v146</v>
      </c>
      <c r="K1336" s="102" t="str">
        <f t="shared" ca="1" si="41"/>
        <v>1977_4__v146</v>
      </c>
      <c r="L1336" s="102"/>
      <c r="M1336" s="102"/>
      <c r="N1336" s="102"/>
      <c r="O1336" s="102"/>
      <c r="P1336" s="102"/>
      <c r="Q1336" s="102"/>
      <c r="R1336" s="102"/>
      <c r="S1336" s="101"/>
    </row>
    <row r="1337" spans="1:19" ht="100.8" x14ac:dyDescent="0.3">
      <c r="A1337" t="s">
        <v>5371</v>
      </c>
      <c r="B1337" t="s">
        <v>4265</v>
      </c>
      <c r="C1337" s="90" t="s">
        <v>5373</v>
      </c>
      <c r="D1337" t="s">
        <v>5562</v>
      </c>
      <c r="E1337" s="101" t="s">
        <v>6543</v>
      </c>
      <c r="F1337" t="str" cm="1">
        <f t="array" aca="1" ref="F1337" ca="1">INDIRECT("'" &amp; A1337 &amp; "'!" &amp; B1337)</f>
        <v>v90</v>
      </c>
      <c r="G1337" cm="1">
        <f t="array" aca="1" ref="G1337" ca="1">INDIRECT("'" &amp; A1337 &amp; "'!" &amp; ADDRESS(1, COLUMN(INDIRECT("'" &amp; A1337 &amp; "'!" &amp; B1337))))</f>
        <v>2013</v>
      </c>
      <c r="H1337" t="e">
        <f ca="1">VLOOKUP($G1337, survey_codes_dict!A:C, 2, FALSE)</f>
        <v>#N/A</v>
      </c>
      <c r="I1337" s="102" t="e">
        <f ca="1">VLOOKUP($G1337, survey_codes_dict!A:D, 4, FALSE)</f>
        <v>#N/A</v>
      </c>
      <c r="J1337" s="102" t="e">
        <f t="shared" ca="1" si="40"/>
        <v>#N/A</v>
      </c>
      <c r="K1337" s="102" t="e">
        <f t="shared" ca="1" si="41"/>
        <v>#N/A</v>
      </c>
      <c r="L1337" s="102"/>
      <c r="M1337" s="102"/>
      <c r="N1337" s="102"/>
      <c r="O1337" s="102"/>
      <c r="P1337" s="102"/>
      <c r="Q1337" s="102"/>
      <c r="R1337" s="102"/>
      <c r="S1337" s="101"/>
    </row>
    <row r="1338" spans="1:19" ht="129.6" x14ac:dyDescent="0.3">
      <c r="A1338" t="s">
        <v>5371</v>
      </c>
      <c r="B1338" t="s">
        <v>3869</v>
      </c>
      <c r="C1338" s="90" t="s">
        <v>5384</v>
      </c>
      <c r="D1338" t="s">
        <v>5562</v>
      </c>
      <c r="E1338" s="101" t="s">
        <v>6551</v>
      </c>
      <c r="F1338" t="str" cm="1">
        <f t="array" aca="1" ref="F1338" ca="1">INDIRECT("'" &amp; A1338 &amp; "'!" &amp; B1338)</f>
        <v>v91</v>
      </c>
      <c r="G1338" cm="1">
        <f t="array" aca="1" ref="G1338" ca="1">INDIRECT("'" &amp; A1338 &amp; "'!" &amp; ADDRESS(1, COLUMN(INDIRECT("'" &amp; A1338 &amp; "'!" &amp; B1338))))</f>
        <v>2013</v>
      </c>
      <c r="H1338" t="e">
        <f ca="1">VLOOKUP($G1338, survey_codes_dict!A:C, 2, FALSE)</f>
        <v>#N/A</v>
      </c>
      <c r="I1338" s="102" t="e">
        <f ca="1">VLOOKUP($G1338, survey_codes_dict!A:D, 4, FALSE)</f>
        <v>#N/A</v>
      </c>
      <c r="J1338" s="102" t="e">
        <f t="shared" ca="1" si="40"/>
        <v>#N/A</v>
      </c>
      <c r="K1338" s="102" t="e">
        <f t="shared" ca="1" si="41"/>
        <v>#N/A</v>
      </c>
      <c r="L1338" s="102"/>
      <c r="M1338" s="102"/>
      <c r="N1338" s="102"/>
      <c r="O1338" s="102"/>
      <c r="P1338" s="102"/>
      <c r="Q1338" s="102"/>
      <c r="R1338" s="102"/>
      <c r="S1338" s="101"/>
    </row>
    <row r="1339" spans="1:19" ht="129.6" x14ac:dyDescent="0.3">
      <c r="A1339" t="s">
        <v>5371</v>
      </c>
      <c r="B1339" t="s">
        <v>5385</v>
      </c>
      <c r="C1339" s="90" t="s">
        <v>5386</v>
      </c>
      <c r="D1339" t="s">
        <v>5562</v>
      </c>
      <c r="E1339" s="101" t="s">
        <v>6552</v>
      </c>
      <c r="F1339" t="str" cm="1">
        <f t="array" aca="1" ref="F1339" ca="1">INDIRECT("'" &amp; A1339 &amp; "'!" &amp; B1339)</f>
        <v>b67</v>
      </c>
      <c r="G1339" cm="1">
        <f t="array" aca="1" ref="G1339" ca="1">INDIRECT("'" &amp; A1339 &amp; "'!" &amp; ADDRESS(1, COLUMN(INDIRECT("'" &amp; A1339 &amp; "'!" &amp; B1339))))</f>
        <v>2006</v>
      </c>
      <c r="H1339" t="str">
        <f ca="1">VLOOKUP($G1339, survey_codes_dict!A:C, 2, FALSE)</f>
        <v>2006</v>
      </c>
      <c r="I1339" s="102" t="str">
        <f ca="1">VLOOKUP($G1339, survey_codes_dict!A:D, 4, FALSE)</f>
        <v>2003</v>
      </c>
      <c r="J1339" s="102" t="str">
        <f t="shared" ca="1" si="40"/>
        <v>2006__b67</v>
      </c>
      <c r="K1339" s="102" t="str">
        <f t="shared" ca="1" si="41"/>
        <v>2003__b67</v>
      </c>
      <c r="L1339" s="102"/>
      <c r="M1339" s="102"/>
      <c r="N1339" s="102"/>
      <c r="O1339" s="102"/>
      <c r="P1339" s="102"/>
      <c r="Q1339" s="102"/>
      <c r="R1339" s="102"/>
      <c r="S1339" s="101"/>
    </row>
    <row r="1340" spans="1:19" ht="28.8" x14ac:dyDescent="0.3">
      <c r="A1340" t="s">
        <v>5371</v>
      </c>
      <c r="B1340" t="s">
        <v>5387</v>
      </c>
      <c r="C1340" s="90" t="s">
        <v>3980</v>
      </c>
      <c r="D1340" t="s">
        <v>399</v>
      </c>
      <c r="E1340" s="101" t="s">
        <v>5591</v>
      </c>
      <c r="F1340" t="str" cm="1">
        <f t="array" aca="1" ref="F1340" ca="1">INDIRECT("'" &amp; A1340 &amp; "'!" &amp; B1340)</f>
        <v>b83</v>
      </c>
      <c r="G1340" cm="1">
        <f t="array" aca="1" ref="G1340" ca="1">INDIRECT("'" &amp; A1340 &amp; "'!" &amp; ADDRESS(1, COLUMN(INDIRECT("'" &amp; A1340 &amp; "'!" &amp; B1340))))</f>
        <v>2001</v>
      </c>
      <c r="H1340" t="str">
        <f ca="1">VLOOKUP($G1340, survey_codes_dict!A:C, 2, FALSE)</f>
        <v>2001</v>
      </c>
      <c r="I1340" s="102" t="str">
        <f ca="1">VLOOKUP($G1340, survey_codes_dict!A:D, 4, FALSE)</f>
        <v>1999_1</v>
      </c>
      <c r="J1340" s="102" t="str">
        <f t="shared" ca="1" si="40"/>
        <v>2001__b83</v>
      </c>
      <c r="K1340" s="102" t="str">
        <f t="shared" ca="1" si="41"/>
        <v>1999_1__b83</v>
      </c>
      <c r="L1340" s="102"/>
      <c r="M1340" s="102"/>
      <c r="N1340" s="102"/>
      <c r="O1340" s="102"/>
      <c r="P1340" s="102"/>
      <c r="Q1340" s="102"/>
      <c r="R1340" s="102"/>
      <c r="S1340" s="101"/>
    </row>
    <row r="1341" spans="1:19" ht="43.2" x14ac:dyDescent="0.3">
      <c r="A1341" t="s">
        <v>5371</v>
      </c>
      <c r="B1341" t="s">
        <v>3599</v>
      </c>
      <c r="C1341" s="90" t="s">
        <v>5388</v>
      </c>
      <c r="D1341" t="s">
        <v>5562</v>
      </c>
      <c r="E1341" s="101" t="s">
        <v>6553</v>
      </c>
      <c r="F1341" t="str" cm="1">
        <f t="array" aca="1" ref="F1341" ca="1">INDIRECT("'" &amp; A1341 &amp; "'!" &amp; B1341)</f>
        <v>רשתות חברתיות כמו ווטאספ, פייסבוק, טוויטר, אינסטגרם, טלגרם וכו'</v>
      </c>
      <c r="G1341" t="str" cm="1">
        <f t="array" aca="1" ref="G1341" ca="1">INDIRECT("'" &amp; A1341 &amp; "'!" &amp; ADDRESS(1, COLUMN(INDIRECT("'" &amp; A1341 &amp; "'!" &amp; B1341))))</f>
        <v>שאלה</v>
      </c>
      <c r="H1341" t="e">
        <f ca="1">VLOOKUP($G1341, survey_codes_dict!A:C, 2, FALSE)</f>
        <v>#N/A</v>
      </c>
      <c r="I1341" s="102" t="e">
        <f ca="1">VLOOKUP($G1341, survey_codes_dict!A:D, 4, FALSE)</f>
        <v>#N/A</v>
      </c>
      <c r="J1341" s="102" t="e">
        <f t="shared" ca="1" si="40"/>
        <v>#N/A</v>
      </c>
      <c r="K1341" s="102" t="e">
        <f t="shared" ca="1" si="41"/>
        <v>#N/A</v>
      </c>
      <c r="L1341" s="102"/>
      <c r="M1341" s="102"/>
      <c r="N1341" s="102"/>
      <c r="O1341" s="102"/>
      <c r="P1341" s="102"/>
      <c r="Q1341" s="102"/>
      <c r="R1341" s="102"/>
      <c r="S1341" s="102"/>
    </row>
    <row r="1342" spans="1:19" ht="86.4" x14ac:dyDescent="0.3">
      <c r="A1342" t="s">
        <v>5371</v>
      </c>
      <c r="B1342" t="s">
        <v>3876</v>
      </c>
      <c r="C1342" s="90" t="s">
        <v>5389</v>
      </c>
      <c r="D1342" t="s">
        <v>5562</v>
      </c>
      <c r="E1342" s="101" t="s">
        <v>6554</v>
      </c>
      <c r="F1342" cm="1">
        <f t="array" aca="1" ref="F1342" ca="1">INDIRECT("'" &amp; A1342 &amp; "'!" &amp; B1342)</f>
        <v>0</v>
      </c>
      <c r="G1342" cm="1">
        <f t="array" aca="1" ref="G1342" ca="1">INDIRECT("'" &amp; A1342 &amp; "'!" &amp; ADDRESS(1, COLUMN(INDIRECT("'" &amp; A1342 &amp; "'!" &amp; B1342))))</f>
        <v>43556</v>
      </c>
      <c r="H1342" t="e">
        <f ca="1">VLOOKUP($G1342, survey_codes_dict!A:C, 2, FALSE)</f>
        <v>#N/A</v>
      </c>
      <c r="I1342" s="102" t="e">
        <f ca="1">VLOOKUP($G1342, survey_codes_dict!A:D, 4, FALSE)</f>
        <v>#N/A</v>
      </c>
      <c r="J1342" s="102" t="e">
        <f t="shared" ca="1" si="40"/>
        <v>#N/A</v>
      </c>
      <c r="K1342" s="102" t="e">
        <f t="shared" ca="1" si="41"/>
        <v>#N/A</v>
      </c>
      <c r="L1342" s="102"/>
      <c r="M1342" s="102"/>
      <c r="N1342" s="102"/>
      <c r="O1342" s="102"/>
      <c r="P1342" s="102"/>
      <c r="Q1342" s="102"/>
      <c r="R1342" s="102"/>
      <c r="S1342" s="102"/>
    </row>
    <row r="1343" spans="1:19" ht="129.6" x14ac:dyDescent="0.3">
      <c r="A1343" t="s">
        <v>5371</v>
      </c>
      <c r="B1343" t="s">
        <v>5390</v>
      </c>
      <c r="C1343" s="90" t="s">
        <v>5391</v>
      </c>
      <c r="D1343" t="s">
        <v>5562</v>
      </c>
      <c r="E1343" s="101" t="s">
        <v>6555</v>
      </c>
      <c r="F1343" t="str" cm="1">
        <f t="array" aca="1" ref="F1343" ca="1">INDIRECT("'" &amp; A1343 &amp; "'!" &amp; B1343)</f>
        <v>v612</v>
      </c>
      <c r="G1343" cm="1">
        <f t="array" aca="1" ref="G1343" ca="1">INDIRECT("'" &amp; A1343 &amp; "'!" &amp; ADDRESS(1, COLUMN(INDIRECT("'" &amp; A1343 &amp; "'!" &amp; B1343))))</f>
        <v>2021</v>
      </c>
      <c r="H1343" t="e">
        <f ca="1">VLOOKUP($G1343, survey_codes_dict!A:C, 2, FALSE)</f>
        <v>#N/A</v>
      </c>
      <c r="I1343" s="102" t="e">
        <f ca="1">VLOOKUP($G1343, survey_codes_dict!A:D, 4, FALSE)</f>
        <v>#N/A</v>
      </c>
      <c r="J1343" s="102" t="e">
        <f t="shared" ca="1" si="40"/>
        <v>#N/A</v>
      </c>
      <c r="K1343" s="102" t="e">
        <f t="shared" ca="1" si="41"/>
        <v>#N/A</v>
      </c>
      <c r="L1343" s="102"/>
      <c r="M1343" s="102"/>
      <c r="N1343" s="102"/>
      <c r="O1343" s="102"/>
      <c r="P1343" s="102"/>
      <c r="Q1343" s="102"/>
      <c r="R1343" s="102"/>
      <c r="S1343" s="102"/>
    </row>
    <row r="1344" spans="1:19" ht="172.8" x14ac:dyDescent="0.3">
      <c r="A1344" t="s">
        <v>5371</v>
      </c>
      <c r="B1344" t="s">
        <v>5392</v>
      </c>
      <c r="C1344" s="90" t="s">
        <v>5393</v>
      </c>
      <c r="D1344" t="s">
        <v>5562</v>
      </c>
      <c r="E1344" s="101" t="s">
        <v>6556</v>
      </c>
      <c r="F1344" t="str" cm="1">
        <f t="array" aca="1" ref="F1344" ca="1">INDIRECT("'" &amp; A1344 &amp; "'!" &amp; B1344)</f>
        <v>v88</v>
      </c>
      <c r="G1344" cm="1">
        <f t="array" aca="1" ref="G1344" ca="1">INDIRECT("'" &amp; A1344 &amp; "'!" &amp; ADDRESS(1, COLUMN(INDIRECT("'" &amp; A1344 &amp; "'!" &amp; B1344))))</f>
        <v>2015</v>
      </c>
      <c r="H1344" t="e">
        <f ca="1">VLOOKUP($G1344, survey_codes_dict!A:C, 2, FALSE)</f>
        <v>#N/A</v>
      </c>
      <c r="I1344" s="102" t="e">
        <f ca="1">VLOOKUP($G1344, survey_codes_dict!A:D, 4, FALSE)</f>
        <v>#N/A</v>
      </c>
      <c r="J1344" s="102" t="e">
        <f t="shared" ca="1" si="40"/>
        <v>#N/A</v>
      </c>
      <c r="K1344" s="102" t="e">
        <f t="shared" ca="1" si="41"/>
        <v>#N/A</v>
      </c>
      <c r="L1344" s="102"/>
      <c r="M1344" s="102"/>
      <c r="N1344" s="102"/>
      <c r="O1344" s="102"/>
      <c r="P1344" s="102"/>
      <c r="Q1344" s="102"/>
      <c r="R1344" s="102"/>
      <c r="S1344" s="101"/>
    </row>
    <row r="1345" spans="1:19" ht="86.4" x14ac:dyDescent="0.3">
      <c r="A1345" t="s">
        <v>5371</v>
      </c>
      <c r="B1345" t="s">
        <v>3614</v>
      </c>
      <c r="C1345" s="90" t="s">
        <v>5394</v>
      </c>
      <c r="D1345" t="s">
        <v>5562</v>
      </c>
      <c r="E1345" s="101" t="s">
        <v>6557</v>
      </c>
      <c r="F1345" t="str" cm="1">
        <f t="array" aca="1" ref="F1345" ca="1">INDIRECT("'" &amp; A1345 &amp; "'!" &amp; B1345)</f>
        <v>v139</v>
      </c>
      <c r="G1345" cm="1">
        <f t="array" aca="1" ref="G1345" ca="1">INDIRECT("'" &amp; A1345 &amp; "'!" &amp; ADDRESS(1, COLUMN(INDIRECT("'" &amp; A1345 &amp; "'!" &amp; B1345))))</f>
        <v>2009</v>
      </c>
      <c r="H1345" t="e">
        <f ca="1">VLOOKUP($G1345, survey_codes_dict!A:C, 2, FALSE)</f>
        <v>#N/A</v>
      </c>
      <c r="I1345" s="102" t="e">
        <f ca="1">VLOOKUP($G1345, survey_codes_dict!A:D, 4, FALSE)</f>
        <v>#N/A</v>
      </c>
      <c r="J1345" s="102" t="e">
        <f t="shared" ca="1" si="40"/>
        <v>#N/A</v>
      </c>
      <c r="K1345" s="102" t="e">
        <f t="shared" ca="1" si="41"/>
        <v>#N/A</v>
      </c>
      <c r="L1345" s="102"/>
      <c r="M1345" s="102"/>
      <c r="N1345" s="102"/>
      <c r="O1345" s="102"/>
      <c r="P1345" s="102"/>
      <c r="Q1345" s="102"/>
      <c r="R1345" s="102"/>
      <c r="S1345" s="101"/>
    </row>
    <row r="1346" spans="1:19" ht="216" x14ac:dyDescent="0.3">
      <c r="A1346" t="s">
        <v>5371</v>
      </c>
      <c r="B1346" t="s">
        <v>5395</v>
      </c>
      <c r="C1346" s="90" t="s">
        <v>5396</v>
      </c>
      <c r="D1346" t="s">
        <v>5562</v>
      </c>
      <c r="E1346" s="101" t="s">
        <v>6558</v>
      </c>
      <c r="F1346" t="str" cm="1">
        <f t="array" aca="1" ref="F1346" ca="1">INDIRECT("'" &amp; A1346 &amp; "'!" &amp; B1346)</f>
        <v>b4</v>
      </c>
      <c r="G1346" t="str" cm="1">
        <f t="array" aca="1" ref="G1346" ca="1">INDIRECT("'" &amp; A1346 &amp; "'!" &amp; ADDRESS(1, COLUMN(INDIRECT("'" &amp; A1346 &amp; "'!" &amp; B1346))))</f>
        <v>1977 - 3</v>
      </c>
      <c r="H1346" t="str">
        <f ca="1">VLOOKUP($G1346, survey_codes_dict!A:C, 2, FALSE)</f>
        <v>1977_3</v>
      </c>
      <c r="I1346" s="102" t="str">
        <f ca="1">VLOOKUP($G1346, survey_codes_dict!A:D, 4, FALSE)</f>
        <v>1977_2</v>
      </c>
      <c r="J1346" s="102" t="str">
        <f t="shared" ref="J1346:J1409" ca="1" si="42">_xlfn.CONCAT($H1346, "__", F1346)</f>
        <v>1977_3__b4</v>
      </c>
      <c r="K1346" s="102" t="str">
        <f t="shared" ref="K1346:K1409" ca="1" si="43">_xlfn.CONCAT($I1346, "__", F1346)</f>
        <v>1977_2__b4</v>
      </c>
      <c r="L1346" s="102"/>
      <c r="M1346" s="102"/>
      <c r="N1346" s="102"/>
      <c r="O1346" s="102"/>
      <c r="P1346" s="102"/>
      <c r="Q1346" s="102"/>
      <c r="R1346" s="102"/>
      <c r="S1346" s="101"/>
    </row>
    <row r="1347" spans="1:19" ht="43.2" x14ac:dyDescent="0.3">
      <c r="A1347" t="s">
        <v>5371</v>
      </c>
      <c r="B1347" t="s">
        <v>5397</v>
      </c>
      <c r="C1347" s="90" t="s">
        <v>3383</v>
      </c>
      <c r="D1347" t="s">
        <v>5562</v>
      </c>
      <c r="E1347" s="101" t="s">
        <v>5706</v>
      </c>
      <c r="F1347" t="str" cm="1">
        <f t="array" aca="1" ref="F1347" ca="1">INDIRECT("'" &amp; A1347 &amp; "'!" &amp; B1347)</f>
        <v>c16</v>
      </c>
      <c r="G1347" t="str" cm="1">
        <f t="array" aca="1" ref="G1347" ca="1">INDIRECT("'" &amp; A1347 &amp; "'!" &amp; ADDRESS(1, COLUMN(INDIRECT("'" &amp; A1347 &amp; "'!" &amp; B1347))))</f>
        <v>1973 - 2</v>
      </c>
      <c r="H1347" t="str">
        <f ca="1">VLOOKUP($G1347, survey_codes_dict!A:C, 2, FALSE)</f>
        <v>1973_2</v>
      </c>
      <c r="I1347" s="102" t="str">
        <f ca="1">VLOOKUP($G1347, survey_codes_dict!A:D, 4, FALSE)</f>
        <v>1973_1</v>
      </c>
      <c r="J1347" s="102" t="str">
        <f t="shared" ca="1" si="42"/>
        <v>1973_2__c16</v>
      </c>
      <c r="K1347" s="102" t="str">
        <f t="shared" ca="1" si="43"/>
        <v>1973_1__c16</v>
      </c>
      <c r="L1347" s="102"/>
      <c r="M1347" s="102"/>
      <c r="N1347" s="102"/>
      <c r="O1347" s="102"/>
      <c r="P1347" s="102"/>
      <c r="Q1347" s="102"/>
      <c r="R1347" s="102"/>
      <c r="S1347" s="101"/>
    </row>
    <row r="1348" spans="1:19" ht="86.4" x14ac:dyDescent="0.3">
      <c r="A1348" t="s">
        <v>5371</v>
      </c>
      <c r="B1348" t="s">
        <v>5398</v>
      </c>
      <c r="C1348" s="90" t="s">
        <v>5399</v>
      </c>
      <c r="D1348" t="s">
        <v>5562</v>
      </c>
      <c r="E1348" s="101" t="s">
        <v>6559</v>
      </c>
      <c r="F1348" t="str" cm="1">
        <f t="array" aca="1" ref="F1348" ca="1">INDIRECT("'" &amp; A1348 &amp; "'!" &amp; B1348)</f>
        <v>b4</v>
      </c>
      <c r="G1348" t="str" cm="1">
        <f t="array" aca="1" ref="G1348" ca="1">INDIRECT("'" &amp; A1348 &amp; "'!" &amp; ADDRESS(1, COLUMN(INDIRECT("'" &amp; A1348 &amp; "'!" &amp; B1348))))</f>
        <v>1969 - 3</v>
      </c>
      <c r="H1348" t="e">
        <f ca="1">VLOOKUP($G1348, survey_codes_dict!A:C, 2, FALSE)</f>
        <v>#N/A</v>
      </c>
      <c r="I1348" s="102" t="e">
        <f ca="1">VLOOKUP($G1348, survey_codes_dict!A:D, 4, FALSE)</f>
        <v>#N/A</v>
      </c>
      <c r="J1348" s="102" t="e">
        <f t="shared" ca="1" si="42"/>
        <v>#N/A</v>
      </c>
      <c r="K1348" s="102" t="e">
        <f t="shared" ca="1" si="43"/>
        <v>#N/A</v>
      </c>
      <c r="L1348" s="102"/>
      <c r="M1348" s="102"/>
      <c r="N1348" s="102"/>
      <c r="O1348" s="102"/>
      <c r="P1348" s="102"/>
      <c r="Q1348" s="102"/>
      <c r="R1348" s="102"/>
      <c r="S1348" s="101"/>
    </row>
    <row r="1349" spans="1:19" ht="86.4" x14ac:dyDescent="0.3">
      <c r="A1349" t="s">
        <v>5371</v>
      </c>
      <c r="B1349" t="s">
        <v>4324</v>
      </c>
      <c r="C1349" s="90" t="s">
        <v>5400</v>
      </c>
      <c r="D1349" t="s">
        <v>5562</v>
      </c>
      <c r="E1349" s="101" t="s">
        <v>6560</v>
      </c>
      <c r="F1349" t="str" cm="1">
        <f t="array" aca="1" ref="F1349" ca="1">INDIRECT("'" &amp; A1349 &amp; "'!" &amp; B1349)</f>
        <v>b5</v>
      </c>
      <c r="G1349" t="str" cm="1">
        <f t="array" aca="1" ref="G1349" ca="1">INDIRECT("'" &amp; A1349 &amp; "'!" &amp; ADDRESS(1, COLUMN(INDIRECT("'" &amp; A1349 &amp; "'!" &amp; B1349))))</f>
        <v>1969 - 3</v>
      </c>
      <c r="H1349" t="e">
        <f ca="1">VLOOKUP($G1349, survey_codes_dict!A:C, 2, FALSE)</f>
        <v>#N/A</v>
      </c>
      <c r="I1349" s="102" t="e">
        <f ca="1">VLOOKUP($G1349, survey_codes_dict!A:D, 4, FALSE)</f>
        <v>#N/A</v>
      </c>
      <c r="J1349" s="102" t="e">
        <f t="shared" ca="1" si="42"/>
        <v>#N/A</v>
      </c>
      <c r="K1349" s="102" t="e">
        <f t="shared" ca="1" si="43"/>
        <v>#N/A</v>
      </c>
      <c r="L1349" s="102"/>
      <c r="M1349" s="102"/>
      <c r="N1349" s="102"/>
      <c r="O1349" s="102"/>
      <c r="P1349" s="102"/>
      <c r="Q1349" s="102"/>
      <c r="R1349" s="102"/>
      <c r="S1349" s="101"/>
    </row>
    <row r="1350" spans="1:19" ht="72" x14ac:dyDescent="0.3">
      <c r="A1350" t="s">
        <v>5371</v>
      </c>
      <c r="B1350" t="s">
        <v>5401</v>
      </c>
      <c r="C1350" s="90" t="s">
        <v>5402</v>
      </c>
      <c r="D1350" t="s">
        <v>5562</v>
      </c>
      <c r="E1350" s="101" t="s">
        <v>6561</v>
      </c>
      <c r="F1350" t="str" cm="1">
        <f t="array" aca="1" ref="F1350" ca="1">INDIRECT("'" &amp; A1350 &amp; "'!" &amp; B1350)</f>
        <v>v140</v>
      </c>
      <c r="G1350" cm="1">
        <f t="array" aca="1" ref="G1350" ca="1">INDIRECT("'" &amp; A1350 &amp; "'!" &amp; ADDRESS(1, COLUMN(INDIRECT("'" &amp; A1350 &amp; "'!" &amp; B1350))))</f>
        <v>2009</v>
      </c>
      <c r="H1350" t="e">
        <f ca="1">VLOOKUP($G1350, survey_codes_dict!A:C, 2, FALSE)</f>
        <v>#N/A</v>
      </c>
      <c r="I1350" s="102" t="e">
        <f ca="1">VLOOKUP($G1350, survey_codes_dict!A:D, 4, FALSE)</f>
        <v>#N/A</v>
      </c>
      <c r="J1350" s="102" t="e">
        <f t="shared" ca="1" si="42"/>
        <v>#N/A</v>
      </c>
      <c r="K1350" s="102" t="e">
        <f t="shared" ca="1" si="43"/>
        <v>#N/A</v>
      </c>
      <c r="L1350" s="102"/>
      <c r="M1350" s="102"/>
      <c r="N1350" s="102"/>
      <c r="O1350" s="102"/>
      <c r="P1350" s="102"/>
      <c r="Q1350" s="102"/>
      <c r="R1350" s="102"/>
      <c r="S1350" s="101"/>
    </row>
    <row r="1351" spans="1:19" ht="28.8" x14ac:dyDescent="0.3">
      <c r="A1351" t="s">
        <v>5371</v>
      </c>
      <c r="B1351" t="s">
        <v>3984</v>
      </c>
      <c r="C1351" s="90" t="s">
        <v>5403</v>
      </c>
      <c r="D1351" t="s">
        <v>399</v>
      </c>
      <c r="E1351" s="101" t="s">
        <v>5654</v>
      </c>
      <c r="F1351" t="str" cm="1">
        <f t="array" aca="1" ref="F1351" ca="1">INDIRECT("'" &amp; A1351 &amp; "'!" &amp; B1351)</f>
        <v>באילו מהאמצעים הבאים של האינטרנט יצא לך להשתמש בהקשר של הבחירות? אי-מייל</v>
      </c>
      <c r="G1351" t="str" cm="1">
        <f t="array" aca="1" ref="G1351" ca="1">INDIRECT("'" &amp; A1351 &amp; "'!" &amp; ADDRESS(1, COLUMN(INDIRECT("'" &amp; A1351 &amp; "'!" &amp; B1351))))</f>
        <v>שאלה</v>
      </c>
      <c r="H1351" t="e">
        <f ca="1">VLOOKUP($G1351, survey_codes_dict!A:C, 2, FALSE)</f>
        <v>#N/A</v>
      </c>
      <c r="I1351" s="102" t="e">
        <f ca="1">VLOOKUP($G1351, survey_codes_dict!A:D, 4, FALSE)</f>
        <v>#N/A</v>
      </c>
      <c r="J1351" s="102" t="e">
        <f t="shared" ca="1" si="42"/>
        <v>#N/A</v>
      </c>
      <c r="K1351" s="102" t="e">
        <f t="shared" ca="1" si="43"/>
        <v>#N/A</v>
      </c>
      <c r="L1351" s="102"/>
      <c r="M1351" s="102"/>
      <c r="N1351" s="102"/>
      <c r="O1351" s="102"/>
      <c r="P1351" s="102"/>
      <c r="Q1351" s="102"/>
      <c r="R1351" s="102"/>
      <c r="S1351" s="102"/>
    </row>
    <row r="1352" spans="1:19" ht="72" x14ac:dyDescent="0.3">
      <c r="A1352" t="s">
        <v>5371</v>
      </c>
      <c r="B1352" t="s">
        <v>5404</v>
      </c>
      <c r="C1352" s="90" t="s">
        <v>5405</v>
      </c>
      <c r="D1352" t="s">
        <v>5562</v>
      </c>
      <c r="E1352" s="101" t="s">
        <v>6562</v>
      </c>
      <c r="F1352" t="str" cm="1">
        <f t="array" aca="1" ref="F1352" ca="1">INDIRECT("'" &amp; A1352 &amp; "'!" &amp; B1352)</f>
        <v>v141</v>
      </c>
      <c r="G1352" cm="1">
        <f t="array" aca="1" ref="G1352" ca="1">INDIRECT("'" &amp; A1352 &amp; "'!" &amp; ADDRESS(1, COLUMN(INDIRECT("'" &amp; A1352 &amp; "'!" &amp; B1352))))</f>
        <v>2009</v>
      </c>
      <c r="H1352" t="e">
        <f ca="1">VLOOKUP($G1352, survey_codes_dict!A:C, 2, FALSE)</f>
        <v>#N/A</v>
      </c>
      <c r="I1352" s="102" t="e">
        <f ca="1">VLOOKUP($G1352, survey_codes_dict!A:D, 4, FALSE)</f>
        <v>#N/A</v>
      </c>
      <c r="J1352" s="102" t="e">
        <f t="shared" ca="1" si="42"/>
        <v>#N/A</v>
      </c>
      <c r="K1352" s="102" t="e">
        <f t="shared" ca="1" si="43"/>
        <v>#N/A</v>
      </c>
      <c r="L1352" s="102"/>
      <c r="M1352" s="102"/>
      <c r="N1352" s="102"/>
      <c r="O1352" s="102"/>
      <c r="P1352" s="102"/>
      <c r="Q1352" s="102"/>
      <c r="R1352" s="102"/>
      <c r="S1352" s="101"/>
    </row>
    <row r="1353" spans="1:19" ht="43.2" x14ac:dyDescent="0.3">
      <c r="A1353" t="s">
        <v>5371</v>
      </c>
      <c r="B1353" t="s">
        <v>5406</v>
      </c>
      <c r="C1353" s="90" t="s">
        <v>3383</v>
      </c>
      <c r="D1353" t="s">
        <v>5562</v>
      </c>
      <c r="E1353" s="101" t="s">
        <v>5706</v>
      </c>
      <c r="F1353" t="str" cm="1">
        <f t="array" aca="1" ref="F1353" ca="1">INDIRECT("'" &amp; A1353 &amp; "'!" &amp; B1353)</f>
        <v>v150</v>
      </c>
      <c r="G1353" cm="1">
        <f t="array" aca="1" ref="G1353" ca="1">INDIRECT("'" &amp; A1353 &amp; "'!" &amp; ADDRESS(1, COLUMN(INDIRECT("'" &amp; A1353 &amp; "'!" &amp; B1353))))</f>
        <v>2009</v>
      </c>
      <c r="H1353" t="e">
        <f ca="1">VLOOKUP($G1353, survey_codes_dict!A:C, 2, FALSE)</f>
        <v>#N/A</v>
      </c>
      <c r="I1353" s="102" t="e">
        <f ca="1">VLOOKUP($G1353, survey_codes_dict!A:D, 4, FALSE)</f>
        <v>#N/A</v>
      </c>
      <c r="J1353" s="102" t="e">
        <f t="shared" ca="1" si="42"/>
        <v>#N/A</v>
      </c>
      <c r="K1353" s="102" t="e">
        <f t="shared" ca="1" si="43"/>
        <v>#N/A</v>
      </c>
      <c r="L1353" s="102"/>
      <c r="M1353" s="102"/>
      <c r="N1353" s="102"/>
      <c r="O1353" s="102"/>
      <c r="P1353" s="102"/>
      <c r="Q1353" s="102"/>
      <c r="R1353" s="102"/>
      <c r="S1353" s="101"/>
    </row>
    <row r="1354" spans="1:19" ht="86.4" x14ac:dyDescent="0.3">
      <c r="A1354" t="s">
        <v>5371</v>
      </c>
      <c r="B1354" t="s">
        <v>5407</v>
      </c>
      <c r="C1354" s="90" t="s">
        <v>5408</v>
      </c>
      <c r="D1354" t="s">
        <v>5562</v>
      </c>
      <c r="E1354" s="101" t="s">
        <v>6563</v>
      </c>
      <c r="F1354" t="str" cm="1">
        <f t="array" aca="1" ref="F1354" ca="1">INDIRECT("'" &amp; A1354 &amp; "'!" &amp; B1354)</f>
        <v>q8</v>
      </c>
      <c r="G1354" cm="1">
        <f t="array" aca="1" ref="G1354" ca="1">INDIRECT("'" &amp; A1354 &amp; "'!" &amp; ADDRESS(1, COLUMN(INDIRECT("'" &amp; A1354 &amp; "'!" &amp; B1354))))</f>
        <v>2009</v>
      </c>
      <c r="H1354" t="e">
        <f ca="1">VLOOKUP($G1354, survey_codes_dict!A:C, 2, FALSE)</f>
        <v>#N/A</v>
      </c>
      <c r="I1354" s="102" t="e">
        <f ca="1">VLOOKUP($G1354, survey_codes_dict!A:D, 4, FALSE)</f>
        <v>#N/A</v>
      </c>
      <c r="J1354" s="102" t="e">
        <f t="shared" ca="1" si="42"/>
        <v>#N/A</v>
      </c>
      <c r="K1354" s="102" t="e">
        <f t="shared" ca="1" si="43"/>
        <v>#N/A</v>
      </c>
      <c r="L1354" s="102"/>
      <c r="M1354" s="102"/>
      <c r="N1354" s="102"/>
      <c r="O1354" s="102"/>
      <c r="P1354" s="102"/>
      <c r="Q1354" s="102"/>
      <c r="R1354" s="102"/>
      <c r="S1354" s="102"/>
    </row>
    <row r="1355" spans="1:19" ht="72" x14ac:dyDescent="0.3">
      <c r="A1355" t="s">
        <v>5371</v>
      </c>
      <c r="B1355" t="s">
        <v>5409</v>
      </c>
      <c r="C1355" s="90" t="s">
        <v>5410</v>
      </c>
      <c r="D1355" t="s">
        <v>5562</v>
      </c>
      <c r="E1355" s="101" t="s">
        <v>6564</v>
      </c>
      <c r="F1355" t="str" cm="1">
        <f t="array" aca="1" ref="F1355" ca="1">INDIRECT("'" &amp; A1355 &amp; "'!" &amp; B1355)</f>
        <v>g19</v>
      </c>
      <c r="G1355" t="str" cm="1">
        <f t="array" aca="1" ref="G1355" ca="1">INDIRECT("'" &amp; A1355 &amp; "'!" &amp; ADDRESS(1, COLUMN(INDIRECT("'" &amp; A1355 &amp; "'!" &amp; B1355))))</f>
        <v>1973 - 4</v>
      </c>
      <c r="H1355" t="str">
        <f ca="1">VLOOKUP($G1355, survey_codes_dict!A:C, 2, FALSE)</f>
        <v>1973_4</v>
      </c>
      <c r="I1355" s="102" t="str">
        <f ca="1">VLOOKUP($G1355, survey_codes_dict!A:D, 4, FALSE)</f>
        <v>1973_3</v>
      </c>
      <c r="J1355" s="102" t="str">
        <f t="shared" ca="1" si="42"/>
        <v>1973_4__g19</v>
      </c>
      <c r="K1355" s="102" t="str">
        <f t="shared" ca="1" si="43"/>
        <v>1973_3__g19</v>
      </c>
      <c r="L1355" s="102"/>
      <c r="M1355" s="102"/>
      <c r="N1355" s="102"/>
      <c r="O1355" s="102"/>
      <c r="P1355" s="102"/>
      <c r="Q1355" s="102"/>
      <c r="R1355" s="102"/>
      <c r="S1355" s="101"/>
    </row>
    <row r="1356" spans="1:19" ht="86.4" x14ac:dyDescent="0.3">
      <c r="A1356" t="s">
        <v>5371</v>
      </c>
      <c r="B1356" t="s">
        <v>5411</v>
      </c>
      <c r="C1356" s="90" t="s">
        <v>5412</v>
      </c>
      <c r="D1356" t="s">
        <v>5562</v>
      </c>
      <c r="E1356" s="101" t="s">
        <v>6565</v>
      </c>
      <c r="F1356" t="str" cm="1">
        <f t="array" aca="1" ref="F1356" ca="1">INDIRECT("'" &amp; A1356 &amp; "'!" &amp; B1356)</f>
        <v>b70</v>
      </c>
      <c r="G1356" cm="1">
        <f t="array" aca="1" ref="G1356" ca="1">INDIRECT("'" &amp; A1356 &amp; "'!" &amp; ADDRESS(1, COLUMN(INDIRECT("'" &amp; A1356 &amp; "'!" &amp; B1356))))</f>
        <v>2006</v>
      </c>
      <c r="H1356" t="str">
        <f ca="1">VLOOKUP($G1356, survey_codes_dict!A:C, 2, FALSE)</f>
        <v>2006</v>
      </c>
      <c r="I1356" s="102" t="str">
        <f ca="1">VLOOKUP($G1356, survey_codes_dict!A:D, 4, FALSE)</f>
        <v>2003</v>
      </c>
      <c r="J1356" s="102" t="str">
        <f t="shared" ca="1" si="42"/>
        <v>2006__b70</v>
      </c>
      <c r="K1356" s="102" t="str">
        <f t="shared" ca="1" si="43"/>
        <v>2003__b70</v>
      </c>
      <c r="L1356" s="102"/>
      <c r="M1356" s="102"/>
      <c r="N1356" s="102"/>
      <c r="O1356" s="102"/>
      <c r="P1356" s="102"/>
      <c r="Q1356" s="102"/>
      <c r="R1356" s="102"/>
      <c r="S1356" s="101"/>
    </row>
    <row r="1357" spans="1:19" ht="43.2" x14ac:dyDescent="0.3">
      <c r="A1357" t="s">
        <v>5371</v>
      </c>
      <c r="B1357" t="s">
        <v>5413</v>
      </c>
      <c r="C1357" s="90" t="s">
        <v>5414</v>
      </c>
      <c r="D1357" t="s">
        <v>5562</v>
      </c>
      <c r="E1357" s="101" t="s">
        <v>6566</v>
      </c>
      <c r="F1357" t="str" cm="1">
        <f t="array" aca="1" ref="F1357" ca="1">INDIRECT("'" &amp; A1357 &amp; "'!" &amp; B1357)</f>
        <v>לאתרים של איזה מפלגות אתה גולש?</v>
      </c>
      <c r="G1357" t="str" cm="1">
        <f t="array" aca="1" ref="G1357" ca="1">INDIRECT("'" &amp; A1357 &amp; "'!" &amp; ADDRESS(1, COLUMN(INDIRECT("'" &amp; A1357 &amp; "'!" &amp; B1357))))</f>
        <v>שאלה</v>
      </c>
      <c r="H1357" t="e">
        <f ca="1">VLOOKUP($G1357, survey_codes_dict!A:C, 2, FALSE)</f>
        <v>#N/A</v>
      </c>
      <c r="I1357" s="102" t="e">
        <f ca="1">VLOOKUP($G1357, survey_codes_dict!A:D, 4, FALSE)</f>
        <v>#N/A</v>
      </c>
      <c r="J1357" s="102" t="e">
        <f t="shared" ca="1" si="42"/>
        <v>#N/A</v>
      </c>
      <c r="K1357" s="102" t="e">
        <f t="shared" ca="1" si="43"/>
        <v>#N/A</v>
      </c>
      <c r="L1357" s="102"/>
      <c r="M1357" s="102"/>
      <c r="N1357" s="102"/>
      <c r="O1357" s="102"/>
      <c r="P1357" s="102"/>
      <c r="Q1357" s="102"/>
      <c r="R1357" s="102"/>
      <c r="S1357" s="102"/>
    </row>
    <row r="1358" spans="1:19" ht="57.6" x14ac:dyDescent="0.3">
      <c r="A1358" t="s">
        <v>5371</v>
      </c>
      <c r="B1358" t="s">
        <v>5415</v>
      </c>
      <c r="C1358" s="90" t="s">
        <v>5416</v>
      </c>
      <c r="D1358" t="s">
        <v>5562</v>
      </c>
      <c r="E1358" s="101" t="s">
        <v>6567</v>
      </c>
      <c r="F1358" t="str" cm="1">
        <f t="array" aca="1" ref="F1358" ca="1">INDIRECT("'" &amp; A1358 &amp; "'!" &amp; B1358)</f>
        <v>b71</v>
      </c>
      <c r="G1358" cm="1">
        <f t="array" aca="1" ref="G1358" ca="1">INDIRECT("'" &amp; A1358 &amp; "'!" &amp; ADDRESS(1, COLUMN(INDIRECT("'" &amp; A1358 &amp; "'!" &amp; B1358))))</f>
        <v>2006</v>
      </c>
      <c r="H1358" t="str">
        <f ca="1">VLOOKUP($G1358, survey_codes_dict!A:C, 2, FALSE)</f>
        <v>2006</v>
      </c>
      <c r="I1358" s="102" t="str">
        <f ca="1">VLOOKUP($G1358, survey_codes_dict!A:D, 4, FALSE)</f>
        <v>2003</v>
      </c>
      <c r="J1358" s="102" t="str">
        <f t="shared" ca="1" si="42"/>
        <v>2006__b71</v>
      </c>
      <c r="K1358" s="102" t="str">
        <f t="shared" ca="1" si="43"/>
        <v>2003__b71</v>
      </c>
      <c r="L1358" s="102"/>
      <c r="M1358" s="102"/>
      <c r="N1358" s="102"/>
      <c r="O1358" s="102"/>
      <c r="P1358" s="102"/>
      <c r="Q1358" s="102"/>
      <c r="R1358" s="102"/>
      <c r="S1358" s="101"/>
    </row>
    <row r="1359" spans="1:19" ht="86.4" x14ac:dyDescent="0.3">
      <c r="A1359" t="s">
        <v>5371</v>
      </c>
      <c r="B1359" t="s">
        <v>5417</v>
      </c>
      <c r="C1359" s="90" t="s">
        <v>5418</v>
      </c>
      <c r="D1359" t="s">
        <v>5562</v>
      </c>
      <c r="E1359" s="101" t="s">
        <v>6568</v>
      </c>
      <c r="F1359" t="str" cm="1">
        <f t="array" aca="1" ref="F1359" ca="1">INDIRECT("'" &amp; A1359 &amp; "'!" &amp; B1359)</f>
        <v>b6</v>
      </c>
      <c r="G1359" cm="1">
        <f t="array" aca="1" ref="G1359" ca="1">INDIRECT("'" &amp; A1359 &amp; "'!" &amp; ADDRESS(1, COLUMN(INDIRECT("'" &amp; A1359 &amp; "'!" &amp; B1359))))</f>
        <v>2001</v>
      </c>
      <c r="H1359" t="str">
        <f ca="1">VLOOKUP($G1359, survey_codes_dict!A:C, 2, FALSE)</f>
        <v>2001</v>
      </c>
      <c r="I1359" s="102" t="str">
        <f ca="1">VLOOKUP($G1359, survey_codes_dict!A:D, 4, FALSE)</f>
        <v>1999_1</v>
      </c>
      <c r="J1359" s="102" t="str">
        <f t="shared" ca="1" si="42"/>
        <v>2001__b6</v>
      </c>
      <c r="K1359" s="102" t="str">
        <f t="shared" ca="1" si="43"/>
        <v>1999_1__b6</v>
      </c>
      <c r="L1359" s="102"/>
      <c r="M1359" s="102"/>
      <c r="N1359" s="102"/>
      <c r="O1359" s="102"/>
      <c r="P1359" s="102"/>
      <c r="Q1359" s="102"/>
      <c r="R1359" s="102"/>
      <c r="S1359" s="101"/>
    </row>
    <row r="1360" spans="1:19" ht="86.4" x14ac:dyDescent="0.3">
      <c r="A1360" t="s">
        <v>5371</v>
      </c>
      <c r="B1360" t="s">
        <v>5419</v>
      </c>
      <c r="C1360" s="90" t="s">
        <v>5420</v>
      </c>
      <c r="D1360" t="s">
        <v>5562</v>
      </c>
      <c r="E1360" s="101" t="s">
        <v>6569</v>
      </c>
      <c r="F1360" t="str" cm="1">
        <f t="array" aca="1" ref="F1360" ca="1">INDIRECT("'" &amp; A1360 &amp; "'!" &amp; B1360)</f>
        <v>ccc44</v>
      </c>
      <c r="G1360" cm="1">
        <f t="array" aca="1" ref="G1360" ca="1">INDIRECT("'" &amp; A1360 &amp; "'!" &amp; ADDRESS(1, COLUMN(INDIRECT("'" &amp; A1360 &amp; "'!" &amp; B1360))))</f>
        <v>1996</v>
      </c>
      <c r="H1360" t="str">
        <f ca="1">VLOOKUP($G1360, survey_codes_dict!A:C, 2, FALSE)</f>
        <v>1996_Jews</v>
      </c>
      <c r="I1360" s="102" t="str">
        <f ca="1">VLOOKUP($G1360, survey_codes_dict!A:D, 4, FALSE)</f>
        <v>1992</v>
      </c>
      <c r="J1360" s="102" t="str">
        <f t="shared" ca="1" si="42"/>
        <v>1996_Jews__ccc44</v>
      </c>
      <c r="K1360" s="102" t="str">
        <f t="shared" ca="1" si="43"/>
        <v>1992__ccc44</v>
      </c>
      <c r="L1360" s="102"/>
      <c r="M1360" s="102"/>
      <c r="N1360" s="102"/>
      <c r="O1360" s="102"/>
      <c r="P1360" s="102"/>
      <c r="Q1360" s="102"/>
      <c r="R1360" s="102"/>
      <c r="S1360" s="101"/>
    </row>
    <row r="1361" spans="1:19" ht="72" x14ac:dyDescent="0.3">
      <c r="A1361" t="s">
        <v>5371</v>
      </c>
      <c r="B1361" t="s">
        <v>4738</v>
      </c>
      <c r="C1361" s="90" t="s">
        <v>3770</v>
      </c>
      <c r="D1361" t="s">
        <v>5562</v>
      </c>
      <c r="E1361" s="101" t="s">
        <v>5866</v>
      </c>
      <c r="F1361" t="str" cm="1">
        <f t="array" aca="1" ref="F1361" ca="1">INDIRECT("'" &amp; A1361 &amp; "'!" &amp; B1361)</f>
        <v>b9</v>
      </c>
      <c r="G1361" cm="1">
        <f t="array" aca="1" ref="G1361" ca="1">INDIRECT("'" &amp; A1361 &amp; "'!" &amp; ADDRESS(1, COLUMN(INDIRECT("'" &amp; A1361 &amp; "'!" &amp; B1361))))</f>
        <v>2001</v>
      </c>
      <c r="H1361" t="str">
        <f ca="1">VLOOKUP($G1361, survey_codes_dict!A:C, 2, FALSE)</f>
        <v>2001</v>
      </c>
      <c r="I1361" s="102" t="str">
        <f ca="1">VLOOKUP($G1361, survey_codes_dict!A:D, 4, FALSE)</f>
        <v>1999_1</v>
      </c>
      <c r="J1361" s="102" t="str">
        <f t="shared" ca="1" si="42"/>
        <v>2001__b9</v>
      </c>
      <c r="K1361" s="102" t="str">
        <f t="shared" ca="1" si="43"/>
        <v>1999_1__b9</v>
      </c>
      <c r="L1361" s="102"/>
      <c r="M1361" s="102"/>
      <c r="N1361" s="102"/>
      <c r="O1361" s="102"/>
      <c r="P1361" s="102"/>
      <c r="Q1361" s="102"/>
      <c r="R1361" s="102"/>
      <c r="S1361" s="101"/>
    </row>
    <row r="1362" spans="1:19" ht="72" x14ac:dyDescent="0.3">
      <c r="A1362" t="s">
        <v>5371</v>
      </c>
      <c r="B1362" t="s">
        <v>4740</v>
      </c>
      <c r="C1362" s="90" t="s">
        <v>3636</v>
      </c>
      <c r="D1362" t="s">
        <v>5562</v>
      </c>
      <c r="E1362" s="101" t="s">
        <v>5814</v>
      </c>
      <c r="F1362" t="str" cm="1">
        <f t="array" aca="1" ref="F1362" ca="1">INDIRECT("'" &amp; A1362 &amp; "'!" &amp; B1362)</f>
        <v>c4</v>
      </c>
      <c r="G1362" cm="1">
        <f t="array" aca="1" ref="G1362" ca="1">INDIRECT("'" &amp; A1362 &amp; "'!" &amp; ADDRESS(1, COLUMN(INDIRECT("'" &amp; A1362 &amp; "'!" &amp; B1362))))</f>
        <v>1999</v>
      </c>
      <c r="H1362" t="str">
        <f ca="1">VLOOKUP($G1362, survey_codes_dict!A:C, 2, FALSE)</f>
        <v>1999_1</v>
      </c>
      <c r="I1362" s="102" t="str">
        <f ca="1">VLOOKUP($G1362, survey_codes_dict!A:D, 4, FALSE)</f>
        <v>1996_Jews</v>
      </c>
      <c r="J1362" s="102" t="str">
        <f t="shared" ca="1" si="42"/>
        <v>1999_1__c4</v>
      </c>
      <c r="K1362" s="102" t="str">
        <f t="shared" ca="1" si="43"/>
        <v>1996_Jews__c4</v>
      </c>
      <c r="L1362" s="102"/>
      <c r="M1362" s="102"/>
      <c r="N1362" s="102"/>
      <c r="O1362" s="102"/>
      <c r="P1362" s="102"/>
      <c r="Q1362" s="102"/>
      <c r="R1362" s="102"/>
      <c r="S1362" s="101"/>
    </row>
    <row r="1363" spans="1:19" ht="72" x14ac:dyDescent="0.3">
      <c r="A1363" t="s">
        <v>5371</v>
      </c>
      <c r="B1363" t="s">
        <v>5421</v>
      </c>
      <c r="C1363" s="90" t="s">
        <v>5422</v>
      </c>
      <c r="D1363" t="s">
        <v>5562</v>
      </c>
      <c r="E1363" s="101" t="s">
        <v>6570</v>
      </c>
      <c r="F1363" t="str" cm="1">
        <f t="array" aca="1" ref="F1363" ca="1">INDIRECT("'" &amp; A1363 &amp; "'!" &amp; B1363)</f>
        <v>b84</v>
      </c>
      <c r="G1363" t="str" cm="1">
        <f t="array" aca="1" ref="G1363" ca="1">INDIRECT("'" &amp; A1363 &amp; "'!" &amp; ADDRESS(1, COLUMN(INDIRECT("'" &amp; A1363 &amp; "'!" &amp; B1363))))</f>
        <v>1981 - 3</v>
      </c>
      <c r="H1363" t="str">
        <f ca="1">VLOOKUP($G1363, survey_codes_dict!A:C, 2, FALSE)</f>
        <v>1981_3</v>
      </c>
      <c r="I1363" s="102">
        <f ca="1">VLOOKUP($G1363, survey_codes_dict!A:D, 4, FALSE)</f>
        <v>0</v>
      </c>
      <c r="J1363" s="102" t="str">
        <f t="shared" ca="1" si="42"/>
        <v>1981_3__b84</v>
      </c>
      <c r="K1363" s="102" t="str">
        <f t="shared" ca="1" si="43"/>
        <v>0__b84</v>
      </c>
      <c r="L1363" s="102"/>
      <c r="M1363" s="102"/>
      <c r="N1363" s="102"/>
      <c r="O1363" s="102"/>
      <c r="P1363" s="102"/>
      <c r="Q1363" s="102"/>
      <c r="R1363" s="102"/>
      <c r="S1363" s="101"/>
    </row>
    <row r="1364" spans="1:19" ht="72" x14ac:dyDescent="0.3">
      <c r="A1364" t="s">
        <v>5371</v>
      </c>
      <c r="B1364" t="s">
        <v>5423</v>
      </c>
      <c r="C1364" s="90" t="s">
        <v>3712</v>
      </c>
      <c r="D1364" t="s">
        <v>5562</v>
      </c>
      <c r="E1364" s="101" t="s">
        <v>5848</v>
      </c>
      <c r="F1364" t="str" cm="1">
        <f t="array" aca="1" ref="F1364" ca="1">INDIRECT("'" &amp; A1364 &amp; "'!" &amp; B1364)</f>
        <v>h50</v>
      </c>
      <c r="G1364" t="str" cm="1">
        <f t="array" aca="1" ref="G1364" ca="1">INDIRECT("'" &amp; A1364 &amp; "'!" &amp; ADDRESS(1, COLUMN(INDIRECT("'" &amp; A1364 &amp; "'!" &amp; B1364))))</f>
        <v>1973 - 5</v>
      </c>
      <c r="H1364" t="str">
        <f ca="1">VLOOKUP($G1364, survey_codes_dict!A:C, 2, FALSE)</f>
        <v>1973_5</v>
      </c>
      <c r="I1364" s="102" t="str">
        <f ca="1">VLOOKUP($G1364, survey_codes_dict!A:D, 4, FALSE)</f>
        <v>1973_4</v>
      </c>
      <c r="J1364" s="102" t="str">
        <f t="shared" ca="1" si="42"/>
        <v>1973_5__h50</v>
      </c>
      <c r="K1364" s="102" t="str">
        <f t="shared" ca="1" si="43"/>
        <v>1973_4__h50</v>
      </c>
      <c r="L1364" s="102"/>
      <c r="M1364" s="102"/>
      <c r="N1364" s="102"/>
      <c r="O1364" s="102"/>
      <c r="P1364" s="102"/>
      <c r="Q1364" s="102"/>
      <c r="R1364" s="102"/>
      <c r="S1364" s="101"/>
    </row>
    <row r="1365" spans="1:19" ht="72" x14ac:dyDescent="0.3">
      <c r="A1365" t="s">
        <v>5371</v>
      </c>
      <c r="B1365" t="s">
        <v>3455</v>
      </c>
      <c r="C1365" s="90" t="s">
        <v>5424</v>
      </c>
      <c r="D1365" t="s">
        <v>5562</v>
      </c>
      <c r="E1365" s="101" t="s">
        <v>6571</v>
      </c>
      <c r="F1365" t="str" cm="1">
        <f t="array" aca="1" ref="F1365" ca="1">INDIRECT("'" &amp; A1365 &amp; "'!" &amp; B1365)</f>
        <v>b41</v>
      </c>
      <c r="G1365" t="str" cm="1">
        <f t="array" aca="1" ref="G1365" ca="1">INDIRECT("'" &amp; A1365 &amp; "'!" &amp; ADDRESS(1, COLUMN(INDIRECT("'" &amp; A1365 &amp; "'!" &amp; B1365))))</f>
        <v>1969 - 3</v>
      </c>
      <c r="H1365" t="e">
        <f ca="1">VLOOKUP($G1365, survey_codes_dict!A:C, 2, FALSE)</f>
        <v>#N/A</v>
      </c>
      <c r="I1365" s="102" t="e">
        <f ca="1">VLOOKUP($G1365, survey_codes_dict!A:D, 4, FALSE)</f>
        <v>#N/A</v>
      </c>
      <c r="J1365" s="102" t="e">
        <f t="shared" ca="1" si="42"/>
        <v>#N/A</v>
      </c>
      <c r="K1365" s="102" t="e">
        <f t="shared" ca="1" si="43"/>
        <v>#N/A</v>
      </c>
      <c r="L1365" s="102"/>
      <c r="M1365" s="102"/>
      <c r="N1365" s="102"/>
      <c r="O1365" s="102"/>
      <c r="P1365" s="102"/>
      <c r="Q1365" s="102"/>
      <c r="R1365" s="102"/>
      <c r="S1365" s="101"/>
    </row>
    <row r="1366" spans="1:19" ht="72" x14ac:dyDescent="0.3">
      <c r="A1366" t="s">
        <v>5371</v>
      </c>
      <c r="B1366" t="s">
        <v>5425</v>
      </c>
      <c r="C1366" s="90" t="s">
        <v>3770</v>
      </c>
      <c r="D1366" t="s">
        <v>5562</v>
      </c>
      <c r="E1366" s="101" t="s">
        <v>5866</v>
      </c>
      <c r="F1366" t="str" cm="1">
        <f t="array" aca="1" ref="F1366" ca="1">INDIRECT("'" &amp; A1366 &amp; "'!" &amp; B1366)</f>
        <v>b10</v>
      </c>
      <c r="G1366" cm="1">
        <f t="array" aca="1" ref="G1366" ca="1">INDIRECT("'" &amp; A1366 &amp; "'!" &amp; ADDRESS(1, COLUMN(INDIRECT("'" &amp; A1366 &amp; "'!" &amp; B1366))))</f>
        <v>2001</v>
      </c>
      <c r="H1366" t="str">
        <f ca="1">VLOOKUP($G1366, survey_codes_dict!A:C, 2, FALSE)</f>
        <v>2001</v>
      </c>
      <c r="I1366" s="102" t="str">
        <f ca="1">VLOOKUP($G1366, survey_codes_dict!A:D, 4, FALSE)</f>
        <v>1999_1</v>
      </c>
      <c r="J1366" s="102" t="str">
        <f t="shared" ca="1" si="42"/>
        <v>2001__b10</v>
      </c>
      <c r="K1366" s="102" t="str">
        <f t="shared" ca="1" si="43"/>
        <v>1999_1__b10</v>
      </c>
      <c r="L1366" s="102"/>
      <c r="M1366" s="102"/>
      <c r="N1366" s="102"/>
      <c r="O1366" s="102"/>
      <c r="P1366" s="102"/>
      <c r="Q1366" s="102"/>
      <c r="R1366" s="102"/>
      <c r="S1366" s="101"/>
    </row>
    <row r="1367" spans="1:19" ht="72" x14ac:dyDescent="0.3">
      <c r="A1367" t="s">
        <v>5371</v>
      </c>
      <c r="B1367" t="s">
        <v>3456</v>
      </c>
      <c r="C1367" s="90" t="s">
        <v>3636</v>
      </c>
      <c r="D1367" t="s">
        <v>5562</v>
      </c>
      <c r="E1367" s="101" t="s">
        <v>5814</v>
      </c>
      <c r="F1367" t="str" cm="1">
        <f t="array" aca="1" ref="F1367" ca="1">INDIRECT("'" &amp; A1367 &amp; "'!" &amp; B1367)</f>
        <v>c5</v>
      </c>
      <c r="G1367" cm="1">
        <f t="array" aca="1" ref="G1367" ca="1">INDIRECT("'" &amp; A1367 &amp; "'!" &amp; ADDRESS(1, COLUMN(INDIRECT("'" &amp; A1367 &amp; "'!" &amp; B1367))))</f>
        <v>1999</v>
      </c>
      <c r="H1367" t="str">
        <f ca="1">VLOOKUP($G1367, survey_codes_dict!A:C, 2, FALSE)</f>
        <v>1999_1</v>
      </c>
      <c r="I1367" s="102" t="str">
        <f ca="1">VLOOKUP($G1367, survey_codes_dict!A:D, 4, FALSE)</f>
        <v>1996_Jews</v>
      </c>
      <c r="J1367" s="102" t="str">
        <f t="shared" ca="1" si="42"/>
        <v>1999_1__c5</v>
      </c>
      <c r="K1367" s="102" t="str">
        <f t="shared" ca="1" si="43"/>
        <v>1996_Jews__c5</v>
      </c>
      <c r="L1367" s="102"/>
      <c r="M1367" s="102"/>
      <c r="N1367" s="102"/>
      <c r="O1367" s="102"/>
      <c r="P1367" s="102"/>
      <c r="Q1367" s="102"/>
      <c r="R1367" s="102"/>
      <c r="S1367" s="101"/>
    </row>
    <row r="1368" spans="1:19" ht="86.4" x14ac:dyDescent="0.3">
      <c r="A1368" t="s">
        <v>5371</v>
      </c>
      <c r="B1368" t="s">
        <v>5426</v>
      </c>
      <c r="C1368" s="90" t="s">
        <v>5427</v>
      </c>
      <c r="D1368" t="s">
        <v>5562</v>
      </c>
      <c r="E1368" s="101" t="s">
        <v>6572</v>
      </c>
      <c r="F1368" t="str" cm="1">
        <f t="array" aca="1" ref="F1368" ca="1">INDIRECT("'" &amp; A1368 &amp; "'!" &amp; B1368)</f>
        <v>b85</v>
      </c>
      <c r="G1368" t="str" cm="1">
        <f t="array" aca="1" ref="G1368" ca="1">INDIRECT("'" &amp; A1368 &amp; "'!" &amp; ADDRESS(1, COLUMN(INDIRECT("'" &amp; A1368 &amp; "'!" &amp; B1368))))</f>
        <v>1981 - 3</v>
      </c>
      <c r="H1368" t="str">
        <f ca="1">VLOOKUP($G1368, survey_codes_dict!A:C, 2, FALSE)</f>
        <v>1981_3</v>
      </c>
      <c r="I1368" s="102">
        <f ca="1">VLOOKUP($G1368, survey_codes_dict!A:D, 4, FALSE)</f>
        <v>0</v>
      </c>
      <c r="J1368" s="102" t="str">
        <f t="shared" ca="1" si="42"/>
        <v>1981_3__b85</v>
      </c>
      <c r="K1368" s="102" t="str">
        <f t="shared" ca="1" si="43"/>
        <v>0__b85</v>
      </c>
      <c r="L1368" s="102"/>
      <c r="M1368" s="102"/>
      <c r="N1368" s="102"/>
      <c r="O1368" s="102"/>
      <c r="P1368" s="102"/>
      <c r="Q1368" s="102"/>
      <c r="R1368" s="102"/>
      <c r="S1368" s="101"/>
    </row>
    <row r="1369" spans="1:19" ht="72" x14ac:dyDescent="0.3">
      <c r="A1369" t="s">
        <v>5371</v>
      </c>
      <c r="B1369" t="s">
        <v>5428</v>
      </c>
      <c r="C1369" s="90" t="s">
        <v>5429</v>
      </c>
      <c r="D1369" t="s">
        <v>5562</v>
      </c>
      <c r="E1369" s="101" t="s">
        <v>6573</v>
      </c>
      <c r="F1369" t="str" cm="1">
        <f t="array" aca="1" ref="F1369" ca="1">INDIRECT("'" &amp; A1369 &amp; "'!" &amp; B1369)</f>
        <v>b42</v>
      </c>
      <c r="G1369" t="str" cm="1">
        <f t="array" aca="1" ref="G1369" ca="1">INDIRECT("'" &amp; A1369 &amp; "'!" &amp; ADDRESS(1, COLUMN(INDIRECT("'" &amp; A1369 &amp; "'!" &amp; B1369))))</f>
        <v>1969 - 3</v>
      </c>
      <c r="H1369" t="e">
        <f ca="1">VLOOKUP($G1369, survey_codes_dict!A:C, 2, FALSE)</f>
        <v>#N/A</v>
      </c>
      <c r="I1369" s="102" t="e">
        <f ca="1">VLOOKUP($G1369, survey_codes_dict!A:D, 4, FALSE)</f>
        <v>#N/A</v>
      </c>
      <c r="J1369" s="102" t="e">
        <f t="shared" ca="1" si="42"/>
        <v>#N/A</v>
      </c>
      <c r="K1369" s="102" t="e">
        <f t="shared" ca="1" si="43"/>
        <v>#N/A</v>
      </c>
      <c r="L1369" s="102"/>
      <c r="M1369" s="102"/>
      <c r="N1369" s="102"/>
      <c r="O1369" s="102"/>
      <c r="P1369" s="102"/>
      <c r="Q1369" s="102"/>
      <c r="R1369" s="102"/>
      <c r="S1369" s="101"/>
    </row>
    <row r="1370" spans="1:19" ht="86.4" x14ac:dyDescent="0.3">
      <c r="A1370" t="s">
        <v>5371</v>
      </c>
      <c r="B1370" t="s">
        <v>3463</v>
      </c>
      <c r="C1370" s="90" t="s">
        <v>5430</v>
      </c>
      <c r="D1370" t="s">
        <v>5562</v>
      </c>
      <c r="E1370" s="101" t="s">
        <v>6574</v>
      </c>
      <c r="F1370" t="str" cm="1">
        <f t="array" aca="1" ref="F1370" ca="1">INDIRECT("'" &amp; A1370 &amp; "'!" &amp; B1370)</f>
        <v>b87</v>
      </c>
      <c r="G1370" t="str" cm="1">
        <f t="array" aca="1" ref="G1370" ca="1">INDIRECT("'" &amp; A1370 &amp; "'!" &amp; ADDRESS(1, COLUMN(INDIRECT("'" &amp; A1370 &amp; "'!" &amp; B1370))))</f>
        <v>1981 - 3</v>
      </c>
      <c r="H1370" t="str">
        <f ca="1">VLOOKUP($G1370, survey_codes_dict!A:C, 2, FALSE)</f>
        <v>1981_3</v>
      </c>
      <c r="I1370" s="102">
        <f ca="1">VLOOKUP($G1370, survey_codes_dict!A:D, 4, FALSE)</f>
        <v>0</v>
      </c>
      <c r="J1370" s="102" t="str">
        <f t="shared" ca="1" si="42"/>
        <v>1981_3__b87</v>
      </c>
      <c r="K1370" s="102" t="str">
        <f t="shared" ca="1" si="43"/>
        <v>0__b87</v>
      </c>
      <c r="L1370" s="102"/>
      <c r="M1370" s="102"/>
      <c r="N1370" s="102"/>
      <c r="O1370" s="102"/>
      <c r="P1370" s="102"/>
      <c r="Q1370" s="102"/>
      <c r="R1370" s="102"/>
      <c r="S1370" s="101"/>
    </row>
    <row r="1371" spans="1:19" ht="86.4" x14ac:dyDescent="0.3">
      <c r="A1371" t="s">
        <v>5371</v>
      </c>
      <c r="B1371" t="s">
        <v>5431</v>
      </c>
      <c r="C1371" s="90" t="s">
        <v>5432</v>
      </c>
      <c r="D1371" t="s">
        <v>5562</v>
      </c>
      <c r="E1371" s="101" t="s">
        <v>6575</v>
      </c>
      <c r="F1371" t="str" cm="1">
        <f t="array" aca="1" ref="F1371" ca="1">INDIRECT("'" &amp; A1371 &amp; "'!" &amp; B1371)</f>
        <v>b45</v>
      </c>
      <c r="G1371" t="str" cm="1">
        <f t="array" aca="1" ref="G1371" ca="1">INDIRECT("'" &amp; A1371 &amp; "'!" &amp; ADDRESS(1, COLUMN(INDIRECT("'" &amp; A1371 &amp; "'!" &amp; B1371))))</f>
        <v>1969 - 3</v>
      </c>
      <c r="H1371" t="e">
        <f ca="1">VLOOKUP($G1371, survey_codes_dict!A:C, 2, FALSE)</f>
        <v>#N/A</v>
      </c>
      <c r="I1371" s="102" t="e">
        <f ca="1">VLOOKUP($G1371, survey_codes_dict!A:D, 4, FALSE)</f>
        <v>#N/A</v>
      </c>
      <c r="J1371" s="102" t="e">
        <f t="shared" ca="1" si="42"/>
        <v>#N/A</v>
      </c>
      <c r="K1371" s="102" t="e">
        <f t="shared" ca="1" si="43"/>
        <v>#N/A</v>
      </c>
      <c r="L1371" s="102"/>
      <c r="M1371" s="102"/>
      <c r="N1371" s="102"/>
      <c r="O1371" s="102"/>
      <c r="P1371" s="102"/>
      <c r="Q1371" s="102"/>
      <c r="R1371" s="102"/>
      <c r="S1371" s="101"/>
    </row>
    <row r="1372" spans="1:19" ht="86.4" x14ac:dyDescent="0.3">
      <c r="A1372" t="s">
        <v>5371</v>
      </c>
      <c r="B1372" t="s">
        <v>5433</v>
      </c>
      <c r="C1372" s="90" t="s">
        <v>5432</v>
      </c>
      <c r="D1372" t="s">
        <v>5562</v>
      </c>
      <c r="E1372" s="101" t="s">
        <v>6575</v>
      </c>
      <c r="F1372" t="str" cm="1">
        <f t="array" aca="1" ref="F1372" ca="1">INDIRECT("'" &amp; A1372 &amp; "'!" &amp; B1372)</f>
        <v>b44</v>
      </c>
      <c r="G1372" t="str" cm="1">
        <f t="array" aca="1" ref="G1372" ca="1">INDIRECT("'" &amp; A1372 &amp; "'!" &amp; ADDRESS(1, COLUMN(INDIRECT("'" &amp; A1372 &amp; "'!" &amp; B1372))))</f>
        <v>1969 - 3</v>
      </c>
      <c r="H1372" t="e">
        <f ca="1">VLOOKUP($G1372, survey_codes_dict!A:C, 2, FALSE)</f>
        <v>#N/A</v>
      </c>
      <c r="I1372" s="102" t="e">
        <f ca="1">VLOOKUP($G1372, survey_codes_dict!A:D, 4, FALSE)</f>
        <v>#N/A</v>
      </c>
      <c r="J1372" s="102" t="e">
        <f t="shared" ca="1" si="42"/>
        <v>#N/A</v>
      </c>
      <c r="K1372" s="102" t="e">
        <f t="shared" ca="1" si="43"/>
        <v>#N/A</v>
      </c>
      <c r="L1372" s="102"/>
      <c r="M1372" s="102"/>
      <c r="N1372" s="102"/>
      <c r="O1372" s="102"/>
      <c r="P1372" s="102"/>
      <c r="Q1372" s="102"/>
      <c r="R1372" s="102"/>
      <c r="S1372" s="101"/>
    </row>
    <row r="1373" spans="1:19" ht="72" x14ac:dyDescent="0.3">
      <c r="A1373" t="s">
        <v>5371</v>
      </c>
      <c r="B1373" t="s">
        <v>5174</v>
      </c>
      <c r="C1373" s="90" t="s">
        <v>5434</v>
      </c>
      <c r="D1373" t="s">
        <v>5562</v>
      </c>
      <c r="E1373" s="101" t="s">
        <v>6576</v>
      </c>
      <c r="F1373" t="str" cm="1">
        <f t="array" aca="1" ref="F1373" ca="1">INDIRECT("'" &amp; A1373 &amp; "'!" &amp; B1373)</f>
        <v>ccc8</v>
      </c>
      <c r="G1373" cm="1">
        <f t="array" aca="1" ref="G1373" ca="1">INDIRECT("'" &amp; A1373 &amp; "'!" &amp; ADDRESS(1, COLUMN(INDIRECT("'" &amp; A1373 &amp; "'!" &amp; B1373))))</f>
        <v>1996</v>
      </c>
      <c r="H1373" t="str">
        <f ca="1">VLOOKUP($G1373, survey_codes_dict!A:C, 2, FALSE)</f>
        <v>1996_Jews</v>
      </c>
      <c r="I1373" s="102" t="str">
        <f ca="1">VLOOKUP($G1373, survey_codes_dict!A:D, 4, FALSE)</f>
        <v>1992</v>
      </c>
      <c r="J1373" s="102" t="str">
        <f t="shared" ca="1" si="42"/>
        <v>1996_Jews__ccc8</v>
      </c>
      <c r="K1373" s="102" t="str">
        <f t="shared" ca="1" si="43"/>
        <v>1992__ccc8</v>
      </c>
      <c r="L1373" s="102"/>
      <c r="M1373" s="102"/>
      <c r="N1373" s="102"/>
      <c r="O1373" s="102"/>
      <c r="P1373" s="102"/>
      <c r="Q1373" s="102"/>
      <c r="R1373" s="102"/>
      <c r="S1373" s="101"/>
    </row>
    <row r="1374" spans="1:19" ht="43.2" x14ac:dyDescent="0.3">
      <c r="A1374" t="s">
        <v>5371</v>
      </c>
      <c r="B1374" t="s">
        <v>5435</v>
      </c>
      <c r="C1374" s="90" t="s">
        <v>3383</v>
      </c>
      <c r="D1374" t="s">
        <v>5562</v>
      </c>
      <c r="E1374" s="101" t="s">
        <v>5706</v>
      </c>
      <c r="F1374" t="str" cm="1">
        <f t="array" aca="1" ref="F1374" ca="1">INDIRECT("'" &amp; A1374 &amp; "'!" &amp; B1374)</f>
        <v>c55</v>
      </c>
      <c r="G1374" t="str" cm="1">
        <f t="array" aca="1" ref="G1374" ca="1">INDIRECT("'" &amp; A1374 &amp; "'!" &amp; ADDRESS(1, COLUMN(INDIRECT("'" &amp; A1374 &amp; "'!" &amp; B1374))))</f>
        <v>1969 - 1</v>
      </c>
      <c r="H1374" t="str">
        <f ca="1">VLOOKUP($G1374, survey_codes_dict!A:C, 2, FALSE)</f>
        <v>1969_1</v>
      </c>
      <c r="I1374" s="102">
        <f ca="1">VLOOKUP($G1374, survey_codes_dict!A:D, 4, FALSE)</f>
        <v>0</v>
      </c>
      <c r="J1374" s="102" t="str">
        <f t="shared" ca="1" si="42"/>
        <v>1969_1__c55</v>
      </c>
      <c r="K1374" s="102" t="str">
        <f t="shared" ca="1" si="43"/>
        <v>0__c55</v>
      </c>
      <c r="L1374" s="102"/>
      <c r="M1374" s="102"/>
      <c r="N1374" s="102"/>
      <c r="O1374" s="102"/>
      <c r="P1374" s="102"/>
      <c r="Q1374" s="102"/>
      <c r="R1374" s="102"/>
      <c r="S1374" s="101"/>
    </row>
    <row r="1375" spans="1:19" ht="57.6" x14ac:dyDescent="0.3">
      <c r="A1375" t="s">
        <v>5371</v>
      </c>
      <c r="B1375" t="s">
        <v>5436</v>
      </c>
      <c r="C1375" s="90" t="s">
        <v>5437</v>
      </c>
      <c r="D1375" t="s">
        <v>5562</v>
      </c>
      <c r="E1375" s="101" t="s">
        <v>6577</v>
      </c>
      <c r="F1375" t="str" cm="1">
        <f t="array" aca="1" ref="F1375" ca="1">INDIRECT("'" &amp; A1375 &amp; "'!" &amp; B1375)</f>
        <v>i45</v>
      </c>
      <c r="G1375" cm="1">
        <f t="array" aca="1" ref="G1375" ca="1">INDIRECT("'" &amp; A1375 &amp; "'!" &amp; ADDRESS(1, COLUMN(INDIRECT("'" &amp; A1375 &amp; "'!" &amp; B1375))))</f>
        <v>1992</v>
      </c>
      <c r="H1375" t="str">
        <f ca="1">VLOOKUP($G1375, survey_codes_dict!A:C, 2, FALSE)</f>
        <v>1992</v>
      </c>
      <c r="I1375" s="102" t="str">
        <f ca="1">VLOOKUP($G1375, survey_codes_dict!A:D, 4, FALSE)</f>
        <v>1988_N=873</v>
      </c>
      <c r="J1375" s="102" t="str">
        <f t="shared" ca="1" si="42"/>
        <v>1992__i45</v>
      </c>
      <c r="K1375" s="102" t="str">
        <f t="shared" ca="1" si="43"/>
        <v>1988_N=873__i45</v>
      </c>
      <c r="L1375" s="102"/>
      <c r="M1375" s="102"/>
      <c r="N1375" s="102"/>
      <c r="O1375" s="102"/>
      <c r="P1375" s="102"/>
      <c r="Q1375" s="102"/>
      <c r="R1375" s="102"/>
      <c r="S1375" s="101"/>
    </row>
    <row r="1376" spans="1:19" ht="57.6" x14ac:dyDescent="0.3">
      <c r="A1376" t="s">
        <v>5371</v>
      </c>
      <c r="B1376" t="s">
        <v>4754</v>
      </c>
      <c r="C1376" s="90" t="s">
        <v>5438</v>
      </c>
      <c r="D1376" t="s">
        <v>5562</v>
      </c>
      <c r="E1376" s="101" t="s">
        <v>6578</v>
      </c>
      <c r="F1376" t="str" cm="1">
        <f t="array" aca="1" ref="F1376" ca="1">INDIRECT("'" &amp; A1376 &amp; "'!" &amp; B1376)</f>
        <v>b107</v>
      </c>
      <c r="G1376" t="str" cm="1">
        <f t="array" aca="1" ref="G1376" ca="1">INDIRECT("'" &amp; A1376 &amp; "'!" &amp; ADDRESS(1, COLUMN(INDIRECT("'" &amp; A1376 &amp; "'!" &amp; B1376))))</f>
        <v>1981 - 3</v>
      </c>
      <c r="H1376" t="str">
        <f ca="1">VLOOKUP($G1376, survey_codes_dict!A:C, 2, FALSE)</f>
        <v>1981_3</v>
      </c>
      <c r="I1376" s="102">
        <f ca="1">VLOOKUP($G1376, survey_codes_dict!A:D, 4, FALSE)</f>
        <v>0</v>
      </c>
      <c r="J1376" s="102" t="str">
        <f t="shared" ca="1" si="42"/>
        <v>1981_3__b107</v>
      </c>
      <c r="K1376" s="102" t="str">
        <f t="shared" ca="1" si="43"/>
        <v>0__b107</v>
      </c>
      <c r="L1376" s="102"/>
      <c r="M1376" s="102"/>
      <c r="N1376" s="102"/>
      <c r="O1376" s="102"/>
      <c r="P1376" s="102"/>
      <c r="Q1376" s="102"/>
      <c r="R1376" s="102"/>
      <c r="S1376" s="101"/>
    </row>
    <row r="1377" spans="1:19" ht="100.8" x14ac:dyDescent="0.3">
      <c r="A1377" t="s">
        <v>5371</v>
      </c>
      <c r="B1377" t="s">
        <v>5439</v>
      </c>
      <c r="C1377" s="90" t="s">
        <v>5440</v>
      </c>
      <c r="D1377" t="s">
        <v>5562</v>
      </c>
      <c r="E1377" s="101" t="s">
        <v>6579</v>
      </c>
      <c r="F1377" t="str" cm="1">
        <f t="array" aca="1" ref="F1377" ca="1">INDIRECT("'" &amp; A1377 &amp; "'!" &amp; B1377)</f>
        <v>a13</v>
      </c>
      <c r="G1377" t="str" cm="1">
        <f t="array" aca="1" ref="G1377" ca="1">INDIRECT("'" &amp; A1377 &amp; "'!" &amp; ADDRESS(1, COLUMN(INDIRECT("'" &amp; A1377 &amp; "'!" &amp; B1377))))</f>
        <v>1969 - 1</v>
      </c>
      <c r="H1377" t="str">
        <f ca="1">VLOOKUP($G1377, survey_codes_dict!A:C, 2, FALSE)</f>
        <v>1969_1</v>
      </c>
      <c r="I1377" s="102">
        <f ca="1">VLOOKUP($G1377, survey_codes_dict!A:D, 4, FALSE)</f>
        <v>0</v>
      </c>
      <c r="J1377" s="102" t="str">
        <f t="shared" ca="1" si="42"/>
        <v>1969_1__a13</v>
      </c>
      <c r="K1377" s="102" t="str">
        <f t="shared" ca="1" si="43"/>
        <v>0__a13</v>
      </c>
      <c r="L1377" s="102"/>
      <c r="M1377" s="102"/>
      <c r="N1377" s="102"/>
      <c r="O1377" s="102"/>
      <c r="P1377" s="102"/>
      <c r="Q1377" s="102"/>
      <c r="R1377" s="102"/>
      <c r="S1377" s="101"/>
    </row>
    <row r="1378" spans="1:19" ht="100.8" x14ac:dyDescent="0.3">
      <c r="A1378" t="s">
        <v>5371</v>
      </c>
      <c r="B1378" t="s">
        <v>5441</v>
      </c>
      <c r="C1378" s="90" t="s">
        <v>5442</v>
      </c>
      <c r="D1378" t="s">
        <v>5562</v>
      </c>
      <c r="E1378" s="101" t="s">
        <v>6580</v>
      </c>
      <c r="F1378" t="str" cm="1">
        <f t="array" aca="1" ref="F1378" ca="1">INDIRECT("'" &amp; A1378 &amp; "'!" &amp; B1378)</f>
        <v>b155</v>
      </c>
      <c r="G1378" t="str" cm="1">
        <f t="array" aca="1" ref="G1378" ca="1">INDIRECT("'" &amp; A1378 &amp; "'!" &amp; ADDRESS(1, COLUMN(INDIRECT("'" &amp; A1378 &amp; "'!" &amp; B1378))))</f>
        <v>1981 - 3</v>
      </c>
      <c r="H1378" t="str">
        <f ca="1">VLOOKUP($G1378, survey_codes_dict!A:C, 2, FALSE)</f>
        <v>1981_3</v>
      </c>
      <c r="I1378" s="102">
        <f ca="1">VLOOKUP($G1378, survey_codes_dict!A:D, 4, FALSE)</f>
        <v>0</v>
      </c>
      <c r="J1378" s="102" t="str">
        <f t="shared" ca="1" si="42"/>
        <v>1981_3__b155</v>
      </c>
      <c r="K1378" s="102" t="str">
        <f t="shared" ca="1" si="43"/>
        <v>0__b155</v>
      </c>
      <c r="L1378" s="102"/>
      <c r="M1378" s="102"/>
      <c r="N1378" s="102"/>
      <c r="O1378" s="102"/>
      <c r="P1378" s="102"/>
      <c r="Q1378" s="102"/>
      <c r="R1378" s="102"/>
      <c r="S1378" s="101"/>
    </row>
    <row r="1379" spans="1:19" ht="100.8" x14ac:dyDescent="0.3">
      <c r="A1379" t="s">
        <v>5371</v>
      </c>
      <c r="B1379" t="s">
        <v>5443</v>
      </c>
      <c r="C1379" s="90" t="s">
        <v>5444</v>
      </c>
      <c r="D1379" t="s">
        <v>5562</v>
      </c>
      <c r="E1379" s="101" t="s">
        <v>6581</v>
      </c>
      <c r="F1379" t="str" cm="1">
        <f t="array" aca="1" ref="F1379" ca="1">INDIRECT("'" &amp; A1379 &amp; "'!" &amp; B1379)</f>
        <v>a14</v>
      </c>
      <c r="G1379" t="str" cm="1">
        <f t="array" aca="1" ref="G1379" ca="1">INDIRECT("'" &amp; A1379 &amp; "'!" &amp; ADDRESS(1, COLUMN(INDIRECT("'" &amp; A1379 &amp; "'!" &amp; B1379))))</f>
        <v>1969 - 1</v>
      </c>
      <c r="H1379" t="str">
        <f ca="1">VLOOKUP($G1379, survey_codes_dict!A:C, 2, FALSE)</f>
        <v>1969_1</v>
      </c>
      <c r="I1379" s="102">
        <f ca="1">VLOOKUP($G1379, survey_codes_dict!A:D, 4, FALSE)</f>
        <v>0</v>
      </c>
      <c r="J1379" s="102" t="str">
        <f t="shared" ca="1" si="42"/>
        <v>1969_1__a14</v>
      </c>
      <c r="K1379" s="102" t="str">
        <f t="shared" ca="1" si="43"/>
        <v>0__a14</v>
      </c>
      <c r="L1379" s="102"/>
      <c r="M1379" s="102"/>
      <c r="N1379" s="102"/>
      <c r="O1379" s="102"/>
      <c r="P1379" s="102"/>
      <c r="Q1379" s="102"/>
      <c r="R1379" s="102"/>
      <c r="S1379" s="101"/>
    </row>
    <row r="1380" spans="1:19" ht="316.8" x14ac:dyDescent="0.3">
      <c r="A1380" t="s">
        <v>5371</v>
      </c>
      <c r="B1380" t="s">
        <v>5445</v>
      </c>
      <c r="C1380" s="90" t="s">
        <v>5446</v>
      </c>
      <c r="D1380" t="s">
        <v>5562</v>
      </c>
      <c r="E1380" s="101" t="s">
        <v>6582</v>
      </c>
      <c r="F1380" t="str" cm="1">
        <f t="array" aca="1" ref="F1380" ca="1">INDIRECT("'" &amp; A1380 &amp; "'!" &amp; B1380)</f>
        <v>v36</v>
      </c>
      <c r="G1380" t="str" cm="1">
        <f t="array" aca="1" ref="G1380" ca="1">INDIRECT("'" &amp; A1380 &amp; "'!" &amp; ADDRESS(1, COLUMN(INDIRECT("'" &amp; A1380 &amp; "'!" &amp; B1380))))</f>
        <v>1981 - 1</v>
      </c>
      <c r="H1380" t="str">
        <f ca="1">VLOOKUP($G1380, survey_codes_dict!A:C, 2, FALSE)</f>
        <v>1981_1</v>
      </c>
      <c r="I1380" s="102" t="str">
        <f ca="1">VLOOKUP($G1380, survey_codes_dict!A:D, 4, FALSE)</f>
        <v>1977_4</v>
      </c>
      <c r="J1380" s="102" t="str">
        <f t="shared" ca="1" si="42"/>
        <v>1981_1__v36</v>
      </c>
      <c r="K1380" s="102" t="str">
        <f t="shared" ca="1" si="43"/>
        <v>1977_4__v36</v>
      </c>
      <c r="L1380" s="102"/>
      <c r="M1380" s="102"/>
      <c r="N1380" s="102"/>
      <c r="O1380" s="102"/>
      <c r="P1380" s="102"/>
      <c r="Q1380" s="102"/>
      <c r="R1380" s="102"/>
      <c r="S1380" s="101"/>
    </row>
    <row r="1381" spans="1:19" ht="273.60000000000002" x14ac:dyDescent="0.3">
      <c r="A1381" t="s">
        <v>5371</v>
      </c>
      <c r="B1381" t="s">
        <v>5447</v>
      </c>
      <c r="C1381" s="90" t="s">
        <v>5448</v>
      </c>
      <c r="D1381" t="s">
        <v>5562</v>
      </c>
      <c r="E1381" s="101" t="s">
        <v>6583</v>
      </c>
      <c r="F1381" t="str" cm="1">
        <f t="array" aca="1" ref="F1381" ca="1">INDIRECT("'" &amp; A1381 &amp; "'!" &amp; B1381)</f>
        <v>v37</v>
      </c>
      <c r="G1381" t="str" cm="1">
        <f t="array" aca="1" ref="G1381" ca="1">INDIRECT("'" &amp; A1381 &amp; "'!" &amp; ADDRESS(1, COLUMN(INDIRECT("'" &amp; A1381 &amp; "'!" &amp; B1381))))</f>
        <v>1981 - 1</v>
      </c>
      <c r="H1381" t="str">
        <f ca="1">VLOOKUP($G1381, survey_codes_dict!A:C, 2, FALSE)</f>
        <v>1981_1</v>
      </c>
      <c r="I1381" s="102" t="str">
        <f ca="1">VLOOKUP($G1381, survey_codes_dict!A:D, 4, FALSE)</f>
        <v>1977_4</v>
      </c>
      <c r="J1381" s="102" t="str">
        <f t="shared" ca="1" si="42"/>
        <v>1981_1__v37</v>
      </c>
      <c r="K1381" s="102" t="str">
        <f t="shared" ca="1" si="43"/>
        <v>1977_4__v37</v>
      </c>
      <c r="L1381" s="102"/>
      <c r="M1381" s="102"/>
      <c r="N1381" s="102"/>
      <c r="O1381" s="102"/>
      <c r="P1381" s="102"/>
      <c r="Q1381" s="102"/>
      <c r="R1381" s="102"/>
      <c r="S1381" s="101"/>
    </row>
    <row r="1382" spans="1:19" ht="72" x14ac:dyDescent="0.3">
      <c r="A1382" t="s">
        <v>5371</v>
      </c>
      <c r="B1382" t="s">
        <v>5449</v>
      </c>
      <c r="C1382" s="90" t="s">
        <v>5450</v>
      </c>
      <c r="D1382" t="s">
        <v>5562</v>
      </c>
      <c r="E1382" s="101" t="s">
        <v>6584</v>
      </c>
      <c r="F1382" t="str" cm="1">
        <f t="array" aca="1" ref="F1382" ca="1">INDIRECT("'" &amp; A1382 &amp; "'!" &amp; B1382)</f>
        <v>c3</v>
      </c>
      <c r="G1382" t="str" cm="1">
        <f t="array" aca="1" ref="G1382" ca="1">INDIRECT("'" &amp; A1382 &amp; "'!" &amp; ADDRESS(1, COLUMN(INDIRECT("'" &amp; A1382 &amp; "'!" &amp; B1382))))</f>
        <v>1977 - 4</v>
      </c>
      <c r="H1382" t="str">
        <f ca="1">VLOOKUP($G1382, survey_codes_dict!A:C, 2, FALSE)</f>
        <v>1977_4</v>
      </c>
      <c r="I1382" s="102" t="str">
        <f ca="1">VLOOKUP($G1382, survey_codes_dict!A:D, 4, FALSE)</f>
        <v>1977_3</v>
      </c>
      <c r="J1382" s="102" t="str">
        <f t="shared" ca="1" si="42"/>
        <v>1977_4__c3</v>
      </c>
      <c r="K1382" s="102" t="str">
        <f t="shared" ca="1" si="43"/>
        <v>1977_3__c3</v>
      </c>
      <c r="L1382" s="102"/>
      <c r="M1382" s="102"/>
      <c r="N1382" s="102"/>
      <c r="O1382" s="102"/>
      <c r="P1382" s="102"/>
      <c r="Q1382" s="102"/>
      <c r="R1382" s="102"/>
      <c r="S1382" s="101"/>
    </row>
    <row r="1383" spans="1:19" ht="144" x14ac:dyDescent="0.3">
      <c r="A1383" t="s">
        <v>5371</v>
      </c>
      <c r="B1383" t="s">
        <v>5451</v>
      </c>
      <c r="C1383" s="90" t="s">
        <v>5452</v>
      </c>
      <c r="D1383" t="s">
        <v>5562</v>
      </c>
      <c r="E1383" s="101" t="s">
        <v>6585</v>
      </c>
      <c r="F1383" t="str" cm="1">
        <f t="array" aca="1" ref="F1383" ca="1">INDIRECT("'" &amp; A1383 &amp; "'!" &amp; B1383)</f>
        <v>a6</v>
      </c>
      <c r="G1383" t="str" cm="1">
        <f t="array" aca="1" ref="G1383" ca="1">INDIRECT("'" &amp; A1383 &amp; "'!" &amp; ADDRESS(1, COLUMN(INDIRECT("'" &amp; A1383 &amp; "'!" &amp; B1383))))</f>
        <v>1977 - 2</v>
      </c>
      <c r="H1383" t="str">
        <f ca="1">VLOOKUP($G1383, survey_codes_dict!A:C, 2, FALSE)</f>
        <v>1977_2</v>
      </c>
      <c r="I1383" s="102" t="str">
        <f ca="1">VLOOKUP($G1383, survey_codes_dict!A:D, 4, FALSE)</f>
        <v>1977_1</v>
      </c>
      <c r="J1383" s="102" t="str">
        <f t="shared" ca="1" si="42"/>
        <v>1977_2__a6</v>
      </c>
      <c r="K1383" s="102" t="str">
        <f t="shared" ca="1" si="43"/>
        <v>1977_1__a6</v>
      </c>
      <c r="L1383" s="102"/>
      <c r="M1383" s="102"/>
      <c r="N1383" s="102"/>
      <c r="O1383" s="102"/>
      <c r="P1383" s="102"/>
      <c r="Q1383" s="102"/>
      <c r="R1383" s="102"/>
      <c r="S1383" s="101"/>
    </row>
    <row r="1384" spans="1:19" ht="72" x14ac:dyDescent="0.3">
      <c r="A1384" t="s">
        <v>5371</v>
      </c>
      <c r="B1384" t="s">
        <v>5453</v>
      </c>
      <c r="C1384" s="90" t="s">
        <v>5454</v>
      </c>
      <c r="D1384" t="s">
        <v>5562</v>
      </c>
      <c r="E1384" s="101" t="s">
        <v>6586</v>
      </c>
      <c r="F1384" t="str" cm="1">
        <f t="array" aca="1" ref="F1384" ca="1">INDIRECT("'" &amp; A1384 &amp; "'!" &amp; B1384)</f>
        <v>c10</v>
      </c>
      <c r="G1384" t="str" cm="1">
        <f t="array" aca="1" ref="G1384" ca="1">INDIRECT("'" &amp; A1384 &amp; "'!" &amp; ADDRESS(1, COLUMN(INDIRECT("'" &amp; A1384 &amp; "'!" &amp; B1384))))</f>
        <v>1973 - 2</v>
      </c>
      <c r="H1384" t="str">
        <f ca="1">VLOOKUP($G1384, survey_codes_dict!A:C, 2, FALSE)</f>
        <v>1973_2</v>
      </c>
      <c r="I1384" s="102" t="str">
        <f ca="1">VLOOKUP($G1384, survey_codes_dict!A:D, 4, FALSE)</f>
        <v>1973_1</v>
      </c>
      <c r="J1384" s="102" t="str">
        <f t="shared" ca="1" si="42"/>
        <v>1973_2__c10</v>
      </c>
      <c r="K1384" s="102" t="str">
        <f t="shared" ca="1" si="43"/>
        <v>1973_1__c10</v>
      </c>
      <c r="L1384" s="102"/>
      <c r="M1384" s="102"/>
      <c r="N1384" s="102"/>
      <c r="O1384" s="102"/>
      <c r="P1384" s="102"/>
      <c r="Q1384" s="102"/>
      <c r="R1384" s="102"/>
      <c r="S1384" s="101"/>
    </row>
    <row r="1385" spans="1:19" ht="72" x14ac:dyDescent="0.3">
      <c r="A1385" t="s">
        <v>5371</v>
      </c>
      <c r="B1385" t="s">
        <v>5455</v>
      </c>
      <c r="C1385" s="90" t="s">
        <v>5456</v>
      </c>
      <c r="D1385" t="s">
        <v>5562</v>
      </c>
      <c r="E1385" s="101" t="s">
        <v>6587</v>
      </c>
      <c r="F1385" t="str" cm="1">
        <f t="array" aca="1" ref="F1385" ca="1">INDIRECT("'" &amp; A1385 &amp; "'!" &amp; B1385)</f>
        <v>g24</v>
      </c>
      <c r="G1385" t="str" cm="1">
        <f t="array" aca="1" ref="G1385" ca="1">INDIRECT("'" &amp; A1385 &amp; "'!" &amp; ADDRESS(1, COLUMN(INDIRECT("'" &amp; A1385 &amp; "'!" &amp; B1385))))</f>
        <v>1973 - 4</v>
      </c>
      <c r="H1385" t="str">
        <f ca="1">VLOOKUP($G1385, survey_codes_dict!A:C, 2, FALSE)</f>
        <v>1973_4</v>
      </c>
      <c r="I1385" s="102" t="str">
        <f ca="1">VLOOKUP($G1385, survey_codes_dict!A:D, 4, FALSE)</f>
        <v>1973_3</v>
      </c>
      <c r="J1385" s="102" t="str">
        <f t="shared" ca="1" si="42"/>
        <v>1973_4__g24</v>
      </c>
      <c r="K1385" s="102" t="str">
        <f t="shared" ca="1" si="43"/>
        <v>1973_3__g24</v>
      </c>
      <c r="L1385" s="102"/>
      <c r="M1385" s="102"/>
      <c r="N1385" s="102"/>
      <c r="O1385" s="102"/>
      <c r="P1385" s="102"/>
      <c r="Q1385" s="102"/>
      <c r="R1385" s="102"/>
      <c r="S1385" s="101"/>
    </row>
    <row r="1386" spans="1:19" ht="72" x14ac:dyDescent="0.3">
      <c r="A1386" t="s">
        <v>5371</v>
      </c>
      <c r="B1386" t="s">
        <v>5457</v>
      </c>
      <c r="C1386" s="90" t="s">
        <v>5458</v>
      </c>
      <c r="D1386" t="s">
        <v>5562</v>
      </c>
      <c r="E1386" s="101" t="s">
        <v>6588</v>
      </c>
      <c r="F1386" t="str" cm="1">
        <f t="array" aca="1" ref="F1386" ca="1">INDIRECT("'" &amp; A1386 &amp; "'!" &amp; B1386)</f>
        <v>h49</v>
      </c>
      <c r="G1386" t="str" cm="1">
        <f t="array" aca="1" ref="G1386" ca="1">INDIRECT("'" &amp; A1386 &amp; "'!" &amp; ADDRESS(1, COLUMN(INDIRECT("'" &amp; A1386 &amp; "'!" &amp; B1386))))</f>
        <v>1973 - 5</v>
      </c>
      <c r="H1386" t="str">
        <f ca="1">VLOOKUP($G1386, survey_codes_dict!A:C, 2, FALSE)</f>
        <v>1973_5</v>
      </c>
      <c r="I1386" s="102" t="str">
        <f ca="1">VLOOKUP($G1386, survey_codes_dict!A:D, 4, FALSE)</f>
        <v>1973_4</v>
      </c>
      <c r="J1386" s="102" t="str">
        <f t="shared" ca="1" si="42"/>
        <v>1973_5__h49</v>
      </c>
      <c r="K1386" s="102" t="str">
        <f t="shared" ca="1" si="43"/>
        <v>1973_4__h49</v>
      </c>
      <c r="L1386" s="102"/>
      <c r="M1386" s="102"/>
      <c r="N1386" s="102"/>
      <c r="O1386" s="102"/>
      <c r="P1386" s="102"/>
      <c r="Q1386" s="102"/>
      <c r="R1386" s="102"/>
      <c r="S1386" s="101"/>
    </row>
    <row r="1387" spans="1:19" ht="72" x14ac:dyDescent="0.3">
      <c r="A1387" t="s">
        <v>5371</v>
      </c>
      <c r="B1387" t="s">
        <v>5459</v>
      </c>
      <c r="C1387" s="90" t="s">
        <v>5460</v>
      </c>
      <c r="D1387" t="s">
        <v>5562</v>
      </c>
      <c r="E1387" s="101" t="s">
        <v>6589</v>
      </c>
      <c r="F1387" t="str" cm="1">
        <f t="array" aca="1" ref="F1387" ca="1">INDIRECT("'" &amp; A1387 &amp; "'!" &amp; B1387)</f>
        <v>g12</v>
      </c>
      <c r="G1387" t="str" cm="1">
        <f t="array" aca="1" ref="G1387" ca="1">INDIRECT("'" &amp; A1387 &amp; "'!" &amp; ADDRESS(1, COLUMN(INDIRECT("'" &amp; A1387 &amp; "'!" &amp; B1387))))</f>
        <v>1973 - 4</v>
      </c>
      <c r="H1387" t="str">
        <f ca="1">VLOOKUP($G1387, survey_codes_dict!A:C, 2, FALSE)</f>
        <v>1973_4</v>
      </c>
      <c r="I1387" s="102" t="str">
        <f ca="1">VLOOKUP($G1387, survey_codes_dict!A:D, 4, FALSE)</f>
        <v>1973_3</v>
      </c>
      <c r="J1387" s="102" t="str">
        <f t="shared" ca="1" si="42"/>
        <v>1973_4__g12</v>
      </c>
      <c r="K1387" s="102" t="str">
        <f t="shared" ca="1" si="43"/>
        <v>1973_3__g12</v>
      </c>
      <c r="L1387" s="102"/>
      <c r="M1387" s="102"/>
      <c r="N1387" s="102"/>
      <c r="O1387" s="102"/>
      <c r="P1387" s="102"/>
      <c r="Q1387" s="102"/>
      <c r="R1387" s="102"/>
      <c r="S1387" s="101"/>
    </row>
    <row r="1388" spans="1:19" ht="72" x14ac:dyDescent="0.3">
      <c r="A1388" t="s">
        <v>5371</v>
      </c>
      <c r="B1388" t="s">
        <v>5461</v>
      </c>
      <c r="C1388" s="90" t="s">
        <v>5462</v>
      </c>
      <c r="D1388" t="s">
        <v>5562</v>
      </c>
      <c r="E1388" s="101" t="s">
        <v>6590</v>
      </c>
      <c r="F1388" t="str" cm="1">
        <f t="array" aca="1" ref="F1388" ca="1">INDIRECT("'" &amp; A1388 &amp; "'!" &amp; B1388)</f>
        <v>g13</v>
      </c>
      <c r="G1388" t="str" cm="1">
        <f t="array" aca="1" ref="G1388" ca="1">INDIRECT("'" &amp; A1388 &amp; "'!" &amp; ADDRESS(1, COLUMN(INDIRECT("'" &amp; A1388 &amp; "'!" &amp; B1388))))</f>
        <v>1973 - 4</v>
      </c>
      <c r="H1388" t="str">
        <f ca="1">VLOOKUP($G1388, survey_codes_dict!A:C, 2, FALSE)</f>
        <v>1973_4</v>
      </c>
      <c r="I1388" s="102" t="str">
        <f ca="1">VLOOKUP($G1388, survey_codes_dict!A:D, 4, FALSE)</f>
        <v>1973_3</v>
      </c>
      <c r="J1388" s="102" t="str">
        <f t="shared" ca="1" si="42"/>
        <v>1973_4__g13</v>
      </c>
      <c r="K1388" s="102" t="str">
        <f t="shared" ca="1" si="43"/>
        <v>1973_3__g13</v>
      </c>
      <c r="L1388" s="102"/>
      <c r="M1388" s="102"/>
      <c r="N1388" s="102"/>
      <c r="O1388" s="102"/>
      <c r="P1388" s="102"/>
      <c r="Q1388" s="102"/>
      <c r="R1388" s="102"/>
      <c r="S1388" s="101"/>
    </row>
    <row r="1389" spans="1:19" ht="72" x14ac:dyDescent="0.3">
      <c r="A1389" t="s">
        <v>5371</v>
      </c>
      <c r="B1389" t="s">
        <v>5463</v>
      </c>
      <c r="C1389" s="90" t="s">
        <v>5462</v>
      </c>
      <c r="D1389" t="s">
        <v>5562</v>
      </c>
      <c r="E1389" s="101" t="s">
        <v>6590</v>
      </c>
      <c r="F1389" t="str" cm="1">
        <f t="array" aca="1" ref="F1389" ca="1">INDIRECT("'" &amp; A1389 &amp; "'!" &amp; B1389)</f>
        <v>g14</v>
      </c>
      <c r="G1389" t="str" cm="1">
        <f t="array" aca="1" ref="G1389" ca="1">INDIRECT("'" &amp; A1389 &amp; "'!" &amp; ADDRESS(1, COLUMN(INDIRECT("'" &amp; A1389 &amp; "'!" &amp; B1389))))</f>
        <v>1973 - 4</v>
      </c>
      <c r="H1389" t="str">
        <f ca="1">VLOOKUP($G1389, survey_codes_dict!A:C, 2, FALSE)</f>
        <v>1973_4</v>
      </c>
      <c r="I1389" s="102" t="str">
        <f ca="1">VLOOKUP($G1389, survey_codes_dict!A:D, 4, FALSE)</f>
        <v>1973_3</v>
      </c>
      <c r="J1389" s="102" t="str">
        <f t="shared" ca="1" si="42"/>
        <v>1973_4__g14</v>
      </c>
      <c r="K1389" s="102" t="str">
        <f t="shared" ca="1" si="43"/>
        <v>1973_3__g14</v>
      </c>
      <c r="L1389" s="102"/>
      <c r="M1389" s="102"/>
      <c r="N1389" s="102"/>
      <c r="O1389" s="102"/>
      <c r="P1389" s="102"/>
      <c r="Q1389" s="102"/>
      <c r="R1389" s="102"/>
      <c r="S1389" s="101"/>
    </row>
    <row r="1390" spans="1:19" ht="72" x14ac:dyDescent="0.3">
      <c r="A1390" t="s">
        <v>5371</v>
      </c>
      <c r="B1390" t="s">
        <v>5464</v>
      </c>
      <c r="C1390" s="90" t="s">
        <v>5462</v>
      </c>
      <c r="D1390" t="s">
        <v>5562</v>
      </c>
      <c r="E1390" s="101" t="s">
        <v>6590</v>
      </c>
      <c r="F1390" t="str" cm="1">
        <f t="array" aca="1" ref="F1390" ca="1">INDIRECT("'" &amp; A1390 &amp; "'!" &amp; B1390)</f>
        <v>g16</v>
      </c>
      <c r="G1390" t="str" cm="1">
        <f t="array" aca="1" ref="G1390" ca="1">INDIRECT("'" &amp; A1390 &amp; "'!" &amp; ADDRESS(1, COLUMN(INDIRECT("'" &amp; A1390 &amp; "'!" &amp; B1390))))</f>
        <v>1973 - 4</v>
      </c>
      <c r="H1390" t="str">
        <f ca="1">VLOOKUP($G1390, survey_codes_dict!A:C, 2, FALSE)</f>
        <v>1973_4</v>
      </c>
      <c r="I1390" s="102" t="str">
        <f ca="1">VLOOKUP($G1390, survey_codes_dict!A:D, 4, FALSE)</f>
        <v>1973_3</v>
      </c>
      <c r="J1390" s="102" t="str">
        <f t="shared" ca="1" si="42"/>
        <v>1973_4__g16</v>
      </c>
      <c r="K1390" s="102" t="str">
        <f t="shared" ca="1" si="43"/>
        <v>1973_3__g16</v>
      </c>
      <c r="L1390" s="102"/>
      <c r="M1390" s="102"/>
      <c r="N1390" s="102"/>
      <c r="O1390" s="102"/>
      <c r="P1390" s="102"/>
      <c r="Q1390" s="102"/>
      <c r="R1390" s="102"/>
      <c r="S1390" s="101"/>
    </row>
    <row r="1391" spans="1:19" ht="43.2" x14ac:dyDescent="0.3">
      <c r="A1391" t="s">
        <v>5371</v>
      </c>
      <c r="B1391" t="s">
        <v>4777</v>
      </c>
      <c r="C1391" s="90" t="s">
        <v>3442</v>
      </c>
      <c r="D1391" t="s">
        <v>5562</v>
      </c>
      <c r="E1391" s="101" t="s">
        <v>5733</v>
      </c>
      <c r="F1391" t="str" cm="1">
        <f t="array" aca="1" ref="F1391" ca="1">INDIRECT("'" &amp; A1391 &amp; "'!" &amp; B1391)</f>
        <v>c13</v>
      </c>
      <c r="G1391" t="str" cm="1">
        <f t="array" aca="1" ref="G1391" ca="1">INDIRECT("'" &amp; A1391 &amp; "'!" &amp; ADDRESS(1, COLUMN(INDIRECT("'" &amp; A1391 &amp; "'!" &amp; B1391))))</f>
        <v>1973 - 2</v>
      </c>
      <c r="H1391" t="str">
        <f ca="1">VLOOKUP($G1391, survey_codes_dict!A:C, 2, FALSE)</f>
        <v>1973_2</v>
      </c>
      <c r="I1391" s="102" t="str">
        <f ca="1">VLOOKUP($G1391, survey_codes_dict!A:D, 4, FALSE)</f>
        <v>1973_1</v>
      </c>
      <c r="J1391" s="102" t="str">
        <f t="shared" ca="1" si="42"/>
        <v>1973_2__c13</v>
      </c>
      <c r="K1391" s="102" t="str">
        <f t="shared" ca="1" si="43"/>
        <v>1973_1__c13</v>
      </c>
      <c r="L1391" s="102"/>
      <c r="M1391" s="102"/>
      <c r="N1391" s="102"/>
      <c r="O1391" s="102"/>
      <c r="P1391" s="102"/>
      <c r="Q1391" s="102"/>
      <c r="R1391" s="102"/>
      <c r="S1391" s="101"/>
    </row>
    <row r="1392" spans="1:19" ht="43.2" x14ac:dyDescent="0.3">
      <c r="A1392" t="s">
        <v>5371</v>
      </c>
      <c r="B1392" t="s">
        <v>5335</v>
      </c>
      <c r="C1392" s="90" t="s">
        <v>5465</v>
      </c>
      <c r="D1392" t="s">
        <v>5562</v>
      </c>
      <c r="E1392" s="101" t="s">
        <v>6591</v>
      </c>
      <c r="F1392" t="str" cm="1">
        <f t="array" aca="1" ref="F1392" ca="1">INDIRECT("'" &amp; A1392 &amp; "'!" &amp; B1392)</f>
        <v>c21</v>
      </c>
      <c r="G1392" t="str" cm="1">
        <f t="array" aca="1" ref="G1392" ca="1">INDIRECT("'" &amp; A1392 &amp; "'!" &amp; ADDRESS(1, COLUMN(INDIRECT("'" &amp; A1392 &amp; "'!" &amp; B1392))))</f>
        <v>1973 - 2</v>
      </c>
      <c r="H1392" t="str">
        <f ca="1">VLOOKUP($G1392, survey_codes_dict!A:C, 2, FALSE)</f>
        <v>1973_2</v>
      </c>
      <c r="I1392" s="102" t="str">
        <f ca="1">VLOOKUP($G1392, survey_codes_dict!A:D, 4, FALSE)</f>
        <v>1973_1</v>
      </c>
      <c r="J1392" s="102" t="str">
        <f t="shared" ca="1" si="42"/>
        <v>1973_2__c21</v>
      </c>
      <c r="K1392" s="102" t="str">
        <f t="shared" ca="1" si="43"/>
        <v>1973_1__c21</v>
      </c>
      <c r="L1392" s="102"/>
      <c r="M1392" s="102"/>
      <c r="N1392" s="102"/>
      <c r="O1392" s="102"/>
      <c r="P1392" s="102"/>
      <c r="Q1392" s="102"/>
      <c r="R1392" s="102"/>
      <c r="S1392" s="101"/>
    </row>
    <row r="1393" spans="1:19" ht="72" x14ac:dyDescent="0.3">
      <c r="A1393" t="s">
        <v>5371</v>
      </c>
      <c r="B1393" t="s">
        <v>4708</v>
      </c>
      <c r="C1393" s="90" t="s">
        <v>5466</v>
      </c>
      <c r="D1393" t="s">
        <v>5562</v>
      </c>
      <c r="E1393" s="101" t="s">
        <v>6592</v>
      </c>
      <c r="F1393" t="str" cm="1">
        <f t="array" aca="1" ref="F1393" ca="1">INDIRECT("'" &amp; A1393 &amp; "'!" &amp; B1393)</f>
        <v>f24</v>
      </c>
      <c r="G1393" t="str" cm="1">
        <f t="array" aca="1" ref="G1393" ca="1">INDIRECT("'" &amp; A1393 &amp; "'!" &amp; ADDRESS(1, COLUMN(INDIRECT("'" &amp; A1393 &amp; "'!" &amp; B1393))))</f>
        <v>1973 - 3</v>
      </c>
      <c r="H1393" t="str">
        <f ca="1">VLOOKUP($G1393, survey_codes_dict!A:C, 2, FALSE)</f>
        <v>1973_3</v>
      </c>
      <c r="I1393" s="102" t="str">
        <f ca="1">VLOOKUP($G1393, survey_codes_dict!A:D, 4, FALSE)</f>
        <v>1973_2</v>
      </c>
      <c r="J1393" s="102" t="str">
        <f t="shared" ca="1" si="42"/>
        <v>1973_3__f24</v>
      </c>
      <c r="K1393" s="102" t="str">
        <f t="shared" ca="1" si="43"/>
        <v>1973_2__f24</v>
      </c>
      <c r="L1393" s="102"/>
      <c r="M1393" s="102"/>
      <c r="N1393" s="102"/>
      <c r="O1393" s="102"/>
      <c r="P1393" s="102"/>
      <c r="Q1393" s="102"/>
      <c r="R1393" s="102"/>
      <c r="S1393" s="101"/>
    </row>
    <row r="1394" spans="1:19" ht="72" x14ac:dyDescent="0.3">
      <c r="A1394" t="s">
        <v>5371</v>
      </c>
      <c r="B1394" t="s">
        <v>5467</v>
      </c>
      <c r="C1394" s="90" t="s">
        <v>5454</v>
      </c>
      <c r="D1394" t="s">
        <v>5562</v>
      </c>
      <c r="E1394" s="101" t="s">
        <v>6586</v>
      </c>
      <c r="F1394" t="str" cm="1">
        <f t="array" aca="1" ref="F1394" ca="1">INDIRECT("'" &amp; A1394 &amp; "'!" &amp; B1394)</f>
        <v>c11</v>
      </c>
      <c r="G1394" t="str" cm="1">
        <f t="array" aca="1" ref="G1394" ca="1">INDIRECT("'" &amp; A1394 &amp; "'!" &amp; ADDRESS(1, COLUMN(INDIRECT("'" &amp; A1394 &amp; "'!" &amp; B1394))))</f>
        <v>1973 - 2</v>
      </c>
      <c r="H1394" t="str">
        <f ca="1">VLOOKUP($G1394, survey_codes_dict!A:C, 2, FALSE)</f>
        <v>1973_2</v>
      </c>
      <c r="I1394" s="102" t="str">
        <f ca="1">VLOOKUP($G1394, survey_codes_dict!A:D, 4, FALSE)</f>
        <v>1973_1</v>
      </c>
      <c r="J1394" s="102" t="str">
        <f t="shared" ca="1" si="42"/>
        <v>1973_2__c11</v>
      </c>
      <c r="K1394" s="102" t="str">
        <f t="shared" ca="1" si="43"/>
        <v>1973_1__c11</v>
      </c>
      <c r="L1394" s="102"/>
      <c r="M1394" s="102"/>
      <c r="N1394" s="102"/>
      <c r="O1394" s="102"/>
      <c r="P1394" s="102"/>
      <c r="Q1394" s="102"/>
      <c r="R1394" s="102"/>
      <c r="S1394" s="101"/>
    </row>
    <row r="1395" spans="1:19" ht="144" x14ac:dyDescent="0.3">
      <c r="A1395" t="s">
        <v>5371</v>
      </c>
      <c r="B1395" t="s">
        <v>4114</v>
      </c>
      <c r="C1395" s="90" t="s">
        <v>5468</v>
      </c>
      <c r="D1395" t="s">
        <v>5562</v>
      </c>
      <c r="E1395" s="101" t="s">
        <v>6593</v>
      </c>
      <c r="F1395" t="str" cm="1">
        <f t="array" aca="1" ref="F1395" ca="1">INDIRECT("'" &amp; A1395 &amp; "'!" &amp; B1395)</f>
        <v>v7</v>
      </c>
      <c r="G1395" t="str" cm="1">
        <f t="array" aca="1" ref="G1395" ca="1">INDIRECT("'" &amp; A1395 &amp; "'!" &amp; ADDRESS(1, COLUMN(INDIRECT("'" &amp; A1395 &amp; "'!" &amp; B1395))))</f>
        <v>1973 - 1</v>
      </c>
      <c r="H1395" t="str">
        <f ca="1">VLOOKUP($G1395, survey_codes_dict!A:C, 2, FALSE)</f>
        <v>1973_1</v>
      </c>
      <c r="I1395" s="102" t="str">
        <f ca="1">VLOOKUP($G1395, survey_codes_dict!A:D, 4, FALSE)</f>
        <v>1969_2</v>
      </c>
      <c r="J1395" s="102" t="str">
        <f t="shared" ca="1" si="42"/>
        <v>1973_1__v7</v>
      </c>
      <c r="K1395" s="102" t="str">
        <f t="shared" ca="1" si="43"/>
        <v>1969_2__v7</v>
      </c>
      <c r="L1395" s="102"/>
      <c r="M1395" s="102"/>
      <c r="N1395" s="102"/>
      <c r="O1395" s="102"/>
      <c r="P1395" s="102"/>
      <c r="Q1395" s="102"/>
      <c r="R1395" s="102"/>
      <c r="S1395" s="101"/>
    </row>
    <row r="1396" spans="1:19" ht="43.2" x14ac:dyDescent="0.3">
      <c r="A1396" t="s">
        <v>5371</v>
      </c>
      <c r="B1396" t="s">
        <v>5469</v>
      </c>
      <c r="C1396" s="90" t="s">
        <v>3383</v>
      </c>
      <c r="D1396" t="s">
        <v>5562</v>
      </c>
      <c r="E1396" s="101" t="s">
        <v>5706</v>
      </c>
      <c r="F1396" t="str" cm="1">
        <f t="array" aca="1" ref="F1396" ca="1">INDIRECT("'" &amp; A1396 &amp; "'!" &amp; B1396)</f>
        <v>a159</v>
      </c>
      <c r="G1396" t="str" cm="1">
        <f t="array" aca="1" ref="G1396" ca="1">INDIRECT("'" &amp; A1396 &amp; "'!" &amp; ADDRESS(1, COLUMN(INDIRECT("'" &amp; A1396 &amp; "'!" &amp; B1396))))</f>
        <v>1981 - 2</v>
      </c>
      <c r="H1396">
        <f ca="1">VLOOKUP($G1396, survey_codes_dict!A:C, 2, FALSE)</f>
        <v>0</v>
      </c>
      <c r="I1396" s="102" t="str">
        <f ca="1">VLOOKUP($G1396, survey_codes_dict!A:D, 4, FALSE)</f>
        <v>1981_1</v>
      </c>
      <c r="J1396" s="102" t="str">
        <f t="shared" ca="1" si="42"/>
        <v>0__a159</v>
      </c>
      <c r="K1396" s="102" t="str">
        <f t="shared" ca="1" si="43"/>
        <v>1981_1__a159</v>
      </c>
      <c r="L1396" s="102"/>
      <c r="M1396" s="102"/>
      <c r="N1396" s="102"/>
      <c r="O1396" s="102"/>
      <c r="P1396" s="102"/>
      <c r="Q1396" s="102"/>
      <c r="R1396" s="102"/>
      <c r="S1396" s="102"/>
    </row>
    <row r="1397" spans="1:19" ht="115.2" x14ac:dyDescent="0.3">
      <c r="A1397" t="s">
        <v>5371</v>
      </c>
      <c r="B1397" t="s">
        <v>3533</v>
      </c>
      <c r="C1397" s="90" t="s">
        <v>5470</v>
      </c>
      <c r="D1397" t="s">
        <v>5562</v>
      </c>
      <c r="E1397" s="101" t="s">
        <v>6594</v>
      </c>
      <c r="F1397" t="str" cm="1">
        <f t="array" aca="1" ref="F1397" ca="1">INDIRECT("'" &amp; A1397 &amp; "'!" &amp; B1397)</f>
        <v>b19</v>
      </c>
      <c r="G1397" t="str" cm="1">
        <f t="array" aca="1" ref="G1397" ca="1">INDIRECT("'" &amp; A1397 &amp; "'!" &amp; ADDRESS(1, COLUMN(INDIRECT("'" &amp; A1397 &amp; "'!" &amp; B1397))))</f>
        <v>1973 - 1</v>
      </c>
      <c r="H1397" t="str">
        <f ca="1">VLOOKUP($G1397, survey_codes_dict!A:C, 2, FALSE)</f>
        <v>1973_1</v>
      </c>
      <c r="I1397" s="102" t="str">
        <f ca="1">VLOOKUP($G1397, survey_codes_dict!A:D, 4, FALSE)</f>
        <v>1969_2</v>
      </c>
      <c r="J1397" s="102" t="str">
        <f t="shared" ca="1" si="42"/>
        <v>1973_1__b19</v>
      </c>
      <c r="K1397" s="102" t="str">
        <f t="shared" ca="1" si="43"/>
        <v>1969_2__b19</v>
      </c>
      <c r="L1397" s="102"/>
      <c r="M1397" s="102"/>
      <c r="N1397" s="102"/>
      <c r="O1397" s="102"/>
      <c r="P1397" s="102"/>
      <c r="Q1397" s="102"/>
      <c r="R1397" s="102"/>
      <c r="S1397" s="101"/>
    </row>
    <row r="1398" spans="1:19" ht="115.2" x14ac:dyDescent="0.3">
      <c r="A1398" t="s">
        <v>5371</v>
      </c>
      <c r="B1398" t="s">
        <v>5471</v>
      </c>
      <c r="C1398" s="90" t="s">
        <v>5472</v>
      </c>
      <c r="D1398" t="s">
        <v>5562</v>
      </c>
      <c r="E1398" s="101" t="s">
        <v>6595</v>
      </c>
      <c r="F1398" t="str" cm="1">
        <f t="array" aca="1" ref="F1398" ca="1">INDIRECT("'" &amp; A1398 &amp; "'!" &amp; B1398)</f>
        <v>a31</v>
      </c>
      <c r="G1398" t="str" cm="1">
        <f t="array" aca="1" ref="G1398" ca="1">INDIRECT("'" &amp; A1398 &amp; "'!" &amp; ADDRESS(1, COLUMN(INDIRECT("'" &amp; A1398 &amp; "'!" &amp; B1398))))</f>
        <v>1969 - 1</v>
      </c>
      <c r="H1398" t="str">
        <f ca="1">VLOOKUP($G1398, survey_codes_dict!A:C, 2, FALSE)</f>
        <v>1969_1</v>
      </c>
      <c r="I1398" s="102">
        <f ca="1">VLOOKUP($G1398, survey_codes_dict!A:D, 4, FALSE)</f>
        <v>0</v>
      </c>
      <c r="J1398" s="102" t="str">
        <f t="shared" ca="1" si="42"/>
        <v>1969_1__a31</v>
      </c>
      <c r="K1398" s="102" t="str">
        <f t="shared" ca="1" si="43"/>
        <v>0__a31</v>
      </c>
      <c r="L1398" s="102"/>
      <c r="M1398" s="102"/>
      <c r="N1398" s="102"/>
      <c r="O1398" s="102"/>
      <c r="P1398" s="102"/>
      <c r="Q1398" s="102"/>
      <c r="R1398" s="102"/>
      <c r="S1398" s="101"/>
    </row>
    <row r="1399" spans="1:19" ht="100.8" x14ac:dyDescent="0.3">
      <c r="A1399" t="s">
        <v>5371</v>
      </c>
      <c r="B1399" t="s">
        <v>5473</v>
      </c>
      <c r="C1399" s="90" t="s">
        <v>5444</v>
      </c>
      <c r="D1399" t="s">
        <v>5562</v>
      </c>
      <c r="E1399" s="101" t="s">
        <v>6581</v>
      </c>
      <c r="F1399" t="str" cm="1">
        <f t="array" aca="1" ref="F1399" ca="1">INDIRECT("'" &amp; A1399 &amp; "'!" &amp; B1399)</f>
        <v>a32</v>
      </c>
      <c r="G1399" t="str" cm="1">
        <f t="array" aca="1" ref="G1399" ca="1">INDIRECT("'" &amp; A1399 &amp; "'!" &amp; ADDRESS(1, COLUMN(INDIRECT("'" &amp; A1399 &amp; "'!" &amp; B1399))))</f>
        <v>1969 - 1</v>
      </c>
      <c r="H1399" t="str">
        <f ca="1">VLOOKUP($G1399, survey_codes_dict!A:C, 2, FALSE)</f>
        <v>1969_1</v>
      </c>
      <c r="I1399" s="102">
        <f ca="1">VLOOKUP($G1399, survey_codes_dict!A:D, 4, FALSE)</f>
        <v>0</v>
      </c>
      <c r="J1399" s="102" t="str">
        <f t="shared" ca="1" si="42"/>
        <v>1969_1__a32</v>
      </c>
      <c r="K1399" s="102" t="str">
        <f t="shared" ca="1" si="43"/>
        <v>0__a32</v>
      </c>
      <c r="L1399" s="102"/>
      <c r="M1399" s="102"/>
      <c r="N1399" s="102"/>
      <c r="O1399" s="102"/>
      <c r="P1399" s="102"/>
      <c r="Q1399" s="102"/>
      <c r="R1399" s="102"/>
      <c r="S1399" s="101"/>
    </row>
    <row r="1400" spans="1:19" ht="72" x14ac:dyDescent="0.3">
      <c r="A1400" t="s">
        <v>5371</v>
      </c>
      <c r="B1400" t="s">
        <v>3537</v>
      </c>
      <c r="C1400" s="90" t="s">
        <v>5474</v>
      </c>
      <c r="D1400" t="s">
        <v>5562</v>
      </c>
      <c r="E1400" s="101" t="s">
        <v>6596</v>
      </c>
      <c r="F1400" t="str" cm="1">
        <f t="array" aca="1" ref="F1400" ca="1">INDIRECT("'" &amp; A1400 &amp; "'!" &amp; B1400)</f>
        <v>b10</v>
      </c>
      <c r="G1400" t="str" cm="1">
        <f t="array" aca="1" ref="G1400" ca="1">INDIRECT("'" &amp; A1400 &amp; "'!" &amp; ADDRESS(1, COLUMN(INDIRECT("'" &amp; A1400 &amp; "'!" &amp; B1400))))</f>
        <v>1969 - 3</v>
      </c>
      <c r="H1400" t="e">
        <f ca="1">VLOOKUP($G1400, survey_codes_dict!A:C, 2, FALSE)</f>
        <v>#N/A</v>
      </c>
      <c r="I1400" s="102" t="e">
        <f ca="1">VLOOKUP($G1400, survey_codes_dict!A:D, 4, FALSE)</f>
        <v>#N/A</v>
      </c>
      <c r="J1400" s="102" t="e">
        <f t="shared" ca="1" si="42"/>
        <v>#N/A</v>
      </c>
      <c r="K1400" s="102" t="e">
        <f t="shared" ca="1" si="43"/>
        <v>#N/A</v>
      </c>
      <c r="L1400" s="102"/>
      <c r="M1400" s="102"/>
      <c r="N1400" s="102"/>
      <c r="O1400" s="102"/>
      <c r="P1400" s="102"/>
      <c r="Q1400" s="102"/>
      <c r="R1400" s="102"/>
      <c r="S1400" s="101"/>
    </row>
    <row r="1401" spans="1:19" ht="72" x14ac:dyDescent="0.3">
      <c r="A1401" t="s">
        <v>5371</v>
      </c>
      <c r="B1401" t="s">
        <v>5475</v>
      </c>
      <c r="C1401" s="90" t="s">
        <v>5476</v>
      </c>
      <c r="D1401" t="s">
        <v>5562</v>
      </c>
      <c r="E1401" s="101" t="s">
        <v>6597</v>
      </c>
      <c r="F1401" t="str" cm="1">
        <f t="array" aca="1" ref="F1401" ca="1">INDIRECT("'" &amp; A1401 &amp; "'!" &amp; B1401)</f>
        <v>b24</v>
      </c>
      <c r="G1401" t="str" cm="1">
        <f t="array" aca="1" ref="G1401" ca="1">INDIRECT("'" &amp; A1401 &amp; "'!" &amp; ADDRESS(1, COLUMN(INDIRECT("'" &amp; A1401 &amp; "'!" &amp; B1401))))</f>
        <v>1969 - 3</v>
      </c>
      <c r="H1401" t="e">
        <f ca="1">VLOOKUP($G1401, survey_codes_dict!A:C, 2, FALSE)</f>
        <v>#N/A</v>
      </c>
      <c r="I1401" s="102" t="e">
        <f ca="1">VLOOKUP($G1401, survey_codes_dict!A:D, 4, FALSE)</f>
        <v>#N/A</v>
      </c>
      <c r="J1401" s="102" t="e">
        <f t="shared" ca="1" si="42"/>
        <v>#N/A</v>
      </c>
      <c r="K1401" s="102" t="e">
        <f t="shared" ca="1" si="43"/>
        <v>#N/A</v>
      </c>
      <c r="L1401" s="102"/>
      <c r="M1401" s="102"/>
      <c r="N1401" s="102"/>
      <c r="O1401" s="102"/>
      <c r="P1401" s="102"/>
      <c r="Q1401" s="102"/>
      <c r="R1401" s="102"/>
      <c r="S1401" s="101"/>
    </row>
    <row r="1402" spans="1:19" ht="100.8" x14ac:dyDescent="0.3">
      <c r="A1402" t="s">
        <v>5371</v>
      </c>
      <c r="B1402" t="s">
        <v>5477</v>
      </c>
      <c r="C1402" s="90" t="s">
        <v>5478</v>
      </c>
      <c r="D1402" t="s">
        <v>5562</v>
      </c>
      <c r="E1402" s="101" t="s">
        <v>6598</v>
      </c>
      <c r="F1402" t="str" cm="1">
        <f t="array" aca="1" ref="F1402" ca="1">INDIRECT("'" &amp; A1402 &amp; "'!" &amp; B1402)</f>
        <v>b38</v>
      </c>
      <c r="G1402" t="str" cm="1">
        <f t="array" aca="1" ref="G1402" ca="1">INDIRECT("'" &amp; A1402 &amp; "'!" &amp; ADDRESS(1, COLUMN(INDIRECT("'" &amp; A1402 &amp; "'!" &amp; B1402))))</f>
        <v>1969 - 3</v>
      </c>
      <c r="H1402" t="e">
        <f ca="1">VLOOKUP($G1402, survey_codes_dict!A:C, 2, FALSE)</f>
        <v>#N/A</v>
      </c>
      <c r="I1402" s="102" t="e">
        <f ca="1">VLOOKUP($G1402, survey_codes_dict!A:D, 4, FALSE)</f>
        <v>#N/A</v>
      </c>
      <c r="J1402" s="102" t="e">
        <f t="shared" ca="1" si="42"/>
        <v>#N/A</v>
      </c>
      <c r="K1402" s="102" t="e">
        <f t="shared" ca="1" si="43"/>
        <v>#N/A</v>
      </c>
      <c r="L1402" s="102"/>
      <c r="M1402" s="102"/>
      <c r="N1402" s="102"/>
      <c r="O1402" s="102"/>
      <c r="P1402" s="102"/>
      <c r="Q1402" s="102"/>
      <c r="R1402" s="102"/>
      <c r="S1402" s="101"/>
    </row>
    <row r="1403" spans="1:19" ht="100.8" x14ac:dyDescent="0.3">
      <c r="A1403" t="s">
        <v>5371</v>
      </c>
      <c r="B1403" t="s">
        <v>5479</v>
      </c>
      <c r="C1403" s="90" t="s">
        <v>5478</v>
      </c>
      <c r="D1403" t="s">
        <v>5562</v>
      </c>
      <c r="E1403" s="101" t="s">
        <v>6598</v>
      </c>
      <c r="F1403" t="str" cm="1">
        <f t="array" aca="1" ref="F1403" ca="1">INDIRECT("'" &amp; A1403 &amp; "'!" &amp; B1403)</f>
        <v>b39</v>
      </c>
      <c r="G1403" t="str" cm="1">
        <f t="array" aca="1" ref="G1403" ca="1">INDIRECT("'" &amp; A1403 &amp; "'!" &amp; ADDRESS(1, COLUMN(INDIRECT("'" &amp; A1403 &amp; "'!" &amp; B1403))))</f>
        <v>1969 - 3</v>
      </c>
      <c r="H1403" t="e">
        <f ca="1">VLOOKUP($G1403, survey_codes_dict!A:C, 2, FALSE)</f>
        <v>#N/A</v>
      </c>
      <c r="I1403" s="102" t="e">
        <f ca="1">VLOOKUP($G1403, survey_codes_dict!A:D, 4, FALSE)</f>
        <v>#N/A</v>
      </c>
      <c r="J1403" s="102" t="e">
        <f t="shared" ca="1" si="42"/>
        <v>#N/A</v>
      </c>
      <c r="K1403" s="102" t="e">
        <f t="shared" ca="1" si="43"/>
        <v>#N/A</v>
      </c>
      <c r="L1403" s="102"/>
      <c r="M1403" s="102"/>
      <c r="N1403" s="102"/>
      <c r="O1403" s="102"/>
      <c r="P1403" s="102"/>
      <c r="Q1403" s="102"/>
      <c r="R1403" s="102"/>
      <c r="S1403" s="101"/>
    </row>
    <row r="1404" spans="1:19" ht="28.8" x14ac:dyDescent="0.3">
      <c r="A1404" t="s">
        <v>5371</v>
      </c>
      <c r="B1404" t="s">
        <v>5480</v>
      </c>
      <c r="C1404" s="90" t="s">
        <v>5481</v>
      </c>
      <c r="D1404" t="s">
        <v>5670</v>
      </c>
      <c r="E1404" s="101" t="s">
        <v>6599</v>
      </c>
      <c r="F1404" t="str" cm="1">
        <f t="array" aca="1" ref="F1404" ca="1">INDIRECT("'" &amp; A1404 &amp; "'!" &amp; B1404)</f>
        <v>a9</v>
      </c>
      <c r="G1404" t="str" cm="1">
        <f t="array" aca="1" ref="G1404" ca="1">INDIRECT("'" &amp; A1404 &amp; "'!" &amp; ADDRESS(1, COLUMN(INDIRECT("'" &amp; A1404 &amp; "'!" &amp; B1404))))</f>
        <v>1969 - 2</v>
      </c>
      <c r="H1404" t="str">
        <f ca="1">VLOOKUP($G1404, survey_codes_dict!A:C, 2, FALSE)</f>
        <v>1969_2</v>
      </c>
      <c r="I1404" s="102" t="str">
        <f ca="1">VLOOKUP($G1404, survey_codes_dict!A:D, 4, FALSE)</f>
        <v>1969_1</v>
      </c>
      <c r="J1404" s="102" t="str">
        <f t="shared" ca="1" si="42"/>
        <v>1969_2__a9</v>
      </c>
      <c r="K1404" s="102" t="str">
        <f t="shared" ca="1" si="43"/>
        <v>1969_1__a9</v>
      </c>
      <c r="L1404" s="102"/>
      <c r="M1404" s="102"/>
      <c r="N1404" s="102"/>
      <c r="O1404" s="102"/>
      <c r="P1404" s="102"/>
      <c r="Q1404" s="102"/>
      <c r="R1404" s="102"/>
      <c r="S1404" s="101"/>
    </row>
    <row r="1405" spans="1:19" ht="86.4" x14ac:dyDescent="0.3">
      <c r="A1405" t="s">
        <v>5371</v>
      </c>
      <c r="B1405" t="s">
        <v>5482</v>
      </c>
      <c r="C1405" s="90" t="s">
        <v>5483</v>
      </c>
      <c r="D1405" t="s">
        <v>5562</v>
      </c>
      <c r="E1405" s="101" t="s">
        <v>6600</v>
      </c>
      <c r="F1405" t="str" cm="1">
        <f t="array" aca="1" ref="F1405" ca="1">INDIRECT("'" &amp; A1405 &amp; "'!" &amp; B1405)</f>
        <v>a17</v>
      </c>
      <c r="G1405" t="str" cm="1">
        <f t="array" aca="1" ref="G1405" ca="1">INDIRECT("'" &amp; A1405 &amp; "'!" &amp; ADDRESS(1, COLUMN(INDIRECT("'" &amp; A1405 &amp; "'!" &amp; B1405))))</f>
        <v>1969 - 1</v>
      </c>
      <c r="H1405" t="str">
        <f ca="1">VLOOKUP($G1405, survey_codes_dict!A:C, 2, FALSE)</f>
        <v>1969_1</v>
      </c>
      <c r="I1405" s="102">
        <f ca="1">VLOOKUP($G1405, survey_codes_dict!A:D, 4, FALSE)</f>
        <v>0</v>
      </c>
      <c r="J1405" s="102" t="str">
        <f t="shared" ca="1" si="42"/>
        <v>1969_1__a17</v>
      </c>
      <c r="K1405" s="102" t="str">
        <f t="shared" ca="1" si="43"/>
        <v>0__a17</v>
      </c>
      <c r="L1405" s="102"/>
      <c r="M1405" s="102"/>
      <c r="N1405" s="102"/>
      <c r="O1405" s="102"/>
      <c r="P1405" s="102"/>
      <c r="Q1405" s="102"/>
      <c r="R1405" s="102"/>
      <c r="S1405" s="101"/>
    </row>
    <row r="1406" spans="1:19" ht="72" x14ac:dyDescent="0.3">
      <c r="A1406" t="s">
        <v>5371</v>
      </c>
      <c r="B1406" t="s">
        <v>4923</v>
      </c>
      <c r="C1406" s="90" t="s">
        <v>3841</v>
      </c>
      <c r="D1406" t="s">
        <v>5562</v>
      </c>
      <c r="E1406" s="101" t="s">
        <v>5891</v>
      </c>
      <c r="F1406" t="str" cm="1">
        <f t="array" aca="1" ref="F1406" ca="1">INDIRECT("'" &amp; A1406 &amp; "'!" &amp; B1406)</f>
        <v>a89</v>
      </c>
      <c r="G1406" t="str" cm="1">
        <f t="array" aca="1" ref="G1406" ca="1">INDIRECT("'" &amp; A1406 &amp; "'!" &amp; ADDRESS(1, COLUMN(INDIRECT("'" &amp; A1406 &amp; "'!" &amp; B1406))))</f>
        <v>1969 - 1</v>
      </c>
      <c r="H1406" t="str">
        <f ca="1">VLOOKUP($G1406, survey_codes_dict!A:C, 2, FALSE)</f>
        <v>1969_1</v>
      </c>
      <c r="I1406" s="102">
        <f ca="1">VLOOKUP($G1406, survey_codes_dict!A:D, 4, FALSE)</f>
        <v>0</v>
      </c>
      <c r="J1406" s="102" t="str">
        <f t="shared" ca="1" si="42"/>
        <v>1969_1__a89</v>
      </c>
      <c r="K1406" s="102" t="str">
        <f t="shared" ca="1" si="43"/>
        <v>0__a89</v>
      </c>
      <c r="L1406" s="102"/>
      <c r="M1406" s="102"/>
      <c r="N1406" s="102"/>
      <c r="O1406" s="102"/>
      <c r="P1406" s="102"/>
      <c r="Q1406" s="102"/>
      <c r="R1406" s="102"/>
      <c r="S1406" s="101"/>
    </row>
    <row r="1407" spans="1:19" ht="72" x14ac:dyDescent="0.3">
      <c r="A1407" t="s">
        <v>5371</v>
      </c>
      <c r="B1407" t="s">
        <v>4925</v>
      </c>
      <c r="C1407" s="90" t="s">
        <v>3841</v>
      </c>
      <c r="D1407" t="s">
        <v>5562</v>
      </c>
      <c r="E1407" s="101" t="s">
        <v>5891</v>
      </c>
      <c r="F1407" t="str" cm="1">
        <f t="array" aca="1" ref="F1407" ca="1">INDIRECT("'" &amp; A1407 &amp; "'!" &amp; B1407)</f>
        <v>a91</v>
      </c>
      <c r="G1407" t="str" cm="1">
        <f t="array" aca="1" ref="G1407" ca="1">INDIRECT("'" &amp; A1407 &amp; "'!" &amp; ADDRESS(1, COLUMN(INDIRECT("'" &amp; A1407 &amp; "'!" &amp; B1407))))</f>
        <v>1969 - 1</v>
      </c>
      <c r="H1407" t="str">
        <f ca="1">VLOOKUP($G1407, survey_codes_dict!A:C, 2, FALSE)</f>
        <v>1969_1</v>
      </c>
      <c r="I1407" s="102">
        <f ca="1">VLOOKUP($G1407, survey_codes_dict!A:D, 4, FALSE)</f>
        <v>0</v>
      </c>
      <c r="J1407" s="102" t="str">
        <f t="shared" ca="1" si="42"/>
        <v>1969_1__a91</v>
      </c>
      <c r="K1407" s="102" t="str">
        <f t="shared" ca="1" si="43"/>
        <v>0__a91</v>
      </c>
      <c r="L1407" s="102"/>
      <c r="M1407" s="102"/>
      <c r="N1407" s="102"/>
      <c r="O1407" s="102"/>
      <c r="P1407" s="102"/>
      <c r="Q1407" s="102"/>
      <c r="R1407" s="102"/>
      <c r="S1407" s="101"/>
    </row>
    <row r="1408" spans="1:19" ht="57.6" x14ac:dyDescent="0.3">
      <c r="A1408" t="s">
        <v>5484</v>
      </c>
      <c r="B1408" t="s">
        <v>3562</v>
      </c>
      <c r="C1408" s="90" t="s">
        <v>5485</v>
      </c>
      <c r="D1408" t="s">
        <v>5562</v>
      </c>
      <c r="E1408" s="101" t="s">
        <v>6601</v>
      </c>
      <c r="F1408" t="str" cm="1">
        <f t="array" aca="1" ref="F1408" ca="1">INDIRECT("'" &amp; A1408 &amp; "'!" &amp; B1408)</f>
        <v>v73</v>
      </c>
      <c r="G1408" cm="1">
        <f t="array" aca="1" ref="G1408" ca="1">INDIRECT("'" &amp; A1408 &amp; "'!" &amp; ADDRESS(1, COLUMN(INDIRECT("'" &amp; A1408 &amp; "'!" &amp; B1408))))</f>
        <v>2020</v>
      </c>
      <c r="H1408" t="e">
        <f ca="1">VLOOKUP($G1408, survey_codes_dict!A:C, 2, FALSE)</f>
        <v>#N/A</v>
      </c>
      <c r="I1408" s="102" t="e">
        <f ca="1">VLOOKUP($G1408, survey_codes_dict!A:D, 4, FALSE)</f>
        <v>#N/A</v>
      </c>
      <c r="J1408" s="102" t="e">
        <f t="shared" ca="1" si="42"/>
        <v>#N/A</v>
      </c>
      <c r="K1408" s="102" t="e">
        <f t="shared" ca="1" si="43"/>
        <v>#N/A</v>
      </c>
      <c r="L1408" s="102"/>
      <c r="M1408" s="102"/>
      <c r="N1408" s="102"/>
      <c r="O1408" s="102"/>
      <c r="P1408" s="102"/>
      <c r="Q1408" s="102"/>
      <c r="R1408" s="102"/>
      <c r="S1408" s="101"/>
    </row>
    <row r="1409" spans="1:19" ht="57.6" x14ac:dyDescent="0.3">
      <c r="A1409" t="s">
        <v>5484</v>
      </c>
      <c r="B1409" t="s">
        <v>3774</v>
      </c>
      <c r="C1409" s="90" t="s">
        <v>5486</v>
      </c>
      <c r="D1409" t="s">
        <v>5562</v>
      </c>
      <c r="E1409" s="101" t="s">
        <v>6602</v>
      </c>
      <c r="F1409" t="str" cm="1">
        <f t="array" aca="1" ref="F1409" ca="1">INDIRECT("'" &amp; A1409 &amp; "'!" &amp; B1409)</f>
        <v>v510</v>
      </c>
      <c r="G1409" cm="1">
        <f t="array" aca="1" ref="G1409" ca="1">INDIRECT("'" &amp; A1409 &amp; "'!" &amp; ADDRESS(1, COLUMN(INDIRECT("'" &amp; A1409 &amp; "'!" &amp; B1409))))</f>
        <v>2020</v>
      </c>
      <c r="H1409" t="e">
        <f ca="1">VLOOKUP($G1409, survey_codes_dict!A:C, 2, FALSE)</f>
        <v>#N/A</v>
      </c>
      <c r="I1409" s="102" t="e">
        <f ca="1">VLOOKUP($G1409, survey_codes_dict!A:D, 4, FALSE)</f>
        <v>#N/A</v>
      </c>
      <c r="J1409" s="102" t="e">
        <f t="shared" ca="1" si="42"/>
        <v>#N/A</v>
      </c>
      <c r="K1409" s="102" t="e">
        <f t="shared" ca="1" si="43"/>
        <v>#N/A</v>
      </c>
      <c r="L1409" s="102"/>
      <c r="M1409" s="102"/>
      <c r="N1409" s="102"/>
      <c r="O1409" s="102"/>
      <c r="P1409" s="102"/>
      <c r="Q1409" s="102"/>
      <c r="R1409" s="102"/>
      <c r="S1409" s="102"/>
    </row>
    <row r="1410" spans="1:19" ht="86.4" x14ac:dyDescent="0.3">
      <c r="A1410" t="s">
        <v>5484</v>
      </c>
      <c r="B1410" t="s">
        <v>3575</v>
      </c>
      <c r="C1410" s="90" t="s">
        <v>5487</v>
      </c>
      <c r="D1410" t="s">
        <v>5562</v>
      </c>
      <c r="E1410" s="101" t="s">
        <v>6603</v>
      </c>
      <c r="F1410" t="str" cm="1">
        <f t="array" aca="1" ref="F1410" ca="1">INDIRECT("'" &amp; A1410 &amp; "'!" &amp; B1410)</f>
        <v>v511</v>
      </c>
      <c r="G1410" cm="1">
        <f t="array" aca="1" ref="G1410" ca="1">INDIRECT("'" &amp; A1410 &amp; "'!" &amp; ADDRESS(1, COLUMN(INDIRECT("'" &amp; A1410 &amp; "'!" &amp; B1410))))</f>
        <v>2020</v>
      </c>
      <c r="H1410" t="e">
        <f ca="1">VLOOKUP($G1410, survey_codes_dict!A:C, 2, FALSE)</f>
        <v>#N/A</v>
      </c>
      <c r="I1410" s="102" t="e">
        <f ca="1">VLOOKUP($G1410, survey_codes_dict!A:D, 4, FALSE)</f>
        <v>#N/A</v>
      </c>
      <c r="J1410" s="102" t="e">
        <f t="shared" ref="J1410:J1472" ca="1" si="44">_xlfn.CONCAT($H1410, "__", F1410)</f>
        <v>#N/A</v>
      </c>
      <c r="K1410" s="102" t="e">
        <f t="shared" ref="K1410:K1472" ca="1" si="45">_xlfn.CONCAT($I1410, "__", F1410)</f>
        <v>#N/A</v>
      </c>
      <c r="L1410" s="102"/>
      <c r="M1410" s="102"/>
      <c r="N1410" s="102"/>
      <c r="O1410" s="102"/>
      <c r="P1410" s="102"/>
      <c r="Q1410" s="102"/>
      <c r="R1410" s="102"/>
      <c r="S1410" s="102"/>
    </row>
    <row r="1411" spans="1:19" ht="57.6" x14ac:dyDescent="0.3">
      <c r="A1411" t="s">
        <v>5484</v>
      </c>
      <c r="B1411" t="s">
        <v>5376</v>
      </c>
      <c r="C1411" s="90" t="s">
        <v>5488</v>
      </c>
      <c r="D1411" t="s">
        <v>5562</v>
      </c>
      <c r="E1411" s="101" t="s">
        <v>6604</v>
      </c>
      <c r="F1411" t="str" cm="1">
        <f t="array" aca="1" ref="F1411" ca="1">INDIRECT("'" &amp; A1411 &amp; "'!" &amp; B1411)</f>
        <v>v112</v>
      </c>
      <c r="G1411" cm="1">
        <f t="array" aca="1" ref="G1411" ca="1">INDIRECT("'" &amp; A1411 &amp; "'!" &amp; ADDRESS(1, COLUMN(INDIRECT("'" &amp; A1411 &amp; "'!" &amp; B1411))))</f>
        <v>43556</v>
      </c>
      <c r="H1411" t="e">
        <f ca="1">VLOOKUP($G1411, survey_codes_dict!A:C, 2, FALSE)</f>
        <v>#N/A</v>
      </c>
      <c r="I1411" s="102" t="e">
        <f ca="1">VLOOKUP($G1411, survey_codes_dict!A:D, 4, FALSE)</f>
        <v>#N/A</v>
      </c>
      <c r="J1411" s="102" t="e">
        <f t="shared" ca="1" si="44"/>
        <v>#N/A</v>
      </c>
      <c r="K1411" s="102" t="e">
        <f t="shared" ca="1" si="45"/>
        <v>#N/A</v>
      </c>
      <c r="L1411" s="102"/>
      <c r="M1411" s="102"/>
      <c r="N1411" s="102"/>
      <c r="O1411" s="102"/>
      <c r="P1411" s="102"/>
      <c r="Q1411" s="102"/>
      <c r="R1411" s="102"/>
      <c r="S1411" s="101"/>
    </row>
    <row r="1412" spans="1:19" ht="57.6" x14ac:dyDescent="0.3">
      <c r="A1412" t="s">
        <v>5484</v>
      </c>
      <c r="B1412" t="s">
        <v>4803</v>
      </c>
      <c r="C1412" s="90" t="s">
        <v>5489</v>
      </c>
      <c r="D1412" t="s">
        <v>5562</v>
      </c>
      <c r="E1412" s="101" t="s">
        <v>6605</v>
      </c>
      <c r="F1412" t="str" cm="1">
        <f t="array" aca="1" ref="F1412" ca="1">INDIRECT("'" &amp; A1412 &amp; "'!" &amp; B1412)</f>
        <v>v110</v>
      </c>
      <c r="G1412" cm="1">
        <f t="array" aca="1" ref="G1412" ca="1">INDIRECT("'" &amp; A1412 &amp; "'!" &amp; ADDRESS(1, COLUMN(INDIRECT("'" &amp; A1412 &amp; "'!" &amp; B1412))))</f>
        <v>2015</v>
      </c>
      <c r="H1412" t="e">
        <f ca="1">VLOOKUP($G1412, survey_codes_dict!A:C, 2, FALSE)</f>
        <v>#N/A</v>
      </c>
      <c r="I1412" s="102" t="e">
        <f ca="1">VLOOKUP($G1412, survey_codes_dict!A:D, 4, FALSE)</f>
        <v>#N/A</v>
      </c>
      <c r="J1412" s="102" t="e">
        <f t="shared" ca="1" si="44"/>
        <v>#N/A</v>
      </c>
      <c r="K1412" s="102" t="e">
        <f t="shared" ca="1" si="45"/>
        <v>#N/A</v>
      </c>
      <c r="L1412" s="102"/>
      <c r="M1412" s="102"/>
      <c r="N1412" s="102"/>
      <c r="O1412" s="102"/>
      <c r="P1412" s="102"/>
      <c r="Q1412" s="102"/>
      <c r="R1412" s="102"/>
      <c r="S1412" s="101"/>
    </row>
    <row r="1413" spans="1:19" ht="86.4" x14ac:dyDescent="0.3">
      <c r="A1413" t="s">
        <v>5484</v>
      </c>
      <c r="B1413" t="s">
        <v>4987</v>
      </c>
      <c r="C1413" s="90" t="s">
        <v>5490</v>
      </c>
      <c r="D1413" t="s">
        <v>5562</v>
      </c>
      <c r="E1413" s="101" t="s">
        <v>6606</v>
      </c>
      <c r="F1413" t="str" cm="1">
        <f t="array" aca="1" ref="F1413" ca="1">INDIRECT("'" &amp; A1413 &amp; "'!" &amp; B1413)</f>
        <v>v113</v>
      </c>
      <c r="G1413" cm="1">
        <f t="array" aca="1" ref="G1413" ca="1">INDIRECT("'" &amp; A1413 &amp; "'!" &amp; ADDRESS(1, COLUMN(INDIRECT("'" &amp; A1413 &amp; "'!" &amp; B1413))))</f>
        <v>43556</v>
      </c>
      <c r="H1413" t="e">
        <f ca="1">VLOOKUP($G1413, survey_codes_dict!A:C, 2, FALSE)</f>
        <v>#N/A</v>
      </c>
      <c r="I1413" s="102" t="e">
        <f ca="1">VLOOKUP($G1413, survey_codes_dict!A:D, 4, FALSE)</f>
        <v>#N/A</v>
      </c>
      <c r="J1413" s="102" t="e">
        <f t="shared" ca="1" si="44"/>
        <v>#N/A</v>
      </c>
      <c r="K1413" s="102" t="e">
        <f t="shared" ca="1" si="45"/>
        <v>#N/A</v>
      </c>
      <c r="L1413" s="102"/>
      <c r="M1413" s="102"/>
      <c r="N1413" s="102"/>
      <c r="O1413" s="102"/>
      <c r="P1413" s="102"/>
      <c r="Q1413" s="102"/>
      <c r="R1413" s="102"/>
      <c r="S1413" s="101"/>
    </row>
    <row r="1414" spans="1:19" ht="86.4" x14ac:dyDescent="0.3">
      <c r="A1414" t="s">
        <v>5484</v>
      </c>
      <c r="B1414" t="s">
        <v>3958</v>
      </c>
      <c r="C1414" s="90" t="s">
        <v>5491</v>
      </c>
      <c r="D1414" t="s">
        <v>5562</v>
      </c>
      <c r="E1414" s="101" t="s">
        <v>6607</v>
      </c>
      <c r="F1414" t="str" cm="1">
        <f t="array" aca="1" ref="F1414" ca="1">INDIRECT("'" &amp; A1414 &amp; "'!" &amp; B1414)</f>
        <v>v109</v>
      </c>
      <c r="G1414" cm="1">
        <f t="array" aca="1" ref="G1414" ca="1">INDIRECT("'" &amp; A1414 &amp; "'!" &amp; ADDRESS(1, COLUMN(INDIRECT("'" &amp; A1414 &amp; "'!" &amp; B1414))))</f>
        <v>2015</v>
      </c>
      <c r="H1414" t="e">
        <f ca="1">VLOOKUP($G1414, survey_codes_dict!A:C, 2, FALSE)</f>
        <v>#N/A</v>
      </c>
      <c r="I1414" s="102" t="e">
        <f ca="1">VLOOKUP($G1414, survey_codes_dict!A:D, 4, FALSE)</f>
        <v>#N/A</v>
      </c>
      <c r="J1414" s="102" t="e">
        <f t="shared" ca="1" si="44"/>
        <v>#N/A</v>
      </c>
      <c r="K1414" s="102" t="e">
        <f t="shared" ca="1" si="45"/>
        <v>#N/A</v>
      </c>
      <c r="L1414" s="102"/>
      <c r="M1414" s="102"/>
      <c r="N1414" s="102"/>
      <c r="O1414" s="102"/>
      <c r="P1414" s="102"/>
      <c r="Q1414" s="102"/>
      <c r="R1414" s="102"/>
      <c r="S1414" s="101"/>
    </row>
    <row r="1415" spans="1:19" ht="72" x14ac:dyDescent="0.3">
      <c r="A1415" t="s">
        <v>5484</v>
      </c>
      <c r="B1415" t="s">
        <v>5492</v>
      </c>
      <c r="C1415" s="90" t="s">
        <v>5493</v>
      </c>
      <c r="D1415" t="s">
        <v>5562</v>
      </c>
      <c r="E1415" s="101" t="s">
        <v>6608</v>
      </c>
      <c r="F1415" t="str" cm="1">
        <f t="array" aca="1" ref="F1415" ca="1">INDIRECT("'" &amp; A1415 &amp; "'!" &amp; B1415)</f>
        <v>a25</v>
      </c>
      <c r="G1415" t="str" cm="1">
        <f t="array" aca="1" ref="G1415" ca="1">INDIRECT("'" &amp; A1415 &amp; "'!" &amp; ADDRESS(1, COLUMN(INDIRECT("'" &amp; A1415 &amp; "'!" &amp; B1415))))</f>
        <v>1987*</v>
      </c>
      <c r="H1415" t="e">
        <f ca="1">VLOOKUP($G1415, survey_codes_dict!A:C, 2, FALSE)</f>
        <v>#N/A</v>
      </c>
      <c r="I1415" s="102" t="e">
        <f ca="1">VLOOKUP($G1415, survey_codes_dict!A:D, 4, FALSE)</f>
        <v>#N/A</v>
      </c>
      <c r="J1415" s="102" t="e">
        <f t="shared" ca="1" si="44"/>
        <v>#N/A</v>
      </c>
      <c r="K1415" s="102" t="e">
        <f t="shared" ca="1" si="45"/>
        <v>#N/A</v>
      </c>
      <c r="L1415" s="102"/>
      <c r="M1415" s="102"/>
      <c r="N1415" s="102"/>
      <c r="O1415" s="102"/>
      <c r="P1415" s="102"/>
      <c r="Q1415" s="102"/>
      <c r="R1415" s="102"/>
      <c r="S1415" s="101"/>
    </row>
    <row r="1416" spans="1:19" ht="115.2" x14ac:dyDescent="0.3">
      <c r="A1416" t="s">
        <v>5484</v>
      </c>
      <c r="B1416" t="s">
        <v>3788</v>
      </c>
      <c r="C1416" s="90" t="s">
        <v>5494</v>
      </c>
      <c r="D1416" t="s">
        <v>5562</v>
      </c>
      <c r="E1416" s="101" t="s">
        <v>6609</v>
      </c>
      <c r="F1416" t="str" cm="1">
        <f t="array" aca="1" ref="F1416" ca="1">INDIRECT("'" &amp; A1416 &amp; "'!" &amp; B1416)</f>
        <v>a26</v>
      </c>
      <c r="G1416" t="str" cm="1">
        <f t="array" aca="1" ref="G1416" ca="1">INDIRECT("'" &amp; A1416 &amp; "'!" &amp; ADDRESS(1, COLUMN(INDIRECT("'" &amp; A1416 &amp; "'!" &amp; B1416))))</f>
        <v>1987*</v>
      </c>
      <c r="H1416" t="e">
        <f ca="1">VLOOKUP($G1416, survey_codes_dict!A:C, 2, FALSE)</f>
        <v>#N/A</v>
      </c>
      <c r="I1416" s="102" t="e">
        <f ca="1">VLOOKUP($G1416, survey_codes_dict!A:D, 4, FALSE)</f>
        <v>#N/A</v>
      </c>
      <c r="J1416" s="102" t="e">
        <f t="shared" ca="1" si="44"/>
        <v>#N/A</v>
      </c>
      <c r="K1416" s="102" t="e">
        <f t="shared" ca="1" si="45"/>
        <v>#N/A</v>
      </c>
      <c r="L1416" s="102"/>
      <c r="M1416" s="102"/>
      <c r="N1416" s="102"/>
      <c r="O1416" s="102"/>
      <c r="P1416" s="102"/>
      <c r="Q1416" s="102"/>
      <c r="R1416" s="102"/>
      <c r="S1416" s="101"/>
    </row>
    <row r="1417" spans="1:19" ht="72" x14ac:dyDescent="0.3">
      <c r="A1417" t="s">
        <v>5484</v>
      </c>
      <c r="B1417" t="s">
        <v>3790</v>
      </c>
      <c r="C1417" s="90" t="s">
        <v>5053</v>
      </c>
      <c r="D1417" t="s">
        <v>5562</v>
      </c>
      <c r="E1417" s="101" t="s">
        <v>6387</v>
      </c>
      <c r="F1417" t="str" cm="1">
        <f t="array" aca="1" ref="F1417" ca="1">INDIRECT("'" &amp; A1417 &amp; "'!" &amp; B1417)</f>
        <v>a27</v>
      </c>
      <c r="G1417" t="str" cm="1">
        <f t="array" aca="1" ref="G1417" ca="1">INDIRECT("'" &amp; A1417 &amp; "'!" &amp; ADDRESS(1, COLUMN(INDIRECT("'" &amp; A1417 &amp; "'!" &amp; B1417))))</f>
        <v>1987*</v>
      </c>
      <c r="H1417" t="e">
        <f ca="1">VLOOKUP($G1417, survey_codes_dict!A:C, 2, FALSE)</f>
        <v>#N/A</v>
      </c>
      <c r="I1417" s="102" t="e">
        <f ca="1">VLOOKUP($G1417, survey_codes_dict!A:D, 4, FALSE)</f>
        <v>#N/A</v>
      </c>
      <c r="J1417" s="102" t="e">
        <f t="shared" ca="1" si="44"/>
        <v>#N/A</v>
      </c>
      <c r="K1417" s="102" t="e">
        <f t="shared" ca="1" si="45"/>
        <v>#N/A</v>
      </c>
      <c r="L1417" s="102"/>
      <c r="M1417" s="102"/>
      <c r="N1417" s="102"/>
      <c r="O1417" s="102"/>
      <c r="P1417" s="102"/>
      <c r="Q1417" s="102"/>
      <c r="R1417" s="102"/>
      <c r="S1417" s="101"/>
    </row>
    <row r="1418" spans="1:19" ht="86.4" x14ac:dyDescent="0.3">
      <c r="A1418" t="s">
        <v>5484</v>
      </c>
      <c r="B1418" t="s">
        <v>4997</v>
      </c>
      <c r="C1418" s="90" t="s">
        <v>5495</v>
      </c>
      <c r="D1418" t="s">
        <v>5562</v>
      </c>
      <c r="E1418" s="101" t="s">
        <v>6610</v>
      </c>
      <c r="F1418" t="str" cm="1">
        <f t="array" aca="1" ref="F1418" ca="1">INDIRECT("'" &amp; A1418 &amp; "'!" &amp; B1418)</f>
        <v>a27</v>
      </c>
      <c r="G1418" t="str" cm="1">
        <f t="array" aca="1" ref="G1418" ca="1">INDIRECT("'" &amp; A1418 &amp; "'!" &amp; ADDRESS(1, COLUMN(INDIRECT("'" &amp; A1418 &amp; "'!" &amp; B1418))))</f>
        <v>1987*</v>
      </c>
      <c r="H1418" t="e">
        <f ca="1">VLOOKUP($G1418, survey_codes_dict!A:C, 2, FALSE)</f>
        <v>#N/A</v>
      </c>
      <c r="I1418" s="102" t="e">
        <f ca="1">VLOOKUP($G1418, survey_codes_dict!A:D, 4, FALSE)</f>
        <v>#N/A</v>
      </c>
      <c r="J1418" s="102" t="e">
        <f t="shared" ca="1" si="44"/>
        <v>#N/A</v>
      </c>
      <c r="K1418" s="102" t="e">
        <f t="shared" ca="1" si="45"/>
        <v>#N/A</v>
      </c>
      <c r="L1418" s="102"/>
      <c r="M1418" s="102"/>
      <c r="N1418" s="102"/>
      <c r="O1418" s="102"/>
      <c r="P1418" s="102"/>
      <c r="Q1418" s="102"/>
      <c r="R1418" s="102"/>
      <c r="S1418" s="101"/>
    </row>
    <row r="1419" spans="1:19" ht="72" x14ac:dyDescent="0.3">
      <c r="A1419" t="s">
        <v>5484</v>
      </c>
      <c r="B1419" t="s">
        <v>5496</v>
      </c>
      <c r="C1419" s="90" t="s">
        <v>5053</v>
      </c>
      <c r="D1419" t="s">
        <v>5562</v>
      </c>
      <c r="E1419" s="101" t="s">
        <v>6387</v>
      </c>
      <c r="F1419" t="str" cm="1">
        <f t="array" aca="1" ref="F1419" ca="1">INDIRECT("'" &amp; A1419 &amp; "'!" &amp; B1419)</f>
        <v>a28</v>
      </c>
      <c r="G1419" t="str" cm="1">
        <f t="array" aca="1" ref="G1419" ca="1">INDIRECT("'" &amp; A1419 &amp; "'!" &amp; ADDRESS(1, COLUMN(INDIRECT("'" &amp; A1419 &amp; "'!" &amp; B1419))))</f>
        <v>1987*</v>
      </c>
      <c r="H1419" t="e">
        <f ca="1">VLOOKUP($G1419, survey_codes_dict!A:C, 2, FALSE)</f>
        <v>#N/A</v>
      </c>
      <c r="I1419" s="102" t="e">
        <f ca="1">VLOOKUP($G1419, survey_codes_dict!A:D, 4, FALSE)</f>
        <v>#N/A</v>
      </c>
      <c r="J1419" s="102" t="e">
        <f t="shared" ca="1" si="44"/>
        <v>#N/A</v>
      </c>
      <c r="K1419" s="102" t="e">
        <f t="shared" ca="1" si="45"/>
        <v>#N/A</v>
      </c>
      <c r="L1419" s="102"/>
      <c r="M1419" s="102"/>
      <c r="N1419" s="102"/>
      <c r="O1419" s="102"/>
      <c r="P1419" s="102"/>
      <c r="Q1419" s="102"/>
      <c r="R1419" s="102"/>
      <c r="S1419" s="101"/>
    </row>
    <row r="1420" spans="1:19" ht="72" x14ac:dyDescent="0.3">
      <c r="A1420" t="s">
        <v>5484</v>
      </c>
      <c r="B1420" t="s">
        <v>5497</v>
      </c>
      <c r="C1420" s="90" t="s">
        <v>5053</v>
      </c>
      <c r="D1420" t="s">
        <v>5562</v>
      </c>
      <c r="E1420" s="101" t="s">
        <v>6387</v>
      </c>
      <c r="F1420" t="str" cm="1">
        <f t="array" aca="1" ref="F1420" ca="1">INDIRECT("'" &amp; A1420 &amp; "'!" &amp; B1420)</f>
        <v>a29</v>
      </c>
      <c r="G1420" t="str" cm="1">
        <f t="array" aca="1" ref="G1420" ca="1">INDIRECT("'" &amp; A1420 &amp; "'!" &amp; ADDRESS(1, COLUMN(INDIRECT("'" &amp; A1420 &amp; "'!" &amp; B1420))))</f>
        <v>1987*</v>
      </c>
      <c r="H1420" t="e">
        <f ca="1">VLOOKUP($G1420, survey_codes_dict!A:C, 2, FALSE)</f>
        <v>#N/A</v>
      </c>
      <c r="I1420" s="102" t="e">
        <f ca="1">VLOOKUP($G1420, survey_codes_dict!A:D, 4, FALSE)</f>
        <v>#N/A</v>
      </c>
      <c r="J1420" s="102" t="e">
        <f t="shared" ca="1" si="44"/>
        <v>#N/A</v>
      </c>
      <c r="K1420" s="102" t="e">
        <f t="shared" ca="1" si="45"/>
        <v>#N/A</v>
      </c>
      <c r="L1420" s="102"/>
      <c r="M1420" s="102"/>
      <c r="N1420" s="102"/>
      <c r="O1420" s="102"/>
      <c r="P1420" s="102"/>
      <c r="Q1420" s="102"/>
      <c r="R1420" s="102"/>
      <c r="S1420" s="101"/>
    </row>
    <row r="1421" spans="1:19" ht="72" x14ac:dyDescent="0.3">
      <c r="A1421" t="s">
        <v>2565</v>
      </c>
      <c r="B1421" t="s">
        <v>3849</v>
      </c>
      <c r="C1421" s="90" t="s">
        <v>5498</v>
      </c>
      <c r="D1421" t="s">
        <v>5562</v>
      </c>
      <c r="E1421" s="101" t="s">
        <v>6611</v>
      </c>
      <c r="F1421" t="str" cm="1">
        <f t="array" aca="1" ref="F1421" ca="1">INDIRECT("'" &amp; A1421 &amp; "'!" &amp; B1421)</f>
        <v>v106</v>
      </c>
      <c r="G1421" cm="1">
        <f t="array" aca="1" ref="G1421" ca="1">INDIRECT("'" &amp; A1421 &amp; "'!" &amp; ADDRESS(1, COLUMN(INDIRECT("'" &amp; A1421 &amp; "'!" &amp; B1421))))</f>
        <v>2015</v>
      </c>
      <c r="H1421" t="e">
        <f ca="1">VLOOKUP($G1421, survey_codes_dict!A:C, 2, FALSE)</f>
        <v>#N/A</v>
      </c>
      <c r="I1421" s="102" t="e">
        <f ca="1">VLOOKUP($G1421, survey_codes_dict!A:D, 4, FALSE)</f>
        <v>#N/A</v>
      </c>
      <c r="J1421" s="102" t="e">
        <f t="shared" ca="1" si="44"/>
        <v>#N/A</v>
      </c>
      <c r="K1421" s="102" t="e">
        <f t="shared" ca="1" si="45"/>
        <v>#N/A</v>
      </c>
      <c r="L1421" s="102"/>
      <c r="M1421" s="102"/>
      <c r="N1421" s="102"/>
      <c r="O1421" s="102"/>
      <c r="P1421" s="102"/>
      <c r="Q1421" s="102"/>
      <c r="R1421" s="102"/>
      <c r="S1421" s="101"/>
    </row>
    <row r="1422" spans="1:19" ht="72" x14ac:dyDescent="0.3">
      <c r="A1422" t="s">
        <v>2565</v>
      </c>
      <c r="B1422" t="s">
        <v>3852</v>
      </c>
      <c r="C1422" s="90" t="s">
        <v>4024</v>
      </c>
      <c r="D1422" t="s">
        <v>5562</v>
      </c>
      <c r="E1422" s="101" t="s">
        <v>5949</v>
      </c>
      <c r="F1422" t="str" cm="1">
        <f t="array" aca="1" ref="F1422" ca="1">INDIRECT("'" &amp; A1422 &amp; "'!" &amp; B1422)</f>
        <v>v122</v>
      </c>
      <c r="G1422" cm="1">
        <f t="array" aca="1" ref="G1422" ca="1">INDIRECT("'" &amp; A1422 &amp; "'!" &amp; ADDRESS(1, COLUMN(INDIRECT("'" &amp; A1422 &amp; "'!" &amp; B1422))))</f>
        <v>2015</v>
      </c>
      <c r="H1422" t="e">
        <f ca="1">VLOOKUP($G1422, survey_codes_dict!A:C, 2, FALSE)</f>
        <v>#N/A</v>
      </c>
      <c r="I1422" s="102" t="e">
        <f ca="1">VLOOKUP($G1422, survey_codes_dict!A:D, 4, FALSE)</f>
        <v>#N/A</v>
      </c>
      <c r="J1422" s="102" t="e">
        <f t="shared" ca="1" si="44"/>
        <v>#N/A</v>
      </c>
      <c r="K1422" s="102" t="e">
        <f t="shared" ca="1" si="45"/>
        <v>#N/A</v>
      </c>
      <c r="L1422" s="102"/>
      <c r="M1422" s="102"/>
      <c r="N1422" s="102"/>
      <c r="O1422" s="102"/>
      <c r="P1422" s="102"/>
      <c r="Q1422" s="102"/>
      <c r="R1422" s="102"/>
      <c r="S1422" s="101"/>
    </row>
    <row r="1423" spans="1:19" ht="72" x14ac:dyDescent="0.3">
      <c r="A1423" t="s">
        <v>2565</v>
      </c>
      <c r="B1423" t="s">
        <v>5499</v>
      </c>
      <c r="C1423" s="90" t="s">
        <v>5157</v>
      </c>
      <c r="D1423" t="s">
        <v>5562</v>
      </c>
      <c r="E1423" s="101" t="s">
        <v>6443</v>
      </c>
      <c r="F1423" t="str" cm="1">
        <f t="array" aca="1" ref="F1423" ca="1">INDIRECT("'" &amp; A1423 &amp; "'!" &amp; B1423)</f>
        <v>v117</v>
      </c>
      <c r="G1423" cm="1">
        <f t="array" aca="1" ref="G1423" ca="1">INDIRECT("'" &amp; A1423 &amp; "'!" &amp; ADDRESS(1, COLUMN(INDIRECT("'" &amp; A1423 &amp; "'!" &amp; B1423))))</f>
        <v>2013</v>
      </c>
      <c r="H1423" t="e">
        <f ca="1">VLOOKUP($G1423, survey_codes_dict!A:C, 2, FALSE)</f>
        <v>#N/A</v>
      </c>
      <c r="I1423" s="102" t="e">
        <f ca="1">VLOOKUP($G1423, survey_codes_dict!A:D, 4, FALSE)</f>
        <v>#N/A</v>
      </c>
      <c r="J1423" s="102" t="e">
        <f t="shared" ca="1" si="44"/>
        <v>#N/A</v>
      </c>
      <c r="K1423" s="102" t="e">
        <f t="shared" ca="1" si="45"/>
        <v>#N/A</v>
      </c>
      <c r="L1423" s="102"/>
      <c r="M1423" s="102"/>
      <c r="N1423" s="102"/>
      <c r="O1423" s="102"/>
      <c r="P1423" s="102"/>
      <c r="Q1423" s="102"/>
      <c r="R1423" s="102"/>
      <c r="S1423" s="101"/>
    </row>
    <row r="1424" spans="1:19" ht="86.4" x14ac:dyDescent="0.3">
      <c r="A1424" t="s">
        <v>2565</v>
      </c>
      <c r="B1424" t="s">
        <v>5500</v>
      </c>
      <c r="C1424" s="90" t="s">
        <v>5501</v>
      </c>
      <c r="D1424" t="s">
        <v>5562</v>
      </c>
      <c r="E1424" s="101" t="s">
        <v>6612</v>
      </c>
      <c r="F1424" t="str" cm="1">
        <f t="array" aca="1" ref="F1424" ca="1">INDIRECT("'" &amp; A1424 &amp; "'!" &amp; B1424)</f>
        <v>v129_B</v>
      </c>
      <c r="G1424" cm="1">
        <f t="array" aca="1" ref="G1424" ca="1">INDIRECT("'" &amp; A1424 &amp; "'!" &amp; ADDRESS(1, COLUMN(INDIRECT("'" &amp; A1424 &amp; "'!" &amp; B1424))))</f>
        <v>2013</v>
      </c>
      <c r="H1424" t="e">
        <f ca="1">VLOOKUP($G1424, survey_codes_dict!A:C, 2, FALSE)</f>
        <v>#N/A</v>
      </c>
      <c r="I1424" s="102" t="e">
        <f ca="1">VLOOKUP($G1424, survey_codes_dict!A:D, 4, FALSE)</f>
        <v>#N/A</v>
      </c>
      <c r="J1424" s="102" t="e">
        <f t="shared" ca="1" si="44"/>
        <v>#N/A</v>
      </c>
      <c r="K1424" s="102" t="e">
        <f t="shared" ca="1" si="45"/>
        <v>#N/A</v>
      </c>
      <c r="L1424" s="102"/>
      <c r="M1424" s="102"/>
      <c r="N1424" s="102"/>
      <c r="O1424" s="102"/>
      <c r="P1424" s="102"/>
      <c r="Q1424" s="102"/>
      <c r="R1424" s="102"/>
      <c r="S1424" s="102"/>
    </row>
    <row r="1425" spans="1:19" ht="86.4" x14ac:dyDescent="0.3">
      <c r="A1425" t="s">
        <v>2565</v>
      </c>
      <c r="B1425" t="s">
        <v>4726</v>
      </c>
      <c r="C1425" s="90" t="s">
        <v>5502</v>
      </c>
      <c r="D1425" t="s">
        <v>5562</v>
      </c>
      <c r="E1425" s="101" t="s">
        <v>6613</v>
      </c>
      <c r="F1425" t="str" cm="1">
        <f t="array" aca="1" ref="F1425" ca="1">INDIRECT("'" &amp; A1425 &amp; "'!" &amp; B1425)</f>
        <v>v130</v>
      </c>
      <c r="G1425" cm="1">
        <f t="array" aca="1" ref="G1425" ca="1">INDIRECT("'" &amp; A1425 &amp; "'!" &amp; ADDRESS(1, COLUMN(INDIRECT("'" &amp; A1425 &amp; "'!" &amp; B1425))))</f>
        <v>2013</v>
      </c>
      <c r="H1425" t="e">
        <f ca="1">VLOOKUP($G1425, survey_codes_dict!A:C, 2, FALSE)</f>
        <v>#N/A</v>
      </c>
      <c r="I1425" s="102" t="e">
        <f ca="1">VLOOKUP($G1425, survey_codes_dict!A:D, 4, FALSE)</f>
        <v>#N/A</v>
      </c>
      <c r="J1425" s="102" t="e">
        <f t="shared" ca="1" si="44"/>
        <v>#N/A</v>
      </c>
      <c r="K1425" s="102" t="e">
        <f t="shared" ca="1" si="45"/>
        <v>#N/A</v>
      </c>
      <c r="L1425" s="102"/>
      <c r="M1425" s="102"/>
      <c r="N1425" s="102"/>
      <c r="O1425" s="102"/>
      <c r="P1425" s="102"/>
      <c r="Q1425" s="102"/>
      <c r="R1425" s="102"/>
      <c r="S1425" s="101"/>
    </row>
    <row r="1426" spans="1:19" ht="100.8" x14ac:dyDescent="0.3">
      <c r="A1426" t="s">
        <v>5503</v>
      </c>
      <c r="B1426" t="s">
        <v>4938</v>
      </c>
      <c r="C1426" s="90" t="s">
        <v>5504</v>
      </c>
      <c r="D1426" t="s">
        <v>5562</v>
      </c>
      <c r="E1426" s="101" t="s">
        <v>6614</v>
      </c>
      <c r="F1426" t="str" cm="1">
        <f t="array" aca="1" ref="F1426" ca="1">INDIRECT("'" &amp; A1426 &amp; "'!" &amp; B1426)</f>
        <v>בישראל כמו בעולם כולו, אי אפשר שכל האזרחים ישבו יחד ויקבלו החלטות, ולכן יש נציגים ומוסדות שעושים את זה בשמנו ועבורנו. האם יש בארץ מפלגה ו/או פוליטיקאי שמייצגים את העמדה שלך?</v>
      </c>
      <c r="G1426" t="str" cm="1">
        <f t="array" aca="1" ref="G1426" ca="1">INDIRECT("'" &amp; A1426 &amp; "'!" &amp; ADDRESS(1, COLUMN(INDIRECT("'" &amp; A1426 &amp; "'!" &amp; B1426))))</f>
        <v>שאלה</v>
      </c>
      <c r="H1426" t="e">
        <f ca="1">VLOOKUP($G1426, survey_codes_dict!A:C, 2, FALSE)</f>
        <v>#N/A</v>
      </c>
      <c r="I1426" s="102" t="e">
        <f ca="1">VLOOKUP($G1426, survey_codes_dict!A:D, 4, FALSE)</f>
        <v>#N/A</v>
      </c>
      <c r="J1426" s="102" t="e">
        <f t="shared" ca="1" si="44"/>
        <v>#N/A</v>
      </c>
      <c r="K1426" s="102" t="e">
        <f t="shared" ca="1" si="45"/>
        <v>#N/A</v>
      </c>
      <c r="L1426" s="102"/>
      <c r="M1426" s="102"/>
      <c r="N1426" s="102"/>
      <c r="O1426" s="102"/>
      <c r="P1426" s="102"/>
      <c r="Q1426" s="102"/>
      <c r="R1426" s="102"/>
      <c r="S1426" s="102"/>
    </row>
    <row r="1427" spans="1:19" ht="72" x14ac:dyDescent="0.3">
      <c r="A1427" t="s">
        <v>5503</v>
      </c>
      <c r="B1427" t="s">
        <v>3562</v>
      </c>
      <c r="C1427" s="90" t="s">
        <v>5505</v>
      </c>
      <c r="D1427" t="s">
        <v>5562</v>
      </c>
      <c r="E1427" s="101" t="s">
        <v>6615</v>
      </c>
      <c r="F1427" cm="1">
        <f t="array" aca="1" ref="F1427" ca="1">INDIRECT("'" &amp; A1427 &amp; "'!" &amp; B1427)</f>
        <v>0</v>
      </c>
      <c r="G1427" cm="1">
        <f t="array" aca="1" ref="G1427" ca="1">INDIRECT("'" &amp; A1427 &amp; "'!" &amp; ADDRESS(1, COLUMN(INDIRECT("'" &amp; A1427 &amp; "'!" &amp; B1427))))</f>
        <v>2020</v>
      </c>
      <c r="H1427" t="e">
        <f ca="1">VLOOKUP($G1427, survey_codes_dict!A:C, 2, FALSE)</f>
        <v>#N/A</v>
      </c>
      <c r="I1427" s="102" t="e">
        <f ca="1">VLOOKUP($G1427, survey_codes_dict!A:D, 4, FALSE)</f>
        <v>#N/A</v>
      </c>
      <c r="J1427" s="102" t="e">
        <f t="shared" ca="1" si="44"/>
        <v>#N/A</v>
      </c>
      <c r="K1427" s="102" t="e">
        <f t="shared" ca="1" si="45"/>
        <v>#N/A</v>
      </c>
      <c r="L1427" s="102"/>
      <c r="M1427" s="102"/>
      <c r="N1427" s="102"/>
      <c r="O1427" s="102"/>
      <c r="P1427" s="102"/>
      <c r="Q1427" s="102"/>
      <c r="R1427" s="102"/>
      <c r="S1427" s="102"/>
    </row>
    <row r="1428" spans="1:19" ht="172.8" x14ac:dyDescent="0.3">
      <c r="A1428" t="s">
        <v>5503</v>
      </c>
      <c r="B1428" t="s">
        <v>5506</v>
      </c>
      <c r="C1428" s="90" t="s">
        <v>5507</v>
      </c>
      <c r="D1428" t="s">
        <v>5562</v>
      </c>
      <c r="E1428" s="101" t="s">
        <v>6616</v>
      </c>
      <c r="F1428" cm="1">
        <f t="array" aca="1" ref="F1428" ca="1">INDIRECT("'" &amp; A1428 &amp; "'!" &amp; B1428)</f>
        <v>0</v>
      </c>
      <c r="G1428" cm="1">
        <f t="array" aca="1" ref="G1428" ca="1">INDIRECT("'" &amp; A1428 &amp; "'!" &amp; ADDRESS(1, COLUMN(INDIRECT("'" &amp; A1428 &amp; "'!" &amp; B1428))))</f>
        <v>2020</v>
      </c>
      <c r="H1428" t="e">
        <f ca="1">VLOOKUP($G1428, survey_codes_dict!A:C, 2, FALSE)</f>
        <v>#N/A</v>
      </c>
      <c r="I1428" s="102" t="e">
        <f ca="1">VLOOKUP($G1428, survey_codes_dict!A:D, 4, FALSE)</f>
        <v>#N/A</v>
      </c>
      <c r="J1428" s="102" t="e">
        <f t="shared" ca="1" si="44"/>
        <v>#N/A</v>
      </c>
      <c r="K1428" s="102" t="e">
        <f t="shared" ca="1" si="45"/>
        <v>#N/A</v>
      </c>
      <c r="L1428" s="102"/>
      <c r="M1428" s="102"/>
      <c r="N1428" s="102"/>
      <c r="O1428" s="102"/>
      <c r="P1428" s="102"/>
      <c r="Q1428" s="102"/>
      <c r="R1428" s="102"/>
      <c r="S1428" s="102"/>
    </row>
    <row r="1429" spans="1:19" ht="172.8" x14ac:dyDescent="0.3">
      <c r="A1429" t="s">
        <v>5503</v>
      </c>
      <c r="B1429" t="s">
        <v>5508</v>
      </c>
      <c r="C1429" s="90" t="s">
        <v>5509</v>
      </c>
      <c r="D1429" t="s">
        <v>5562</v>
      </c>
      <c r="E1429" s="101" t="s">
        <v>6617</v>
      </c>
      <c r="F1429" cm="1">
        <f t="array" aca="1" ref="F1429" ca="1">INDIRECT("'" &amp; A1429 &amp; "'!" &amp; B1429)</f>
        <v>0</v>
      </c>
      <c r="G1429" cm="1">
        <f t="array" aca="1" ref="G1429" ca="1">INDIRECT("'" &amp; A1429 &amp; "'!" &amp; ADDRESS(1, COLUMN(INDIRECT("'" &amp; A1429 &amp; "'!" &amp; B1429))))</f>
        <v>2020</v>
      </c>
      <c r="H1429" t="e">
        <f ca="1">VLOOKUP($G1429, survey_codes_dict!A:C, 2, FALSE)</f>
        <v>#N/A</v>
      </c>
      <c r="I1429" s="102" t="e">
        <f ca="1">VLOOKUP($G1429, survey_codes_dict!A:D, 4, FALSE)</f>
        <v>#N/A</v>
      </c>
      <c r="J1429" s="102" t="e">
        <f t="shared" ca="1" si="44"/>
        <v>#N/A</v>
      </c>
      <c r="K1429" s="102" t="e">
        <f t="shared" ca="1" si="45"/>
        <v>#N/A</v>
      </c>
      <c r="L1429" s="102"/>
      <c r="M1429" s="102"/>
      <c r="N1429" s="102"/>
      <c r="O1429" s="102"/>
      <c r="P1429" s="102"/>
      <c r="Q1429" s="102"/>
      <c r="R1429" s="102"/>
      <c r="S1429" s="102"/>
    </row>
    <row r="1430" spans="1:19" ht="72" x14ac:dyDescent="0.3">
      <c r="A1430" t="s">
        <v>5503</v>
      </c>
      <c r="B1430" t="s">
        <v>3599</v>
      </c>
      <c r="C1430" s="90" t="s">
        <v>5510</v>
      </c>
      <c r="D1430" t="s">
        <v>5562</v>
      </c>
      <c r="E1430" s="101" t="s">
        <v>6618</v>
      </c>
      <c r="F1430" t="str" cm="1">
        <f t="array" aca="1" ref="F1430" ca="1">INDIRECT("'" &amp; A1430 &amp; "'!" &amp; B1430)</f>
        <v>באופן כללי, באיזו מידה אתה מרגיש שיש בארץ מפלגה ו/או פוליטיקאי שמייצגים אותך?</v>
      </c>
      <c r="G1430" t="str" cm="1">
        <f t="array" aca="1" ref="G1430" ca="1">INDIRECT("'" &amp; A1430 &amp; "'!" &amp; ADDRESS(1, COLUMN(INDIRECT("'" &amp; A1430 &amp; "'!" &amp; B1430))))</f>
        <v>שאלה</v>
      </c>
      <c r="H1430" t="e">
        <f ca="1">VLOOKUP($G1430, survey_codes_dict!A:C, 2, FALSE)</f>
        <v>#N/A</v>
      </c>
      <c r="I1430" s="102" t="e">
        <f ca="1">VLOOKUP($G1430, survey_codes_dict!A:D, 4, FALSE)</f>
        <v>#N/A</v>
      </c>
      <c r="J1430" s="102" t="e">
        <f t="shared" ca="1" si="44"/>
        <v>#N/A</v>
      </c>
      <c r="K1430" s="102" t="e">
        <f t="shared" ca="1" si="45"/>
        <v>#N/A</v>
      </c>
      <c r="L1430" s="102"/>
      <c r="M1430" s="102"/>
      <c r="N1430" s="102"/>
      <c r="O1430" s="102"/>
      <c r="P1430" s="102"/>
      <c r="Q1430" s="102"/>
      <c r="R1430" s="102"/>
      <c r="S1430" s="102"/>
    </row>
    <row r="1431" spans="1:19" ht="72" x14ac:dyDescent="0.3">
      <c r="A1431" t="s">
        <v>5503</v>
      </c>
      <c r="B1431" t="s">
        <v>3330</v>
      </c>
      <c r="C1431" s="90" t="s">
        <v>3636</v>
      </c>
      <c r="D1431" t="s">
        <v>5562</v>
      </c>
      <c r="E1431" s="101" t="s">
        <v>5814</v>
      </c>
      <c r="F1431" cm="1">
        <f t="array" aca="1" ref="F1431" ca="1">INDIRECT("'" &amp; A1431 &amp; "'!" &amp; B1431)</f>
        <v>0</v>
      </c>
      <c r="G1431" cm="1">
        <f t="array" aca="1" ref="G1431" ca="1">INDIRECT("'" &amp; A1431 &amp; "'!" &amp; ADDRESS(1, COLUMN(INDIRECT("'" &amp; A1431 &amp; "'!" &amp; B1431))))</f>
        <v>2020</v>
      </c>
      <c r="H1431" t="e">
        <f ca="1">VLOOKUP($G1431, survey_codes_dict!A:C, 2, FALSE)</f>
        <v>#N/A</v>
      </c>
      <c r="I1431" s="102" t="e">
        <f ca="1">VLOOKUP($G1431, survey_codes_dict!A:D, 4, FALSE)</f>
        <v>#N/A</v>
      </c>
      <c r="J1431" s="102" t="e">
        <f t="shared" ca="1" si="44"/>
        <v>#N/A</v>
      </c>
      <c r="K1431" s="102" t="e">
        <f t="shared" ca="1" si="45"/>
        <v>#N/A</v>
      </c>
      <c r="L1431" s="102"/>
      <c r="M1431" s="102"/>
      <c r="N1431" s="102"/>
      <c r="O1431" s="102"/>
      <c r="P1431" s="102"/>
      <c r="Q1431" s="102"/>
      <c r="R1431" s="102"/>
      <c r="S1431" s="102"/>
    </row>
    <row r="1432" spans="1:19" ht="72" x14ac:dyDescent="0.3">
      <c r="A1432" t="s">
        <v>5503</v>
      </c>
      <c r="B1432" t="s">
        <v>3332</v>
      </c>
      <c r="C1432" s="90" t="s">
        <v>3636</v>
      </c>
      <c r="D1432" t="s">
        <v>5562</v>
      </c>
      <c r="E1432" s="101" t="s">
        <v>5814</v>
      </c>
      <c r="F1432" cm="1">
        <f t="array" aca="1" ref="F1432" ca="1">INDIRECT("'" &amp; A1432 &amp; "'!" &amp; B1432)</f>
        <v>0</v>
      </c>
      <c r="G1432" cm="1">
        <f t="array" aca="1" ref="G1432" ca="1">INDIRECT("'" &amp; A1432 &amp; "'!" &amp; ADDRESS(1, COLUMN(INDIRECT("'" &amp; A1432 &amp; "'!" &amp; B1432))))</f>
        <v>2020</v>
      </c>
      <c r="H1432" t="e">
        <f ca="1">VLOOKUP($G1432, survey_codes_dict!A:C, 2, FALSE)</f>
        <v>#N/A</v>
      </c>
      <c r="I1432" s="102" t="e">
        <f ca="1">VLOOKUP($G1432, survey_codes_dict!A:D, 4, FALSE)</f>
        <v>#N/A</v>
      </c>
      <c r="J1432" s="102" t="e">
        <f t="shared" ca="1" si="44"/>
        <v>#N/A</v>
      </c>
      <c r="K1432" s="102" t="e">
        <f t="shared" ca="1" si="45"/>
        <v>#N/A</v>
      </c>
      <c r="L1432" s="102"/>
      <c r="M1432" s="102"/>
      <c r="N1432" s="102"/>
      <c r="O1432" s="102"/>
      <c r="P1432" s="102"/>
      <c r="Q1432" s="102"/>
      <c r="R1432" s="102"/>
      <c r="S1432" s="102"/>
    </row>
    <row r="1433" spans="1:19" ht="72" x14ac:dyDescent="0.3">
      <c r="A1433" t="s">
        <v>5503</v>
      </c>
      <c r="B1433" t="s">
        <v>3603</v>
      </c>
      <c r="C1433" s="90" t="s">
        <v>5511</v>
      </c>
      <c r="D1433" t="s">
        <v>5562</v>
      </c>
      <c r="E1433" s="101" t="s">
        <v>6619</v>
      </c>
      <c r="F1433" t="str" cm="1">
        <f t="array" aca="1" ref="F1433" ca="1">INDIRECT("'" &amp; A1433 &amp; "'!" &amp; B1433)</f>
        <v>באיזו מידה אתה מרגיש שהמערכת הפוליטית מייצגת אותך?</v>
      </c>
      <c r="G1433" t="str" cm="1">
        <f t="array" aca="1" ref="G1433" ca="1">INDIRECT("'" &amp; A1433 &amp; "'!" &amp; ADDRESS(1, COLUMN(INDIRECT("'" &amp; A1433 &amp; "'!" &amp; B1433))))</f>
        <v>שאלה</v>
      </c>
      <c r="H1433" t="e">
        <f ca="1">VLOOKUP($G1433, survey_codes_dict!A:C, 2, FALSE)</f>
        <v>#N/A</v>
      </c>
      <c r="I1433" s="102" t="e">
        <f ca="1">VLOOKUP($G1433, survey_codes_dict!A:D, 4, FALSE)</f>
        <v>#N/A</v>
      </c>
      <c r="J1433" s="102" t="e">
        <f t="shared" ca="1" si="44"/>
        <v>#N/A</v>
      </c>
      <c r="K1433" s="102" t="e">
        <f t="shared" ca="1" si="45"/>
        <v>#N/A</v>
      </c>
      <c r="L1433" s="102"/>
      <c r="M1433" s="102"/>
      <c r="N1433" s="102"/>
      <c r="O1433" s="102"/>
      <c r="P1433" s="102"/>
      <c r="Q1433" s="102"/>
      <c r="R1433" s="102"/>
      <c r="S1433" s="102"/>
    </row>
    <row r="1434" spans="1:19" ht="100.8" x14ac:dyDescent="0.3">
      <c r="A1434" t="s">
        <v>5503</v>
      </c>
      <c r="B1434" t="s">
        <v>3341</v>
      </c>
      <c r="C1434" s="90" t="s">
        <v>5512</v>
      </c>
      <c r="D1434" t="s">
        <v>5562</v>
      </c>
      <c r="E1434" s="101" t="s">
        <v>6620</v>
      </c>
      <c r="F1434" cm="1">
        <f t="array" aca="1" ref="F1434" ca="1">INDIRECT("'" &amp; A1434 &amp; "'!" &amp; B1434)</f>
        <v>0</v>
      </c>
      <c r="G1434" cm="1">
        <f t="array" aca="1" ref="G1434" ca="1">INDIRECT("'" &amp; A1434 &amp; "'!" &amp; ADDRESS(1, COLUMN(INDIRECT("'" &amp; A1434 &amp; "'!" &amp; B1434))))</f>
        <v>2020</v>
      </c>
      <c r="H1434" t="e">
        <f ca="1">VLOOKUP($G1434, survey_codes_dict!A:C, 2, FALSE)</f>
        <v>#N/A</v>
      </c>
      <c r="I1434" s="102" t="e">
        <f ca="1">VLOOKUP($G1434, survey_codes_dict!A:D, 4, FALSE)</f>
        <v>#N/A</v>
      </c>
      <c r="J1434" s="102" t="e">
        <f t="shared" ca="1" si="44"/>
        <v>#N/A</v>
      </c>
      <c r="K1434" s="102" t="e">
        <f t="shared" ca="1" si="45"/>
        <v>#N/A</v>
      </c>
      <c r="L1434" s="102"/>
      <c r="M1434" s="102"/>
      <c r="N1434" s="102"/>
      <c r="O1434" s="102"/>
      <c r="P1434" s="102"/>
      <c r="Q1434" s="102"/>
      <c r="R1434" s="102"/>
      <c r="S1434" s="102"/>
    </row>
    <row r="1435" spans="1:19" ht="72" x14ac:dyDescent="0.3">
      <c r="A1435" t="s">
        <v>5503</v>
      </c>
      <c r="B1435" t="s">
        <v>5513</v>
      </c>
      <c r="C1435" s="90" t="s">
        <v>3877</v>
      </c>
      <c r="D1435" t="s">
        <v>5562</v>
      </c>
      <c r="E1435" s="101" t="s">
        <v>5910</v>
      </c>
      <c r="F1435" t="str" cm="1">
        <f t="array" aca="1" ref="F1435" ca="1">INDIRECT("'" &amp; A1435 &amp; "'!" &amp; B1435)</f>
        <v>v24</v>
      </c>
      <c r="G1435" cm="1">
        <f t="array" aca="1" ref="G1435" ca="1">INDIRECT("'" &amp; A1435 &amp; "'!" &amp; ADDRESS(1, COLUMN(INDIRECT("'" &amp; A1435 &amp; "'!" &amp; B1435))))</f>
        <v>43556</v>
      </c>
      <c r="H1435" t="e">
        <f ca="1">VLOOKUP($G1435, survey_codes_dict!A:C, 2, FALSE)</f>
        <v>#N/A</v>
      </c>
      <c r="I1435" s="102" t="e">
        <f ca="1">VLOOKUP($G1435, survey_codes_dict!A:D, 4, FALSE)</f>
        <v>#N/A</v>
      </c>
      <c r="J1435" s="102" t="e">
        <f t="shared" ca="1" si="44"/>
        <v>#N/A</v>
      </c>
      <c r="K1435" s="102" t="e">
        <f t="shared" ca="1" si="45"/>
        <v>#N/A</v>
      </c>
      <c r="L1435" s="102"/>
      <c r="M1435" s="102"/>
      <c r="N1435" s="102"/>
      <c r="O1435" s="102"/>
      <c r="P1435" s="102"/>
      <c r="Q1435" s="102"/>
      <c r="R1435" s="102"/>
      <c r="S1435" s="101"/>
    </row>
    <row r="1436" spans="1:19" ht="86.4" x14ac:dyDescent="0.3">
      <c r="A1436" t="s">
        <v>5503</v>
      </c>
      <c r="B1436" t="s">
        <v>5514</v>
      </c>
      <c r="C1436" s="90" t="s">
        <v>5304</v>
      </c>
      <c r="D1436" t="s">
        <v>5562</v>
      </c>
      <c r="E1436" s="101" t="s">
        <v>6515</v>
      </c>
      <c r="F1436" t="str" cm="1">
        <f t="array" aca="1" ref="F1436" ca="1">INDIRECT("'" &amp; A1436 &amp; "'!" &amp; B1436)</f>
        <v>c4</v>
      </c>
      <c r="G1436" t="str" cm="1">
        <f t="array" aca="1" ref="G1436" ca="1">INDIRECT("'" &amp; A1436 &amp; "'!" &amp; ADDRESS(1, COLUMN(INDIRECT("'" &amp; A1436 &amp; "'!" &amp; B1436))))</f>
        <v>1988*</v>
      </c>
      <c r="H1436" t="str">
        <f ca="1">VLOOKUP($G1436, survey_codes_dict!A:C, 2, FALSE)</f>
        <v>1988_N=873</v>
      </c>
      <c r="I1436" s="102" t="str">
        <f ca="1">VLOOKUP($G1436, survey_codes_dict!A:D, 4, FALSE)</f>
        <v>1988_Panel_N=416</v>
      </c>
      <c r="J1436" s="102" t="str">
        <f t="shared" ca="1" si="44"/>
        <v>1988_N=873__c4</v>
      </c>
      <c r="K1436" s="102" t="str">
        <f t="shared" ca="1" si="45"/>
        <v>1988_Panel_N=416__c4</v>
      </c>
      <c r="L1436" s="102"/>
      <c r="M1436" s="102"/>
      <c r="N1436" s="102"/>
      <c r="O1436" s="102"/>
      <c r="P1436" s="102"/>
      <c r="Q1436" s="102"/>
      <c r="R1436" s="102"/>
      <c r="S1436" s="101"/>
    </row>
    <row r="1437" spans="1:19" ht="72" x14ac:dyDescent="0.3">
      <c r="A1437" t="s">
        <v>5503</v>
      </c>
      <c r="B1437" t="s">
        <v>5515</v>
      </c>
      <c r="C1437" s="90" t="s">
        <v>5516</v>
      </c>
      <c r="D1437" t="s">
        <v>5562</v>
      </c>
      <c r="E1437" s="101" t="s">
        <v>6621</v>
      </c>
      <c r="F1437" t="str" cm="1">
        <f t="array" aca="1" ref="F1437" ca="1">INDIRECT("'" &amp; A1437 &amp; "'!" &amp; B1437)</f>
        <v>v92</v>
      </c>
      <c r="G1437" t="str" cm="1">
        <f t="array" aca="1" ref="G1437" ca="1">INDIRECT("'" &amp; A1437 &amp; "'!" &amp; ADDRESS(1, COLUMN(INDIRECT("'" &amp; A1437 &amp; "'!" &amp; B1437))))</f>
        <v>1981 - 1</v>
      </c>
      <c r="H1437" t="str">
        <f ca="1">VLOOKUP($G1437, survey_codes_dict!A:C, 2, FALSE)</f>
        <v>1981_1</v>
      </c>
      <c r="I1437" s="102" t="str">
        <f ca="1">VLOOKUP($G1437, survey_codes_dict!A:D, 4, FALSE)</f>
        <v>1977_4</v>
      </c>
      <c r="J1437" s="102" t="str">
        <f t="shared" ca="1" si="44"/>
        <v>1981_1__v92</v>
      </c>
      <c r="K1437" s="102" t="str">
        <f t="shared" ca="1" si="45"/>
        <v>1977_4__v92</v>
      </c>
      <c r="L1437" s="102"/>
      <c r="M1437" s="102"/>
      <c r="N1437" s="102"/>
      <c r="O1437" s="102"/>
      <c r="P1437" s="102"/>
      <c r="Q1437" s="102"/>
      <c r="R1437" s="102"/>
      <c r="S1437" s="101"/>
    </row>
    <row r="1438" spans="1:19" ht="72" x14ac:dyDescent="0.3">
      <c r="A1438" t="s">
        <v>5503</v>
      </c>
      <c r="B1438" t="s">
        <v>5517</v>
      </c>
      <c r="C1438" s="90" t="s">
        <v>5518</v>
      </c>
      <c r="D1438" t="s">
        <v>5562</v>
      </c>
      <c r="E1438" s="101" t="s">
        <v>6622</v>
      </c>
      <c r="F1438" t="str" cm="1">
        <f t="array" aca="1" ref="F1438" ca="1">INDIRECT("'" &amp; A1438 &amp; "'!" &amp; B1438)</f>
        <v>b16</v>
      </c>
      <c r="G1438" t="str" cm="1">
        <f t="array" aca="1" ref="G1438" ca="1">INDIRECT("'" &amp; A1438 &amp; "'!" &amp; ADDRESS(1, COLUMN(INDIRECT("'" &amp; A1438 &amp; "'!" &amp; B1438))))</f>
        <v>1969 - 2</v>
      </c>
      <c r="H1438" t="str">
        <f ca="1">VLOOKUP($G1438, survey_codes_dict!A:C, 2, FALSE)</f>
        <v>1969_2</v>
      </c>
      <c r="I1438" s="102" t="str">
        <f ca="1">VLOOKUP($G1438, survey_codes_dict!A:D, 4, FALSE)</f>
        <v>1969_1</v>
      </c>
      <c r="J1438" s="102" t="str">
        <f t="shared" ca="1" si="44"/>
        <v>1969_2__b16</v>
      </c>
      <c r="K1438" s="102" t="str">
        <f t="shared" ca="1" si="45"/>
        <v>1969_1__b16</v>
      </c>
      <c r="L1438" s="102"/>
      <c r="M1438" s="102"/>
      <c r="N1438" s="102"/>
      <c r="O1438" s="102"/>
      <c r="P1438" s="102"/>
      <c r="Q1438" s="102"/>
      <c r="R1438" s="102"/>
      <c r="S1438" s="101"/>
    </row>
    <row r="1439" spans="1:19" ht="28.8" x14ac:dyDescent="0.3">
      <c r="A1439" t="s">
        <v>5503</v>
      </c>
      <c r="B1439" t="s">
        <v>5519</v>
      </c>
      <c r="C1439" s="90" t="s">
        <v>5520</v>
      </c>
      <c r="D1439" t="s">
        <v>5661</v>
      </c>
      <c r="E1439" s="101" t="s">
        <v>5655</v>
      </c>
      <c r="F1439" t="str" cm="1">
        <f t="array" aca="1" ref="F1439" ca="1">INDIRECT("'" &amp; A1439 &amp; "'!" &amp; B1439)</f>
        <v>v75</v>
      </c>
      <c r="G1439" cm="1">
        <f t="array" aca="1" ref="G1439" ca="1">INDIRECT("'" &amp; A1439 &amp; "'!" &amp; ADDRESS(1, COLUMN(INDIRECT("'" &amp; A1439 &amp; "'!" &amp; B1439))))</f>
        <v>43556</v>
      </c>
      <c r="H1439" t="e">
        <f ca="1">VLOOKUP($G1439, survey_codes_dict!A:C, 2, FALSE)</f>
        <v>#N/A</v>
      </c>
      <c r="I1439" s="102" t="e">
        <f ca="1">VLOOKUP($G1439, survey_codes_dict!A:D, 4, FALSE)</f>
        <v>#N/A</v>
      </c>
      <c r="J1439" s="102" t="e">
        <f t="shared" ca="1" si="44"/>
        <v>#N/A</v>
      </c>
      <c r="K1439" s="102" t="e">
        <f t="shared" ca="1" si="45"/>
        <v>#N/A</v>
      </c>
      <c r="L1439" s="102"/>
      <c r="M1439" s="102"/>
      <c r="N1439" s="102"/>
      <c r="O1439" s="102"/>
      <c r="P1439" s="102"/>
      <c r="Q1439" s="102"/>
      <c r="R1439" s="102"/>
      <c r="S1439" s="101"/>
    </row>
    <row r="1440" spans="1:19" ht="57.6" x14ac:dyDescent="0.3">
      <c r="A1440" t="s">
        <v>5503</v>
      </c>
      <c r="B1440" t="s">
        <v>3347</v>
      </c>
      <c r="C1440" s="90" t="s">
        <v>5521</v>
      </c>
      <c r="D1440" t="s">
        <v>5562</v>
      </c>
      <c r="E1440" s="101" t="s">
        <v>6623</v>
      </c>
      <c r="F1440" t="str" cm="1">
        <f t="array" aca="1" ref="F1440" ca="1">INDIRECT("'" &amp; A1440 &amp; "'!" &amp; B1440)</f>
        <v>באיזו מידה אתה מסכים או לא מסכים עם המשפטים הבאים לגבי הממשלה: חברי הממשלה מגיעים מכל חלקי החברה</v>
      </c>
      <c r="G1440" t="str" cm="1">
        <f t="array" aca="1" ref="G1440" ca="1">INDIRECT("'" &amp; A1440 &amp; "'!" &amp; ADDRESS(1, COLUMN(INDIRECT("'" &amp; A1440 &amp; "'!" &amp; B1440))))</f>
        <v>שאלה</v>
      </c>
      <c r="H1440" t="e">
        <f ca="1">VLOOKUP($G1440, survey_codes_dict!A:C, 2, FALSE)</f>
        <v>#N/A</v>
      </c>
      <c r="I1440" s="102" t="e">
        <f ca="1">VLOOKUP($G1440, survey_codes_dict!A:D, 4, FALSE)</f>
        <v>#N/A</v>
      </c>
      <c r="J1440" s="102" t="e">
        <f t="shared" ca="1" si="44"/>
        <v>#N/A</v>
      </c>
      <c r="K1440" s="102" t="e">
        <f t="shared" ca="1" si="45"/>
        <v>#N/A</v>
      </c>
      <c r="L1440" s="102"/>
      <c r="M1440" s="102"/>
      <c r="N1440" s="102"/>
      <c r="O1440" s="102"/>
      <c r="P1440" s="102"/>
      <c r="Q1440" s="102"/>
      <c r="R1440" s="102"/>
      <c r="S1440" s="102"/>
    </row>
    <row r="1441" spans="1:19" ht="72" x14ac:dyDescent="0.3">
      <c r="A1441" t="s">
        <v>5503</v>
      </c>
      <c r="B1441" t="s">
        <v>5522</v>
      </c>
      <c r="C1441" s="90" t="s">
        <v>4020</v>
      </c>
      <c r="D1441" t="s">
        <v>5562</v>
      </c>
      <c r="E1441" s="101" t="s">
        <v>5947</v>
      </c>
      <c r="F1441" cm="1">
        <f t="array" aca="1" ref="F1441" ca="1">INDIRECT("'" &amp; A1441 &amp; "'!" &amp; B1441)</f>
        <v>0</v>
      </c>
      <c r="G1441" cm="1">
        <f t="array" aca="1" ref="G1441" ca="1">INDIRECT("'" &amp; A1441 &amp; "'!" &amp; ADDRESS(1, COLUMN(INDIRECT("'" &amp; A1441 &amp; "'!" &amp; B1441))))</f>
        <v>43556</v>
      </c>
      <c r="H1441" t="e">
        <f ca="1">VLOOKUP($G1441, survey_codes_dict!A:C, 2, FALSE)</f>
        <v>#N/A</v>
      </c>
      <c r="I1441" s="102" t="e">
        <f ca="1">VLOOKUP($G1441, survey_codes_dict!A:D, 4, FALSE)</f>
        <v>#N/A</v>
      </c>
      <c r="J1441" s="102" t="e">
        <f t="shared" ca="1" si="44"/>
        <v>#N/A</v>
      </c>
      <c r="K1441" s="102" t="e">
        <f t="shared" ca="1" si="45"/>
        <v>#N/A</v>
      </c>
      <c r="L1441" s="102"/>
      <c r="M1441" s="102"/>
      <c r="N1441" s="102"/>
      <c r="O1441" s="102"/>
      <c r="P1441" s="102"/>
      <c r="Q1441" s="102"/>
      <c r="R1441" s="102"/>
      <c r="S1441" s="102"/>
    </row>
    <row r="1442" spans="1:19" ht="43.2" x14ac:dyDescent="0.3">
      <c r="A1442" t="s">
        <v>5503</v>
      </c>
      <c r="B1442" t="s">
        <v>3981</v>
      </c>
      <c r="C1442" s="90" t="s">
        <v>5523</v>
      </c>
      <c r="D1442" t="s">
        <v>5562</v>
      </c>
      <c r="E1442" s="101" t="s">
        <v>6624</v>
      </c>
      <c r="F1442" t="str" cm="1">
        <f t="array" aca="1" ref="F1442" ca="1">INDIRECT("'" &amp; A1442 &amp; "'!" &amp; B1442)</f>
        <v>אם יכולת לבחור פוליטיקאי אחד שייצג אותך בכנסת, מה מתוך רשימת המאפיינים הבאה היה חשוב לך ביותר?</v>
      </c>
      <c r="G1442" t="str" cm="1">
        <f t="array" aca="1" ref="G1442" ca="1">INDIRECT("'" &amp; A1442 &amp; "'!" &amp; ADDRESS(1, COLUMN(INDIRECT("'" &amp; A1442 &amp; "'!" &amp; B1442))))</f>
        <v>שאלה</v>
      </c>
      <c r="H1442" t="e">
        <f ca="1">VLOOKUP($G1442, survey_codes_dict!A:C, 2, FALSE)</f>
        <v>#N/A</v>
      </c>
      <c r="I1442" s="102" t="e">
        <f ca="1">VLOOKUP($G1442, survey_codes_dict!A:D, 4, FALSE)</f>
        <v>#N/A</v>
      </c>
      <c r="J1442" s="102" t="e">
        <f t="shared" ca="1" si="44"/>
        <v>#N/A</v>
      </c>
      <c r="K1442" s="102" t="e">
        <f t="shared" ca="1" si="45"/>
        <v>#N/A</v>
      </c>
      <c r="L1442" s="102"/>
      <c r="M1442" s="102"/>
      <c r="N1442" s="102"/>
      <c r="O1442" s="102"/>
      <c r="P1442" s="102"/>
      <c r="Q1442" s="102"/>
      <c r="R1442" s="102"/>
      <c r="S1442" s="102"/>
    </row>
    <row r="1443" spans="1:19" ht="216" x14ac:dyDescent="0.3">
      <c r="A1443" t="s">
        <v>5503</v>
      </c>
      <c r="B1443" t="s">
        <v>4290</v>
      </c>
      <c r="C1443" s="90" t="s">
        <v>5524</v>
      </c>
      <c r="D1443" t="s">
        <v>5562</v>
      </c>
      <c r="E1443" s="101" t="s">
        <v>6625</v>
      </c>
      <c r="F1443" cm="1">
        <f t="array" aca="1" ref="F1443" ca="1">INDIRECT("'" &amp; A1443 &amp; "'!" &amp; B1443)</f>
        <v>0</v>
      </c>
      <c r="G1443" cm="1">
        <f t="array" aca="1" ref="G1443" ca="1">INDIRECT("'" &amp; A1443 &amp; "'!" &amp; ADDRESS(1, COLUMN(INDIRECT("'" &amp; A1443 &amp; "'!" &amp; B1443))))</f>
        <v>43556</v>
      </c>
      <c r="H1443" t="e">
        <f ca="1">VLOOKUP($G1443, survey_codes_dict!A:C, 2, FALSE)</f>
        <v>#N/A</v>
      </c>
      <c r="I1443" s="102" t="e">
        <f ca="1">VLOOKUP($G1443, survey_codes_dict!A:D, 4, FALSE)</f>
        <v>#N/A</v>
      </c>
      <c r="J1443" s="102" t="e">
        <f t="shared" ca="1" si="44"/>
        <v>#N/A</v>
      </c>
      <c r="K1443" s="102" t="e">
        <f t="shared" ca="1" si="45"/>
        <v>#N/A</v>
      </c>
      <c r="L1443" s="102"/>
      <c r="M1443" s="102"/>
      <c r="N1443" s="102"/>
      <c r="O1443" s="102"/>
      <c r="P1443" s="102"/>
      <c r="Q1443" s="102"/>
      <c r="R1443" s="102"/>
      <c r="S1443" s="102"/>
    </row>
    <row r="1444" spans="1:19" ht="72" x14ac:dyDescent="0.3">
      <c r="A1444" t="s">
        <v>5503</v>
      </c>
      <c r="B1444" t="s">
        <v>5525</v>
      </c>
      <c r="C1444" s="90" t="s">
        <v>5003</v>
      </c>
      <c r="D1444" t="s">
        <v>5562</v>
      </c>
      <c r="E1444" s="101" t="s">
        <v>6362</v>
      </c>
      <c r="F1444" t="str" cm="1">
        <f t="array" aca="1" ref="F1444" ca="1">INDIRECT("'" &amp; A1444 &amp; "'!" &amp; B1444)</f>
        <v>v35</v>
      </c>
      <c r="G1444" cm="1">
        <f t="array" aca="1" ref="G1444" ca="1">INDIRECT("'" &amp; A1444 &amp; "'!" &amp; ADDRESS(1, COLUMN(INDIRECT("'" &amp; A1444 &amp; "'!" &amp; B1444))))</f>
        <v>2015</v>
      </c>
      <c r="H1444" t="e">
        <f ca="1">VLOOKUP($G1444, survey_codes_dict!A:C, 2, FALSE)</f>
        <v>#N/A</v>
      </c>
      <c r="I1444" s="102" t="e">
        <f ca="1">VLOOKUP($G1444, survey_codes_dict!A:D, 4, FALSE)</f>
        <v>#N/A</v>
      </c>
      <c r="J1444" s="102" t="e">
        <f t="shared" ca="1" si="44"/>
        <v>#N/A</v>
      </c>
      <c r="K1444" s="102" t="e">
        <f t="shared" ca="1" si="45"/>
        <v>#N/A</v>
      </c>
      <c r="L1444" s="102"/>
      <c r="M1444" s="102"/>
      <c r="N1444" s="102"/>
      <c r="O1444" s="102"/>
      <c r="P1444" s="102"/>
      <c r="Q1444" s="102"/>
      <c r="R1444" s="102"/>
      <c r="S1444" s="101"/>
    </row>
    <row r="1445" spans="1:19" ht="72" x14ac:dyDescent="0.3">
      <c r="A1445" t="s">
        <v>5503</v>
      </c>
      <c r="B1445" t="s">
        <v>3984</v>
      </c>
      <c r="C1445" s="90" t="s">
        <v>5526</v>
      </c>
      <c r="D1445" t="s">
        <v>5562</v>
      </c>
      <c r="E1445" s="101" t="s">
        <v>6626</v>
      </c>
      <c r="F1445" t="str" cm="1">
        <f t="array" aca="1" ref="F1445" ca="1">INDIRECT("'" &amp; A1445 &amp; "'!" &amp; B1445)</f>
        <v>באיזו מידה אתה מסכים או לא מסכים עם המשפטים הבאים: פוליטיקאים מבטיחים במערכת הבחירות דברים שאין להם שום כוונה לקיים</v>
      </c>
      <c r="G1445" t="str" cm="1">
        <f t="array" aca="1" ref="G1445" ca="1">INDIRECT("'" &amp; A1445 &amp; "'!" &amp; ADDRESS(1, COLUMN(INDIRECT("'" &amp; A1445 &amp; "'!" &amp; B1445))))</f>
        <v>שאלה</v>
      </c>
      <c r="H1445" t="e">
        <f ca="1">VLOOKUP($G1445, survey_codes_dict!A:C, 2, FALSE)</f>
        <v>#N/A</v>
      </c>
      <c r="I1445" s="102" t="e">
        <f ca="1">VLOOKUP($G1445, survey_codes_dict!A:D, 4, FALSE)</f>
        <v>#N/A</v>
      </c>
      <c r="J1445" s="102" t="e">
        <f t="shared" ca="1" si="44"/>
        <v>#N/A</v>
      </c>
      <c r="K1445" s="102" t="e">
        <f t="shared" ca="1" si="45"/>
        <v>#N/A</v>
      </c>
      <c r="L1445" s="102"/>
      <c r="M1445" s="102"/>
      <c r="N1445" s="102"/>
      <c r="O1445" s="102"/>
      <c r="P1445" s="102"/>
      <c r="Q1445" s="102"/>
      <c r="R1445" s="102"/>
      <c r="S1445" s="102"/>
    </row>
    <row r="1446" spans="1:19" ht="72" x14ac:dyDescent="0.3">
      <c r="A1446" t="s">
        <v>5503</v>
      </c>
      <c r="B1446" t="s">
        <v>5527</v>
      </c>
      <c r="C1446" s="90" t="s">
        <v>4020</v>
      </c>
      <c r="D1446" t="s">
        <v>5562</v>
      </c>
      <c r="E1446" s="101" t="s">
        <v>5947</v>
      </c>
      <c r="F1446" cm="1">
        <f t="array" aca="1" ref="F1446" ca="1">INDIRECT("'" &amp; A1446 &amp; "'!" &amp; B1446)</f>
        <v>0</v>
      </c>
      <c r="G1446" cm="1">
        <f t="array" aca="1" ref="G1446" ca="1">INDIRECT("'" &amp; A1446 &amp; "'!" &amp; ADDRESS(1, COLUMN(INDIRECT("'" &amp; A1446 &amp; "'!" &amp; B1446))))</f>
        <v>2020</v>
      </c>
      <c r="H1446" t="e">
        <f ca="1">VLOOKUP($G1446, survey_codes_dict!A:C, 2, FALSE)</f>
        <v>#N/A</v>
      </c>
      <c r="I1446" s="102" t="e">
        <f ca="1">VLOOKUP($G1446, survey_codes_dict!A:D, 4, FALSE)</f>
        <v>#N/A</v>
      </c>
      <c r="J1446" s="102" t="e">
        <f t="shared" ca="1" si="44"/>
        <v>#N/A</v>
      </c>
      <c r="K1446" s="102" t="e">
        <f t="shared" ca="1" si="45"/>
        <v>#N/A</v>
      </c>
      <c r="L1446" s="102"/>
      <c r="M1446" s="102"/>
      <c r="N1446" s="102"/>
      <c r="O1446" s="102"/>
      <c r="P1446" s="102"/>
      <c r="Q1446" s="102"/>
      <c r="R1446" s="102"/>
      <c r="S1446" s="102"/>
    </row>
    <row r="1447" spans="1:19" ht="28.8" x14ac:dyDescent="0.3">
      <c r="A1447" t="s">
        <v>5503</v>
      </c>
      <c r="B1447" t="s">
        <v>5528</v>
      </c>
      <c r="C1447" s="90" t="s">
        <v>3989</v>
      </c>
      <c r="D1447" t="s">
        <v>399</v>
      </c>
      <c r="E1447" s="101" t="s">
        <v>5592</v>
      </c>
      <c r="F1447" t="str" cm="1">
        <f t="array" aca="1" ref="F1447" ca="1">INDIRECT("'" &amp; A1447 &amp; "'!" &amp; B1447)</f>
        <v>יש אנשים שאומרים שלא חושב עבור מי מצביעים כי זה לא משנה את המצב. מה דעתך?</v>
      </c>
      <c r="G1447" t="str" cm="1">
        <f t="array" aca="1" ref="G1447" ca="1">INDIRECT("'" &amp; A1447 &amp; "'!" &amp; ADDRESS(1, COLUMN(INDIRECT("'" &amp; A1447 &amp; "'!" &amp; B1447))))</f>
        <v>שאלה</v>
      </c>
      <c r="H1447" t="e">
        <f ca="1">VLOOKUP($G1447, survey_codes_dict!A:C, 2, FALSE)</f>
        <v>#N/A</v>
      </c>
      <c r="I1447" s="102" t="e">
        <f ca="1">VLOOKUP($G1447, survey_codes_dict!A:D, 4, FALSE)</f>
        <v>#N/A</v>
      </c>
      <c r="J1447" s="102" t="e">
        <f t="shared" ca="1" si="44"/>
        <v>#N/A</v>
      </c>
      <c r="K1447" s="102" t="e">
        <f t="shared" ca="1" si="45"/>
        <v>#N/A</v>
      </c>
      <c r="L1447" s="102"/>
      <c r="M1447" s="102"/>
      <c r="N1447" s="102"/>
      <c r="O1447" s="102"/>
      <c r="P1447" s="102"/>
      <c r="Q1447" s="102"/>
      <c r="R1447" s="102"/>
      <c r="S1447" s="102"/>
    </row>
    <row r="1448" spans="1:19" ht="57.6" x14ac:dyDescent="0.3">
      <c r="A1448" t="s">
        <v>5503</v>
      </c>
      <c r="B1448" t="s">
        <v>5529</v>
      </c>
      <c r="C1448" s="90" t="s">
        <v>5530</v>
      </c>
      <c r="D1448" t="s">
        <v>5562</v>
      </c>
      <c r="E1448" s="101" t="s">
        <v>6627</v>
      </c>
      <c r="F1448" t="str" cm="1">
        <f t="array" aca="1" ref="F1448" ca="1">INDIRECT("'" &amp; A1448 &amp; "'!" &amp; B1448)</f>
        <v>a75</v>
      </c>
      <c r="G1448" cm="1">
        <f t="array" aca="1" ref="G1448" ca="1">INDIRECT("'" &amp; A1448 &amp; "'!" &amp; ADDRESS(1, COLUMN(INDIRECT("'" &amp; A1448 &amp; "'!" &amp; B1448))))</f>
        <v>2001</v>
      </c>
      <c r="H1448" t="str">
        <f ca="1">VLOOKUP($G1448, survey_codes_dict!A:C, 2, FALSE)</f>
        <v>2001</v>
      </c>
      <c r="I1448" s="102" t="str">
        <f ca="1">VLOOKUP($G1448, survey_codes_dict!A:D, 4, FALSE)</f>
        <v>1999_1</v>
      </c>
      <c r="J1448" s="102" t="str">
        <f t="shared" ca="1" si="44"/>
        <v>2001__a75</v>
      </c>
      <c r="K1448" s="102" t="str">
        <f t="shared" ca="1" si="45"/>
        <v>1999_1__a75</v>
      </c>
      <c r="L1448" s="102"/>
      <c r="M1448" s="102"/>
      <c r="N1448" s="102"/>
      <c r="O1448" s="102"/>
      <c r="P1448" s="102"/>
      <c r="Q1448" s="102"/>
      <c r="R1448" s="102"/>
      <c r="S1448" s="101"/>
    </row>
    <row r="1449" spans="1:19" ht="57.6" x14ac:dyDescent="0.3">
      <c r="A1449" t="s">
        <v>5503</v>
      </c>
      <c r="B1449" t="s">
        <v>3915</v>
      </c>
      <c r="C1449" s="90" t="s">
        <v>5531</v>
      </c>
      <c r="D1449" t="s">
        <v>5562</v>
      </c>
      <c r="E1449" s="101" t="s">
        <v>6628</v>
      </c>
      <c r="F1449" t="str" cm="1">
        <f t="array" aca="1" ref="F1449" ca="1">INDIRECT("'" &amp; A1449 &amp; "'!" &amp; B1449)</f>
        <v>q21</v>
      </c>
      <c r="G1449" cm="1">
        <f t="array" aca="1" ref="G1449" ca="1">INDIRECT("'" &amp; A1449 &amp; "'!" &amp; ADDRESS(1, COLUMN(INDIRECT("'" &amp; A1449 &amp; "'!" &amp; B1449))))</f>
        <v>2009</v>
      </c>
      <c r="H1449" t="e">
        <f ca="1">VLOOKUP($G1449, survey_codes_dict!A:C, 2, FALSE)</f>
        <v>#N/A</v>
      </c>
      <c r="I1449" s="102" t="e">
        <f ca="1">VLOOKUP($G1449, survey_codes_dict!A:D, 4, FALSE)</f>
        <v>#N/A</v>
      </c>
      <c r="J1449" s="102" t="e">
        <f t="shared" ca="1" si="44"/>
        <v>#N/A</v>
      </c>
      <c r="K1449" s="102" t="e">
        <f t="shared" ca="1" si="45"/>
        <v>#N/A</v>
      </c>
      <c r="L1449" s="102"/>
      <c r="M1449" s="102"/>
      <c r="N1449" s="102"/>
      <c r="O1449" s="102"/>
      <c r="P1449" s="102"/>
      <c r="Q1449" s="102"/>
      <c r="R1449" s="102"/>
      <c r="S1449" s="102"/>
    </row>
    <row r="1450" spans="1:19" ht="28.8" x14ac:dyDescent="0.3">
      <c r="A1450" t="s">
        <v>5503</v>
      </c>
      <c r="B1450" t="s">
        <v>5160</v>
      </c>
      <c r="C1450" s="90" t="s">
        <v>3516</v>
      </c>
      <c r="D1450" t="s">
        <v>399</v>
      </c>
      <c r="E1450" s="101" t="s">
        <v>5571</v>
      </c>
      <c r="F1450" t="str" cm="1">
        <f t="array" aca="1" ref="F1450" ca="1">INDIRECT("'" &amp; A1450 &amp; "'!" &amp; B1450)</f>
        <v>האם היית רוצה לראות מפלגה "רוסית" משתתפת בבחירות האלה?</v>
      </c>
      <c r="G1450" t="str" cm="1">
        <f t="array" aca="1" ref="G1450" ca="1">INDIRECT("'" &amp; A1450 &amp; "'!" &amp; ADDRESS(1, COLUMN(INDIRECT("'" &amp; A1450 &amp; "'!" &amp; B1450))))</f>
        <v>שאלה</v>
      </c>
      <c r="H1450" t="e">
        <f ca="1">VLOOKUP($G1450, survey_codes_dict!A:C, 2, FALSE)</f>
        <v>#N/A</v>
      </c>
      <c r="I1450" s="102" t="e">
        <f ca="1">VLOOKUP($G1450, survey_codes_dict!A:D, 4, FALSE)</f>
        <v>#N/A</v>
      </c>
      <c r="J1450" s="102" t="e">
        <f t="shared" ca="1" si="44"/>
        <v>#N/A</v>
      </c>
      <c r="K1450" s="102" t="e">
        <f t="shared" ca="1" si="45"/>
        <v>#N/A</v>
      </c>
      <c r="L1450" s="102"/>
      <c r="M1450" s="102"/>
      <c r="N1450" s="102"/>
      <c r="O1450" s="102"/>
      <c r="P1450" s="102"/>
      <c r="Q1450" s="102"/>
      <c r="R1450" s="102"/>
      <c r="S1450" s="102"/>
    </row>
    <row r="1451" spans="1:19" ht="72" x14ac:dyDescent="0.3">
      <c r="A1451" t="s">
        <v>5503</v>
      </c>
      <c r="B1451" t="s">
        <v>4644</v>
      </c>
      <c r="C1451" s="90" t="s">
        <v>3925</v>
      </c>
      <c r="D1451" t="s">
        <v>5562</v>
      </c>
      <c r="E1451" s="101" t="s">
        <v>5925</v>
      </c>
      <c r="F1451" t="str" cm="1">
        <f t="array" aca="1" ref="F1451" ca="1">INDIRECT("'" &amp; A1451 &amp; "'!" &amp; B1451)</f>
        <v>c68</v>
      </c>
      <c r="G1451" cm="1">
        <f t="array" aca="1" ref="G1451" ca="1">INDIRECT("'" &amp; A1451 &amp; "'!" &amp; ADDRESS(1, COLUMN(INDIRECT("'" &amp; A1451 &amp; "'!" &amp; B1451))))</f>
        <v>2006</v>
      </c>
      <c r="H1451" t="str">
        <f ca="1">VLOOKUP($G1451, survey_codes_dict!A:C, 2, FALSE)</f>
        <v>2006</v>
      </c>
      <c r="I1451" s="102" t="str">
        <f ca="1">VLOOKUP($G1451, survey_codes_dict!A:D, 4, FALSE)</f>
        <v>2003</v>
      </c>
      <c r="J1451" s="102" t="str">
        <f t="shared" ca="1" si="44"/>
        <v>2006__c68</v>
      </c>
      <c r="K1451" s="102" t="str">
        <f t="shared" ca="1" si="45"/>
        <v>2003__c68</v>
      </c>
      <c r="L1451" s="102"/>
      <c r="M1451" s="102"/>
      <c r="N1451" s="102"/>
      <c r="O1451" s="102"/>
      <c r="P1451" s="102"/>
      <c r="Q1451" s="102"/>
      <c r="R1451" s="102"/>
      <c r="S1451" s="101"/>
    </row>
    <row r="1452" spans="1:19" ht="144" x14ac:dyDescent="0.3">
      <c r="A1452" t="s">
        <v>5503</v>
      </c>
      <c r="B1452" t="s">
        <v>5532</v>
      </c>
      <c r="C1452" s="90" t="s">
        <v>5533</v>
      </c>
      <c r="D1452" t="s">
        <v>5562</v>
      </c>
      <c r="E1452" s="101" t="s">
        <v>6629</v>
      </c>
      <c r="F1452" t="str" cm="1">
        <f t="array" aca="1" ref="F1452" ca="1">INDIRECT("'" &amp; A1452 &amp; "'!" &amp; B1452)</f>
        <v>v95</v>
      </c>
      <c r="G1452" t="str" cm="1">
        <f t="array" aca="1" ref="G1452" ca="1">INDIRECT("'" &amp; A1452 &amp; "'!" &amp; ADDRESS(1, COLUMN(INDIRECT("'" &amp; A1452 &amp; "'!" &amp; B1452))))</f>
        <v>1981 - 1</v>
      </c>
      <c r="H1452" t="str">
        <f ca="1">VLOOKUP($G1452, survey_codes_dict!A:C, 2, FALSE)</f>
        <v>1981_1</v>
      </c>
      <c r="I1452" s="102" t="str">
        <f ca="1">VLOOKUP($G1452, survey_codes_dict!A:D, 4, FALSE)</f>
        <v>1977_4</v>
      </c>
      <c r="J1452" s="102" t="str">
        <f t="shared" ca="1" si="44"/>
        <v>1981_1__v95</v>
      </c>
      <c r="K1452" s="102" t="str">
        <f t="shared" ca="1" si="45"/>
        <v>1977_4__v95</v>
      </c>
      <c r="L1452" s="102"/>
      <c r="M1452" s="102"/>
      <c r="N1452" s="102"/>
      <c r="O1452" s="102"/>
      <c r="P1452" s="102"/>
      <c r="Q1452" s="102"/>
      <c r="R1452" s="102"/>
      <c r="S1452" s="101"/>
    </row>
    <row r="1453" spans="1:19" ht="144" x14ac:dyDescent="0.3">
      <c r="A1453" t="s">
        <v>5503</v>
      </c>
      <c r="B1453" t="s">
        <v>5534</v>
      </c>
      <c r="C1453" s="90" t="s">
        <v>5533</v>
      </c>
      <c r="D1453" t="s">
        <v>5562</v>
      </c>
      <c r="E1453" s="101" t="s">
        <v>6629</v>
      </c>
      <c r="F1453" t="str" cm="1">
        <f t="array" aca="1" ref="F1453" ca="1">INDIRECT("'" &amp; A1453 &amp; "'!" &amp; B1453)</f>
        <v>v96</v>
      </c>
      <c r="G1453" t="str" cm="1">
        <f t="array" aca="1" ref="G1453" ca="1">INDIRECT("'" &amp; A1453 &amp; "'!" &amp; ADDRESS(1, COLUMN(INDIRECT("'" &amp; A1453 &amp; "'!" &amp; B1453))))</f>
        <v>1981 - 1</v>
      </c>
      <c r="H1453" t="str">
        <f ca="1">VLOOKUP($G1453, survey_codes_dict!A:C, 2, FALSE)</f>
        <v>1981_1</v>
      </c>
      <c r="I1453" s="102" t="str">
        <f ca="1">VLOOKUP($G1453, survey_codes_dict!A:D, 4, FALSE)</f>
        <v>1977_4</v>
      </c>
      <c r="J1453" s="102" t="str">
        <f t="shared" ca="1" si="44"/>
        <v>1981_1__v96</v>
      </c>
      <c r="K1453" s="102" t="str">
        <f t="shared" ca="1" si="45"/>
        <v>1977_4__v96</v>
      </c>
      <c r="L1453" s="102"/>
      <c r="M1453" s="102"/>
      <c r="N1453" s="102"/>
      <c r="O1453" s="102"/>
      <c r="P1453" s="102"/>
      <c r="Q1453" s="102"/>
      <c r="R1453" s="102"/>
      <c r="S1453" s="101"/>
    </row>
    <row r="1454" spans="1:19" ht="43.2" x14ac:dyDescent="0.3">
      <c r="A1454" t="s">
        <v>5503</v>
      </c>
      <c r="B1454" t="s">
        <v>5535</v>
      </c>
      <c r="C1454" s="90" t="s">
        <v>5536</v>
      </c>
      <c r="D1454" t="s">
        <v>5562</v>
      </c>
      <c r="E1454" s="101" t="s">
        <v>6630</v>
      </c>
      <c r="F1454" t="str" cm="1">
        <f t="array" aca="1" ref="F1454" ca="1">INDIRECT("'" &amp; A1454 &amp; "'!" &amp; B1454)</f>
        <v>מי אתה מרגיש שיצג אותך יותר בשנה האחרונה, המפלגה/פוליטיקאי שהצבעת להם או פוליטיקאים ומפלגות אחרות?</v>
      </c>
      <c r="G1454" t="str" cm="1">
        <f t="array" aca="1" ref="G1454" ca="1">INDIRECT("'" &amp; A1454 &amp; "'!" &amp; ADDRESS(1, COLUMN(INDIRECT("'" &amp; A1454 &amp; "'!" &amp; B1454))))</f>
        <v>שאלה</v>
      </c>
      <c r="H1454" t="e">
        <f ca="1">VLOOKUP($G1454, survey_codes_dict!A:C, 2, FALSE)</f>
        <v>#N/A</v>
      </c>
      <c r="I1454" s="102" t="e">
        <f ca="1">VLOOKUP($G1454, survey_codes_dict!A:D, 4, FALSE)</f>
        <v>#N/A</v>
      </c>
      <c r="J1454" s="102" t="e">
        <f t="shared" ca="1" si="44"/>
        <v>#N/A</v>
      </c>
      <c r="K1454" s="102" t="e">
        <f t="shared" ca="1" si="45"/>
        <v>#N/A</v>
      </c>
      <c r="L1454" s="102"/>
      <c r="M1454" s="102"/>
      <c r="N1454" s="102"/>
      <c r="O1454" s="102"/>
      <c r="P1454" s="102"/>
      <c r="Q1454" s="102"/>
      <c r="R1454" s="102"/>
      <c r="S1454" s="102"/>
    </row>
    <row r="1455" spans="1:19" ht="86.4" x14ac:dyDescent="0.3">
      <c r="A1455" t="s">
        <v>5503</v>
      </c>
      <c r="B1455" t="s">
        <v>3916</v>
      </c>
      <c r="C1455" s="90" t="s">
        <v>5537</v>
      </c>
      <c r="D1455" t="s">
        <v>5562</v>
      </c>
      <c r="E1455" s="101" t="s">
        <v>6631</v>
      </c>
      <c r="F1455" cm="1">
        <f t="array" aca="1" ref="F1455" ca="1">INDIRECT("'" &amp; A1455 &amp; "'!" &amp; B1455)</f>
        <v>0</v>
      </c>
      <c r="G1455" cm="1">
        <f t="array" aca="1" ref="G1455" ca="1">INDIRECT("'" &amp; A1455 &amp; "'!" &amp; ADDRESS(1, COLUMN(INDIRECT("'" &amp; A1455 &amp; "'!" &amp; B1455))))</f>
        <v>2021</v>
      </c>
      <c r="H1455" t="e">
        <f ca="1">VLOOKUP($G1455, survey_codes_dict!A:C, 2, FALSE)</f>
        <v>#N/A</v>
      </c>
      <c r="I1455" s="102" t="e">
        <f ca="1">VLOOKUP($G1455, survey_codes_dict!A:D, 4, FALSE)</f>
        <v>#N/A</v>
      </c>
      <c r="J1455" s="102" t="e">
        <f t="shared" ca="1" si="44"/>
        <v>#N/A</v>
      </c>
      <c r="K1455" s="102" t="e">
        <f t="shared" ca="1" si="45"/>
        <v>#N/A</v>
      </c>
      <c r="L1455" s="102"/>
      <c r="M1455" s="102"/>
      <c r="N1455" s="102"/>
      <c r="O1455" s="102"/>
      <c r="P1455" s="102"/>
      <c r="Q1455" s="102"/>
      <c r="R1455" s="102"/>
      <c r="S1455" s="102"/>
    </row>
    <row r="1456" spans="1:19" ht="43.2" x14ac:dyDescent="0.3">
      <c r="A1456" t="s">
        <v>5503</v>
      </c>
      <c r="B1456" t="s">
        <v>5538</v>
      </c>
      <c r="C1456" s="90" t="s">
        <v>5536</v>
      </c>
      <c r="D1456" t="s">
        <v>5562</v>
      </c>
      <c r="E1456" s="101" t="s">
        <v>6630</v>
      </c>
      <c r="F1456" t="str" cm="1">
        <f t="array" aca="1" ref="F1456" ca="1">INDIRECT("'" &amp; A1456 &amp; "'!" &amp; B1456)</f>
        <v>מי אתה מרגיש שיצג אותך יותר בשנה האחרונה, המפלגות/פוליטיקאים או גופים ואנשים מחוץ למערכת הפוליטית?</v>
      </c>
      <c r="G1456" t="str" cm="1">
        <f t="array" aca="1" ref="G1456" ca="1">INDIRECT("'" &amp; A1456 &amp; "'!" &amp; ADDRESS(1, COLUMN(INDIRECT("'" &amp; A1456 &amp; "'!" &amp; B1456))))</f>
        <v>שאלה</v>
      </c>
      <c r="H1456" t="e">
        <f ca="1">VLOOKUP($G1456, survey_codes_dict!A:C, 2, FALSE)</f>
        <v>#N/A</v>
      </c>
      <c r="I1456" s="102" t="e">
        <f ca="1">VLOOKUP($G1456, survey_codes_dict!A:D, 4, FALSE)</f>
        <v>#N/A</v>
      </c>
      <c r="J1456" s="102" t="e">
        <f t="shared" ca="1" si="44"/>
        <v>#N/A</v>
      </c>
      <c r="K1456" s="102" t="e">
        <f t="shared" ca="1" si="45"/>
        <v>#N/A</v>
      </c>
      <c r="L1456" s="102"/>
      <c r="M1456" s="102"/>
      <c r="N1456" s="102"/>
      <c r="O1456" s="102"/>
      <c r="P1456" s="102"/>
      <c r="Q1456" s="102"/>
      <c r="R1456" s="102"/>
      <c r="S1456" s="102"/>
    </row>
    <row r="1457" spans="1:19" ht="100.8" x14ac:dyDescent="0.3">
      <c r="A1457" t="s">
        <v>5503</v>
      </c>
      <c r="B1457" t="s">
        <v>3988</v>
      </c>
      <c r="C1457" s="90" t="s">
        <v>5539</v>
      </c>
      <c r="D1457" t="s">
        <v>5562</v>
      </c>
      <c r="E1457" s="101" t="s">
        <v>6632</v>
      </c>
      <c r="F1457" cm="1">
        <f t="array" aca="1" ref="F1457" ca="1">INDIRECT("'" &amp; A1457 &amp; "'!" &amp; B1457)</f>
        <v>0</v>
      </c>
      <c r="G1457" cm="1">
        <f t="array" aca="1" ref="G1457" ca="1">INDIRECT("'" &amp; A1457 &amp; "'!" &amp; ADDRESS(1, COLUMN(INDIRECT("'" &amp; A1457 &amp; "'!" &amp; B1457))))</f>
        <v>2021</v>
      </c>
      <c r="H1457" t="e">
        <f ca="1">VLOOKUP($G1457, survey_codes_dict!A:C, 2, FALSE)</f>
        <v>#N/A</v>
      </c>
      <c r="I1457" s="102" t="e">
        <f ca="1">VLOOKUP($G1457, survey_codes_dict!A:D, 4, FALSE)</f>
        <v>#N/A</v>
      </c>
      <c r="J1457" s="102" t="e">
        <f t="shared" ca="1" si="44"/>
        <v>#N/A</v>
      </c>
      <c r="K1457" s="102" t="e">
        <f t="shared" ca="1" si="45"/>
        <v>#N/A</v>
      </c>
      <c r="L1457" s="102"/>
      <c r="M1457" s="102"/>
      <c r="N1457" s="102"/>
      <c r="O1457" s="102"/>
      <c r="P1457" s="102"/>
      <c r="Q1457" s="102"/>
      <c r="R1457" s="102"/>
      <c r="S1457" s="102"/>
    </row>
    <row r="1458" spans="1:19" ht="57.6" x14ac:dyDescent="0.3">
      <c r="A1458" t="s">
        <v>5503</v>
      </c>
      <c r="B1458" t="s">
        <v>5540</v>
      </c>
      <c r="C1458" s="90" t="s">
        <v>5541</v>
      </c>
      <c r="D1458" t="s">
        <v>5562</v>
      </c>
      <c r="E1458" s="101" t="s">
        <v>6633</v>
      </c>
      <c r="F1458" t="str" cm="1">
        <f t="array" aca="1" ref="F1458" ca="1">INDIRECT("'" &amp; A1458 &amp; "'!" &amp; B1458)</f>
        <v>אילו גופים ואנשים מחוץ למערכת הפוליטית יצגו אותך?</v>
      </c>
      <c r="G1458" t="str" cm="1">
        <f t="array" aca="1" ref="G1458" ca="1">INDIRECT("'" &amp; A1458 &amp; "'!" &amp; ADDRESS(1, COLUMN(INDIRECT("'" &amp; A1458 &amp; "'!" &amp; B1458))))</f>
        <v>שאלה</v>
      </c>
      <c r="H1458" t="e">
        <f ca="1">VLOOKUP($G1458, survey_codes_dict!A:C, 2, FALSE)</f>
        <v>#N/A</v>
      </c>
      <c r="I1458" s="102" t="e">
        <f ca="1">VLOOKUP($G1458, survey_codes_dict!A:D, 4, FALSE)</f>
        <v>#N/A</v>
      </c>
      <c r="J1458" s="102" t="e">
        <f t="shared" ca="1" si="44"/>
        <v>#N/A</v>
      </c>
      <c r="K1458" s="102" t="e">
        <f t="shared" ca="1" si="45"/>
        <v>#N/A</v>
      </c>
      <c r="L1458" s="102"/>
      <c r="M1458" s="102"/>
      <c r="N1458" s="102"/>
      <c r="O1458" s="102"/>
      <c r="P1458" s="102"/>
      <c r="Q1458" s="102"/>
      <c r="R1458" s="102"/>
      <c r="S1458" s="102"/>
    </row>
    <row r="1459" spans="1:19" ht="28.8" x14ac:dyDescent="0.3">
      <c r="A1459" t="s">
        <v>5503</v>
      </c>
      <c r="B1459" t="s">
        <v>5542</v>
      </c>
      <c r="C1459" s="90" t="s">
        <v>3348</v>
      </c>
      <c r="D1459" t="s">
        <v>5675</v>
      </c>
      <c r="E1459" s="101" t="s">
        <v>5566</v>
      </c>
      <c r="F1459" cm="1">
        <f t="array" aca="1" ref="F1459" ca="1">INDIRECT("'" &amp; A1459 &amp; "'!" &amp; B1459)</f>
        <v>0</v>
      </c>
      <c r="G1459" cm="1">
        <f t="array" aca="1" ref="G1459" ca="1">INDIRECT("'" &amp; A1459 &amp; "'!" &amp; ADDRESS(1, COLUMN(INDIRECT("'" &amp; A1459 &amp; "'!" &amp; B1459))))</f>
        <v>2021</v>
      </c>
      <c r="H1459" t="e">
        <f ca="1">VLOOKUP($G1459, survey_codes_dict!A:C, 2, FALSE)</f>
        <v>#N/A</v>
      </c>
      <c r="I1459" s="102" t="e">
        <f ca="1">VLOOKUP($G1459, survey_codes_dict!A:D, 4, FALSE)</f>
        <v>#N/A</v>
      </c>
      <c r="J1459" s="102" t="e">
        <f t="shared" ca="1" si="44"/>
        <v>#N/A</v>
      </c>
      <c r="K1459" s="102" t="e">
        <f t="shared" ca="1" si="45"/>
        <v>#N/A</v>
      </c>
      <c r="L1459" s="102"/>
      <c r="M1459" s="102"/>
      <c r="N1459" s="102"/>
      <c r="O1459" s="102"/>
      <c r="P1459" s="102"/>
      <c r="Q1459" s="102"/>
      <c r="R1459" s="102"/>
      <c r="S1459" s="102"/>
    </row>
    <row r="1460" spans="1:19" ht="72" x14ac:dyDescent="0.3">
      <c r="A1460" t="s">
        <v>5543</v>
      </c>
      <c r="B1460" t="s">
        <v>3562</v>
      </c>
      <c r="C1460" s="90" t="s">
        <v>5544</v>
      </c>
      <c r="D1460" t="s">
        <v>5562</v>
      </c>
      <c r="E1460" s="101" t="s">
        <v>6634</v>
      </c>
      <c r="F1460" t="str" cm="1">
        <f t="array" aca="1" ref="F1460" ca="1">INDIRECT("'" &amp; A1460 &amp; "'!" &amp; B1460)</f>
        <v>v503A</v>
      </c>
      <c r="G1460" cm="1">
        <f t="array" aca="1" ref="G1460" ca="1">INDIRECT("'" &amp; A1460 &amp; "'!" &amp; ADDRESS(1, COLUMN(INDIRECT("'" &amp; A1460 &amp; "'!" &amp; B1460))))</f>
        <v>2020</v>
      </c>
      <c r="H1460" t="e">
        <f ca="1">VLOOKUP($G1460, survey_codes_dict!A:C, 2, FALSE)</f>
        <v>#N/A</v>
      </c>
      <c r="I1460" s="102" t="e">
        <f ca="1">VLOOKUP($G1460, survey_codes_dict!A:D, 4, FALSE)</f>
        <v>#N/A</v>
      </c>
      <c r="J1460" s="102" t="e">
        <f t="shared" ca="1" si="44"/>
        <v>#N/A</v>
      </c>
      <c r="K1460" s="102" t="e">
        <f t="shared" ca="1" si="45"/>
        <v>#N/A</v>
      </c>
      <c r="L1460" s="102"/>
      <c r="M1460" s="102"/>
      <c r="N1460" s="102"/>
      <c r="O1460" s="102"/>
      <c r="P1460" s="102"/>
      <c r="Q1460" s="102"/>
      <c r="R1460" s="102"/>
      <c r="S1460" s="102"/>
    </row>
    <row r="1461" spans="1:19" ht="72" x14ac:dyDescent="0.3">
      <c r="A1461" t="s">
        <v>5543</v>
      </c>
      <c r="B1461" t="s">
        <v>3774</v>
      </c>
      <c r="C1461" s="90" t="s">
        <v>5545</v>
      </c>
      <c r="D1461" t="s">
        <v>5562</v>
      </c>
      <c r="E1461" s="101" t="s">
        <v>6635</v>
      </c>
      <c r="F1461" t="str" cm="1">
        <f t="array" aca="1" ref="F1461" ca="1">INDIRECT("'" &amp; A1461 &amp; "'!" &amp; B1461)</f>
        <v>v25</v>
      </c>
      <c r="G1461" cm="1">
        <f t="array" aca="1" ref="G1461" ca="1">INDIRECT("'" &amp; A1461 &amp; "'!" &amp; ADDRESS(1, COLUMN(INDIRECT("'" &amp; A1461 &amp; "'!" &amp; B1461))))</f>
        <v>2020</v>
      </c>
      <c r="H1461" t="e">
        <f ca="1">VLOOKUP($G1461, survey_codes_dict!A:C, 2, FALSE)</f>
        <v>#N/A</v>
      </c>
      <c r="I1461" s="102" t="e">
        <f ca="1">VLOOKUP($G1461, survey_codes_dict!A:D, 4, FALSE)</f>
        <v>#N/A</v>
      </c>
      <c r="J1461" s="102" t="e">
        <f t="shared" ca="1" si="44"/>
        <v>#N/A</v>
      </c>
      <c r="K1461" s="102" t="e">
        <f t="shared" ca="1" si="45"/>
        <v>#N/A</v>
      </c>
      <c r="L1461" s="102"/>
      <c r="M1461" s="102"/>
      <c r="N1461" s="102"/>
      <c r="O1461" s="102"/>
      <c r="P1461" s="102"/>
      <c r="Q1461" s="102"/>
      <c r="R1461" s="102"/>
      <c r="S1461" s="101"/>
    </row>
    <row r="1462" spans="1:19" ht="72" x14ac:dyDescent="0.3">
      <c r="A1462" t="s">
        <v>5543</v>
      </c>
      <c r="B1462" t="s">
        <v>3575</v>
      </c>
      <c r="C1462" s="90" t="s">
        <v>5546</v>
      </c>
      <c r="D1462" t="s">
        <v>5562</v>
      </c>
      <c r="E1462" s="101" t="s">
        <v>6636</v>
      </c>
      <c r="F1462" t="str" cm="1">
        <f t="array" aca="1" ref="F1462" ca="1">INDIRECT("'" &amp; A1462 &amp; "'!" &amp; B1462)</f>
        <v>v22</v>
      </c>
      <c r="G1462" cm="1">
        <f t="array" aca="1" ref="G1462" ca="1">INDIRECT("'" &amp; A1462 &amp; "'!" &amp; ADDRESS(1, COLUMN(INDIRECT("'" &amp; A1462 &amp; "'!" &amp; B1462))))</f>
        <v>2020</v>
      </c>
      <c r="H1462" t="e">
        <f ca="1">VLOOKUP($G1462, survey_codes_dict!A:C, 2, FALSE)</f>
        <v>#N/A</v>
      </c>
      <c r="I1462" s="102" t="e">
        <f ca="1">VLOOKUP($G1462, survey_codes_dict!A:D, 4, FALSE)</f>
        <v>#N/A</v>
      </c>
      <c r="J1462" s="102" t="e">
        <f t="shared" ca="1" si="44"/>
        <v>#N/A</v>
      </c>
      <c r="K1462" s="102" t="e">
        <f t="shared" ca="1" si="45"/>
        <v>#N/A</v>
      </c>
      <c r="L1462" s="102"/>
      <c r="M1462" s="102"/>
      <c r="N1462" s="102"/>
      <c r="O1462" s="102"/>
      <c r="P1462" s="102"/>
      <c r="Q1462" s="102"/>
      <c r="R1462" s="102"/>
      <c r="S1462" s="101"/>
    </row>
    <row r="1463" spans="1:19" ht="100.8" x14ac:dyDescent="0.3">
      <c r="A1463" t="s">
        <v>5543</v>
      </c>
      <c r="B1463" t="s">
        <v>3579</v>
      </c>
      <c r="C1463" s="90" t="s">
        <v>5547</v>
      </c>
      <c r="D1463" t="s">
        <v>5562</v>
      </c>
      <c r="E1463" s="101" t="s">
        <v>6637</v>
      </c>
      <c r="F1463" t="str" cm="1">
        <f t="array" aca="1" ref="F1463" ca="1">INDIRECT("'" &amp; A1463 &amp; "'!" &amp; B1463)</f>
        <v>v22</v>
      </c>
      <c r="G1463" cm="1">
        <f t="array" aca="1" ref="G1463" ca="1">INDIRECT("'" &amp; A1463 &amp; "'!" &amp; ADDRESS(1, COLUMN(INDIRECT("'" &amp; A1463 &amp; "'!" &amp; B1463))))</f>
        <v>43556</v>
      </c>
      <c r="H1463" t="e">
        <f ca="1">VLOOKUP($G1463, survey_codes_dict!A:C, 2, FALSE)</f>
        <v>#N/A</v>
      </c>
      <c r="I1463" s="102" t="e">
        <f ca="1">VLOOKUP($G1463, survey_codes_dict!A:D, 4, FALSE)</f>
        <v>#N/A</v>
      </c>
      <c r="J1463" s="102" t="e">
        <f t="shared" ca="1" si="44"/>
        <v>#N/A</v>
      </c>
      <c r="K1463" s="102" t="e">
        <f t="shared" ca="1" si="45"/>
        <v>#N/A</v>
      </c>
      <c r="L1463" s="102"/>
      <c r="M1463" s="102"/>
      <c r="N1463" s="102"/>
      <c r="O1463" s="102"/>
      <c r="P1463" s="102"/>
      <c r="Q1463" s="102"/>
      <c r="R1463" s="102"/>
      <c r="S1463" s="101"/>
    </row>
    <row r="1464" spans="1:19" ht="72" x14ac:dyDescent="0.3">
      <c r="A1464" t="s">
        <v>5543</v>
      </c>
      <c r="B1464" t="s">
        <v>4254</v>
      </c>
      <c r="C1464" s="90" t="s">
        <v>5548</v>
      </c>
      <c r="D1464" t="s">
        <v>5562</v>
      </c>
      <c r="E1464" s="101" t="s">
        <v>6638</v>
      </c>
      <c r="F1464" t="str" cm="1">
        <f t="array" aca="1" ref="F1464" ca="1">INDIRECT("'" &amp; A1464 &amp; "'!" &amp; B1464)</f>
        <v>c65</v>
      </c>
      <c r="G1464" t="str" cm="1">
        <f t="array" aca="1" ref="G1464" ca="1">INDIRECT("'" &amp; A1464 &amp; "'!" &amp; ADDRESS(1, COLUMN(INDIRECT("'" &amp; A1464 &amp; "'!" &amp; B1464))))</f>
        <v>1973 - 2</v>
      </c>
      <c r="H1464" t="str">
        <f ca="1">VLOOKUP($G1464, survey_codes_dict!A:C, 2, FALSE)</f>
        <v>1973_2</v>
      </c>
      <c r="I1464" s="102" t="str">
        <f ca="1">VLOOKUP($G1464, survey_codes_dict!A:D, 4, FALSE)</f>
        <v>1973_1</v>
      </c>
      <c r="J1464" s="102" t="str">
        <f t="shared" ca="1" si="44"/>
        <v>1973_2__c65</v>
      </c>
      <c r="K1464" s="102" t="str">
        <f t="shared" ca="1" si="45"/>
        <v>1973_1__c65</v>
      </c>
      <c r="L1464" s="102"/>
      <c r="M1464" s="102"/>
      <c r="N1464" s="102"/>
      <c r="O1464" s="102"/>
      <c r="P1464" s="102"/>
      <c r="Q1464" s="102"/>
      <c r="R1464" s="102"/>
      <c r="S1464" s="101"/>
    </row>
    <row r="1465" spans="1:19" ht="72" x14ac:dyDescent="0.3">
      <c r="A1465" t="s">
        <v>5543</v>
      </c>
      <c r="B1465" t="s">
        <v>3785</v>
      </c>
      <c r="C1465" s="90" t="s">
        <v>5549</v>
      </c>
      <c r="D1465" t="s">
        <v>5562</v>
      </c>
      <c r="E1465" s="101" t="s">
        <v>6639</v>
      </c>
      <c r="F1465" t="str" cm="1">
        <f t="array" aca="1" ref="F1465" ca="1">INDIRECT("'" &amp; A1465 &amp; "'!" &amp; B1465)</f>
        <v>c66</v>
      </c>
      <c r="G1465" t="str" cm="1">
        <f t="array" aca="1" ref="G1465" ca="1">INDIRECT("'" &amp; A1465 &amp; "'!" &amp; ADDRESS(1, COLUMN(INDIRECT("'" &amp; A1465 &amp; "'!" &amp; B1465))))</f>
        <v>1973 - 2</v>
      </c>
      <c r="H1465" t="str">
        <f ca="1">VLOOKUP($G1465, survey_codes_dict!A:C, 2, FALSE)</f>
        <v>1973_2</v>
      </c>
      <c r="I1465" s="102" t="str">
        <f ca="1">VLOOKUP($G1465, survey_codes_dict!A:D, 4, FALSE)</f>
        <v>1973_1</v>
      </c>
      <c r="J1465" s="102" t="str">
        <f t="shared" ca="1" si="44"/>
        <v>1973_2__c66</v>
      </c>
      <c r="K1465" s="102" t="str">
        <f t="shared" ca="1" si="45"/>
        <v>1973_1__c66</v>
      </c>
      <c r="L1465" s="102"/>
      <c r="M1465" s="102"/>
      <c r="N1465" s="102"/>
      <c r="O1465" s="102"/>
      <c r="P1465" s="102"/>
      <c r="Q1465" s="102"/>
      <c r="R1465" s="102"/>
      <c r="S1465" s="101"/>
    </row>
    <row r="1466" spans="1:19" ht="57.6" x14ac:dyDescent="0.3">
      <c r="A1466" t="s">
        <v>5543</v>
      </c>
      <c r="B1466" t="s">
        <v>5550</v>
      </c>
      <c r="C1466" s="90" t="s">
        <v>4910</v>
      </c>
      <c r="D1466" t="s">
        <v>5562</v>
      </c>
      <c r="E1466" s="101" t="s">
        <v>6315</v>
      </c>
      <c r="F1466" t="str" cm="1">
        <f t="array" aca="1" ref="F1466" ca="1">INDIRECT("'" &amp; A1466 &amp; "'!" &amp; B1466)</f>
        <v>d41</v>
      </c>
      <c r="G1466" t="str" cm="1">
        <f t="array" aca="1" ref="G1466" ca="1">INDIRECT("'" &amp; A1466 &amp; "'!" &amp; ADDRESS(1, COLUMN(INDIRECT("'" &amp; A1466 &amp; "'!" &amp; B1466))))</f>
        <v>1973 - 2</v>
      </c>
      <c r="H1466" t="str">
        <f ca="1">VLOOKUP($G1466, survey_codes_dict!A:C, 2, FALSE)</f>
        <v>1973_2</v>
      </c>
      <c r="I1466" s="102" t="str">
        <f ca="1">VLOOKUP($G1466, survey_codes_dict!A:D, 4, FALSE)</f>
        <v>1973_1</v>
      </c>
      <c r="J1466" s="102" t="str">
        <f t="shared" ca="1" si="44"/>
        <v>1973_2__d41</v>
      </c>
      <c r="K1466" s="102" t="str">
        <f t="shared" ca="1" si="45"/>
        <v>1973_1__d41</v>
      </c>
      <c r="L1466" s="102"/>
      <c r="M1466" s="102"/>
      <c r="N1466" s="102"/>
      <c r="O1466" s="102"/>
      <c r="P1466" s="102"/>
      <c r="Q1466" s="102"/>
      <c r="R1466" s="102"/>
      <c r="S1466" s="101"/>
    </row>
    <row r="1467" spans="1:19" ht="72" x14ac:dyDescent="0.3">
      <c r="A1467" t="s">
        <v>5551</v>
      </c>
      <c r="B1467" t="s">
        <v>3562</v>
      </c>
      <c r="C1467" s="90" t="s">
        <v>5552</v>
      </c>
      <c r="D1467" t="s">
        <v>5562</v>
      </c>
      <c r="E1467" s="101" t="s">
        <v>6640</v>
      </c>
      <c r="F1467" t="str" cm="1">
        <f t="array" aca="1" ref="F1467" ca="1">INDIRECT("'" &amp; A1467 &amp; "'!" &amp; B1467)</f>
        <v>v26</v>
      </c>
      <c r="G1467" cm="1">
        <f t="array" aca="1" ref="G1467" ca="1">INDIRECT("'" &amp; A1467 &amp; "'!" &amp; ADDRESS(1, COLUMN(INDIRECT("'" &amp; A1467 &amp; "'!" &amp; B1467))))</f>
        <v>2020</v>
      </c>
      <c r="H1467" t="e">
        <f ca="1">VLOOKUP($G1467, survey_codes_dict!A:C, 2, FALSE)</f>
        <v>#N/A</v>
      </c>
      <c r="I1467" s="102" t="e">
        <f ca="1">VLOOKUP($G1467, survey_codes_dict!A:D, 4, FALSE)</f>
        <v>#N/A</v>
      </c>
      <c r="J1467" s="102" t="e">
        <f t="shared" ca="1" si="44"/>
        <v>#N/A</v>
      </c>
      <c r="K1467" s="102" t="e">
        <f t="shared" ca="1" si="45"/>
        <v>#N/A</v>
      </c>
      <c r="L1467" s="102"/>
      <c r="M1467" s="102"/>
      <c r="N1467" s="102"/>
      <c r="O1467" s="102"/>
      <c r="P1467" s="102"/>
      <c r="Q1467" s="102"/>
      <c r="R1467" s="102"/>
      <c r="S1467" s="101"/>
    </row>
    <row r="1468" spans="1:19" ht="72" x14ac:dyDescent="0.3">
      <c r="A1468" t="s">
        <v>5551</v>
      </c>
      <c r="B1468" t="s">
        <v>3852</v>
      </c>
      <c r="C1468" s="90" t="s">
        <v>4953</v>
      </c>
      <c r="D1468" t="s">
        <v>5562</v>
      </c>
      <c r="E1468" s="101" t="s">
        <v>6335</v>
      </c>
      <c r="F1468" t="str" cm="1">
        <f t="array" aca="1" ref="F1468" ca="1">INDIRECT("'" &amp; A1468 &amp; "'!" &amp; B1468)</f>
        <v>v41</v>
      </c>
      <c r="G1468" cm="1">
        <f t="array" aca="1" ref="G1468" ca="1">INDIRECT("'" &amp; A1468 &amp; "'!" &amp; ADDRESS(1, COLUMN(INDIRECT("'" &amp; A1468 &amp; "'!" &amp; B1468))))</f>
        <v>2015</v>
      </c>
      <c r="H1468" t="e">
        <f ca="1">VLOOKUP($G1468, survey_codes_dict!A:C, 2, FALSE)</f>
        <v>#N/A</v>
      </c>
      <c r="I1468" s="102" t="e">
        <f ca="1">VLOOKUP($G1468, survey_codes_dict!A:D, 4, FALSE)</f>
        <v>#N/A</v>
      </c>
      <c r="J1468" s="102" t="e">
        <f t="shared" ca="1" si="44"/>
        <v>#N/A</v>
      </c>
      <c r="K1468" s="102" t="e">
        <f t="shared" ca="1" si="45"/>
        <v>#N/A</v>
      </c>
      <c r="L1468" s="102"/>
      <c r="M1468" s="102"/>
      <c r="N1468" s="102"/>
      <c r="O1468" s="102"/>
      <c r="P1468" s="102"/>
      <c r="Q1468" s="102"/>
      <c r="R1468" s="102"/>
      <c r="S1468" s="101"/>
    </row>
    <row r="1469" spans="1:19" ht="72" x14ac:dyDescent="0.3">
      <c r="A1469" t="s">
        <v>5551</v>
      </c>
      <c r="B1469" t="s">
        <v>3575</v>
      </c>
      <c r="C1469" s="90" t="s">
        <v>5553</v>
      </c>
      <c r="D1469" t="s">
        <v>5562</v>
      </c>
      <c r="E1469" s="101" t="s">
        <v>6641</v>
      </c>
      <c r="F1469" t="str" cm="1">
        <f t="array" aca="1" ref="F1469" ca="1">INDIRECT("'" &amp; A1469 &amp; "'!" &amp; B1469)</f>
        <v>v27</v>
      </c>
      <c r="G1469" cm="1">
        <f t="array" aca="1" ref="G1469" ca="1">INDIRECT("'" &amp; A1469 &amp; "'!" &amp; ADDRESS(1, COLUMN(INDIRECT("'" &amp; A1469 &amp; "'!" &amp; B1469))))</f>
        <v>2020</v>
      </c>
      <c r="H1469" t="e">
        <f ca="1">VLOOKUP($G1469, survey_codes_dict!A:C, 2, FALSE)</f>
        <v>#N/A</v>
      </c>
      <c r="I1469" s="102" t="e">
        <f ca="1">VLOOKUP($G1469, survey_codes_dict!A:D, 4, FALSE)</f>
        <v>#N/A</v>
      </c>
      <c r="J1469" s="102" t="e">
        <f t="shared" ca="1" si="44"/>
        <v>#N/A</v>
      </c>
      <c r="K1469" s="102" t="e">
        <f t="shared" ca="1" si="45"/>
        <v>#N/A</v>
      </c>
      <c r="L1469" s="102"/>
      <c r="M1469" s="102"/>
      <c r="N1469" s="102"/>
      <c r="O1469" s="102"/>
      <c r="P1469" s="102"/>
      <c r="Q1469" s="102"/>
      <c r="R1469" s="102"/>
      <c r="S1469" s="101"/>
    </row>
    <row r="1470" spans="1:19" ht="43.2" x14ac:dyDescent="0.3">
      <c r="A1470" t="s">
        <v>5551</v>
      </c>
      <c r="B1470" t="s">
        <v>4070</v>
      </c>
      <c r="C1470" s="90" t="s">
        <v>5554</v>
      </c>
      <c r="D1470" t="s">
        <v>5662</v>
      </c>
      <c r="E1470" s="101" t="s">
        <v>5656</v>
      </c>
      <c r="F1470" t="str" cm="1">
        <f t="array" aca="1" ref="F1470" ca="1">INDIRECT("'" &amp; A1470 &amp; "'!" &amp; B1470)</f>
        <v>כאשר אתה חושב על תולדות מדינת ישראל ועל הערבים אזרח ישראל, איזה אירוע מהעבר נראה לך החשוב ביותר?</v>
      </c>
      <c r="G1470" t="str" cm="1">
        <f t="array" aca="1" ref="G1470" ca="1">INDIRECT("'" &amp; A1470 &amp; "'!" &amp; ADDRESS(1, COLUMN(INDIRECT("'" &amp; A1470 &amp; "'!" &amp; B1470))))</f>
        <v>שאלה</v>
      </c>
      <c r="H1470" t="e">
        <f ca="1">VLOOKUP($G1470, survey_codes_dict!A:C, 2, FALSE)</f>
        <v>#N/A</v>
      </c>
      <c r="I1470" s="102" t="e">
        <f ca="1">VLOOKUP($G1470, survey_codes_dict!A:D, 4, FALSE)</f>
        <v>#N/A</v>
      </c>
      <c r="J1470" s="102" t="e">
        <f t="shared" ca="1" si="44"/>
        <v>#N/A</v>
      </c>
      <c r="K1470" s="102" t="e">
        <f t="shared" ca="1" si="45"/>
        <v>#N/A</v>
      </c>
      <c r="L1470" s="102"/>
      <c r="M1470" s="102"/>
      <c r="N1470" s="102"/>
      <c r="O1470" s="102"/>
      <c r="P1470" s="102"/>
      <c r="Q1470" s="102"/>
      <c r="R1470" s="102"/>
      <c r="S1470" s="102"/>
    </row>
    <row r="1471" spans="1:19" ht="72" x14ac:dyDescent="0.3">
      <c r="A1471" t="s">
        <v>5551</v>
      </c>
      <c r="B1471" t="s">
        <v>5555</v>
      </c>
      <c r="C1471" s="90" t="s">
        <v>5556</v>
      </c>
      <c r="D1471" t="s">
        <v>5562</v>
      </c>
      <c r="E1471" s="101" t="s">
        <v>6642</v>
      </c>
      <c r="F1471" t="str" cm="1">
        <f t="array" aca="1" ref="F1471" ca="1">INDIRECT("'" &amp; A1471 &amp; "'!" &amp; B1471)</f>
        <v>v168</v>
      </c>
      <c r="G1471" cm="1">
        <f t="array" aca="1" ref="G1471" ca="1">INDIRECT("'" &amp; A1471 &amp; "'!" &amp; ADDRESS(1, COLUMN(INDIRECT("'" &amp; A1471 &amp; "'!" &amp; B1471))))</f>
        <v>2009</v>
      </c>
      <c r="H1471" t="e">
        <f ca="1">VLOOKUP($G1471, survey_codes_dict!A:C, 2, FALSE)</f>
        <v>#N/A</v>
      </c>
      <c r="I1471" s="102" t="e">
        <f ca="1">VLOOKUP($G1471, survey_codes_dict!A:D, 4, FALSE)</f>
        <v>#N/A</v>
      </c>
      <c r="J1471" s="102" t="e">
        <f t="shared" ca="1" si="44"/>
        <v>#N/A</v>
      </c>
      <c r="K1471" s="102" t="e">
        <f t="shared" ca="1" si="45"/>
        <v>#N/A</v>
      </c>
      <c r="L1471" s="102"/>
      <c r="M1471" s="102"/>
      <c r="N1471" s="102"/>
      <c r="O1471" s="102"/>
      <c r="P1471" s="102"/>
      <c r="Q1471" s="102"/>
      <c r="R1471" s="102"/>
      <c r="S1471" s="102"/>
    </row>
    <row r="1472" spans="1:19" ht="72" x14ac:dyDescent="0.3">
      <c r="A1472" t="s">
        <v>5551</v>
      </c>
      <c r="B1472" t="s">
        <v>5557</v>
      </c>
      <c r="C1472" s="90" t="s">
        <v>5558</v>
      </c>
      <c r="D1472" t="s">
        <v>5562</v>
      </c>
      <c r="E1472" s="101" t="s">
        <v>6643</v>
      </c>
      <c r="F1472" t="str" cm="1">
        <f t="array" aca="1" ref="F1472" ca="1">INDIRECT("'" &amp; A1472 &amp; "'!" &amp; B1472)</f>
        <v>v605</v>
      </c>
      <c r="G1472" cm="1">
        <f t="array" aca="1" ref="G1472" ca="1">INDIRECT("'" &amp; A1472 &amp; "'!" &amp; ADDRESS(1, COLUMN(INDIRECT("'" &amp; A1472 &amp; "'!" &amp; B1472))))</f>
        <v>2021</v>
      </c>
      <c r="H1472" t="e">
        <f ca="1">VLOOKUP($G1472, survey_codes_dict!A:C, 2, FALSE)</f>
        <v>#N/A</v>
      </c>
      <c r="I1472" s="102" t="e">
        <f ca="1">VLOOKUP($G1472, survey_codes_dict!A:D, 4, FALSE)</f>
        <v>#N/A</v>
      </c>
      <c r="J1472" s="102" t="e">
        <f t="shared" ca="1" si="44"/>
        <v>#N/A</v>
      </c>
      <c r="K1472" s="102" t="e">
        <f t="shared" ca="1" si="45"/>
        <v>#N/A</v>
      </c>
      <c r="L1472" s="102"/>
      <c r="M1472" s="102"/>
      <c r="N1472" s="102"/>
      <c r="O1472" s="102"/>
      <c r="P1472" s="102"/>
      <c r="Q1472" s="102"/>
      <c r="R1472" s="102"/>
      <c r="S1472" s="10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BB4E-523E-41E7-B8D7-01F8AE686E5A}">
  <sheetPr codeName="Sheet2"/>
  <dimension ref="A1:N35"/>
  <sheetViews>
    <sheetView workbookViewId="0">
      <selection activeCell="N1" sqref="N1:N34"/>
    </sheetView>
  </sheetViews>
  <sheetFormatPr defaultRowHeight="14.4" x14ac:dyDescent="0.3"/>
  <cols>
    <col min="2" max="2" width="16.88671875" bestFit="1" customWidth="1"/>
    <col min="3" max="3" width="16.21875" customWidth="1"/>
    <col min="4" max="4" width="16.88671875" bestFit="1" customWidth="1"/>
    <col min="11" max="11" width="16.109375" customWidth="1"/>
  </cols>
  <sheetData>
    <row r="1" spans="1:14" x14ac:dyDescent="0.3">
      <c r="A1" t="s">
        <v>6675</v>
      </c>
      <c r="B1" t="s">
        <v>6676</v>
      </c>
      <c r="C1" t="s">
        <v>6677</v>
      </c>
      <c r="D1" t="s">
        <v>6680</v>
      </c>
      <c r="J1" t="s">
        <v>6703</v>
      </c>
      <c r="K1" t="s">
        <v>6704</v>
      </c>
      <c r="L1" t="s">
        <v>6706</v>
      </c>
      <c r="M1" t="s">
        <v>6707</v>
      </c>
      <c r="N1" t="s">
        <v>6705</v>
      </c>
    </row>
    <row r="2" spans="1:14" x14ac:dyDescent="0.3">
      <c r="A2" t="s">
        <v>3063</v>
      </c>
      <c r="B2" t="s">
        <v>6655</v>
      </c>
      <c r="J2" t="s">
        <v>3063</v>
      </c>
      <c r="K2" t="s">
        <v>6684</v>
      </c>
      <c r="L2" t="s">
        <v>3063</v>
      </c>
      <c r="M2">
        <v>1</v>
      </c>
      <c r="N2">
        <v>1</v>
      </c>
    </row>
    <row r="3" spans="1:14" x14ac:dyDescent="0.3">
      <c r="A3" t="s">
        <v>3019</v>
      </c>
      <c r="B3" t="s">
        <v>6674</v>
      </c>
      <c r="D3" t="s">
        <v>6655</v>
      </c>
      <c r="J3" t="s">
        <v>3019</v>
      </c>
      <c r="K3" t="s">
        <v>6685</v>
      </c>
      <c r="L3" t="s">
        <v>3019</v>
      </c>
      <c r="M3">
        <v>2</v>
      </c>
      <c r="N3">
        <v>2</v>
      </c>
    </row>
    <row r="4" spans="1:14" x14ac:dyDescent="0.3">
      <c r="A4" t="s">
        <v>2955</v>
      </c>
      <c r="B4" t="s">
        <v>6673</v>
      </c>
      <c r="D4" t="s">
        <v>6674</v>
      </c>
      <c r="J4" t="s">
        <v>2981</v>
      </c>
      <c r="K4" t="s">
        <v>6686</v>
      </c>
      <c r="L4" t="s">
        <v>2981</v>
      </c>
      <c r="M4">
        <v>3</v>
      </c>
      <c r="N4">
        <v>3</v>
      </c>
    </row>
    <row r="5" spans="1:14" x14ac:dyDescent="0.3">
      <c r="A5" t="s">
        <v>2827</v>
      </c>
      <c r="B5" t="s">
        <v>6662</v>
      </c>
      <c r="D5" t="s">
        <v>6673</v>
      </c>
      <c r="J5" t="s">
        <v>2955</v>
      </c>
      <c r="K5" t="s">
        <v>6687</v>
      </c>
      <c r="L5" t="s">
        <v>2955</v>
      </c>
      <c r="M5">
        <v>1</v>
      </c>
      <c r="N5">
        <v>4</v>
      </c>
    </row>
    <row r="6" spans="1:14" x14ac:dyDescent="0.3">
      <c r="A6" t="s">
        <v>2787</v>
      </c>
      <c r="B6" t="s">
        <v>6667</v>
      </c>
      <c r="D6" t="s">
        <v>6662</v>
      </c>
      <c r="J6" t="s">
        <v>2827</v>
      </c>
      <c r="K6" t="s">
        <v>6688</v>
      </c>
      <c r="L6" t="s">
        <v>2827</v>
      </c>
      <c r="M6">
        <v>2</v>
      </c>
      <c r="N6">
        <v>5</v>
      </c>
    </row>
    <row r="7" spans="1:14" x14ac:dyDescent="0.3">
      <c r="A7" t="s">
        <v>2729</v>
      </c>
      <c r="B7" t="s">
        <v>6666</v>
      </c>
      <c r="D7" t="s">
        <v>6667</v>
      </c>
      <c r="J7" t="s">
        <v>2787</v>
      </c>
      <c r="K7" t="s">
        <v>6689</v>
      </c>
      <c r="L7" t="s">
        <v>2787</v>
      </c>
      <c r="M7">
        <v>3</v>
      </c>
      <c r="N7">
        <v>6</v>
      </c>
    </row>
    <row r="8" spans="1:14" x14ac:dyDescent="0.3">
      <c r="A8" t="s">
        <v>2636</v>
      </c>
      <c r="B8" t="s">
        <v>6663</v>
      </c>
      <c r="D8" t="s">
        <v>6666</v>
      </c>
      <c r="J8" t="s">
        <v>2729</v>
      </c>
      <c r="K8" t="s">
        <v>6690</v>
      </c>
      <c r="L8" t="s">
        <v>2729</v>
      </c>
      <c r="M8">
        <v>4</v>
      </c>
      <c r="N8">
        <v>7</v>
      </c>
    </row>
    <row r="9" spans="1:14" x14ac:dyDescent="0.3">
      <c r="A9" t="s">
        <v>2586</v>
      </c>
      <c r="B9" t="s">
        <v>6670</v>
      </c>
      <c r="D9" t="s">
        <v>6663</v>
      </c>
      <c r="J9" s="96" t="s">
        <v>2636</v>
      </c>
      <c r="K9" s="109" t="s">
        <v>6691</v>
      </c>
      <c r="L9" s="96" t="s">
        <v>2636</v>
      </c>
      <c r="M9">
        <v>5</v>
      </c>
      <c r="N9">
        <v>8</v>
      </c>
    </row>
    <row r="10" spans="1:14" x14ac:dyDescent="0.3">
      <c r="A10" t="s">
        <v>2581</v>
      </c>
      <c r="B10" t="s">
        <v>6671</v>
      </c>
      <c r="D10" t="s">
        <v>6670</v>
      </c>
      <c r="J10" t="s">
        <v>2586</v>
      </c>
      <c r="K10" t="s">
        <v>6692</v>
      </c>
      <c r="L10" t="s">
        <v>2586</v>
      </c>
      <c r="M10">
        <v>1</v>
      </c>
      <c r="N10">
        <v>9</v>
      </c>
    </row>
    <row r="11" spans="1:14" x14ac:dyDescent="0.3">
      <c r="A11" t="s">
        <v>2579</v>
      </c>
      <c r="B11" t="s">
        <v>6672</v>
      </c>
      <c r="D11" t="s">
        <v>6671</v>
      </c>
      <c r="J11" s="96" t="s">
        <v>2581</v>
      </c>
      <c r="K11" s="109" t="s">
        <v>6693</v>
      </c>
      <c r="L11" s="96" t="s">
        <v>2581</v>
      </c>
      <c r="M11">
        <v>2</v>
      </c>
      <c r="N11">
        <v>10</v>
      </c>
    </row>
    <row r="12" spans="1:14" x14ac:dyDescent="0.3">
      <c r="A12" t="s">
        <v>2567</v>
      </c>
      <c r="B12" t="s">
        <v>6668</v>
      </c>
      <c r="D12" t="s">
        <v>6672</v>
      </c>
      <c r="J12" s="96" t="s">
        <v>2579</v>
      </c>
      <c r="K12" s="109" t="s">
        <v>6694</v>
      </c>
      <c r="L12" s="96" t="s">
        <v>2579</v>
      </c>
      <c r="M12">
        <v>3</v>
      </c>
      <c r="N12">
        <v>11</v>
      </c>
    </row>
    <row r="13" spans="1:14" x14ac:dyDescent="0.3">
      <c r="A13" t="s">
        <v>2513</v>
      </c>
      <c r="B13" t="s">
        <v>6660</v>
      </c>
      <c r="D13" t="s">
        <v>6668</v>
      </c>
      <c r="J13" s="96" t="s">
        <v>2567</v>
      </c>
      <c r="K13" s="109" t="s">
        <v>6695</v>
      </c>
      <c r="L13" s="96" t="s">
        <v>2567</v>
      </c>
      <c r="M13">
        <v>4</v>
      </c>
      <c r="N13">
        <v>12</v>
      </c>
    </row>
    <row r="14" spans="1:14" x14ac:dyDescent="0.3">
      <c r="A14" t="s">
        <v>2413</v>
      </c>
      <c r="D14" t="s">
        <v>6660</v>
      </c>
      <c r="J14" s="96" t="s">
        <v>2513</v>
      </c>
      <c r="K14" s="109" t="s">
        <v>6696</v>
      </c>
      <c r="L14" s="96" t="s">
        <v>2513</v>
      </c>
      <c r="M14">
        <v>1</v>
      </c>
      <c r="N14">
        <v>13</v>
      </c>
    </row>
    <row r="15" spans="1:14" x14ac:dyDescent="0.3">
      <c r="A15" t="s">
        <v>2300</v>
      </c>
      <c r="B15" t="s">
        <v>6658</v>
      </c>
      <c r="J15" s="96" t="s">
        <v>2413</v>
      </c>
      <c r="L15" s="96" t="s">
        <v>2413</v>
      </c>
      <c r="M15">
        <v>2</v>
      </c>
      <c r="N15">
        <v>14</v>
      </c>
    </row>
    <row r="16" spans="1:14" x14ac:dyDescent="0.3">
      <c r="A16">
        <v>1984</v>
      </c>
      <c r="B16" s="98" t="s">
        <v>6669</v>
      </c>
      <c r="D16" t="s">
        <v>6658</v>
      </c>
      <c r="J16" s="96" t="s">
        <v>2300</v>
      </c>
      <c r="K16" s="109" t="s">
        <v>6697</v>
      </c>
      <c r="L16" s="96" t="s">
        <v>2300</v>
      </c>
      <c r="M16">
        <v>3</v>
      </c>
      <c r="N16">
        <v>15</v>
      </c>
    </row>
    <row r="17" spans="1:14" x14ac:dyDescent="0.3">
      <c r="A17">
        <v>1988</v>
      </c>
      <c r="B17" t="s">
        <v>6659</v>
      </c>
      <c r="D17" s="98" t="s">
        <v>6669</v>
      </c>
      <c r="J17">
        <v>1984</v>
      </c>
      <c r="K17" s="109">
        <v>1984</v>
      </c>
      <c r="L17">
        <v>1984</v>
      </c>
      <c r="N17">
        <v>16</v>
      </c>
    </row>
    <row r="18" spans="1:14" x14ac:dyDescent="0.3">
      <c r="A18" t="s">
        <v>1961</v>
      </c>
      <c r="B18" t="s">
        <v>6654</v>
      </c>
      <c r="D18" t="s">
        <v>6659</v>
      </c>
      <c r="J18" s="96" t="s">
        <v>1788</v>
      </c>
      <c r="L18" s="96" t="s">
        <v>1788</v>
      </c>
      <c r="M18">
        <v>1</v>
      </c>
      <c r="N18">
        <v>17</v>
      </c>
    </row>
    <row r="19" spans="1:14" x14ac:dyDescent="0.3">
      <c r="A19">
        <v>1992</v>
      </c>
      <c r="B19" t="s">
        <v>6664</v>
      </c>
      <c r="D19" t="s">
        <v>6654</v>
      </c>
      <c r="J19">
        <v>1988</v>
      </c>
      <c r="K19" s="109" t="s">
        <v>6659</v>
      </c>
      <c r="L19">
        <v>1988</v>
      </c>
      <c r="M19">
        <v>2</v>
      </c>
      <c r="N19">
        <v>18</v>
      </c>
    </row>
    <row r="20" spans="1:14" x14ac:dyDescent="0.3">
      <c r="A20">
        <v>1996</v>
      </c>
      <c r="B20" t="s">
        <v>6657</v>
      </c>
      <c r="D20" t="s">
        <v>6664</v>
      </c>
      <c r="J20" s="110" t="s">
        <v>1961</v>
      </c>
      <c r="K20" t="s">
        <v>6654</v>
      </c>
      <c r="L20" s="110" t="s">
        <v>1961</v>
      </c>
      <c r="M20" s="109">
        <v>2</v>
      </c>
      <c r="N20">
        <v>19</v>
      </c>
    </row>
    <row r="21" spans="1:14" x14ac:dyDescent="0.3">
      <c r="A21">
        <v>1999</v>
      </c>
      <c r="B21" t="s">
        <v>6656</v>
      </c>
      <c r="D21" t="s">
        <v>6657</v>
      </c>
      <c r="J21">
        <v>1992</v>
      </c>
      <c r="K21">
        <v>1992</v>
      </c>
      <c r="L21">
        <v>1992</v>
      </c>
      <c r="N21">
        <v>20</v>
      </c>
    </row>
    <row r="22" spans="1:14" x14ac:dyDescent="0.3">
      <c r="A22">
        <v>2001</v>
      </c>
      <c r="B22" t="s">
        <v>6665</v>
      </c>
      <c r="D22" t="s">
        <v>6656</v>
      </c>
      <c r="J22">
        <v>1996</v>
      </c>
      <c r="K22" s="109" t="s">
        <v>6698</v>
      </c>
      <c r="L22">
        <v>1996</v>
      </c>
      <c r="N22">
        <v>21</v>
      </c>
    </row>
    <row r="23" spans="1:14" x14ac:dyDescent="0.3">
      <c r="A23">
        <v>2003</v>
      </c>
      <c r="B23" t="s">
        <v>6661</v>
      </c>
      <c r="D23" t="s">
        <v>6665</v>
      </c>
      <c r="J23">
        <v>1999</v>
      </c>
      <c r="K23" t="s">
        <v>6699</v>
      </c>
      <c r="L23">
        <v>1999</v>
      </c>
      <c r="N23">
        <v>22</v>
      </c>
    </row>
    <row r="24" spans="1:14" x14ac:dyDescent="0.3">
      <c r="A24">
        <v>2006</v>
      </c>
      <c r="B24" t="s">
        <v>6653</v>
      </c>
      <c r="D24" t="s">
        <v>6661</v>
      </c>
      <c r="J24">
        <v>2001</v>
      </c>
      <c r="K24">
        <v>2001</v>
      </c>
      <c r="L24">
        <v>2001</v>
      </c>
      <c r="N24">
        <v>23</v>
      </c>
    </row>
    <row r="25" spans="1:14" x14ac:dyDescent="0.3">
      <c r="C25" s="96" t="s">
        <v>0</v>
      </c>
      <c r="J25">
        <v>2003</v>
      </c>
      <c r="K25">
        <v>2003</v>
      </c>
      <c r="L25">
        <v>2003</v>
      </c>
      <c r="N25">
        <v>24</v>
      </c>
    </row>
    <row r="26" spans="1:14" x14ac:dyDescent="0.3">
      <c r="C26" t="s">
        <v>2981</v>
      </c>
      <c r="J26">
        <v>2006</v>
      </c>
      <c r="K26">
        <v>2006</v>
      </c>
      <c r="L26">
        <v>2006</v>
      </c>
      <c r="N26">
        <v>25</v>
      </c>
    </row>
    <row r="27" spans="1:14" x14ac:dyDescent="0.3">
      <c r="C27" s="96" t="s">
        <v>1788</v>
      </c>
      <c r="J27" s="108">
        <v>2009</v>
      </c>
      <c r="K27">
        <v>2009</v>
      </c>
      <c r="L27" s="108">
        <v>2009</v>
      </c>
      <c r="N27">
        <v>26</v>
      </c>
    </row>
    <row r="28" spans="1:14" x14ac:dyDescent="0.3">
      <c r="C28" s="95">
        <v>2009</v>
      </c>
      <c r="J28" s="109">
        <v>2013</v>
      </c>
      <c r="K28">
        <v>2013</v>
      </c>
      <c r="L28" s="109">
        <v>2013</v>
      </c>
      <c r="N28">
        <v>27</v>
      </c>
    </row>
    <row r="29" spans="1:14" x14ac:dyDescent="0.3">
      <c r="C29" s="96">
        <v>2013</v>
      </c>
      <c r="J29" s="108">
        <v>2015</v>
      </c>
      <c r="K29" s="108">
        <v>2015</v>
      </c>
      <c r="L29" s="108">
        <v>2015</v>
      </c>
      <c r="N29">
        <v>28</v>
      </c>
    </row>
    <row r="30" spans="1:14" x14ac:dyDescent="0.3">
      <c r="C30" s="95">
        <v>2015</v>
      </c>
      <c r="J30" s="100">
        <v>43556</v>
      </c>
      <c r="K30" s="108" t="s">
        <v>6700</v>
      </c>
      <c r="L30" s="100">
        <v>43556</v>
      </c>
      <c r="M30">
        <v>1</v>
      </c>
      <c r="N30">
        <v>29</v>
      </c>
    </row>
    <row r="31" spans="1:14" x14ac:dyDescent="0.3">
      <c r="C31" s="95">
        <v>43556</v>
      </c>
      <c r="D31" s="97"/>
      <c r="H31" s="106">
        <v>43556</v>
      </c>
      <c r="J31" s="99">
        <v>43709</v>
      </c>
      <c r="K31" s="108" t="s">
        <v>6700</v>
      </c>
      <c r="L31" s="99">
        <v>43709</v>
      </c>
      <c r="M31">
        <v>2</v>
      </c>
      <c r="N31">
        <v>30</v>
      </c>
    </row>
    <row r="32" spans="1:14" x14ac:dyDescent="0.3">
      <c r="C32" s="96">
        <v>43709</v>
      </c>
      <c r="D32" s="97"/>
      <c r="H32" s="107">
        <v>43709</v>
      </c>
      <c r="J32" s="109">
        <v>2020</v>
      </c>
      <c r="K32" s="111" t="s">
        <v>6701</v>
      </c>
      <c r="L32" s="109">
        <v>2020</v>
      </c>
      <c r="M32">
        <v>3</v>
      </c>
      <c r="N32">
        <v>31</v>
      </c>
    </row>
    <row r="33" spans="3:14" x14ac:dyDescent="0.3">
      <c r="C33" s="96">
        <v>2020</v>
      </c>
      <c r="J33" s="108">
        <v>2021</v>
      </c>
      <c r="K33" s="112" t="s">
        <v>6702</v>
      </c>
      <c r="L33" s="108">
        <v>2021</v>
      </c>
      <c r="M33">
        <v>4</v>
      </c>
      <c r="N33">
        <v>32</v>
      </c>
    </row>
    <row r="34" spans="3:14" x14ac:dyDescent="0.3">
      <c r="C34" s="95">
        <v>2021</v>
      </c>
      <c r="J34" s="109">
        <v>2022</v>
      </c>
      <c r="K34" s="109" t="s">
        <v>6683</v>
      </c>
      <c r="L34" s="109">
        <v>2022</v>
      </c>
      <c r="N34">
        <v>33</v>
      </c>
    </row>
    <row r="35" spans="3:14" x14ac:dyDescent="0.3">
      <c r="C35" s="96">
        <v>2022</v>
      </c>
    </row>
  </sheetData>
  <dataConsolidate>
    <dataRefs count="1">
      <dataRef ref="A1:A1048576" sheet="survey_codes_dict"/>
    </dataRefs>
  </dataConsolidate>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1B8D4-987F-4632-B898-35E96A0B6637}">
  <sheetPr codeName="Sheet1"/>
  <dimension ref="A1:AN288"/>
  <sheetViews>
    <sheetView rightToLeft="1" tabSelected="1" workbookViewId="0">
      <pane xSplit="1" ySplit="1" topLeftCell="M2" activePane="bottomRight" state="frozen"/>
      <selection activeCell="A6" sqref="A6"/>
      <selection pane="topRight" activeCell="A6" sqref="A6"/>
      <selection pane="bottomLeft" activeCell="A6" sqref="A6"/>
      <selection pane="bottomRight" activeCell="P2" sqref="P2"/>
    </sheetView>
  </sheetViews>
  <sheetFormatPr defaultColWidth="8.77734375" defaultRowHeight="14.4" x14ac:dyDescent="0.3"/>
  <cols>
    <col min="1" max="1" width="52.77734375" style="2" customWidth="1"/>
    <col min="2" max="3" width="10" style="2" customWidth="1"/>
    <col min="4" max="4" width="11.77734375" style="2" customWidth="1"/>
    <col min="5" max="5" width="12.44140625" style="2" bestFit="1" customWidth="1"/>
    <col min="6" max="6" width="10.21875" style="2" customWidth="1"/>
    <col min="7" max="7" width="8.77734375" style="2" bestFit="1" customWidth="1"/>
    <col min="8" max="8" width="10.21875" style="1" customWidth="1"/>
    <col min="9" max="9" width="11.77734375" style="1" customWidth="1"/>
    <col min="10" max="15" width="8.77734375" style="1" customWidth="1"/>
    <col min="16" max="17" width="8.77734375" style="30" customWidth="1"/>
    <col min="18" max="34" width="8.77734375" style="1" customWidth="1"/>
    <col min="35" max="35" width="8.77734375" style="2"/>
    <col min="36" max="36" width="11" style="2" customWidth="1"/>
    <col min="37" max="37" width="8.77734375" style="2"/>
    <col min="38" max="38" width="10.5546875" style="2" bestFit="1" customWidth="1"/>
    <col min="39" max="39" width="8.77734375" style="2"/>
    <col min="40" max="40" width="16.109375" style="2" bestFit="1" customWidth="1"/>
    <col min="41" max="16384" width="8.77734375" style="2"/>
  </cols>
  <sheetData>
    <row r="1" spans="1:40" ht="15" thickBot="1" x14ac:dyDescent="0.35">
      <c r="A1" s="4" t="s">
        <v>0</v>
      </c>
      <c r="B1" s="4">
        <v>2022</v>
      </c>
      <c r="C1" s="4">
        <v>2021</v>
      </c>
      <c r="D1" s="4">
        <v>2020</v>
      </c>
      <c r="E1" s="9">
        <v>43709</v>
      </c>
      <c r="F1" s="9">
        <v>43556</v>
      </c>
      <c r="G1" s="1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6" t="s">
        <v>392</v>
      </c>
      <c r="B2" s="51" t="s">
        <v>392</v>
      </c>
      <c r="C2" s="51" t="s">
        <v>400</v>
      </c>
      <c r="D2" s="50" t="s">
        <v>393</v>
      </c>
      <c r="E2" s="50" t="s">
        <v>404</v>
      </c>
      <c r="F2" s="50" t="s">
        <v>400</v>
      </c>
      <c r="G2" s="52" t="s">
        <v>392</v>
      </c>
      <c r="H2" s="50" t="s">
        <v>393</v>
      </c>
      <c r="I2" s="3"/>
      <c r="J2" s="50" t="s">
        <v>872</v>
      </c>
      <c r="K2" s="50" t="s">
        <v>1149</v>
      </c>
      <c r="L2" s="50" t="s">
        <v>1207</v>
      </c>
      <c r="M2" s="50" t="s">
        <v>1262</v>
      </c>
      <c r="N2" s="3"/>
      <c r="O2" s="50" t="s">
        <v>1207</v>
      </c>
      <c r="P2" s="29" t="s">
        <v>1262</v>
      </c>
      <c r="Q2" s="29"/>
      <c r="R2" s="3"/>
      <c r="S2" s="3" t="s">
        <v>1262</v>
      </c>
      <c r="T2" s="3" t="s">
        <v>1262</v>
      </c>
      <c r="U2" s="3" t="s">
        <v>1262</v>
      </c>
      <c r="V2" s="3" t="s">
        <v>1262</v>
      </c>
      <c r="W2" s="3" t="s">
        <v>1262</v>
      </c>
      <c r="X2" s="3" t="s">
        <v>1262</v>
      </c>
      <c r="Y2" s="3" t="s">
        <v>1262</v>
      </c>
      <c r="Z2" s="3" t="s">
        <v>1262</v>
      </c>
      <c r="AA2" s="3" t="s">
        <v>1262</v>
      </c>
      <c r="AB2" s="3" t="s">
        <v>1262</v>
      </c>
      <c r="AC2" s="3" t="s">
        <v>1262</v>
      </c>
      <c r="AD2" s="3" t="s">
        <v>1262</v>
      </c>
      <c r="AE2" s="3" t="s">
        <v>1262</v>
      </c>
      <c r="AF2" s="50" t="s">
        <v>1962</v>
      </c>
      <c r="AG2" s="50" t="s">
        <v>1674</v>
      </c>
      <c r="AH2" s="3" t="s">
        <v>1207</v>
      </c>
      <c r="AJ2" s="2">
        <f>COUNTA(B2:AH2)</f>
        <v>29</v>
      </c>
      <c r="AL2" s="2">
        <f>COUNTA(F2:O2,R2:S2)</f>
        <v>9</v>
      </c>
      <c r="AN2" s="42">
        <f>COUNTIF(AL2:AL87,"&gt;=2")</f>
        <v>43</v>
      </c>
    </row>
    <row r="3" spans="1:40" x14ac:dyDescent="0.3">
      <c r="A3" s="6" t="s">
        <v>394</v>
      </c>
      <c r="B3" s="6" t="s">
        <v>395</v>
      </c>
      <c r="C3" s="6" t="s">
        <v>395</v>
      </c>
      <c r="D3" s="50" t="s">
        <v>395</v>
      </c>
      <c r="E3" s="50" t="s">
        <v>405</v>
      </c>
      <c r="F3" s="3" t="s">
        <v>395</v>
      </c>
      <c r="G3" s="15" t="s">
        <v>395</v>
      </c>
      <c r="H3" s="53" t="s">
        <v>395</v>
      </c>
      <c r="L3" s="54" t="s">
        <v>1005</v>
      </c>
      <c r="M3" s="53" t="s">
        <v>1456</v>
      </c>
      <c r="N3" s="53" t="s">
        <v>1669</v>
      </c>
      <c r="O3" s="53" t="s">
        <v>1406</v>
      </c>
      <c r="Q3" s="53" t="s">
        <v>1512</v>
      </c>
      <c r="R3" s="53" t="s">
        <v>2234</v>
      </c>
      <c r="U3" s="53" t="s">
        <v>2511</v>
      </c>
      <c r="Z3" s="53" t="s">
        <v>1263</v>
      </c>
      <c r="AA3" s="53" t="s">
        <v>2728</v>
      </c>
      <c r="AB3" s="53" t="s">
        <v>2214</v>
      </c>
      <c r="AF3" s="53" t="s">
        <v>1092</v>
      </c>
      <c r="AG3" s="1" t="s">
        <v>1486</v>
      </c>
      <c r="AJ3" s="2">
        <f>COUNTA(B3:AH3)</f>
        <v>19</v>
      </c>
      <c r="AL3" s="2">
        <f>COUNTA(F3:O3,R3:S3)</f>
        <v>8</v>
      </c>
    </row>
    <row r="4" spans="1:40" x14ac:dyDescent="0.3">
      <c r="A4" s="6" t="s">
        <v>396</v>
      </c>
      <c r="B4" s="6" t="s">
        <v>397</v>
      </c>
      <c r="C4" s="6" t="s">
        <v>397</v>
      </c>
      <c r="D4" s="50" t="s">
        <v>397</v>
      </c>
      <c r="E4" s="50" t="s">
        <v>408</v>
      </c>
      <c r="F4" s="50" t="s">
        <v>397</v>
      </c>
      <c r="G4" s="52" t="s">
        <v>569</v>
      </c>
      <c r="H4" s="53" t="s">
        <v>676</v>
      </c>
      <c r="AJ4" s="2">
        <f t="shared" ref="AJ4:AJ67" si="0">COUNTA(B4:AH4)</f>
        <v>7</v>
      </c>
      <c r="AL4" s="2">
        <f t="shared" ref="AL4:AL67" si="1">COUNTA(F4:O4,R4:S4)</f>
        <v>3</v>
      </c>
    </row>
    <row r="5" spans="1:40" x14ac:dyDescent="0.3">
      <c r="A5" s="5" t="s">
        <v>2786</v>
      </c>
      <c r="B5" s="5"/>
      <c r="C5" s="5"/>
      <c r="D5" s="1"/>
      <c r="E5" s="1"/>
      <c r="F5" s="1"/>
      <c r="G5" s="55" t="s">
        <v>568</v>
      </c>
      <c r="H5" s="53" t="s">
        <v>674</v>
      </c>
      <c r="I5" s="53" t="s">
        <v>837</v>
      </c>
      <c r="J5" s="53" t="s">
        <v>1114</v>
      </c>
      <c r="K5" s="53" t="s">
        <v>1046</v>
      </c>
      <c r="L5" s="53" t="s">
        <v>1003</v>
      </c>
      <c r="M5" s="53" t="s">
        <v>1076</v>
      </c>
      <c r="N5" s="53" t="s">
        <v>1670</v>
      </c>
      <c r="O5" s="53" t="s">
        <v>1402</v>
      </c>
      <c r="Q5" s="53" t="s">
        <v>1509</v>
      </c>
      <c r="R5" s="53" t="s">
        <v>2233</v>
      </c>
      <c r="S5" s="53" t="s">
        <v>933</v>
      </c>
      <c r="T5" s="53" t="s">
        <v>2412</v>
      </c>
      <c r="U5" s="53" t="s">
        <v>2512</v>
      </c>
      <c r="V5" s="53" t="s">
        <v>674</v>
      </c>
      <c r="Z5" s="53" t="s">
        <v>1779</v>
      </c>
      <c r="AA5" s="53" t="s">
        <v>2727</v>
      </c>
      <c r="AB5" s="53" t="s">
        <v>2213</v>
      </c>
      <c r="AF5" s="53" t="s">
        <v>1091</v>
      </c>
      <c r="AG5" s="1" t="s">
        <v>1147</v>
      </c>
      <c r="AJ5" s="2">
        <f t="shared" si="0"/>
        <v>20</v>
      </c>
      <c r="AL5" s="2">
        <f t="shared" si="1"/>
        <v>11</v>
      </c>
    </row>
    <row r="6" spans="1:40" x14ac:dyDescent="0.3">
      <c r="A6" s="6" t="s">
        <v>398</v>
      </c>
      <c r="B6" s="6" t="s">
        <v>399</v>
      </c>
      <c r="C6" s="6" t="s">
        <v>399</v>
      </c>
      <c r="D6" s="56" t="s">
        <v>399</v>
      </c>
      <c r="E6" s="3" t="s">
        <v>407</v>
      </c>
      <c r="F6" s="50" t="s">
        <v>403</v>
      </c>
      <c r="G6" s="52" t="s">
        <v>559</v>
      </c>
      <c r="H6" s="53" t="s">
        <v>675</v>
      </c>
      <c r="I6" s="53" t="s">
        <v>838</v>
      </c>
      <c r="M6" s="1" t="s">
        <v>1671</v>
      </c>
      <c r="AJ6" s="2">
        <f t="shared" si="0"/>
        <v>9</v>
      </c>
      <c r="AL6" s="2">
        <f t="shared" si="1"/>
        <v>5</v>
      </c>
    </row>
    <row r="7" spans="1:40" x14ac:dyDescent="0.3">
      <c r="A7" s="6" t="s">
        <v>839</v>
      </c>
      <c r="B7" s="6"/>
      <c r="C7" s="6"/>
      <c r="D7" s="3"/>
      <c r="E7" s="3"/>
      <c r="F7" s="3"/>
      <c r="G7" s="15"/>
      <c r="I7" s="53" t="s">
        <v>840</v>
      </c>
      <c r="Q7" s="53" t="s">
        <v>1098</v>
      </c>
      <c r="R7" s="1" t="s">
        <v>2235</v>
      </c>
      <c r="AJ7" s="2">
        <f t="shared" si="0"/>
        <v>3</v>
      </c>
      <c r="AL7" s="2">
        <f t="shared" si="1"/>
        <v>2</v>
      </c>
    </row>
    <row r="8" spans="1:40" x14ac:dyDescent="0.3">
      <c r="A8" s="6" t="s">
        <v>401</v>
      </c>
      <c r="B8" s="51" t="s">
        <v>3292</v>
      </c>
      <c r="C8" s="6"/>
      <c r="D8" s="3"/>
      <c r="E8" s="50" t="s">
        <v>406</v>
      </c>
      <c r="F8" s="57" t="s">
        <v>402</v>
      </c>
      <c r="G8" s="15" t="s">
        <v>402</v>
      </c>
      <c r="H8" s="1" t="s">
        <v>402</v>
      </c>
      <c r="I8" s="54" t="s">
        <v>402</v>
      </c>
      <c r="J8" s="53" t="s">
        <v>1115</v>
      </c>
      <c r="K8" s="1" t="s">
        <v>1206</v>
      </c>
      <c r="AJ8" s="2">
        <f t="shared" si="0"/>
        <v>8</v>
      </c>
      <c r="AL8" s="2">
        <f t="shared" si="1"/>
        <v>6</v>
      </c>
    </row>
    <row r="9" spans="1:40" ht="28.8" x14ac:dyDescent="0.3">
      <c r="A9" s="6" t="s">
        <v>1261</v>
      </c>
      <c r="B9" s="58" t="s">
        <v>3293</v>
      </c>
      <c r="C9" s="6"/>
      <c r="D9" s="3"/>
      <c r="E9" s="3"/>
      <c r="F9" s="3"/>
      <c r="G9" s="15"/>
      <c r="L9" s="1" t="s">
        <v>1009</v>
      </c>
      <c r="AJ9" s="2">
        <f t="shared" si="0"/>
        <v>2</v>
      </c>
      <c r="AL9" s="2">
        <f t="shared" si="1"/>
        <v>1</v>
      </c>
    </row>
    <row r="10" spans="1:40" x14ac:dyDescent="0.3">
      <c r="A10" s="6" t="s">
        <v>1446</v>
      </c>
      <c r="B10" s="6" t="s">
        <v>1</v>
      </c>
      <c r="C10" s="6" t="s">
        <v>1</v>
      </c>
      <c r="D10" s="3" t="s">
        <v>1</v>
      </c>
      <c r="E10" s="3"/>
      <c r="F10" s="3" t="s">
        <v>1</v>
      </c>
      <c r="G10" s="15" t="s">
        <v>1</v>
      </c>
      <c r="H10" s="53" t="s">
        <v>1</v>
      </c>
      <c r="I10" s="53" t="s">
        <v>705</v>
      </c>
      <c r="J10" s="53" t="s">
        <v>1089</v>
      </c>
      <c r="K10" s="53" t="s">
        <v>1197</v>
      </c>
      <c r="L10" s="53" t="s">
        <v>1258</v>
      </c>
      <c r="M10" s="53" t="s">
        <v>363</v>
      </c>
      <c r="N10" s="53" t="s">
        <v>1643</v>
      </c>
      <c r="O10" s="53" t="s">
        <v>1394</v>
      </c>
      <c r="P10" s="53" t="s">
        <v>968</v>
      </c>
      <c r="Q10" s="53" t="s">
        <v>1091</v>
      </c>
      <c r="R10" s="53" t="s">
        <v>2226</v>
      </c>
      <c r="S10" s="53" t="s">
        <v>922</v>
      </c>
      <c r="T10" s="53" t="s">
        <v>2388</v>
      </c>
      <c r="U10" s="53" t="s">
        <v>2501</v>
      </c>
      <c r="V10" s="53" t="s">
        <v>148</v>
      </c>
      <c r="W10" s="54" t="s">
        <v>1059</v>
      </c>
      <c r="X10" s="53" t="s">
        <v>976</v>
      </c>
      <c r="Y10" s="53" t="s">
        <v>889</v>
      </c>
      <c r="Z10" s="53" t="s">
        <v>133</v>
      </c>
      <c r="AA10" s="53" t="s">
        <v>2722</v>
      </c>
      <c r="AB10" s="54" t="s">
        <v>2208</v>
      </c>
      <c r="AC10" s="53" t="s">
        <v>2020</v>
      </c>
      <c r="AD10" s="53" t="s">
        <v>2952</v>
      </c>
      <c r="AE10" s="53" t="s">
        <v>980</v>
      </c>
      <c r="AF10" s="53" t="s">
        <v>1068</v>
      </c>
      <c r="AG10" s="53" t="s">
        <v>1120</v>
      </c>
      <c r="AH10" s="1" t="s">
        <v>3139</v>
      </c>
      <c r="AJ10" s="2">
        <f t="shared" si="0"/>
        <v>32</v>
      </c>
      <c r="AL10" s="2">
        <f t="shared" si="1"/>
        <v>12</v>
      </c>
    </row>
    <row r="11" spans="1:40" x14ac:dyDescent="0.3">
      <c r="A11" s="6" t="s">
        <v>1672</v>
      </c>
      <c r="B11" s="6"/>
      <c r="C11" s="6"/>
      <c r="D11" s="3"/>
      <c r="E11" s="3"/>
      <c r="F11" s="3"/>
      <c r="G11" s="15"/>
      <c r="N11" s="1" t="s">
        <v>1673</v>
      </c>
      <c r="AJ11" s="2">
        <f t="shared" si="0"/>
        <v>1</v>
      </c>
      <c r="AL11" s="2">
        <f t="shared" si="1"/>
        <v>1</v>
      </c>
    </row>
    <row r="12" spans="1:40" x14ac:dyDescent="0.3">
      <c r="A12" s="1" t="s">
        <v>2</v>
      </c>
      <c r="B12" s="53" t="s">
        <v>613</v>
      </c>
      <c r="C12" s="1" t="s">
        <v>3</v>
      </c>
      <c r="D12" s="59" t="s">
        <v>3</v>
      </c>
      <c r="E12" s="1"/>
      <c r="F12" s="1" t="s">
        <v>3</v>
      </c>
      <c r="G12" s="55" t="s">
        <v>3</v>
      </c>
      <c r="H12" s="53" t="s">
        <v>613</v>
      </c>
      <c r="I12" s="1" t="s">
        <v>706</v>
      </c>
      <c r="AJ12" s="2">
        <f t="shared" si="0"/>
        <v>7</v>
      </c>
      <c r="AL12" s="2">
        <f t="shared" si="1"/>
        <v>4</v>
      </c>
    </row>
    <row r="13" spans="1:40" x14ac:dyDescent="0.3">
      <c r="A13" s="1" t="s">
        <v>2565</v>
      </c>
      <c r="B13" s="53" t="s">
        <v>409</v>
      </c>
      <c r="C13" s="1" t="s">
        <v>4</v>
      </c>
      <c r="D13" s="59" t="s">
        <v>4</v>
      </c>
      <c r="E13" s="1"/>
      <c r="F13" s="53" t="s">
        <v>4</v>
      </c>
      <c r="G13" s="16" t="s">
        <v>409</v>
      </c>
      <c r="H13" s="53" t="s">
        <v>409</v>
      </c>
      <c r="I13" s="53" t="s">
        <v>707</v>
      </c>
      <c r="J13" s="53" t="s">
        <v>1113</v>
      </c>
      <c r="K13" s="53" t="s">
        <v>2073</v>
      </c>
      <c r="L13" s="53" t="s">
        <v>1002</v>
      </c>
      <c r="M13" s="54" t="s">
        <v>1455</v>
      </c>
      <c r="N13" s="54" t="s">
        <v>1642</v>
      </c>
      <c r="O13" s="54" t="s">
        <v>1405</v>
      </c>
      <c r="P13" s="53" t="s">
        <v>1735</v>
      </c>
      <c r="R13" s="53" t="s">
        <v>3231</v>
      </c>
      <c r="S13" s="53" t="s">
        <v>926</v>
      </c>
      <c r="T13" s="54" t="s">
        <v>2389</v>
      </c>
      <c r="U13" s="53" t="s">
        <v>2497</v>
      </c>
      <c r="V13" s="53" t="s">
        <v>60</v>
      </c>
      <c r="W13" s="53" t="s">
        <v>362</v>
      </c>
      <c r="X13" s="53" t="s">
        <v>1250</v>
      </c>
      <c r="Y13" s="53" t="s">
        <v>878</v>
      </c>
      <c r="Z13" s="53" t="s">
        <v>127</v>
      </c>
      <c r="AA13" s="53" t="s">
        <v>2715</v>
      </c>
      <c r="AB13" s="53" t="s">
        <v>2783</v>
      </c>
      <c r="AC13" s="53" t="s">
        <v>2015</v>
      </c>
      <c r="AD13" s="53" t="s">
        <v>2951</v>
      </c>
      <c r="AE13" s="53" t="s">
        <v>979</v>
      </c>
      <c r="AF13" s="53" t="s">
        <v>367</v>
      </c>
      <c r="AG13" s="53" t="s">
        <v>1462</v>
      </c>
      <c r="AH13" s="1" t="s">
        <v>1514</v>
      </c>
      <c r="AJ13" s="2">
        <f t="shared" si="0"/>
        <v>31</v>
      </c>
      <c r="AL13" s="2">
        <f t="shared" si="1"/>
        <v>12</v>
      </c>
    </row>
    <row r="14" spans="1:40" x14ac:dyDescent="0.3">
      <c r="A14" s="1" t="s">
        <v>5</v>
      </c>
      <c r="B14" s="1" t="s">
        <v>6</v>
      </c>
      <c r="C14" s="1" t="s">
        <v>6</v>
      </c>
      <c r="D14" s="59" t="s">
        <v>6</v>
      </c>
      <c r="E14" s="1"/>
      <c r="F14" s="53" t="s">
        <v>6</v>
      </c>
      <c r="G14" s="55" t="s">
        <v>553</v>
      </c>
      <c r="H14" s="1" t="s">
        <v>150</v>
      </c>
      <c r="AJ14" s="2">
        <f t="shared" si="0"/>
        <v>6</v>
      </c>
      <c r="AL14" s="2">
        <f t="shared" si="1"/>
        <v>3</v>
      </c>
    </row>
    <row r="15" spans="1:40" x14ac:dyDescent="0.3">
      <c r="A15" s="5" t="s">
        <v>1647</v>
      </c>
      <c r="B15" s="5"/>
      <c r="C15" s="5"/>
      <c r="D15" s="1"/>
      <c r="E15" s="1"/>
      <c r="F15" s="1"/>
      <c r="G15" s="55" t="s">
        <v>552</v>
      </c>
      <c r="H15" s="53" t="s">
        <v>557</v>
      </c>
      <c r="I15" s="53" t="s">
        <v>827</v>
      </c>
      <c r="J15" s="53" t="s">
        <v>1103</v>
      </c>
      <c r="K15" s="53" t="s">
        <v>1201</v>
      </c>
      <c r="L15" s="53" t="s">
        <v>993</v>
      </c>
      <c r="M15" s="53" t="s">
        <v>366</v>
      </c>
      <c r="N15" s="53" t="s">
        <v>1646</v>
      </c>
      <c r="O15" s="53" t="s">
        <v>1395</v>
      </c>
      <c r="P15" s="53" t="s">
        <v>1714</v>
      </c>
      <c r="Q15" s="53" t="s">
        <v>1505</v>
      </c>
      <c r="R15" s="53" t="s">
        <v>2227</v>
      </c>
      <c r="S15" s="54" t="s">
        <v>921</v>
      </c>
      <c r="T15" s="53" t="s">
        <v>2390</v>
      </c>
      <c r="U15" s="53" t="s">
        <v>2498</v>
      </c>
      <c r="V15" s="53" t="s">
        <v>557</v>
      </c>
      <c r="W15" s="53" t="s">
        <v>363</v>
      </c>
      <c r="X15" s="53" t="s">
        <v>974</v>
      </c>
      <c r="Y15" s="53" t="s">
        <v>879</v>
      </c>
      <c r="Z15" s="53" t="s">
        <v>283</v>
      </c>
      <c r="AA15" s="53" t="s">
        <v>2721</v>
      </c>
      <c r="AB15" s="53" t="s">
        <v>2785</v>
      </c>
      <c r="AC15" s="53" t="s">
        <v>2016</v>
      </c>
      <c r="AE15" s="53" t="s">
        <v>981</v>
      </c>
      <c r="AF15" s="53" t="s">
        <v>1069</v>
      </c>
      <c r="AG15" s="53" t="s">
        <v>1125</v>
      </c>
      <c r="AH15" s="1" t="s">
        <v>3140</v>
      </c>
      <c r="AJ15" s="2">
        <f t="shared" si="0"/>
        <v>27</v>
      </c>
      <c r="AL15" s="2">
        <f t="shared" si="1"/>
        <v>11</v>
      </c>
    </row>
    <row r="16" spans="1:40" x14ac:dyDescent="0.3">
      <c r="A16" s="1" t="s">
        <v>7</v>
      </c>
      <c r="B16" s="53" t="s">
        <v>3234</v>
      </c>
      <c r="C16" s="1"/>
      <c r="D16" s="59" t="s">
        <v>8</v>
      </c>
      <c r="E16" s="1"/>
      <c r="F16" s="1" t="s">
        <v>8</v>
      </c>
      <c r="G16" s="16" t="s">
        <v>8</v>
      </c>
      <c r="H16" s="1" t="s">
        <v>8</v>
      </c>
      <c r="I16" s="1" t="s">
        <v>8</v>
      </c>
      <c r="AJ16" s="2">
        <f t="shared" si="0"/>
        <v>6</v>
      </c>
      <c r="AL16" s="2">
        <f t="shared" si="1"/>
        <v>4</v>
      </c>
    </row>
    <row r="17" spans="1:38" x14ac:dyDescent="0.3">
      <c r="A17" s="1" t="s">
        <v>538</v>
      </c>
      <c r="B17" s="1"/>
      <c r="C17" s="1"/>
      <c r="D17" s="1"/>
      <c r="E17" s="1"/>
      <c r="F17" s="1"/>
      <c r="G17" s="55" t="s">
        <v>59</v>
      </c>
      <c r="I17" s="53" t="s">
        <v>820</v>
      </c>
      <c r="J17" s="53" t="s">
        <v>1091</v>
      </c>
      <c r="AF17" s="54" t="s">
        <v>1082</v>
      </c>
      <c r="AG17" s="53" t="s">
        <v>1116</v>
      </c>
      <c r="AH17" s="1" t="s">
        <v>1516</v>
      </c>
      <c r="AJ17" s="2">
        <f t="shared" si="0"/>
        <v>6</v>
      </c>
      <c r="AL17" s="2">
        <f t="shared" si="1"/>
        <v>3</v>
      </c>
    </row>
    <row r="18" spans="1:38" x14ac:dyDescent="0.3">
      <c r="A18" s="1" t="s">
        <v>2295</v>
      </c>
      <c r="B18" s="1" t="s">
        <v>146</v>
      </c>
      <c r="C18" s="1" t="s">
        <v>146</v>
      </c>
      <c r="D18" s="54" t="s">
        <v>146</v>
      </c>
      <c r="E18" s="1"/>
      <c r="F18" s="54" t="s">
        <v>296</v>
      </c>
      <c r="G18" s="55" t="s">
        <v>289</v>
      </c>
      <c r="H18" s="53" t="s">
        <v>300</v>
      </c>
      <c r="K18" s="53" t="s">
        <v>1199</v>
      </c>
      <c r="L18" s="54" t="s">
        <v>988</v>
      </c>
      <c r="M18" s="53" t="s">
        <v>1449</v>
      </c>
      <c r="N18" s="53" t="s">
        <v>1644</v>
      </c>
      <c r="O18" s="53" t="s">
        <v>1382</v>
      </c>
      <c r="P18" s="53" t="s">
        <v>970</v>
      </c>
      <c r="Q18" s="53" t="s">
        <v>1079</v>
      </c>
      <c r="R18" s="53" t="s">
        <v>2214</v>
      </c>
      <c r="S18" s="53" t="s">
        <v>918</v>
      </c>
      <c r="T18" s="54" t="s">
        <v>2391</v>
      </c>
      <c r="U18" s="53" t="s">
        <v>2507</v>
      </c>
      <c r="V18" s="53" t="s">
        <v>150</v>
      </c>
      <c r="W18" s="53" t="s">
        <v>900</v>
      </c>
      <c r="X18" s="53" t="s">
        <v>1180</v>
      </c>
      <c r="Y18" s="53" t="s">
        <v>894</v>
      </c>
      <c r="Z18" s="53" t="s">
        <v>545</v>
      </c>
      <c r="AA18" s="53" t="s">
        <v>2726</v>
      </c>
      <c r="AB18" s="53" t="s">
        <v>2212</v>
      </c>
      <c r="AC18" s="53" t="s">
        <v>2025</v>
      </c>
      <c r="AD18" s="53" t="s">
        <v>2954</v>
      </c>
      <c r="AE18" s="53" t="s">
        <v>993</v>
      </c>
      <c r="AF18" s="54" t="s">
        <v>1084</v>
      </c>
      <c r="AG18" s="53" t="s">
        <v>1118</v>
      </c>
      <c r="AH18" s="1" t="s">
        <v>1517</v>
      </c>
      <c r="AJ18" s="2">
        <f t="shared" si="0"/>
        <v>30</v>
      </c>
      <c r="AL18" s="2">
        <f t="shared" si="1"/>
        <v>10</v>
      </c>
    </row>
    <row r="19" spans="1:38" x14ac:dyDescent="0.3">
      <c r="A19" s="1" t="s">
        <v>147</v>
      </c>
      <c r="B19" s="1" t="s">
        <v>148</v>
      </c>
      <c r="C19" s="1" t="s">
        <v>148</v>
      </c>
      <c r="D19" s="1" t="s">
        <v>148</v>
      </c>
      <c r="E19" s="1"/>
      <c r="F19" s="53" t="s">
        <v>148</v>
      </c>
      <c r="G19" s="55" t="s">
        <v>290</v>
      </c>
      <c r="H19" s="53" t="s">
        <v>148</v>
      </c>
      <c r="I19" s="53" t="s">
        <v>821</v>
      </c>
      <c r="J19" s="53" t="s">
        <v>1092</v>
      </c>
      <c r="K19" s="53" t="s">
        <v>1200</v>
      </c>
      <c r="L19" s="53" t="s">
        <v>990</v>
      </c>
      <c r="M19" s="53" t="s">
        <v>1067</v>
      </c>
      <c r="N19" s="53" t="s">
        <v>1645</v>
      </c>
      <c r="O19" s="53" t="s">
        <v>1385</v>
      </c>
      <c r="P19" s="53" t="s">
        <v>1713</v>
      </c>
      <c r="Q19" s="54" t="s">
        <v>1080</v>
      </c>
      <c r="R19" s="53" t="s">
        <v>2215</v>
      </c>
      <c r="S19" s="53" t="s">
        <v>919</v>
      </c>
      <c r="T19" s="54" t="s">
        <v>2392</v>
      </c>
      <c r="U19" s="53" t="s">
        <v>2508</v>
      </c>
      <c r="V19" s="53" t="s">
        <v>558</v>
      </c>
      <c r="W19" s="53" t="s">
        <v>1068</v>
      </c>
      <c r="X19" s="53" t="s">
        <v>979</v>
      </c>
      <c r="Y19" s="53" t="s">
        <v>895</v>
      </c>
      <c r="Z19" s="53" t="s">
        <v>547</v>
      </c>
      <c r="AE19" s="53" t="s">
        <v>994</v>
      </c>
      <c r="AF19" s="53" t="s">
        <v>1079</v>
      </c>
      <c r="AG19" s="53" t="s">
        <v>1124</v>
      </c>
      <c r="AH19" s="1" t="s">
        <v>1109</v>
      </c>
      <c r="AJ19" s="2">
        <f t="shared" si="0"/>
        <v>28</v>
      </c>
      <c r="AL19" s="2">
        <f t="shared" si="1"/>
        <v>12</v>
      </c>
    </row>
    <row r="20" spans="1:38" x14ac:dyDescent="0.3">
      <c r="A20" s="1" t="s">
        <v>1450</v>
      </c>
      <c r="B20" s="54" t="s">
        <v>296</v>
      </c>
      <c r="C20" s="1"/>
      <c r="D20" s="59" t="s">
        <v>60</v>
      </c>
      <c r="E20" s="1"/>
      <c r="F20" s="53" t="s">
        <v>60</v>
      </c>
      <c r="G20" s="55" t="s">
        <v>539</v>
      </c>
      <c r="N20" s="54" t="s">
        <v>1641</v>
      </c>
      <c r="O20" s="54" t="s">
        <v>1380</v>
      </c>
      <c r="P20" s="54" t="s">
        <v>969</v>
      </c>
      <c r="Q20" s="54" t="s">
        <v>1078</v>
      </c>
      <c r="R20" s="53" t="s">
        <v>2213</v>
      </c>
      <c r="S20" s="1" t="s">
        <v>917</v>
      </c>
      <c r="AJ20" s="2">
        <f t="shared" si="0"/>
        <v>10</v>
      </c>
      <c r="AL20" s="2">
        <f t="shared" si="1"/>
        <v>6</v>
      </c>
    </row>
    <row r="21" spans="1:38" x14ac:dyDescent="0.3">
      <c r="A21" s="1" t="s">
        <v>1259</v>
      </c>
      <c r="B21" s="1"/>
      <c r="C21" s="1"/>
      <c r="D21" s="1"/>
      <c r="E21" s="1"/>
      <c r="F21" s="1"/>
      <c r="G21" s="16"/>
      <c r="L21" s="1" t="s">
        <v>992</v>
      </c>
      <c r="AJ21" s="2">
        <f t="shared" si="0"/>
        <v>1</v>
      </c>
      <c r="AL21" s="2">
        <f t="shared" si="1"/>
        <v>1</v>
      </c>
    </row>
    <row r="22" spans="1:38" x14ac:dyDescent="0.3">
      <c r="A22" s="1" t="s">
        <v>805</v>
      </c>
      <c r="B22" s="54" t="s">
        <v>3271</v>
      </c>
      <c r="C22" s="1"/>
      <c r="D22" s="1"/>
      <c r="E22" s="1"/>
      <c r="F22" s="1"/>
      <c r="G22" s="16"/>
      <c r="I22" s="54" t="s">
        <v>770</v>
      </c>
      <c r="J22" s="53" t="s">
        <v>1082</v>
      </c>
      <c r="L22" s="54" t="s">
        <v>984</v>
      </c>
      <c r="M22" s="54" t="s">
        <v>1447</v>
      </c>
      <c r="N22" s="1" t="s">
        <v>1637</v>
      </c>
      <c r="AJ22" s="2">
        <f t="shared" si="0"/>
        <v>6</v>
      </c>
      <c r="AL22" s="2">
        <f t="shared" si="1"/>
        <v>5</v>
      </c>
    </row>
    <row r="23" spans="1:38" x14ac:dyDescent="0.3">
      <c r="A23" s="1" t="s">
        <v>806</v>
      </c>
      <c r="B23" s="54" t="s">
        <v>3272</v>
      </c>
      <c r="C23" s="1"/>
      <c r="D23" s="1"/>
      <c r="E23" s="1"/>
      <c r="F23" s="1"/>
      <c r="G23" s="16"/>
      <c r="I23" s="54" t="s">
        <v>809</v>
      </c>
      <c r="J23" s="53" t="s">
        <v>1083</v>
      </c>
      <c r="L23" s="54" t="s">
        <v>985</v>
      </c>
      <c r="M23" s="54" t="s">
        <v>1448</v>
      </c>
      <c r="N23" s="1" t="s">
        <v>1638</v>
      </c>
      <c r="AJ23" s="2">
        <f t="shared" si="0"/>
        <v>6</v>
      </c>
      <c r="AL23" s="2">
        <f t="shared" si="1"/>
        <v>5</v>
      </c>
    </row>
    <row r="24" spans="1:38" x14ac:dyDescent="0.3">
      <c r="A24" s="1" t="s">
        <v>807</v>
      </c>
      <c r="B24" s="54" t="s">
        <v>3273</v>
      </c>
      <c r="C24" s="1"/>
      <c r="D24" s="1"/>
      <c r="E24" s="1"/>
      <c r="F24" s="1"/>
      <c r="G24" s="16"/>
      <c r="I24" s="54" t="s">
        <v>810</v>
      </c>
      <c r="J24" s="53" t="s">
        <v>1084</v>
      </c>
      <c r="L24" s="54" t="s">
        <v>986</v>
      </c>
      <c r="M24" s="54" t="s">
        <v>1059</v>
      </c>
      <c r="N24" s="1" t="s">
        <v>1639</v>
      </c>
      <c r="AJ24" s="2">
        <f t="shared" si="0"/>
        <v>6</v>
      </c>
      <c r="AL24" s="2">
        <f t="shared" si="1"/>
        <v>5</v>
      </c>
    </row>
    <row r="25" spans="1:38" x14ac:dyDescent="0.3">
      <c r="A25" s="1" t="s">
        <v>808</v>
      </c>
      <c r="B25" s="1"/>
      <c r="C25" s="1"/>
      <c r="D25" s="1"/>
      <c r="E25" s="1"/>
      <c r="F25" s="1"/>
      <c r="G25" s="16"/>
      <c r="I25" s="54" t="s">
        <v>811</v>
      </c>
      <c r="J25" s="53" t="s">
        <v>1085</v>
      </c>
      <c r="L25" s="54" t="s">
        <v>987</v>
      </c>
      <c r="M25" s="54" t="s">
        <v>365</v>
      </c>
      <c r="N25" s="1" t="s">
        <v>1640</v>
      </c>
      <c r="AJ25" s="2">
        <f t="shared" si="0"/>
        <v>5</v>
      </c>
      <c r="AL25" s="2">
        <f t="shared" si="1"/>
        <v>5</v>
      </c>
    </row>
    <row r="26" spans="1:38" ht="28.8" x14ac:dyDescent="0.3">
      <c r="A26" s="5" t="s">
        <v>149</v>
      </c>
      <c r="B26" s="5" t="s">
        <v>150</v>
      </c>
      <c r="C26" s="5" t="s">
        <v>150</v>
      </c>
      <c r="D26" s="59" t="s">
        <v>150</v>
      </c>
      <c r="E26" s="1"/>
      <c r="F26" s="53" t="s">
        <v>150</v>
      </c>
      <c r="G26" s="55" t="s">
        <v>293</v>
      </c>
      <c r="H26" s="1" t="s">
        <v>558</v>
      </c>
      <c r="AJ26" s="2">
        <f t="shared" si="0"/>
        <v>6</v>
      </c>
      <c r="AL26" s="2">
        <f t="shared" si="1"/>
        <v>3</v>
      </c>
    </row>
    <row r="27" spans="1:38" ht="28.8" x14ac:dyDescent="0.3">
      <c r="A27" s="5" t="s">
        <v>152</v>
      </c>
      <c r="B27" s="5" t="s">
        <v>151</v>
      </c>
      <c r="C27" s="5" t="s">
        <v>151</v>
      </c>
      <c r="D27" s="59" t="s">
        <v>151</v>
      </c>
      <c r="E27" s="1"/>
      <c r="F27" s="53" t="s">
        <v>151</v>
      </c>
      <c r="G27" s="55" t="s">
        <v>148</v>
      </c>
      <c r="I27" s="54" t="s">
        <v>772</v>
      </c>
      <c r="J27" s="53" t="s">
        <v>1106</v>
      </c>
      <c r="K27" s="53" t="s">
        <v>1202</v>
      </c>
      <c r="L27" s="53" t="s">
        <v>996</v>
      </c>
      <c r="M27" s="53" t="s">
        <v>1068</v>
      </c>
      <c r="N27" s="53" t="s">
        <v>1655</v>
      </c>
      <c r="O27" s="53" t="s">
        <v>1400</v>
      </c>
      <c r="P27" s="53" t="s">
        <v>1720</v>
      </c>
      <c r="Q27" s="53" t="s">
        <v>1510</v>
      </c>
      <c r="R27" s="53" t="s">
        <v>2231</v>
      </c>
      <c r="S27" s="1" t="s">
        <v>923</v>
      </c>
      <c r="AJ27" s="2">
        <f t="shared" si="0"/>
        <v>16</v>
      </c>
      <c r="AL27" s="2">
        <f t="shared" si="1"/>
        <v>11</v>
      </c>
    </row>
    <row r="28" spans="1:38" x14ac:dyDescent="0.3">
      <c r="A28" s="5" t="s">
        <v>2410</v>
      </c>
      <c r="B28" s="5"/>
      <c r="C28" s="5"/>
      <c r="D28" s="1"/>
      <c r="E28" s="1"/>
      <c r="F28" s="1"/>
      <c r="G28" s="16"/>
      <c r="T28" s="54" t="s">
        <v>2411</v>
      </c>
      <c r="V28" s="1" t="s">
        <v>673</v>
      </c>
      <c r="AJ28" s="2">
        <f t="shared" si="0"/>
        <v>2</v>
      </c>
      <c r="AL28" s="2">
        <f t="shared" si="1"/>
        <v>0</v>
      </c>
    </row>
    <row r="29" spans="1:38" x14ac:dyDescent="0.3">
      <c r="A29" s="5" t="s">
        <v>153</v>
      </c>
      <c r="B29" s="5" t="s">
        <v>154</v>
      </c>
      <c r="C29" s="5" t="s">
        <v>154</v>
      </c>
      <c r="D29" s="1" t="s">
        <v>154</v>
      </c>
      <c r="E29" s="1"/>
      <c r="F29" s="53" t="s">
        <v>154</v>
      </c>
      <c r="G29" s="55" t="s">
        <v>60</v>
      </c>
      <c r="H29" s="53" t="s">
        <v>568</v>
      </c>
      <c r="I29" s="53" t="s">
        <v>831</v>
      </c>
      <c r="J29" s="53" t="s">
        <v>1108</v>
      </c>
      <c r="K29" s="53" t="s">
        <v>1043</v>
      </c>
      <c r="L29" s="53" t="s">
        <v>997</v>
      </c>
      <c r="M29" s="53" t="s">
        <v>1072</v>
      </c>
      <c r="N29" s="53" t="s">
        <v>1648</v>
      </c>
      <c r="O29" s="53" t="s">
        <v>1396</v>
      </c>
      <c r="P29" s="53" t="s">
        <v>1721</v>
      </c>
      <c r="Q29" s="53" t="s">
        <v>1092</v>
      </c>
      <c r="R29" s="53" t="s">
        <v>2229</v>
      </c>
      <c r="T29" s="54" t="s">
        <v>2403</v>
      </c>
      <c r="U29" s="53" t="s">
        <v>2499</v>
      </c>
      <c r="V29" s="53" t="s">
        <v>160</v>
      </c>
      <c r="W29" s="53" t="s">
        <v>364</v>
      </c>
      <c r="X29" s="53" t="s">
        <v>1252</v>
      </c>
      <c r="Y29" s="53" t="s">
        <v>883</v>
      </c>
      <c r="Z29" s="53" t="s">
        <v>285</v>
      </c>
      <c r="AE29" s="1" t="s">
        <v>995</v>
      </c>
      <c r="AJ29" s="2">
        <f t="shared" si="0"/>
        <v>24</v>
      </c>
      <c r="AL29" s="2">
        <f t="shared" si="1"/>
        <v>11</v>
      </c>
    </row>
    <row r="30" spans="1:38" x14ac:dyDescent="0.3">
      <c r="A30" s="5" t="s">
        <v>155</v>
      </c>
      <c r="B30" s="5" t="s">
        <v>156</v>
      </c>
      <c r="C30" s="5" t="s">
        <v>156</v>
      </c>
      <c r="D30" s="1" t="s">
        <v>156</v>
      </c>
      <c r="E30" s="1"/>
      <c r="F30" s="53" t="s">
        <v>156</v>
      </c>
      <c r="G30" s="55" t="s">
        <v>557</v>
      </c>
      <c r="H30" s="53" t="s">
        <v>161</v>
      </c>
      <c r="I30" s="53" t="s">
        <v>832</v>
      </c>
      <c r="J30" s="53" t="s">
        <v>1109</v>
      </c>
      <c r="K30" s="53" t="s">
        <v>1204</v>
      </c>
      <c r="L30" s="53" t="s">
        <v>999</v>
      </c>
      <c r="M30" s="53" t="s">
        <v>1453</v>
      </c>
      <c r="N30" s="53" t="s">
        <v>1649</v>
      </c>
      <c r="O30" s="53" t="s">
        <v>1399</v>
      </c>
      <c r="P30" s="53" t="s">
        <v>1722</v>
      </c>
      <c r="Q30" s="53" t="s">
        <v>1503</v>
      </c>
      <c r="R30" s="53" t="s">
        <v>2230</v>
      </c>
      <c r="T30" s="54" t="s">
        <v>2404</v>
      </c>
      <c r="U30" s="53" t="s">
        <v>2500</v>
      </c>
      <c r="V30" s="53" t="s">
        <v>567</v>
      </c>
      <c r="W30" s="53" t="s">
        <v>1447</v>
      </c>
      <c r="X30" s="53" t="s">
        <v>975</v>
      </c>
      <c r="Y30" s="53" t="s">
        <v>884</v>
      </c>
      <c r="Z30" s="53" t="s">
        <v>287</v>
      </c>
      <c r="AE30" s="53" t="s">
        <v>996</v>
      </c>
      <c r="AF30" s="1" t="s">
        <v>1087</v>
      </c>
      <c r="AJ30" s="2">
        <f t="shared" si="0"/>
        <v>25</v>
      </c>
      <c r="AL30" s="2">
        <f t="shared" si="1"/>
        <v>11</v>
      </c>
    </row>
    <row r="31" spans="1:38" x14ac:dyDescent="0.3">
      <c r="A31" s="5" t="s">
        <v>3016</v>
      </c>
      <c r="B31" s="5"/>
      <c r="C31" s="5"/>
      <c r="D31" s="1"/>
      <c r="E31" s="1"/>
      <c r="F31" s="1"/>
      <c r="G31" s="16"/>
      <c r="S31" s="54" t="s">
        <v>925</v>
      </c>
      <c r="AF31" s="54" t="s">
        <v>1081</v>
      </c>
      <c r="AG31" s="53" t="s">
        <v>1141</v>
      </c>
      <c r="AH31" s="1" t="s">
        <v>1090</v>
      </c>
      <c r="AJ31" s="2">
        <f t="shared" si="0"/>
        <v>4</v>
      </c>
      <c r="AL31" s="2">
        <f t="shared" si="1"/>
        <v>1</v>
      </c>
    </row>
    <row r="32" spans="1:38" x14ac:dyDescent="0.3">
      <c r="A32" s="5" t="s">
        <v>157</v>
      </c>
      <c r="B32" s="5" t="s">
        <v>158</v>
      </c>
      <c r="C32" s="5" t="s">
        <v>158</v>
      </c>
      <c r="D32" s="59" t="s">
        <v>158</v>
      </c>
      <c r="E32" s="1"/>
      <c r="F32" s="53" t="s">
        <v>158</v>
      </c>
      <c r="G32" s="55" t="s">
        <v>558</v>
      </c>
      <c r="H32" s="53" t="s">
        <v>403</v>
      </c>
      <c r="I32" s="53" t="s">
        <v>833</v>
      </c>
      <c r="J32" s="53" t="s">
        <v>1111</v>
      </c>
      <c r="K32" s="54" t="s">
        <v>1205</v>
      </c>
      <c r="L32" s="54" t="s">
        <v>983</v>
      </c>
      <c r="N32" s="1" t="s">
        <v>1656</v>
      </c>
      <c r="AJ32" s="2">
        <f t="shared" si="0"/>
        <v>11</v>
      </c>
      <c r="AL32" s="2">
        <f t="shared" si="1"/>
        <v>8</v>
      </c>
    </row>
    <row r="33" spans="1:38" x14ac:dyDescent="0.3">
      <c r="A33" s="5" t="s">
        <v>159</v>
      </c>
      <c r="B33" s="5" t="s">
        <v>160</v>
      </c>
      <c r="C33" s="5" t="s">
        <v>160</v>
      </c>
      <c r="D33" s="59" t="s">
        <v>160</v>
      </c>
      <c r="E33" s="1"/>
      <c r="F33" s="53" t="s">
        <v>160</v>
      </c>
      <c r="G33" s="55" t="s">
        <v>151</v>
      </c>
      <c r="H33" s="54" t="s">
        <v>673</v>
      </c>
      <c r="I33" s="53" t="s">
        <v>834</v>
      </c>
      <c r="J33" s="53" t="s">
        <v>1112</v>
      </c>
      <c r="K33" s="53" t="s">
        <v>1045</v>
      </c>
      <c r="L33" s="53" t="s">
        <v>982</v>
      </c>
      <c r="M33" s="1" t="s">
        <v>1074</v>
      </c>
      <c r="AJ33" s="2">
        <f t="shared" si="0"/>
        <v>11</v>
      </c>
      <c r="AL33" s="2">
        <f t="shared" si="1"/>
        <v>8</v>
      </c>
    </row>
    <row r="34" spans="1:38" x14ac:dyDescent="0.3">
      <c r="A34" s="5" t="s">
        <v>292</v>
      </c>
      <c r="B34" s="5"/>
      <c r="C34" s="5"/>
      <c r="D34" s="1"/>
      <c r="E34" s="1"/>
      <c r="F34" s="54" t="s">
        <v>293</v>
      </c>
      <c r="G34" s="55" t="s">
        <v>127</v>
      </c>
      <c r="H34" s="53" t="s">
        <v>551</v>
      </c>
      <c r="O34" s="54" t="s">
        <v>1384</v>
      </c>
      <c r="P34" s="53" t="s">
        <v>937</v>
      </c>
      <c r="Q34" s="53" t="s">
        <v>1059</v>
      </c>
      <c r="R34" s="53" t="s">
        <v>2182</v>
      </c>
      <c r="T34" s="54" t="s">
        <v>2395</v>
      </c>
      <c r="U34" s="53" t="s">
        <v>2504</v>
      </c>
      <c r="V34" s="53" t="s">
        <v>304</v>
      </c>
      <c r="Z34" s="53" t="s">
        <v>660</v>
      </c>
      <c r="AD34" s="54" t="s">
        <v>2953</v>
      </c>
      <c r="AE34" s="53" t="s">
        <v>998</v>
      </c>
      <c r="AF34" s="54" t="s">
        <v>1073</v>
      </c>
      <c r="AG34" s="53" t="s">
        <v>1121</v>
      </c>
      <c r="AH34" s="54" t="s">
        <v>1107</v>
      </c>
      <c r="AJ34" s="2">
        <f t="shared" si="0"/>
        <v>16</v>
      </c>
      <c r="AL34" s="2">
        <f t="shared" si="1"/>
        <v>5</v>
      </c>
    </row>
    <row r="35" spans="1:38" x14ac:dyDescent="0.3">
      <c r="A35" s="5" t="s">
        <v>294</v>
      </c>
      <c r="B35" s="5" t="s">
        <v>295</v>
      </c>
      <c r="C35" s="5"/>
      <c r="D35" s="1"/>
      <c r="E35" s="1"/>
      <c r="F35" s="54" t="s">
        <v>295</v>
      </c>
      <c r="G35" s="55" t="s">
        <v>287</v>
      </c>
      <c r="H35" s="53" t="s">
        <v>298</v>
      </c>
      <c r="I35" s="53" t="s">
        <v>819</v>
      </c>
      <c r="J35" s="53" t="s">
        <v>1090</v>
      </c>
      <c r="K35" s="53" t="s">
        <v>1198</v>
      </c>
      <c r="L35" s="53" t="s">
        <v>981</v>
      </c>
      <c r="M35" s="54" t="s">
        <v>364</v>
      </c>
      <c r="N35" s="53" t="s">
        <v>1651</v>
      </c>
      <c r="O35" s="53" t="s">
        <v>1379</v>
      </c>
      <c r="P35" s="53" t="s">
        <v>1949</v>
      </c>
      <c r="Q35" s="53" t="s">
        <v>1085</v>
      </c>
      <c r="R35" s="53" t="s">
        <v>2212</v>
      </c>
      <c r="S35" s="53" t="s">
        <v>916</v>
      </c>
      <c r="T35" s="53" t="s">
        <v>2396</v>
      </c>
      <c r="U35" s="53" t="s">
        <v>2505</v>
      </c>
      <c r="V35" s="53" t="s">
        <v>566</v>
      </c>
      <c r="W35" s="53" t="s">
        <v>1449</v>
      </c>
      <c r="X35" s="53" t="s">
        <v>977</v>
      </c>
      <c r="Y35" s="53" t="s">
        <v>891</v>
      </c>
      <c r="Z35" s="53" t="s">
        <v>539</v>
      </c>
      <c r="AA35" s="53" t="s">
        <v>2724</v>
      </c>
      <c r="AB35" s="53" t="s">
        <v>2210</v>
      </c>
      <c r="AC35" s="53" t="s">
        <v>2023</v>
      </c>
      <c r="AE35" s="53" t="s">
        <v>992</v>
      </c>
      <c r="AF35" s="53" t="s">
        <v>363</v>
      </c>
      <c r="AG35" s="53" t="s">
        <v>1068</v>
      </c>
      <c r="AH35" s="53" t="s">
        <v>1080</v>
      </c>
      <c r="AJ35" s="2">
        <f t="shared" si="0"/>
        <v>29</v>
      </c>
      <c r="AL35" s="2">
        <f t="shared" si="1"/>
        <v>12</v>
      </c>
    </row>
    <row r="36" spans="1:38" x14ac:dyDescent="0.3">
      <c r="A36" s="5" t="s">
        <v>2397</v>
      </c>
      <c r="B36" s="5"/>
      <c r="C36" s="5"/>
      <c r="D36" s="1"/>
      <c r="E36" s="1"/>
      <c r="F36" s="1"/>
      <c r="G36" s="16"/>
      <c r="T36" s="54" t="s">
        <v>2399</v>
      </c>
      <c r="AH36" s="1" t="s">
        <v>1100</v>
      </c>
      <c r="AJ36" s="2">
        <f t="shared" si="0"/>
        <v>2</v>
      </c>
      <c r="AL36" s="2">
        <f t="shared" si="1"/>
        <v>0</v>
      </c>
    </row>
    <row r="37" spans="1:38" x14ac:dyDescent="0.3">
      <c r="A37" s="5" t="s">
        <v>2398</v>
      </c>
      <c r="B37" s="5"/>
      <c r="C37" s="5"/>
      <c r="D37" s="1"/>
      <c r="E37" s="1"/>
      <c r="F37" s="1"/>
      <c r="G37" s="16"/>
      <c r="T37" s="54" t="s">
        <v>2400</v>
      </c>
      <c r="AH37" s="1" t="s">
        <v>1513</v>
      </c>
      <c r="AJ37" s="2">
        <f t="shared" si="0"/>
        <v>2</v>
      </c>
      <c r="AL37" s="2">
        <f t="shared" si="1"/>
        <v>0</v>
      </c>
    </row>
    <row r="38" spans="1:38" x14ac:dyDescent="0.3">
      <c r="A38" s="5" t="s">
        <v>2401</v>
      </c>
      <c r="B38" s="5"/>
      <c r="C38" s="5"/>
      <c r="D38" s="1"/>
      <c r="E38" s="1"/>
      <c r="F38" s="1"/>
      <c r="G38" s="16"/>
      <c r="T38" s="54" t="s">
        <v>2402</v>
      </c>
      <c r="AG38" s="1" t="s">
        <v>367</v>
      </c>
      <c r="AJ38" s="2">
        <f t="shared" si="0"/>
        <v>2</v>
      </c>
      <c r="AL38" s="2">
        <f t="shared" si="1"/>
        <v>0</v>
      </c>
    </row>
    <row r="39" spans="1:38" x14ac:dyDescent="0.3">
      <c r="A39" s="5" t="s">
        <v>297</v>
      </c>
      <c r="B39" s="5"/>
      <c r="C39" s="5"/>
      <c r="D39" s="1"/>
      <c r="E39" s="1"/>
      <c r="F39" s="54" t="s">
        <v>298</v>
      </c>
      <c r="G39" s="55" t="s">
        <v>133</v>
      </c>
      <c r="I39" s="53" t="s">
        <v>823</v>
      </c>
      <c r="J39" s="54" t="s">
        <v>1101</v>
      </c>
      <c r="AF39" s="54" t="s">
        <v>1083</v>
      </c>
      <c r="AG39" s="53" t="s">
        <v>2868</v>
      </c>
      <c r="AH39" s="1" t="s">
        <v>1515</v>
      </c>
      <c r="AJ39" s="2">
        <f t="shared" si="0"/>
        <v>7</v>
      </c>
      <c r="AL39" s="2">
        <f t="shared" si="1"/>
        <v>4</v>
      </c>
    </row>
    <row r="40" spans="1:38" x14ac:dyDescent="0.3">
      <c r="A40" s="5" t="s">
        <v>299</v>
      </c>
      <c r="B40" s="5"/>
      <c r="C40" s="5"/>
      <c r="D40" s="1"/>
      <c r="E40" s="1"/>
      <c r="F40" s="54" t="s">
        <v>300</v>
      </c>
      <c r="G40" s="16"/>
      <c r="I40" s="53" t="s">
        <v>824</v>
      </c>
      <c r="J40" s="54" t="s">
        <v>1102</v>
      </c>
      <c r="AF40" s="54" t="s">
        <v>1078</v>
      </c>
      <c r="AG40" s="53" t="s">
        <v>1119</v>
      </c>
      <c r="AH40" s="1" t="s">
        <v>1104</v>
      </c>
      <c r="AJ40" s="2">
        <f t="shared" si="0"/>
        <v>6</v>
      </c>
      <c r="AL40" s="2">
        <f t="shared" si="1"/>
        <v>3</v>
      </c>
    </row>
    <row r="41" spans="1:38" x14ac:dyDescent="0.3">
      <c r="A41" s="5" t="s">
        <v>1451</v>
      </c>
      <c r="B41" s="5"/>
      <c r="C41" s="5"/>
      <c r="D41" s="1"/>
      <c r="E41" s="1"/>
      <c r="F41" s="1"/>
      <c r="G41" s="16"/>
      <c r="M41" s="54" t="s">
        <v>1452</v>
      </c>
      <c r="N41" s="53" t="s">
        <v>1652</v>
      </c>
      <c r="P41" s="53" t="s">
        <v>1726</v>
      </c>
      <c r="S41" s="1" t="s">
        <v>927</v>
      </c>
      <c r="AJ41" s="2">
        <f t="shared" si="0"/>
        <v>4</v>
      </c>
      <c r="AL41" s="2">
        <f t="shared" si="1"/>
        <v>3</v>
      </c>
    </row>
    <row r="42" spans="1:38" x14ac:dyDescent="0.3">
      <c r="A42" s="5" t="s">
        <v>554</v>
      </c>
      <c r="B42" s="5"/>
      <c r="C42" s="5"/>
      <c r="D42" s="1"/>
      <c r="E42" s="1"/>
      <c r="F42" s="1"/>
      <c r="G42" s="60" t="s">
        <v>295</v>
      </c>
      <c r="H42" s="53" t="s">
        <v>151</v>
      </c>
      <c r="M42" s="54" t="s">
        <v>1069</v>
      </c>
      <c r="N42" s="53" t="s">
        <v>1653</v>
      </c>
      <c r="O42" s="54" t="s">
        <v>1401</v>
      </c>
      <c r="P42" s="53" t="s">
        <v>1727</v>
      </c>
      <c r="Q42" s="53" t="s">
        <v>1094</v>
      </c>
      <c r="R42" s="53" t="s">
        <v>2232</v>
      </c>
      <c r="S42" s="53" t="s">
        <v>928</v>
      </c>
      <c r="T42" s="54" t="s">
        <v>2393</v>
      </c>
      <c r="U42" s="53" t="s">
        <v>2506</v>
      </c>
      <c r="V42" s="53" t="s">
        <v>151</v>
      </c>
      <c r="W42" s="54" t="s">
        <v>1067</v>
      </c>
      <c r="X42" s="53" t="s">
        <v>1256</v>
      </c>
      <c r="Y42" s="53" t="s">
        <v>892</v>
      </c>
      <c r="Z42" s="53" t="s">
        <v>541</v>
      </c>
      <c r="AE42" s="1" t="s">
        <v>984</v>
      </c>
      <c r="AJ42" s="2">
        <f t="shared" si="0"/>
        <v>17</v>
      </c>
      <c r="AL42" s="2">
        <f t="shared" si="1"/>
        <v>7</v>
      </c>
    </row>
    <row r="43" spans="1:38" x14ac:dyDescent="0.3">
      <c r="A43" s="5" t="s">
        <v>2566</v>
      </c>
      <c r="B43" s="5"/>
      <c r="C43" s="5"/>
      <c r="D43" s="1"/>
      <c r="E43" s="1"/>
      <c r="F43" s="1"/>
      <c r="G43" s="16"/>
      <c r="V43" s="54" t="s">
        <v>154</v>
      </c>
      <c r="W43" s="54" t="s">
        <v>366</v>
      </c>
      <c r="X43" s="53" t="s">
        <v>978</v>
      </c>
      <c r="Y43" s="53" t="s">
        <v>893</v>
      </c>
      <c r="Z43" s="1" t="s">
        <v>543</v>
      </c>
      <c r="AJ43" s="2">
        <f t="shared" si="0"/>
        <v>5</v>
      </c>
      <c r="AL43" s="2">
        <f t="shared" si="1"/>
        <v>0</v>
      </c>
    </row>
    <row r="44" spans="1:38" x14ac:dyDescent="0.3">
      <c r="A44" s="5" t="s">
        <v>3017</v>
      </c>
      <c r="B44" s="5"/>
      <c r="C44" s="5"/>
      <c r="D44" s="1"/>
      <c r="E44" s="1"/>
      <c r="F44" s="1"/>
      <c r="G44" s="16"/>
      <c r="AF44" s="54" t="s">
        <v>1089</v>
      </c>
      <c r="AG44" s="53" t="s">
        <v>1122</v>
      </c>
      <c r="AH44" s="1" t="s">
        <v>1108</v>
      </c>
      <c r="AJ44" s="2">
        <f t="shared" si="0"/>
        <v>3</v>
      </c>
      <c r="AL44" s="2">
        <f t="shared" si="1"/>
        <v>0</v>
      </c>
    </row>
    <row r="45" spans="1:38" x14ac:dyDescent="0.3">
      <c r="A45" s="5" t="s">
        <v>3018</v>
      </c>
      <c r="B45" s="5"/>
      <c r="C45" s="5"/>
      <c r="D45" s="1"/>
      <c r="E45" s="1"/>
      <c r="F45" s="1"/>
      <c r="G45" s="16"/>
      <c r="AF45" s="54" t="s">
        <v>2223</v>
      </c>
      <c r="AG45" s="53" t="s">
        <v>1127</v>
      </c>
      <c r="AH45" s="1" t="s">
        <v>1111</v>
      </c>
      <c r="AJ45" s="2">
        <f t="shared" si="0"/>
        <v>3</v>
      </c>
      <c r="AL45" s="2">
        <f t="shared" si="1"/>
        <v>0</v>
      </c>
    </row>
    <row r="46" spans="1:38" x14ac:dyDescent="0.3">
      <c r="A46" s="5" t="s">
        <v>555</v>
      </c>
      <c r="B46" s="5"/>
      <c r="C46" s="5"/>
      <c r="D46" s="1"/>
      <c r="E46" s="1"/>
      <c r="F46" s="1"/>
      <c r="G46" s="60" t="s">
        <v>296</v>
      </c>
      <c r="H46" s="1" t="s">
        <v>154</v>
      </c>
      <c r="AJ46" s="2">
        <f t="shared" si="0"/>
        <v>2</v>
      </c>
      <c r="AL46" s="2">
        <f t="shared" si="1"/>
        <v>2</v>
      </c>
    </row>
    <row r="47" spans="1:38" x14ac:dyDescent="0.3">
      <c r="A47" s="5" t="s">
        <v>301</v>
      </c>
      <c r="B47" s="1" t="s">
        <v>302</v>
      </c>
      <c r="C47" s="5"/>
      <c r="D47" s="1"/>
      <c r="E47" s="1"/>
      <c r="F47" s="53" t="s">
        <v>302</v>
      </c>
      <c r="G47" s="55" t="s">
        <v>298</v>
      </c>
      <c r="H47" s="53" t="s">
        <v>156</v>
      </c>
      <c r="I47" s="53" t="s">
        <v>828</v>
      </c>
      <c r="J47" s="53" t="s">
        <v>1105</v>
      </c>
      <c r="AA47" s="54" t="s">
        <v>2725</v>
      </c>
      <c r="AB47" s="53" t="s">
        <v>2211</v>
      </c>
      <c r="AC47" s="53" t="s">
        <v>2024</v>
      </c>
      <c r="AE47" s="53" t="s">
        <v>983</v>
      </c>
      <c r="AG47" s="1" t="s">
        <v>1138</v>
      </c>
      <c r="AJ47" s="2">
        <f t="shared" si="0"/>
        <v>11</v>
      </c>
      <c r="AL47" s="2">
        <f t="shared" si="1"/>
        <v>5</v>
      </c>
    </row>
    <row r="48" spans="1:38" x14ac:dyDescent="0.3">
      <c r="A48" s="5" t="s">
        <v>556</v>
      </c>
      <c r="B48" s="5"/>
      <c r="C48" s="5"/>
      <c r="D48" s="1"/>
      <c r="E48" s="1"/>
      <c r="F48" s="1"/>
      <c r="G48" s="60" t="s">
        <v>300</v>
      </c>
      <c r="H48" s="1" t="s">
        <v>304</v>
      </c>
      <c r="AJ48" s="2">
        <f t="shared" si="0"/>
        <v>2</v>
      </c>
      <c r="AL48" s="2">
        <f t="shared" si="1"/>
        <v>2</v>
      </c>
    </row>
    <row r="49" spans="1:38" x14ac:dyDescent="0.3">
      <c r="A49" s="5" t="s">
        <v>829</v>
      </c>
      <c r="B49" s="5"/>
      <c r="C49" s="5"/>
      <c r="D49" s="1"/>
      <c r="E49" s="1"/>
      <c r="F49" s="1"/>
      <c r="G49" s="16"/>
      <c r="I49" s="54" t="s">
        <v>830</v>
      </c>
      <c r="J49" s="62" t="s">
        <v>1107</v>
      </c>
      <c r="K49" s="53" t="s">
        <v>1203</v>
      </c>
      <c r="M49" s="1" t="s">
        <v>1070</v>
      </c>
      <c r="AJ49" s="2">
        <f t="shared" si="0"/>
        <v>4</v>
      </c>
      <c r="AL49" s="2">
        <f t="shared" si="1"/>
        <v>4</v>
      </c>
    </row>
    <row r="50" spans="1:38" x14ac:dyDescent="0.3">
      <c r="A50" s="5" t="s">
        <v>303</v>
      </c>
      <c r="B50" s="5"/>
      <c r="C50" s="5"/>
      <c r="D50" s="1"/>
      <c r="E50" s="1"/>
      <c r="F50" s="54" t="s">
        <v>304</v>
      </c>
      <c r="G50" s="55" t="s">
        <v>150</v>
      </c>
      <c r="H50" s="53" t="s">
        <v>559</v>
      </c>
      <c r="I50" s="53" t="s">
        <v>822</v>
      </c>
      <c r="J50" s="53" t="s">
        <v>1110</v>
      </c>
      <c r="K50" s="53" t="s">
        <v>1044</v>
      </c>
      <c r="M50" s="53" t="s">
        <v>1454</v>
      </c>
      <c r="N50" s="53" t="s">
        <v>1654</v>
      </c>
      <c r="P50" s="53" t="s">
        <v>1725</v>
      </c>
      <c r="Q50" s="54" t="s">
        <v>1506</v>
      </c>
      <c r="R50" s="53" t="s">
        <v>2228</v>
      </c>
      <c r="S50" s="54" t="s">
        <v>924</v>
      </c>
      <c r="T50" s="53" t="s">
        <v>2394</v>
      </c>
      <c r="U50" s="53" t="s">
        <v>2503</v>
      </c>
      <c r="V50" s="53" t="s">
        <v>156</v>
      </c>
      <c r="Z50" s="53" t="s">
        <v>290</v>
      </c>
      <c r="AF50" s="54" t="s">
        <v>1447</v>
      </c>
      <c r="AG50" s="53" t="s">
        <v>1077</v>
      </c>
      <c r="AH50" s="1" t="s">
        <v>1505</v>
      </c>
      <c r="AJ50" s="2">
        <f t="shared" si="0"/>
        <v>19</v>
      </c>
      <c r="AL50" s="2">
        <f t="shared" si="1"/>
        <v>10</v>
      </c>
    </row>
    <row r="51" spans="1:38" x14ac:dyDescent="0.3">
      <c r="A51" s="5" t="s">
        <v>534</v>
      </c>
      <c r="B51" s="5"/>
      <c r="C51" s="5"/>
      <c r="D51" s="1"/>
      <c r="E51" s="1"/>
      <c r="F51" s="1"/>
      <c r="G51" s="60" t="s">
        <v>283</v>
      </c>
      <c r="H51" s="1" t="s">
        <v>552</v>
      </c>
      <c r="AJ51" s="2">
        <f t="shared" si="0"/>
        <v>2</v>
      </c>
      <c r="AL51" s="2">
        <f t="shared" si="1"/>
        <v>2</v>
      </c>
    </row>
    <row r="52" spans="1:38" x14ac:dyDescent="0.3">
      <c r="A52" s="5" t="s">
        <v>535</v>
      </c>
      <c r="B52" s="5"/>
      <c r="C52" s="5"/>
      <c r="D52" s="1"/>
      <c r="E52" s="1"/>
      <c r="F52" s="1"/>
      <c r="G52" s="55" t="s">
        <v>536</v>
      </c>
      <c r="AF52" s="1" t="s">
        <v>1086</v>
      </c>
      <c r="AJ52" s="2">
        <f t="shared" si="0"/>
        <v>2</v>
      </c>
      <c r="AL52" s="2">
        <f t="shared" si="1"/>
        <v>1</v>
      </c>
    </row>
    <row r="53" spans="1:38" x14ac:dyDescent="0.3">
      <c r="A53" s="5" t="s">
        <v>1950</v>
      </c>
      <c r="B53" s="5"/>
      <c r="C53" s="5"/>
      <c r="D53" s="1"/>
      <c r="E53" s="1"/>
      <c r="F53" s="1"/>
      <c r="G53" s="16"/>
      <c r="P53" s="30" t="s">
        <v>1715</v>
      </c>
      <c r="AJ53" s="2">
        <f t="shared" si="0"/>
        <v>1</v>
      </c>
      <c r="AL53" s="2">
        <f t="shared" si="1"/>
        <v>0</v>
      </c>
    </row>
    <row r="54" spans="1:38" x14ac:dyDescent="0.3">
      <c r="A54" s="5" t="s">
        <v>1951</v>
      </c>
      <c r="B54" s="5"/>
      <c r="C54" s="5"/>
      <c r="D54" s="1"/>
      <c r="E54" s="1"/>
      <c r="F54" s="1"/>
      <c r="G54" s="16"/>
      <c r="P54" s="30" t="s">
        <v>1718</v>
      </c>
      <c r="AJ54" s="2">
        <f t="shared" si="0"/>
        <v>1</v>
      </c>
      <c r="AL54" s="2">
        <f t="shared" si="1"/>
        <v>0</v>
      </c>
    </row>
    <row r="55" spans="1:38" x14ac:dyDescent="0.3">
      <c r="A55" s="5" t="s">
        <v>1952</v>
      </c>
      <c r="B55" s="5"/>
      <c r="C55" s="5"/>
      <c r="D55" s="1"/>
      <c r="E55" s="1"/>
      <c r="F55" s="1"/>
      <c r="G55" s="16"/>
      <c r="P55" s="30" t="s">
        <v>1719</v>
      </c>
      <c r="AJ55" s="2">
        <f t="shared" si="0"/>
        <v>1</v>
      </c>
      <c r="AL55" s="2">
        <f t="shared" si="1"/>
        <v>0</v>
      </c>
    </row>
    <row r="56" spans="1:38" x14ac:dyDescent="0.3">
      <c r="A56" s="5" t="s">
        <v>537</v>
      </c>
      <c r="B56" s="5"/>
      <c r="C56" s="5"/>
      <c r="D56" s="1"/>
      <c r="E56" s="1"/>
      <c r="F56" s="1"/>
      <c r="G56" s="60" t="s">
        <v>285</v>
      </c>
      <c r="H56" s="1" t="s">
        <v>553</v>
      </c>
      <c r="AJ56" s="2">
        <f t="shared" si="0"/>
        <v>2</v>
      </c>
      <c r="AL56" s="2">
        <f t="shared" si="1"/>
        <v>2</v>
      </c>
    </row>
    <row r="57" spans="1:38" ht="28.8" x14ac:dyDescent="0.3">
      <c r="A57" s="5" t="s">
        <v>671</v>
      </c>
      <c r="B57" s="5"/>
      <c r="C57" s="5"/>
      <c r="D57" s="1"/>
      <c r="E57" s="1"/>
      <c r="F57" s="1"/>
      <c r="G57" s="16"/>
      <c r="H57" s="1" t="s">
        <v>566</v>
      </c>
      <c r="AJ57" s="2">
        <f t="shared" si="0"/>
        <v>1</v>
      </c>
      <c r="AL57" s="2">
        <f t="shared" si="1"/>
        <v>1</v>
      </c>
    </row>
    <row r="58" spans="1:38" ht="28.8" x14ac:dyDescent="0.3">
      <c r="A58" s="5" t="s">
        <v>672</v>
      </c>
      <c r="B58" s="5"/>
      <c r="C58" s="5"/>
      <c r="D58" s="1"/>
      <c r="E58" s="1"/>
      <c r="F58" s="1"/>
      <c r="G58" s="16"/>
      <c r="H58" s="54" t="s">
        <v>160</v>
      </c>
      <c r="U58" s="54" t="s">
        <v>2502</v>
      </c>
      <c r="W58" s="53" t="s">
        <v>365</v>
      </c>
      <c r="X58" s="53" t="s">
        <v>1988</v>
      </c>
      <c r="Y58" s="53" t="s">
        <v>890</v>
      </c>
      <c r="Z58" s="53" t="s">
        <v>289</v>
      </c>
      <c r="AE58" s="53" t="s">
        <v>990</v>
      </c>
      <c r="AF58" s="53" t="s">
        <v>1076</v>
      </c>
      <c r="AG58" s="53" t="s">
        <v>1143</v>
      </c>
      <c r="AH58" s="1" t="s">
        <v>1098</v>
      </c>
      <c r="AJ58" s="2">
        <f t="shared" si="0"/>
        <v>10</v>
      </c>
      <c r="AL58" s="2">
        <f t="shared" si="1"/>
        <v>1</v>
      </c>
    </row>
    <row r="59" spans="1:38" x14ac:dyDescent="0.3">
      <c r="A59" s="5" t="s">
        <v>1787</v>
      </c>
      <c r="B59" s="5"/>
      <c r="C59" s="5"/>
      <c r="D59" s="1"/>
      <c r="E59" s="1"/>
      <c r="F59" s="1"/>
      <c r="G59" s="16"/>
      <c r="H59" s="1" t="s">
        <v>567</v>
      </c>
      <c r="AJ59" s="2">
        <f t="shared" si="0"/>
        <v>1</v>
      </c>
      <c r="AL59" s="2">
        <f t="shared" si="1"/>
        <v>1</v>
      </c>
    </row>
    <row r="60" spans="1:38" x14ac:dyDescent="0.3">
      <c r="A60" s="5" t="s">
        <v>2578</v>
      </c>
      <c r="B60" s="5"/>
      <c r="C60" s="5"/>
      <c r="D60" s="1"/>
      <c r="E60" s="1"/>
      <c r="F60" s="1"/>
      <c r="G60" s="16"/>
      <c r="W60" s="53" t="s">
        <v>1448</v>
      </c>
      <c r="X60" s="53" t="s">
        <v>1179</v>
      </c>
      <c r="Y60" s="53" t="s">
        <v>886</v>
      </c>
      <c r="Z60" s="53" t="s">
        <v>59</v>
      </c>
      <c r="AA60" s="53" t="s">
        <v>2723</v>
      </c>
      <c r="AB60" s="53" t="s">
        <v>2209</v>
      </c>
      <c r="AC60" s="53" t="s">
        <v>2022</v>
      </c>
      <c r="AE60" s="1" t="s">
        <v>989</v>
      </c>
      <c r="AJ60" s="2">
        <f t="shared" si="0"/>
        <v>8</v>
      </c>
      <c r="AL60" s="2">
        <f t="shared" si="1"/>
        <v>0</v>
      </c>
    </row>
    <row r="61" spans="1:38" x14ac:dyDescent="0.3">
      <c r="A61" s="5" t="s">
        <v>825</v>
      </c>
      <c r="B61" s="5"/>
      <c r="C61" s="5"/>
      <c r="D61" s="1"/>
      <c r="E61" s="1"/>
      <c r="F61" s="1"/>
      <c r="G61" s="16"/>
      <c r="I61" s="54" t="s">
        <v>826</v>
      </c>
      <c r="J61" s="53" t="s">
        <v>1104</v>
      </c>
      <c r="K61" s="53" t="s">
        <v>1038</v>
      </c>
      <c r="L61" s="53" t="s">
        <v>995</v>
      </c>
      <c r="M61" s="1" t="s">
        <v>367</v>
      </c>
      <c r="AJ61" s="2">
        <f t="shared" si="0"/>
        <v>5</v>
      </c>
      <c r="AL61" s="2">
        <f t="shared" si="1"/>
        <v>5</v>
      </c>
    </row>
    <row r="62" spans="1:38" x14ac:dyDescent="0.3">
      <c r="A62" s="5" t="s">
        <v>835</v>
      </c>
      <c r="B62" s="5"/>
      <c r="C62" s="5"/>
      <c r="D62" s="1"/>
      <c r="E62" s="1"/>
      <c r="F62" s="1"/>
      <c r="G62" s="16"/>
      <c r="I62" s="1" t="s">
        <v>836</v>
      </c>
      <c r="AJ62" s="2">
        <f t="shared" si="0"/>
        <v>1</v>
      </c>
      <c r="AL62" s="2">
        <f t="shared" si="1"/>
        <v>1</v>
      </c>
    </row>
    <row r="63" spans="1:38" x14ac:dyDescent="0.3">
      <c r="A63" s="5" t="s">
        <v>1093</v>
      </c>
      <c r="B63" s="5"/>
      <c r="C63" s="5"/>
      <c r="D63" s="1"/>
      <c r="E63" s="1"/>
      <c r="F63" s="1"/>
      <c r="G63" s="16"/>
      <c r="J63" s="1" t="s">
        <v>1094</v>
      </c>
      <c r="AJ63" s="2">
        <f t="shared" si="0"/>
        <v>1</v>
      </c>
      <c r="AL63" s="2">
        <f t="shared" si="1"/>
        <v>1</v>
      </c>
    </row>
    <row r="64" spans="1:38" x14ac:dyDescent="0.3">
      <c r="A64" s="5" t="s">
        <v>1095</v>
      </c>
      <c r="B64" s="5"/>
      <c r="C64" s="5"/>
      <c r="D64" s="1"/>
      <c r="E64" s="1"/>
      <c r="F64" s="1"/>
      <c r="G64" s="16"/>
      <c r="J64" s="1" t="s">
        <v>1096</v>
      </c>
      <c r="AJ64" s="2">
        <f t="shared" si="0"/>
        <v>1</v>
      </c>
      <c r="AL64" s="2">
        <f t="shared" si="1"/>
        <v>1</v>
      </c>
    </row>
    <row r="65" spans="1:38" x14ac:dyDescent="0.3">
      <c r="A65" s="5" t="s">
        <v>1097</v>
      </c>
      <c r="B65" s="5"/>
      <c r="C65" s="5"/>
      <c r="D65" s="1"/>
      <c r="E65" s="1"/>
      <c r="F65" s="1"/>
      <c r="G65" s="16"/>
      <c r="J65" s="1" t="s">
        <v>1098</v>
      </c>
      <c r="AJ65" s="2">
        <f t="shared" si="0"/>
        <v>1</v>
      </c>
      <c r="AL65" s="2">
        <f t="shared" si="1"/>
        <v>1</v>
      </c>
    </row>
    <row r="66" spans="1:38" x14ac:dyDescent="0.3">
      <c r="A66" s="5" t="s">
        <v>1778</v>
      </c>
      <c r="B66" s="5"/>
      <c r="C66" s="5"/>
      <c r="D66" s="1"/>
      <c r="E66" s="1"/>
      <c r="F66" s="1"/>
      <c r="G66" s="16"/>
      <c r="O66" s="54" t="s">
        <v>1392</v>
      </c>
      <c r="P66" s="53" t="s">
        <v>956</v>
      </c>
      <c r="Q66" s="53" t="s">
        <v>1089</v>
      </c>
      <c r="R66" s="53" t="s">
        <v>2221</v>
      </c>
      <c r="AH66" s="1" t="s">
        <v>1096</v>
      </c>
      <c r="AJ66" s="2">
        <f t="shared" si="0"/>
        <v>5</v>
      </c>
      <c r="AL66" s="2">
        <f t="shared" si="1"/>
        <v>2</v>
      </c>
    </row>
    <row r="67" spans="1:38" x14ac:dyDescent="0.3">
      <c r="A67" s="5" t="s">
        <v>1939</v>
      </c>
      <c r="B67" s="5"/>
      <c r="C67" s="5"/>
      <c r="D67" s="1"/>
      <c r="E67" s="1"/>
      <c r="F67" s="1"/>
      <c r="G67" s="16"/>
      <c r="P67" s="54" t="s">
        <v>957</v>
      </c>
      <c r="Q67" s="53" t="s">
        <v>2223</v>
      </c>
      <c r="R67" s="1" t="s">
        <v>2222</v>
      </c>
      <c r="AJ67" s="2">
        <f t="shared" si="0"/>
        <v>3</v>
      </c>
      <c r="AL67" s="2">
        <f t="shared" si="1"/>
        <v>1</v>
      </c>
    </row>
    <row r="68" spans="1:38" x14ac:dyDescent="0.3">
      <c r="A68" s="5" t="s">
        <v>1940</v>
      </c>
      <c r="B68" s="5"/>
      <c r="C68" s="5"/>
      <c r="D68" s="1"/>
      <c r="E68" s="1"/>
      <c r="F68" s="1"/>
      <c r="G68" s="16"/>
      <c r="P68" s="30" t="s">
        <v>958</v>
      </c>
      <c r="AJ68" s="2">
        <f t="shared" ref="AJ68:AJ87" si="2">COUNTA(B68:AH68)</f>
        <v>1</v>
      </c>
      <c r="AL68" s="2">
        <f t="shared" ref="AL68:AL87" si="3">COUNTA(F68:O68,R68:S68)</f>
        <v>0</v>
      </c>
    </row>
    <row r="69" spans="1:38" x14ac:dyDescent="0.3">
      <c r="A69" s="5" t="s">
        <v>1941</v>
      </c>
      <c r="B69" s="5"/>
      <c r="C69" s="5"/>
      <c r="D69" s="1"/>
      <c r="E69" s="1"/>
      <c r="F69" s="1"/>
      <c r="G69" s="16"/>
      <c r="P69" s="30" t="s">
        <v>959</v>
      </c>
      <c r="AJ69" s="2">
        <f t="shared" si="2"/>
        <v>1</v>
      </c>
      <c r="AL69" s="2">
        <f t="shared" si="3"/>
        <v>0</v>
      </c>
    </row>
    <row r="70" spans="1:38" x14ac:dyDescent="0.3">
      <c r="A70" s="5" t="s">
        <v>1942</v>
      </c>
      <c r="B70" s="5"/>
      <c r="C70" s="5"/>
      <c r="D70" s="1"/>
      <c r="E70" s="1"/>
      <c r="F70" s="1"/>
      <c r="G70" s="16"/>
      <c r="P70" s="30" t="s">
        <v>960</v>
      </c>
      <c r="AJ70" s="2">
        <f t="shared" si="2"/>
        <v>1</v>
      </c>
      <c r="AL70" s="2">
        <f t="shared" si="3"/>
        <v>0</v>
      </c>
    </row>
    <row r="71" spans="1:38" x14ac:dyDescent="0.3">
      <c r="A71" s="1" t="s">
        <v>1943</v>
      </c>
      <c r="B71" s="1"/>
      <c r="C71" s="1"/>
      <c r="D71" s="1"/>
      <c r="E71" s="1"/>
      <c r="F71" s="1"/>
      <c r="G71" s="16"/>
      <c r="P71" s="30" t="s">
        <v>961</v>
      </c>
      <c r="AJ71" s="2">
        <f t="shared" si="2"/>
        <v>1</v>
      </c>
      <c r="AL71" s="2">
        <f t="shared" si="3"/>
        <v>0</v>
      </c>
    </row>
    <row r="72" spans="1:38" x14ac:dyDescent="0.3">
      <c r="A72" s="1" t="s">
        <v>1944</v>
      </c>
      <c r="B72" s="1"/>
      <c r="C72" s="1"/>
      <c r="D72" s="1"/>
      <c r="E72" s="1"/>
      <c r="F72" s="1"/>
      <c r="G72" s="16"/>
      <c r="P72" s="30" t="s">
        <v>963</v>
      </c>
      <c r="AJ72" s="2">
        <f t="shared" si="2"/>
        <v>1</v>
      </c>
      <c r="AL72" s="2">
        <f t="shared" si="3"/>
        <v>0</v>
      </c>
    </row>
    <row r="73" spans="1:38" x14ac:dyDescent="0.3">
      <c r="A73" s="1" t="s">
        <v>2974</v>
      </c>
      <c r="B73" s="1"/>
      <c r="C73" s="1"/>
      <c r="D73" s="1"/>
      <c r="E73" s="1"/>
      <c r="F73" s="1"/>
      <c r="G73" s="16"/>
      <c r="AE73" s="1" t="s">
        <v>1258</v>
      </c>
      <c r="AJ73" s="2">
        <f t="shared" si="2"/>
        <v>1</v>
      </c>
      <c r="AL73" s="2">
        <f t="shared" si="3"/>
        <v>0</v>
      </c>
    </row>
    <row r="74" spans="1:38" x14ac:dyDescent="0.3">
      <c r="A74" s="1" t="s">
        <v>2975</v>
      </c>
      <c r="B74" s="1"/>
      <c r="C74" s="1"/>
      <c r="D74" s="1"/>
      <c r="E74" s="1"/>
      <c r="F74" s="1"/>
      <c r="G74" s="16"/>
      <c r="AE74" s="54" t="s">
        <v>982</v>
      </c>
      <c r="AF74" s="53" t="s">
        <v>1070</v>
      </c>
      <c r="AG74" s="53" t="s">
        <v>1128</v>
      </c>
      <c r="AH74" s="1" t="s">
        <v>1112</v>
      </c>
      <c r="AJ74" s="2">
        <f t="shared" si="2"/>
        <v>4</v>
      </c>
      <c r="AL74" s="2">
        <f t="shared" si="3"/>
        <v>0</v>
      </c>
    </row>
    <row r="75" spans="1:38" x14ac:dyDescent="0.3">
      <c r="A75" s="1" t="s">
        <v>3014</v>
      </c>
      <c r="B75" s="1"/>
      <c r="C75" s="1"/>
      <c r="D75" s="1"/>
      <c r="E75" s="1"/>
      <c r="F75" s="1"/>
      <c r="G75" s="16"/>
      <c r="AF75" s="54" t="s">
        <v>1072</v>
      </c>
      <c r="AG75" s="53" t="s">
        <v>1134</v>
      </c>
      <c r="AH75" s="1" t="s">
        <v>1114</v>
      </c>
      <c r="AJ75" s="2">
        <f t="shared" si="2"/>
        <v>3</v>
      </c>
      <c r="AL75" s="2">
        <f t="shared" si="3"/>
        <v>0</v>
      </c>
    </row>
    <row r="76" spans="1:38" x14ac:dyDescent="0.3">
      <c r="A76" s="1" t="s">
        <v>2976</v>
      </c>
      <c r="B76" s="1"/>
      <c r="C76" s="1"/>
      <c r="D76" s="1"/>
      <c r="E76" s="1"/>
      <c r="F76" s="1"/>
      <c r="G76" s="16"/>
      <c r="AE76" s="54" t="s">
        <v>985</v>
      </c>
      <c r="AF76" s="1" t="s">
        <v>1454</v>
      </c>
      <c r="AJ76" s="2">
        <f t="shared" si="2"/>
        <v>2</v>
      </c>
      <c r="AL76" s="2">
        <f t="shared" si="3"/>
        <v>0</v>
      </c>
    </row>
    <row r="77" spans="1:38" x14ac:dyDescent="0.3">
      <c r="A77" s="1" t="s">
        <v>2977</v>
      </c>
      <c r="B77" s="1"/>
      <c r="C77" s="1"/>
      <c r="D77" s="1"/>
      <c r="E77" s="1"/>
      <c r="F77" s="1"/>
      <c r="G77" s="16"/>
      <c r="AE77" s="54" t="s">
        <v>986</v>
      </c>
      <c r="AF77" s="1" t="s">
        <v>1073</v>
      </c>
      <c r="AJ77" s="2">
        <f t="shared" si="2"/>
        <v>2</v>
      </c>
      <c r="AL77" s="2">
        <f t="shared" si="3"/>
        <v>0</v>
      </c>
    </row>
    <row r="78" spans="1:38" x14ac:dyDescent="0.3">
      <c r="A78" s="1" t="s">
        <v>2978</v>
      </c>
      <c r="B78" s="1"/>
      <c r="C78" s="1"/>
      <c r="D78" s="1"/>
      <c r="E78" s="1"/>
      <c r="F78" s="1"/>
      <c r="G78" s="16"/>
      <c r="AE78" s="1" t="s">
        <v>987</v>
      </c>
      <c r="AJ78" s="2">
        <f t="shared" si="2"/>
        <v>1</v>
      </c>
      <c r="AL78" s="2">
        <f t="shared" si="3"/>
        <v>0</v>
      </c>
    </row>
    <row r="79" spans="1:38" x14ac:dyDescent="0.3">
      <c r="A79" s="1" t="s">
        <v>2979</v>
      </c>
      <c r="B79" s="1"/>
      <c r="C79" s="1"/>
      <c r="D79" s="1"/>
      <c r="E79" s="1"/>
      <c r="F79" s="1"/>
      <c r="G79" s="16"/>
      <c r="AE79" s="1" t="s">
        <v>988</v>
      </c>
      <c r="AJ79" s="2">
        <f t="shared" si="2"/>
        <v>1</v>
      </c>
      <c r="AL79" s="2">
        <f t="shared" si="3"/>
        <v>0</v>
      </c>
    </row>
    <row r="80" spans="1:38" x14ac:dyDescent="0.3">
      <c r="A80" s="5" t="s">
        <v>1777</v>
      </c>
      <c r="B80" s="5"/>
      <c r="C80" s="5"/>
      <c r="D80" s="1"/>
      <c r="E80" s="1"/>
      <c r="F80" s="1"/>
      <c r="G80" s="1"/>
      <c r="O80" s="54" t="s">
        <v>1390</v>
      </c>
      <c r="Q80" s="53" t="s">
        <v>1087</v>
      </c>
      <c r="R80" s="53" t="s">
        <v>2219</v>
      </c>
      <c r="T80" s="53" t="s">
        <v>2144</v>
      </c>
      <c r="V80" s="53" t="s">
        <v>295</v>
      </c>
      <c r="Z80" s="54" t="s">
        <v>532</v>
      </c>
      <c r="AF80" s="53" t="s">
        <v>1448</v>
      </c>
      <c r="AG80" s="53" t="s">
        <v>1083</v>
      </c>
      <c r="AH80" s="1" t="s">
        <v>1506</v>
      </c>
      <c r="AJ80" s="2">
        <f t="shared" si="2"/>
        <v>9</v>
      </c>
      <c r="AL80" s="2">
        <f t="shared" si="3"/>
        <v>2</v>
      </c>
    </row>
    <row r="81" spans="1:38" x14ac:dyDescent="0.3">
      <c r="A81" s="1" t="s">
        <v>2980</v>
      </c>
      <c r="B81" s="1"/>
      <c r="C81" s="1"/>
      <c r="D81" s="1"/>
      <c r="E81" s="1"/>
      <c r="F81" s="1"/>
      <c r="G81" s="16"/>
      <c r="AE81" s="1" t="s">
        <v>991</v>
      </c>
      <c r="AJ81" s="2">
        <f t="shared" si="2"/>
        <v>1</v>
      </c>
      <c r="AL81" s="2">
        <f t="shared" si="3"/>
        <v>0</v>
      </c>
    </row>
    <row r="82" spans="1:38" x14ac:dyDescent="0.3">
      <c r="A82" s="1" t="s">
        <v>3015</v>
      </c>
      <c r="B82" s="1"/>
      <c r="C82" s="1"/>
      <c r="D82" s="1"/>
      <c r="E82" s="1"/>
      <c r="F82" s="1"/>
      <c r="G82" s="16"/>
      <c r="AF82" s="54" t="s">
        <v>1456</v>
      </c>
      <c r="AG82" s="53" t="s">
        <v>1136</v>
      </c>
      <c r="AH82" s="1" t="s">
        <v>3141</v>
      </c>
      <c r="AJ82" s="2">
        <f t="shared" si="2"/>
        <v>3</v>
      </c>
      <c r="AL82" s="2">
        <f t="shared" si="3"/>
        <v>0</v>
      </c>
    </row>
    <row r="83" spans="1:38" x14ac:dyDescent="0.3">
      <c r="A83" s="1" t="s">
        <v>3134</v>
      </c>
      <c r="B83" s="1"/>
      <c r="C83" s="1"/>
      <c r="D83" s="1"/>
      <c r="E83" s="1"/>
      <c r="F83" s="1"/>
      <c r="G83" s="16"/>
      <c r="AH83" s="1" t="s">
        <v>1086</v>
      </c>
      <c r="AJ83" s="2">
        <f t="shared" si="2"/>
        <v>1</v>
      </c>
      <c r="AL83" s="2">
        <f t="shared" si="3"/>
        <v>0</v>
      </c>
    </row>
    <row r="84" spans="1:38" x14ac:dyDescent="0.3">
      <c r="A84" s="1" t="s">
        <v>3136</v>
      </c>
      <c r="B84" s="1"/>
      <c r="C84" s="1"/>
      <c r="D84" s="1"/>
      <c r="E84" s="1"/>
      <c r="F84" s="1"/>
      <c r="G84" s="16"/>
      <c r="AH84" s="1" t="s">
        <v>1089</v>
      </c>
      <c r="AJ84" s="2">
        <f t="shared" si="2"/>
        <v>1</v>
      </c>
      <c r="AL84" s="2">
        <f t="shared" si="3"/>
        <v>0</v>
      </c>
    </row>
    <row r="85" spans="1:38" x14ac:dyDescent="0.3">
      <c r="A85" s="1" t="s">
        <v>3137</v>
      </c>
      <c r="B85" s="1"/>
      <c r="C85" s="1"/>
      <c r="D85" s="1"/>
      <c r="E85" s="1"/>
      <c r="F85" s="1"/>
      <c r="G85" s="16"/>
      <c r="AH85" s="1" t="s">
        <v>1503</v>
      </c>
      <c r="AJ85" s="2">
        <f t="shared" si="2"/>
        <v>1</v>
      </c>
      <c r="AL85" s="2">
        <f t="shared" si="3"/>
        <v>0</v>
      </c>
    </row>
    <row r="86" spans="1:38" x14ac:dyDescent="0.3">
      <c r="A86" s="1" t="s">
        <v>2960</v>
      </c>
      <c r="B86" s="1"/>
      <c r="C86" s="1"/>
      <c r="D86" s="1"/>
      <c r="E86" s="1"/>
      <c r="F86" s="1"/>
      <c r="G86" s="16"/>
      <c r="AE86" s="54" t="s">
        <v>189</v>
      </c>
      <c r="AH86" s="1" t="s">
        <v>1510</v>
      </c>
      <c r="AJ86" s="2">
        <f t="shared" si="2"/>
        <v>2</v>
      </c>
      <c r="AL86" s="2">
        <f t="shared" si="3"/>
        <v>0</v>
      </c>
    </row>
    <row r="87" spans="1:38" x14ac:dyDescent="0.3">
      <c r="A87" s="1" t="s">
        <v>3138</v>
      </c>
      <c r="B87" s="1"/>
      <c r="C87" s="1"/>
      <c r="D87" s="1"/>
      <c r="E87" s="1"/>
      <c r="F87" s="1"/>
      <c r="G87" s="16"/>
      <c r="AH87" s="1" t="s">
        <v>1509</v>
      </c>
      <c r="AJ87" s="2">
        <f t="shared" si="2"/>
        <v>1</v>
      </c>
      <c r="AL87" s="2">
        <f t="shared" si="3"/>
        <v>0</v>
      </c>
    </row>
    <row r="88" spans="1:38" x14ac:dyDescent="0.3">
      <c r="A88" s="1"/>
      <c r="B88" s="1"/>
      <c r="C88" s="1"/>
      <c r="D88" s="1"/>
      <c r="E88" s="1"/>
      <c r="F88" s="1"/>
      <c r="G88" s="16"/>
    </row>
    <row r="89" spans="1:38" x14ac:dyDescent="0.3">
      <c r="A89" s="1"/>
      <c r="B89" s="1"/>
      <c r="C89" s="1"/>
      <c r="D89" s="1"/>
      <c r="E89" s="1"/>
      <c r="F89" s="1"/>
      <c r="G89" s="16"/>
    </row>
    <row r="90" spans="1:38" x14ac:dyDescent="0.3">
      <c r="A90" s="1"/>
      <c r="B90" s="1"/>
      <c r="C90" s="1"/>
      <c r="D90" s="1"/>
      <c r="E90" s="1"/>
      <c r="F90" s="1"/>
      <c r="G90" s="16"/>
    </row>
    <row r="91" spans="1:38" x14ac:dyDescent="0.3">
      <c r="A91" s="1"/>
      <c r="B91" s="1"/>
      <c r="C91" s="1"/>
      <c r="D91" s="1"/>
      <c r="E91" s="1"/>
      <c r="F91" s="1"/>
      <c r="G91" s="16"/>
    </row>
    <row r="92" spans="1:38" x14ac:dyDescent="0.3">
      <c r="A92" s="1"/>
      <c r="B92" s="1"/>
      <c r="C92" s="1"/>
      <c r="D92" s="1"/>
      <c r="E92" s="1"/>
      <c r="F92" s="1"/>
      <c r="G92" s="16"/>
    </row>
    <row r="93" spans="1:38" x14ac:dyDescent="0.3">
      <c r="A93" s="1"/>
      <c r="B93" s="1"/>
      <c r="C93" s="1"/>
      <c r="D93" s="1"/>
      <c r="E93" s="1"/>
      <c r="F93" s="1"/>
      <c r="G93" s="16"/>
    </row>
    <row r="94" spans="1:38" x14ac:dyDescent="0.3">
      <c r="A94" s="1"/>
      <c r="B94" s="1"/>
      <c r="C94" s="1"/>
      <c r="D94" s="1"/>
      <c r="E94" s="1"/>
      <c r="F94" s="1"/>
      <c r="G94" s="16"/>
    </row>
    <row r="95" spans="1:38" x14ac:dyDescent="0.3">
      <c r="A95" s="1"/>
      <c r="B95" s="1"/>
      <c r="C95" s="1"/>
      <c r="D95" s="1"/>
      <c r="E95" s="1"/>
      <c r="F95" s="1"/>
      <c r="G95" s="16"/>
    </row>
    <row r="96" spans="1:38" x14ac:dyDescent="0.3">
      <c r="A96" s="1"/>
      <c r="B96" s="1"/>
      <c r="C96" s="1"/>
      <c r="D96" s="1"/>
      <c r="E96" s="1"/>
      <c r="F96" s="1"/>
      <c r="G96" s="16"/>
    </row>
    <row r="97" spans="1:7" x14ac:dyDescent="0.3">
      <c r="A97" s="1"/>
      <c r="B97" s="1"/>
      <c r="C97" s="1"/>
      <c r="D97" s="1"/>
      <c r="E97" s="1"/>
      <c r="F97" s="1"/>
      <c r="G97" s="16"/>
    </row>
    <row r="98" spans="1:7" x14ac:dyDescent="0.3">
      <c r="A98" s="1"/>
      <c r="B98" s="1"/>
      <c r="C98" s="1"/>
      <c r="D98" s="1"/>
      <c r="E98" s="1"/>
      <c r="F98" s="1"/>
      <c r="G98" s="16"/>
    </row>
    <row r="99" spans="1:7" x14ac:dyDescent="0.3">
      <c r="A99" s="1"/>
      <c r="B99" s="1"/>
      <c r="C99" s="1"/>
      <c r="D99" s="1"/>
      <c r="E99" s="1"/>
      <c r="F99" s="1"/>
      <c r="G99" s="16"/>
    </row>
    <row r="100" spans="1:7" x14ac:dyDescent="0.3">
      <c r="A100" s="1"/>
      <c r="B100" s="1"/>
      <c r="C100" s="1"/>
      <c r="D100" s="1"/>
      <c r="E100" s="1"/>
      <c r="F100" s="1"/>
      <c r="G100" s="16"/>
    </row>
    <row r="101" spans="1:7" x14ac:dyDescent="0.3">
      <c r="A101" s="1"/>
      <c r="B101" s="1"/>
      <c r="C101" s="1"/>
      <c r="D101" s="1"/>
      <c r="E101" s="1"/>
      <c r="F101" s="1"/>
      <c r="G101" s="16"/>
    </row>
    <row r="102" spans="1:7" x14ac:dyDescent="0.3">
      <c r="A102" s="1"/>
      <c r="B102" s="1"/>
      <c r="C102" s="1"/>
      <c r="D102" s="1"/>
      <c r="E102" s="1"/>
      <c r="F102" s="1"/>
      <c r="G102" s="16"/>
    </row>
    <row r="103" spans="1:7" x14ac:dyDescent="0.3">
      <c r="A103" s="1"/>
      <c r="B103" s="1"/>
      <c r="C103" s="1"/>
      <c r="D103" s="1"/>
      <c r="E103" s="1"/>
      <c r="F103" s="1"/>
      <c r="G103" s="16"/>
    </row>
    <row r="104" spans="1:7" x14ac:dyDescent="0.3">
      <c r="A104" s="1"/>
      <c r="B104" s="1"/>
      <c r="C104" s="1"/>
      <c r="D104" s="1"/>
      <c r="E104" s="1"/>
      <c r="F104" s="1"/>
      <c r="G104" s="16"/>
    </row>
    <row r="105" spans="1:7" x14ac:dyDescent="0.3">
      <c r="A105" s="1"/>
      <c r="B105" s="1"/>
      <c r="C105" s="1"/>
      <c r="D105" s="1"/>
      <c r="E105" s="1"/>
      <c r="F105" s="1"/>
      <c r="G105" s="16"/>
    </row>
    <row r="106" spans="1:7" x14ac:dyDescent="0.3">
      <c r="A106" s="1"/>
      <c r="B106" s="1"/>
      <c r="C106" s="1"/>
      <c r="D106" s="1"/>
      <c r="E106" s="1"/>
      <c r="F106" s="1"/>
      <c r="G106" s="16"/>
    </row>
    <row r="107" spans="1:7" x14ac:dyDescent="0.3">
      <c r="A107" s="1"/>
      <c r="B107" s="1"/>
      <c r="C107" s="1"/>
      <c r="D107" s="1"/>
      <c r="E107" s="1"/>
      <c r="F107" s="1"/>
      <c r="G107" s="16"/>
    </row>
    <row r="108" spans="1:7" x14ac:dyDescent="0.3">
      <c r="A108" s="1"/>
      <c r="B108" s="1"/>
      <c r="C108" s="1"/>
      <c r="D108" s="1"/>
      <c r="E108" s="1"/>
      <c r="F108" s="1"/>
      <c r="G108" s="16"/>
    </row>
    <row r="109" spans="1:7" x14ac:dyDescent="0.3">
      <c r="A109" s="1"/>
      <c r="B109" s="1"/>
      <c r="C109" s="1"/>
      <c r="D109" s="1"/>
      <c r="E109" s="1"/>
      <c r="F109" s="1"/>
      <c r="G109" s="16"/>
    </row>
    <row r="110" spans="1:7" x14ac:dyDescent="0.3">
      <c r="A110" s="1"/>
      <c r="B110" s="1"/>
      <c r="C110" s="1"/>
      <c r="D110" s="1"/>
      <c r="E110" s="1"/>
      <c r="F110" s="1"/>
      <c r="G110" s="16"/>
    </row>
    <row r="111" spans="1:7" x14ac:dyDescent="0.3">
      <c r="A111" s="1"/>
      <c r="B111" s="1"/>
      <c r="C111" s="1"/>
      <c r="D111" s="1"/>
      <c r="E111" s="1"/>
      <c r="F111" s="1"/>
      <c r="G111" s="16"/>
    </row>
    <row r="112" spans="1:7" x14ac:dyDescent="0.3">
      <c r="A112" s="1"/>
      <c r="B112" s="1"/>
      <c r="C112" s="1"/>
      <c r="D112" s="1"/>
      <c r="E112" s="1"/>
      <c r="F112" s="1"/>
      <c r="G112" s="16"/>
    </row>
    <row r="113" spans="1:7" x14ac:dyDescent="0.3">
      <c r="A113" s="1"/>
      <c r="B113" s="1"/>
      <c r="C113" s="1"/>
      <c r="D113" s="1"/>
      <c r="E113" s="1"/>
      <c r="F113" s="1"/>
      <c r="G113" s="16"/>
    </row>
    <row r="114" spans="1:7" x14ac:dyDescent="0.3">
      <c r="A114" s="1"/>
      <c r="B114" s="1"/>
      <c r="C114" s="1"/>
      <c r="D114" s="1"/>
      <c r="E114" s="1"/>
      <c r="F114" s="1"/>
      <c r="G114" s="16"/>
    </row>
    <row r="115" spans="1:7" x14ac:dyDescent="0.3">
      <c r="A115" s="1"/>
      <c r="B115" s="1"/>
      <c r="C115" s="1"/>
      <c r="D115" s="1"/>
      <c r="E115" s="1"/>
      <c r="F115" s="1"/>
      <c r="G115" s="16"/>
    </row>
    <row r="116" spans="1:7" x14ac:dyDescent="0.3">
      <c r="A116" s="1"/>
      <c r="B116" s="1"/>
      <c r="C116" s="1"/>
      <c r="D116" s="1"/>
      <c r="E116" s="1"/>
      <c r="F116" s="1"/>
      <c r="G116" s="16"/>
    </row>
    <row r="117" spans="1:7" x14ac:dyDescent="0.3">
      <c r="A117" s="1"/>
      <c r="B117" s="1"/>
      <c r="C117" s="1"/>
      <c r="D117" s="1"/>
      <c r="E117" s="1"/>
      <c r="F117" s="1"/>
      <c r="G117" s="16"/>
    </row>
    <row r="118" spans="1:7" x14ac:dyDescent="0.3">
      <c r="A118" s="1"/>
      <c r="B118" s="1"/>
      <c r="C118" s="1"/>
      <c r="D118" s="1"/>
      <c r="E118" s="1"/>
      <c r="F118" s="1"/>
      <c r="G118" s="16"/>
    </row>
    <row r="119" spans="1:7" x14ac:dyDescent="0.3">
      <c r="A119" s="1"/>
      <c r="B119" s="1"/>
      <c r="C119" s="1"/>
      <c r="D119" s="1"/>
      <c r="E119" s="1"/>
      <c r="F119" s="1"/>
      <c r="G119" s="16"/>
    </row>
    <row r="120" spans="1:7" x14ac:dyDescent="0.3">
      <c r="A120" s="1"/>
      <c r="B120" s="1"/>
      <c r="C120" s="1"/>
      <c r="D120" s="1"/>
      <c r="E120" s="1"/>
      <c r="F120" s="1"/>
      <c r="G120" s="16"/>
    </row>
    <row r="121" spans="1:7" x14ac:dyDescent="0.3">
      <c r="A121" s="1"/>
      <c r="B121" s="1"/>
      <c r="C121" s="1"/>
      <c r="D121" s="1"/>
      <c r="E121" s="1"/>
      <c r="F121" s="1"/>
      <c r="G121" s="16"/>
    </row>
    <row r="122" spans="1:7" x14ac:dyDescent="0.3">
      <c r="A122" s="1"/>
      <c r="B122" s="1"/>
      <c r="C122" s="1"/>
      <c r="D122" s="1"/>
      <c r="E122" s="1"/>
      <c r="F122" s="1"/>
      <c r="G122" s="16"/>
    </row>
    <row r="123" spans="1:7" x14ac:dyDescent="0.3">
      <c r="A123" s="1"/>
      <c r="B123" s="1"/>
      <c r="C123" s="1"/>
      <c r="D123" s="1"/>
      <c r="E123" s="1"/>
      <c r="F123" s="1"/>
      <c r="G123" s="16"/>
    </row>
    <row r="124" spans="1:7" x14ac:dyDescent="0.3">
      <c r="A124" s="1"/>
      <c r="B124" s="1"/>
      <c r="C124" s="1"/>
      <c r="D124" s="1"/>
      <c r="E124" s="1"/>
      <c r="F124" s="1"/>
      <c r="G124" s="16"/>
    </row>
    <row r="125" spans="1:7" x14ac:dyDescent="0.3">
      <c r="A125" s="1"/>
      <c r="B125" s="1"/>
      <c r="C125" s="1"/>
      <c r="D125" s="1"/>
      <c r="E125" s="1"/>
      <c r="F125" s="1"/>
      <c r="G125" s="16"/>
    </row>
    <row r="126" spans="1:7" x14ac:dyDescent="0.3">
      <c r="A126" s="1"/>
      <c r="B126" s="1"/>
      <c r="C126" s="1"/>
      <c r="D126" s="1"/>
      <c r="E126" s="1"/>
      <c r="F126" s="1"/>
      <c r="G126" s="16"/>
    </row>
    <row r="127" spans="1:7" x14ac:dyDescent="0.3">
      <c r="A127" s="1"/>
      <c r="B127" s="1"/>
      <c r="C127" s="1"/>
      <c r="D127" s="1"/>
      <c r="E127" s="1"/>
      <c r="F127" s="1"/>
      <c r="G127" s="16"/>
    </row>
    <row r="128" spans="1:7" x14ac:dyDescent="0.3">
      <c r="A128" s="1"/>
      <c r="B128" s="1"/>
      <c r="C128" s="1"/>
      <c r="D128" s="1"/>
      <c r="E128" s="1"/>
      <c r="F128" s="1"/>
      <c r="G128" s="16"/>
    </row>
    <row r="129" spans="1:7" x14ac:dyDescent="0.3">
      <c r="A129" s="1"/>
      <c r="B129" s="1"/>
      <c r="C129" s="1"/>
      <c r="D129" s="1"/>
      <c r="E129" s="1"/>
      <c r="F129" s="1"/>
      <c r="G129" s="16"/>
    </row>
    <row r="130" spans="1:7" x14ac:dyDescent="0.3">
      <c r="A130" s="1"/>
      <c r="B130" s="1"/>
      <c r="C130" s="1"/>
      <c r="D130" s="1"/>
      <c r="E130" s="1"/>
      <c r="F130" s="1"/>
      <c r="G130" s="16"/>
    </row>
    <row r="131" spans="1:7" x14ac:dyDescent="0.3">
      <c r="A131" s="1"/>
      <c r="B131" s="1"/>
      <c r="C131" s="1"/>
      <c r="D131" s="1"/>
      <c r="E131" s="1"/>
      <c r="F131" s="1"/>
      <c r="G131" s="16"/>
    </row>
    <row r="132" spans="1:7" x14ac:dyDescent="0.3">
      <c r="A132" s="1"/>
      <c r="B132" s="1"/>
      <c r="C132" s="1"/>
      <c r="D132" s="1"/>
      <c r="E132" s="1"/>
      <c r="F132" s="1"/>
      <c r="G132" s="16"/>
    </row>
    <row r="133" spans="1:7" x14ac:dyDescent="0.3">
      <c r="A133" s="1"/>
      <c r="B133" s="1"/>
      <c r="C133" s="1"/>
      <c r="D133" s="1"/>
      <c r="E133" s="1"/>
      <c r="F133" s="1"/>
      <c r="G133" s="16"/>
    </row>
    <row r="134" spans="1:7" x14ac:dyDescent="0.3">
      <c r="A134" s="1"/>
      <c r="B134" s="1"/>
      <c r="C134" s="1"/>
      <c r="D134" s="1"/>
      <c r="E134" s="1"/>
      <c r="F134" s="1"/>
      <c r="G134" s="16"/>
    </row>
    <row r="135" spans="1:7" x14ac:dyDescent="0.3">
      <c r="A135" s="1"/>
      <c r="B135" s="1"/>
      <c r="C135" s="1"/>
      <c r="D135" s="1"/>
      <c r="E135" s="1"/>
      <c r="F135" s="1"/>
      <c r="G135" s="16"/>
    </row>
    <row r="136" spans="1:7" x14ac:dyDescent="0.3">
      <c r="A136" s="1"/>
      <c r="B136" s="1"/>
      <c r="C136" s="1"/>
      <c r="D136" s="1"/>
      <c r="E136" s="1"/>
      <c r="F136" s="1"/>
      <c r="G136" s="16"/>
    </row>
    <row r="137" spans="1:7" x14ac:dyDescent="0.3">
      <c r="A137" s="1"/>
      <c r="B137" s="1"/>
      <c r="C137" s="1"/>
      <c r="D137" s="1"/>
      <c r="E137" s="1"/>
      <c r="F137" s="1"/>
      <c r="G137" s="16"/>
    </row>
    <row r="138" spans="1:7" x14ac:dyDescent="0.3">
      <c r="A138" s="1"/>
      <c r="B138" s="1"/>
      <c r="C138" s="1"/>
      <c r="D138" s="1"/>
      <c r="E138" s="1"/>
      <c r="F138" s="1"/>
      <c r="G138" s="16"/>
    </row>
    <row r="139" spans="1:7" x14ac:dyDescent="0.3">
      <c r="A139" s="1"/>
      <c r="B139" s="1"/>
      <c r="C139" s="1"/>
      <c r="D139" s="1"/>
      <c r="E139" s="1"/>
      <c r="F139" s="1"/>
      <c r="G139" s="16"/>
    </row>
    <row r="140" spans="1:7" x14ac:dyDescent="0.3">
      <c r="A140" s="1"/>
      <c r="B140" s="1"/>
      <c r="C140" s="1"/>
      <c r="D140" s="1"/>
      <c r="E140" s="1"/>
      <c r="F140" s="1"/>
      <c r="G140" s="16"/>
    </row>
    <row r="141" spans="1:7" x14ac:dyDescent="0.3">
      <c r="A141" s="1"/>
      <c r="B141" s="1"/>
      <c r="C141" s="1"/>
      <c r="D141" s="1"/>
      <c r="E141" s="1"/>
      <c r="F141" s="1"/>
      <c r="G141" s="16"/>
    </row>
    <row r="142" spans="1:7" x14ac:dyDescent="0.3">
      <c r="A142" s="1"/>
      <c r="B142" s="1"/>
      <c r="C142" s="1"/>
      <c r="D142" s="1"/>
      <c r="E142" s="1"/>
      <c r="F142" s="1"/>
      <c r="G142" s="16"/>
    </row>
    <row r="143" spans="1:7" x14ac:dyDescent="0.3">
      <c r="A143" s="1"/>
      <c r="B143" s="1"/>
      <c r="C143" s="1"/>
      <c r="D143" s="1"/>
      <c r="E143" s="1"/>
      <c r="F143" s="1"/>
      <c r="G143" s="16"/>
    </row>
    <row r="144" spans="1:7" x14ac:dyDescent="0.3">
      <c r="A144" s="1"/>
      <c r="B144" s="1"/>
      <c r="C144" s="1"/>
      <c r="D144" s="1"/>
      <c r="E144" s="1"/>
      <c r="F144" s="1"/>
      <c r="G144" s="16"/>
    </row>
    <row r="145" spans="1:7" x14ac:dyDescent="0.3">
      <c r="A145" s="1"/>
      <c r="B145" s="1"/>
      <c r="C145" s="1"/>
      <c r="D145" s="1"/>
      <c r="E145" s="1"/>
      <c r="F145" s="1"/>
      <c r="G145" s="16"/>
    </row>
    <row r="146" spans="1:7" x14ac:dyDescent="0.3">
      <c r="A146" s="1"/>
      <c r="B146" s="1"/>
      <c r="C146" s="1"/>
      <c r="D146" s="1"/>
      <c r="E146" s="1"/>
      <c r="F146" s="1"/>
      <c r="G146" s="16"/>
    </row>
    <row r="147" spans="1:7" x14ac:dyDescent="0.3">
      <c r="A147" s="1"/>
      <c r="B147" s="1"/>
      <c r="C147" s="1"/>
      <c r="D147" s="1"/>
      <c r="E147" s="1"/>
      <c r="F147" s="1"/>
      <c r="G147" s="16"/>
    </row>
    <row r="148" spans="1:7" x14ac:dyDescent="0.3">
      <c r="A148" s="1"/>
      <c r="B148" s="1"/>
      <c r="C148" s="1"/>
      <c r="D148" s="1"/>
      <c r="E148" s="1"/>
      <c r="F148" s="1"/>
      <c r="G148" s="16"/>
    </row>
    <row r="149" spans="1:7" x14ac:dyDescent="0.3">
      <c r="A149" s="1"/>
      <c r="B149" s="1"/>
      <c r="C149" s="1"/>
      <c r="D149" s="1"/>
      <c r="E149" s="1"/>
      <c r="F149" s="1"/>
      <c r="G149" s="16"/>
    </row>
    <row r="150" spans="1:7" x14ac:dyDescent="0.3">
      <c r="A150" s="1"/>
      <c r="B150" s="1"/>
      <c r="C150" s="1"/>
      <c r="D150" s="1"/>
      <c r="E150" s="1"/>
      <c r="F150" s="1"/>
      <c r="G150" s="16"/>
    </row>
    <row r="151" spans="1:7" x14ac:dyDescent="0.3">
      <c r="A151" s="1"/>
      <c r="B151" s="1"/>
      <c r="C151" s="1"/>
      <c r="D151" s="1"/>
      <c r="E151" s="1"/>
      <c r="F151" s="1"/>
      <c r="G151" s="16"/>
    </row>
    <row r="152" spans="1:7" x14ac:dyDescent="0.3">
      <c r="A152" s="1"/>
      <c r="B152" s="1"/>
      <c r="C152" s="1"/>
      <c r="D152" s="1"/>
      <c r="E152" s="1"/>
      <c r="F152" s="1"/>
      <c r="G152" s="16"/>
    </row>
    <row r="153" spans="1:7" x14ac:dyDescent="0.3">
      <c r="A153" s="1"/>
      <c r="B153" s="1"/>
      <c r="C153" s="1"/>
      <c r="D153" s="1"/>
      <c r="E153" s="1"/>
      <c r="F153" s="1"/>
      <c r="G153" s="16"/>
    </row>
    <row r="154" spans="1:7" x14ac:dyDescent="0.3">
      <c r="A154" s="1"/>
      <c r="B154" s="1"/>
      <c r="C154" s="1"/>
      <c r="D154" s="1"/>
      <c r="E154" s="1"/>
      <c r="F154" s="1"/>
      <c r="G154" s="16"/>
    </row>
    <row r="155" spans="1:7" x14ac:dyDescent="0.3">
      <c r="A155" s="1"/>
      <c r="B155" s="1"/>
      <c r="C155" s="1"/>
      <c r="D155" s="1"/>
      <c r="E155" s="1"/>
      <c r="F155" s="1"/>
      <c r="G155" s="16"/>
    </row>
    <row r="156" spans="1:7" x14ac:dyDescent="0.3">
      <c r="A156" s="1"/>
      <c r="B156" s="1"/>
      <c r="C156" s="1"/>
      <c r="D156" s="1"/>
      <c r="E156" s="1"/>
      <c r="F156" s="1"/>
      <c r="G156" s="16"/>
    </row>
    <row r="157" spans="1:7" x14ac:dyDescent="0.3">
      <c r="A157" s="1"/>
      <c r="B157" s="1"/>
      <c r="C157" s="1"/>
      <c r="D157" s="1"/>
      <c r="E157" s="1"/>
      <c r="F157" s="1"/>
      <c r="G157" s="16"/>
    </row>
    <row r="158" spans="1:7" x14ac:dyDescent="0.3">
      <c r="A158" s="1"/>
      <c r="B158" s="1"/>
      <c r="C158" s="1"/>
      <c r="D158" s="1"/>
      <c r="E158" s="1"/>
      <c r="F158" s="1"/>
      <c r="G158" s="16"/>
    </row>
    <row r="159" spans="1:7" x14ac:dyDescent="0.3">
      <c r="A159" s="1"/>
      <c r="B159" s="1"/>
      <c r="C159" s="1"/>
      <c r="D159" s="1"/>
      <c r="E159" s="1"/>
      <c r="F159" s="1"/>
      <c r="G159" s="16"/>
    </row>
    <row r="160" spans="1:7" x14ac:dyDescent="0.3">
      <c r="A160" s="1"/>
      <c r="B160" s="1"/>
      <c r="C160" s="1"/>
      <c r="D160" s="1"/>
      <c r="E160" s="1"/>
      <c r="F160" s="1"/>
      <c r="G160" s="16"/>
    </row>
    <row r="161" spans="1:7" x14ac:dyDescent="0.3">
      <c r="A161" s="1"/>
      <c r="B161" s="1"/>
      <c r="C161" s="1"/>
      <c r="D161" s="1"/>
      <c r="E161" s="1"/>
      <c r="F161" s="1"/>
      <c r="G161" s="16"/>
    </row>
    <row r="162" spans="1:7" x14ac:dyDescent="0.3">
      <c r="A162" s="1"/>
      <c r="B162" s="1"/>
      <c r="C162" s="1"/>
      <c r="D162" s="1"/>
      <c r="E162" s="1"/>
      <c r="F162" s="1"/>
      <c r="G162" s="16"/>
    </row>
    <row r="163" spans="1:7" x14ac:dyDescent="0.3">
      <c r="A163" s="1"/>
      <c r="B163" s="1"/>
      <c r="C163" s="1"/>
      <c r="D163" s="1"/>
      <c r="E163" s="1"/>
      <c r="F163" s="1"/>
      <c r="G163" s="16"/>
    </row>
    <row r="164" spans="1:7" x14ac:dyDescent="0.3">
      <c r="A164" s="1"/>
      <c r="B164" s="1"/>
      <c r="C164" s="1"/>
      <c r="D164" s="1"/>
      <c r="E164" s="1"/>
      <c r="F164" s="1"/>
      <c r="G164" s="16"/>
    </row>
    <row r="165" spans="1:7" x14ac:dyDescent="0.3">
      <c r="A165" s="1"/>
      <c r="B165" s="1"/>
      <c r="C165" s="1"/>
      <c r="D165" s="1"/>
      <c r="E165" s="1"/>
      <c r="F165" s="1"/>
      <c r="G165" s="16"/>
    </row>
    <row r="166" spans="1:7" x14ac:dyDescent="0.3">
      <c r="A166" s="1"/>
      <c r="B166" s="1"/>
      <c r="C166" s="1"/>
      <c r="D166" s="1"/>
      <c r="E166" s="1"/>
      <c r="F166" s="1"/>
      <c r="G166" s="16"/>
    </row>
    <row r="167" spans="1:7" x14ac:dyDescent="0.3">
      <c r="A167" s="1"/>
      <c r="B167" s="1"/>
      <c r="C167" s="1"/>
      <c r="D167" s="1"/>
      <c r="E167" s="1"/>
      <c r="F167" s="1"/>
      <c r="G167" s="16"/>
    </row>
    <row r="168" spans="1:7" x14ac:dyDescent="0.3">
      <c r="A168" s="1"/>
      <c r="B168" s="1"/>
      <c r="C168" s="1"/>
      <c r="D168" s="1"/>
      <c r="E168" s="1"/>
      <c r="F168" s="1"/>
      <c r="G168" s="16"/>
    </row>
    <row r="169" spans="1:7" x14ac:dyDescent="0.3">
      <c r="A169" s="1"/>
      <c r="B169" s="1"/>
      <c r="C169" s="1"/>
      <c r="D169" s="1"/>
      <c r="E169" s="1"/>
      <c r="F169" s="1"/>
      <c r="G169" s="16"/>
    </row>
    <row r="170" spans="1:7" x14ac:dyDescent="0.3">
      <c r="A170" s="1"/>
      <c r="B170" s="1"/>
      <c r="C170" s="1"/>
      <c r="D170" s="1"/>
      <c r="E170" s="1"/>
      <c r="F170" s="1"/>
      <c r="G170" s="16"/>
    </row>
    <row r="171" spans="1:7" x14ac:dyDescent="0.3">
      <c r="A171" s="1"/>
      <c r="B171" s="1"/>
      <c r="C171" s="1"/>
      <c r="D171" s="1"/>
      <c r="E171" s="1"/>
      <c r="F171" s="1"/>
      <c r="G171" s="16"/>
    </row>
    <row r="172" spans="1:7" x14ac:dyDescent="0.3">
      <c r="A172" s="1"/>
      <c r="B172" s="1"/>
      <c r="C172" s="1"/>
      <c r="D172" s="1"/>
      <c r="E172" s="1"/>
      <c r="F172" s="1"/>
      <c r="G172" s="16"/>
    </row>
    <row r="173" spans="1:7" x14ac:dyDescent="0.3">
      <c r="A173" s="1"/>
      <c r="B173" s="1"/>
      <c r="C173" s="1"/>
      <c r="D173" s="1"/>
      <c r="E173" s="1"/>
      <c r="F173" s="1"/>
      <c r="G173" s="16"/>
    </row>
    <row r="174" spans="1:7" x14ac:dyDescent="0.3">
      <c r="A174" s="1"/>
      <c r="B174" s="1"/>
      <c r="C174" s="1"/>
      <c r="D174" s="1"/>
      <c r="E174" s="1"/>
      <c r="F174" s="1"/>
      <c r="G174" s="16"/>
    </row>
    <row r="175" spans="1:7" x14ac:dyDescent="0.3">
      <c r="A175" s="1"/>
      <c r="B175" s="1"/>
      <c r="C175" s="1"/>
      <c r="D175" s="1"/>
      <c r="E175" s="1"/>
      <c r="F175" s="1"/>
      <c r="G175" s="16"/>
    </row>
    <row r="176" spans="1:7" x14ac:dyDescent="0.3">
      <c r="A176" s="1"/>
      <c r="B176" s="1"/>
      <c r="C176" s="1"/>
      <c r="D176" s="1"/>
      <c r="E176" s="1"/>
      <c r="F176" s="1"/>
      <c r="G176" s="16"/>
    </row>
    <row r="177" spans="1:7" x14ac:dyDescent="0.3">
      <c r="A177" s="1"/>
      <c r="B177" s="1"/>
      <c r="C177" s="1"/>
      <c r="D177" s="1"/>
      <c r="E177" s="1"/>
      <c r="F177" s="1"/>
      <c r="G177" s="16"/>
    </row>
    <row r="178" spans="1:7" x14ac:dyDescent="0.3">
      <c r="A178" s="1"/>
      <c r="B178" s="1"/>
      <c r="C178" s="1"/>
      <c r="D178" s="1"/>
      <c r="E178" s="1"/>
      <c r="F178" s="1"/>
      <c r="G178" s="16"/>
    </row>
    <row r="179" spans="1:7" x14ac:dyDescent="0.3">
      <c r="A179" s="1"/>
      <c r="B179" s="1"/>
      <c r="C179" s="1"/>
      <c r="D179" s="1"/>
      <c r="E179" s="1"/>
      <c r="F179" s="1"/>
      <c r="G179" s="16"/>
    </row>
    <row r="180" spans="1:7" x14ac:dyDescent="0.3">
      <c r="A180" s="1"/>
      <c r="B180" s="1"/>
      <c r="C180" s="1"/>
      <c r="D180" s="1"/>
      <c r="E180" s="1"/>
      <c r="F180" s="1"/>
      <c r="G180" s="16"/>
    </row>
    <row r="181" spans="1:7" x14ac:dyDescent="0.3">
      <c r="A181" s="1"/>
      <c r="B181" s="1"/>
      <c r="C181" s="1"/>
      <c r="D181" s="1"/>
      <c r="E181" s="1"/>
      <c r="F181" s="1"/>
      <c r="G181" s="16"/>
    </row>
    <row r="182" spans="1:7" x14ac:dyDescent="0.3">
      <c r="A182" s="1"/>
      <c r="B182" s="1"/>
      <c r="C182" s="1"/>
      <c r="D182" s="1"/>
      <c r="E182" s="1"/>
      <c r="F182" s="1"/>
      <c r="G182" s="16"/>
    </row>
    <row r="183" spans="1:7" x14ac:dyDescent="0.3">
      <c r="A183" s="1"/>
      <c r="B183" s="1"/>
      <c r="C183" s="1"/>
      <c r="D183" s="1"/>
      <c r="E183" s="1"/>
      <c r="F183" s="1"/>
      <c r="G183" s="16"/>
    </row>
    <row r="184" spans="1:7" x14ac:dyDescent="0.3">
      <c r="A184" s="1"/>
      <c r="B184" s="1"/>
      <c r="C184" s="1"/>
      <c r="D184" s="1"/>
      <c r="E184" s="1"/>
      <c r="F184" s="1"/>
      <c r="G184" s="16"/>
    </row>
    <row r="185" spans="1:7" x14ac:dyDescent="0.3">
      <c r="A185" s="1"/>
      <c r="B185" s="1"/>
      <c r="C185" s="1"/>
      <c r="D185" s="1"/>
      <c r="E185" s="1"/>
      <c r="F185" s="1"/>
      <c r="G185" s="16"/>
    </row>
    <row r="186" spans="1:7" x14ac:dyDescent="0.3">
      <c r="A186" s="1"/>
      <c r="B186" s="1"/>
      <c r="C186" s="1"/>
      <c r="D186" s="1"/>
      <c r="E186" s="1"/>
      <c r="F186" s="1"/>
      <c r="G186" s="16"/>
    </row>
    <row r="187" spans="1:7" x14ac:dyDescent="0.3">
      <c r="A187" s="1"/>
      <c r="B187" s="1"/>
      <c r="C187" s="1"/>
      <c r="D187" s="1"/>
      <c r="E187" s="1"/>
      <c r="F187" s="1"/>
      <c r="G187" s="16"/>
    </row>
    <row r="188" spans="1:7" x14ac:dyDescent="0.3">
      <c r="A188" s="1"/>
      <c r="B188" s="1"/>
      <c r="C188" s="1"/>
      <c r="D188" s="1"/>
      <c r="E188" s="1"/>
      <c r="F188" s="1"/>
      <c r="G188" s="16"/>
    </row>
    <row r="189" spans="1:7" x14ac:dyDescent="0.3">
      <c r="A189" s="1"/>
      <c r="B189" s="1"/>
      <c r="C189" s="1"/>
      <c r="D189" s="1"/>
      <c r="E189" s="1"/>
      <c r="F189" s="1"/>
      <c r="G189" s="16"/>
    </row>
    <row r="190" spans="1:7" x14ac:dyDescent="0.3">
      <c r="A190" s="1"/>
      <c r="B190" s="1"/>
      <c r="C190" s="1"/>
      <c r="D190" s="1"/>
      <c r="E190" s="1"/>
      <c r="F190" s="1"/>
      <c r="G190" s="16"/>
    </row>
    <row r="191" spans="1:7" x14ac:dyDescent="0.3">
      <c r="A191" s="1"/>
      <c r="B191" s="1"/>
      <c r="C191" s="1"/>
      <c r="D191" s="1"/>
      <c r="E191" s="1"/>
      <c r="F191" s="1"/>
      <c r="G191" s="16"/>
    </row>
    <row r="192" spans="1:7" x14ac:dyDescent="0.3">
      <c r="A192" s="1"/>
      <c r="B192" s="1"/>
      <c r="C192" s="1"/>
      <c r="D192" s="1"/>
      <c r="E192" s="1"/>
      <c r="F192" s="1"/>
      <c r="G192" s="16"/>
    </row>
    <row r="193" spans="1:7" x14ac:dyDescent="0.3">
      <c r="A193" s="1"/>
      <c r="B193" s="1"/>
      <c r="C193" s="1"/>
      <c r="D193" s="1"/>
      <c r="E193" s="1"/>
      <c r="F193" s="1"/>
      <c r="G193" s="16"/>
    </row>
    <row r="194" spans="1:7" x14ac:dyDescent="0.3">
      <c r="A194" s="1"/>
      <c r="B194" s="1"/>
      <c r="C194" s="1"/>
      <c r="D194" s="1"/>
      <c r="E194" s="1"/>
      <c r="F194" s="1"/>
      <c r="G194" s="16"/>
    </row>
    <row r="195" spans="1:7" x14ac:dyDescent="0.3">
      <c r="A195" s="1"/>
      <c r="B195" s="1"/>
      <c r="C195" s="1"/>
      <c r="D195" s="1"/>
      <c r="E195" s="1"/>
      <c r="F195" s="1"/>
      <c r="G195" s="16"/>
    </row>
    <row r="196" spans="1:7" x14ac:dyDescent="0.3">
      <c r="A196" s="1"/>
      <c r="B196" s="1"/>
      <c r="C196" s="1"/>
      <c r="D196" s="1"/>
      <c r="E196" s="1"/>
      <c r="F196" s="1"/>
      <c r="G196" s="16"/>
    </row>
    <row r="197" spans="1:7" x14ac:dyDescent="0.3">
      <c r="A197" s="1"/>
      <c r="B197" s="1"/>
      <c r="C197" s="1"/>
      <c r="D197" s="1"/>
      <c r="E197" s="1"/>
      <c r="F197" s="1"/>
      <c r="G197" s="16"/>
    </row>
    <row r="198" spans="1:7" x14ac:dyDescent="0.3">
      <c r="A198" s="1"/>
      <c r="B198" s="1"/>
      <c r="C198" s="1"/>
      <c r="D198" s="1"/>
      <c r="E198" s="1"/>
      <c r="F198" s="1"/>
      <c r="G198" s="16"/>
    </row>
    <row r="199" spans="1:7" x14ac:dyDescent="0.3">
      <c r="A199" s="1"/>
      <c r="B199" s="1"/>
      <c r="C199" s="1"/>
      <c r="D199" s="1"/>
      <c r="E199" s="1"/>
      <c r="F199" s="1"/>
      <c r="G199" s="16"/>
    </row>
    <row r="200" spans="1:7" x14ac:dyDescent="0.3">
      <c r="A200" s="1"/>
      <c r="B200" s="1"/>
      <c r="C200" s="1"/>
      <c r="D200" s="1"/>
      <c r="E200" s="1"/>
      <c r="F200" s="1"/>
      <c r="G200" s="16"/>
    </row>
    <row r="201" spans="1:7" x14ac:dyDescent="0.3">
      <c r="A201" s="1"/>
      <c r="B201" s="1"/>
      <c r="C201" s="1"/>
      <c r="D201" s="1"/>
      <c r="E201" s="1"/>
      <c r="F201" s="1"/>
      <c r="G201" s="16"/>
    </row>
    <row r="202" spans="1:7" x14ac:dyDescent="0.3">
      <c r="A202" s="1"/>
      <c r="B202" s="1"/>
      <c r="C202" s="1"/>
      <c r="D202" s="1"/>
      <c r="E202" s="1"/>
      <c r="F202" s="1"/>
      <c r="G202" s="16"/>
    </row>
    <row r="203" spans="1:7" x14ac:dyDescent="0.3">
      <c r="A203" s="1"/>
      <c r="B203" s="1"/>
      <c r="C203" s="1"/>
      <c r="D203" s="1"/>
      <c r="E203" s="1"/>
      <c r="F203" s="1"/>
      <c r="G203" s="16"/>
    </row>
    <row r="204" spans="1:7" x14ac:dyDescent="0.3">
      <c r="A204" s="1"/>
      <c r="B204" s="1"/>
      <c r="C204" s="1"/>
      <c r="D204" s="1"/>
      <c r="E204" s="1"/>
      <c r="F204" s="1"/>
      <c r="G204" s="16"/>
    </row>
    <row r="205" spans="1:7" x14ac:dyDescent="0.3">
      <c r="A205" s="1"/>
      <c r="B205" s="1"/>
      <c r="C205" s="1"/>
      <c r="D205" s="1"/>
      <c r="E205" s="1"/>
      <c r="F205" s="1"/>
      <c r="G205" s="16"/>
    </row>
    <row r="206" spans="1:7" x14ac:dyDescent="0.3">
      <c r="A206" s="1"/>
      <c r="B206" s="1"/>
      <c r="C206" s="1"/>
      <c r="D206" s="1"/>
      <c r="E206" s="1"/>
      <c r="F206" s="1"/>
      <c r="G206" s="16"/>
    </row>
    <row r="207" spans="1:7" x14ac:dyDescent="0.3">
      <c r="A207" s="1"/>
      <c r="B207" s="1"/>
      <c r="C207" s="1"/>
      <c r="D207" s="1"/>
      <c r="E207" s="1"/>
      <c r="F207" s="1"/>
      <c r="G207" s="16"/>
    </row>
    <row r="208" spans="1:7" x14ac:dyDescent="0.3">
      <c r="A208" s="1"/>
      <c r="B208" s="1"/>
      <c r="C208" s="1"/>
      <c r="D208" s="1"/>
      <c r="E208" s="1"/>
      <c r="F208" s="1"/>
      <c r="G208" s="16"/>
    </row>
    <row r="209" spans="1:7" x14ac:dyDescent="0.3">
      <c r="A209" s="1"/>
      <c r="B209" s="1"/>
      <c r="C209" s="1"/>
      <c r="D209" s="1"/>
      <c r="E209" s="1"/>
      <c r="F209" s="1"/>
      <c r="G209" s="16"/>
    </row>
    <row r="210" spans="1:7" x14ac:dyDescent="0.3">
      <c r="A210" s="1"/>
      <c r="B210" s="1"/>
      <c r="C210" s="1"/>
      <c r="D210" s="1"/>
      <c r="E210" s="1"/>
      <c r="F210" s="1"/>
      <c r="G210" s="16"/>
    </row>
    <row r="211" spans="1:7" x14ac:dyDescent="0.3">
      <c r="A211" s="1"/>
      <c r="B211" s="1"/>
      <c r="C211" s="1"/>
      <c r="D211" s="1"/>
      <c r="E211" s="1"/>
      <c r="F211" s="1"/>
      <c r="G211" s="16"/>
    </row>
    <row r="212" spans="1:7" x14ac:dyDescent="0.3">
      <c r="A212" s="1"/>
      <c r="B212" s="1"/>
      <c r="C212" s="1"/>
      <c r="D212" s="1"/>
      <c r="E212" s="1"/>
      <c r="F212" s="1"/>
      <c r="G212" s="16"/>
    </row>
    <row r="213" spans="1:7" x14ac:dyDescent="0.3">
      <c r="A213" s="1"/>
      <c r="B213" s="1"/>
      <c r="C213" s="1"/>
      <c r="D213" s="1"/>
      <c r="E213" s="1"/>
      <c r="F213" s="1"/>
      <c r="G213" s="16"/>
    </row>
    <row r="214" spans="1:7" x14ac:dyDescent="0.3">
      <c r="A214" s="1"/>
      <c r="B214" s="1"/>
      <c r="C214" s="1"/>
      <c r="D214" s="1"/>
      <c r="E214" s="1"/>
      <c r="F214" s="1"/>
      <c r="G214" s="16"/>
    </row>
    <row r="215" spans="1:7" x14ac:dyDescent="0.3">
      <c r="A215" s="1"/>
      <c r="B215" s="1"/>
      <c r="C215" s="1"/>
      <c r="D215" s="1"/>
      <c r="E215" s="1"/>
      <c r="F215" s="1"/>
      <c r="G215" s="16"/>
    </row>
    <row r="216" spans="1:7" x14ac:dyDescent="0.3">
      <c r="A216" s="1"/>
      <c r="B216" s="1"/>
      <c r="C216" s="1"/>
      <c r="D216" s="1"/>
      <c r="E216" s="1"/>
      <c r="F216" s="1"/>
      <c r="G216" s="16"/>
    </row>
    <row r="217" spans="1:7" x14ac:dyDescent="0.3">
      <c r="A217" s="1"/>
      <c r="B217" s="1"/>
      <c r="C217" s="1"/>
      <c r="D217" s="1"/>
      <c r="E217" s="1"/>
      <c r="F217" s="1"/>
      <c r="G217" s="16"/>
    </row>
    <row r="218" spans="1:7" x14ac:dyDescent="0.3">
      <c r="A218" s="1"/>
      <c r="B218" s="1"/>
      <c r="C218" s="1"/>
      <c r="D218" s="1"/>
      <c r="E218" s="1"/>
      <c r="F218" s="1"/>
      <c r="G218" s="16"/>
    </row>
    <row r="219" spans="1:7" x14ac:dyDescent="0.3">
      <c r="A219" s="1"/>
      <c r="B219" s="1"/>
      <c r="C219" s="1"/>
      <c r="D219" s="1"/>
      <c r="E219" s="1"/>
      <c r="F219" s="1"/>
      <c r="G219" s="16"/>
    </row>
    <row r="220" spans="1:7" x14ac:dyDescent="0.3">
      <c r="A220" s="1"/>
      <c r="B220" s="1"/>
      <c r="C220" s="1"/>
      <c r="D220" s="1"/>
      <c r="E220" s="1"/>
      <c r="F220" s="1"/>
      <c r="G220" s="16"/>
    </row>
    <row r="221" spans="1:7" x14ac:dyDescent="0.3">
      <c r="A221" s="1"/>
      <c r="B221" s="1"/>
      <c r="C221" s="1"/>
      <c r="D221" s="1"/>
      <c r="E221" s="1"/>
      <c r="F221" s="1"/>
      <c r="G221" s="16"/>
    </row>
    <row r="222" spans="1:7" x14ac:dyDescent="0.3">
      <c r="A222" s="1"/>
      <c r="B222" s="1"/>
      <c r="C222" s="1"/>
      <c r="D222" s="1"/>
      <c r="E222" s="1"/>
      <c r="F222" s="1"/>
      <c r="G222" s="16"/>
    </row>
    <row r="223" spans="1:7" x14ac:dyDescent="0.3">
      <c r="A223" s="1"/>
      <c r="B223" s="1"/>
      <c r="C223" s="1"/>
      <c r="D223" s="1"/>
      <c r="E223" s="1"/>
      <c r="F223" s="1"/>
      <c r="G223" s="16"/>
    </row>
    <row r="224" spans="1:7" x14ac:dyDescent="0.3">
      <c r="A224" s="1"/>
      <c r="B224" s="1"/>
      <c r="C224" s="1"/>
      <c r="D224" s="1"/>
      <c r="E224" s="1"/>
      <c r="F224" s="1"/>
      <c r="G224" s="16"/>
    </row>
    <row r="225" spans="1:7" x14ac:dyDescent="0.3">
      <c r="A225" s="1"/>
      <c r="B225" s="1"/>
      <c r="C225" s="1"/>
      <c r="D225" s="1"/>
      <c r="E225" s="1"/>
      <c r="F225" s="1"/>
      <c r="G225" s="16"/>
    </row>
    <row r="226" spans="1:7" x14ac:dyDescent="0.3">
      <c r="A226" s="1"/>
      <c r="B226" s="1"/>
      <c r="C226" s="1"/>
      <c r="D226" s="1"/>
      <c r="E226" s="1"/>
      <c r="F226" s="1"/>
      <c r="G226" s="16"/>
    </row>
    <row r="227" spans="1:7" x14ac:dyDescent="0.3">
      <c r="A227" s="1"/>
      <c r="B227" s="1"/>
      <c r="C227" s="1"/>
      <c r="D227" s="1"/>
      <c r="E227" s="1"/>
      <c r="F227" s="1"/>
      <c r="G227" s="16"/>
    </row>
    <row r="228" spans="1:7" x14ac:dyDescent="0.3">
      <c r="A228" s="1"/>
      <c r="B228" s="1"/>
      <c r="C228" s="1"/>
      <c r="D228" s="1"/>
      <c r="E228" s="1"/>
      <c r="F228" s="1"/>
      <c r="G228" s="16"/>
    </row>
    <row r="229" spans="1:7" x14ac:dyDescent="0.3">
      <c r="A229" s="1"/>
      <c r="B229" s="1"/>
      <c r="C229" s="1"/>
      <c r="D229" s="1"/>
      <c r="E229" s="1"/>
      <c r="F229" s="1"/>
      <c r="G229" s="16"/>
    </row>
    <row r="230" spans="1:7" x14ac:dyDescent="0.3">
      <c r="A230" s="1"/>
      <c r="B230" s="1"/>
      <c r="C230" s="1"/>
      <c r="D230" s="1"/>
      <c r="E230" s="1"/>
      <c r="F230" s="1"/>
      <c r="G230" s="16"/>
    </row>
    <row r="231" spans="1:7" x14ac:dyDescent="0.3">
      <c r="A231" s="1"/>
      <c r="B231" s="1"/>
      <c r="C231" s="1"/>
      <c r="D231" s="1"/>
      <c r="E231" s="1"/>
      <c r="F231" s="1"/>
      <c r="G231" s="16"/>
    </row>
    <row r="232" spans="1:7" x14ac:dyDescent="0.3">
      <c r="A232" s="1"/>
      <c r="B232" s="1"/>
      <c r="C232" s="1"/>
      <c r="D232" s="1"/>
      <c r="E232" s="1"/>
      <c r="F232" s="1"/>
      <c r="G232" s="16"/>
    </row>
    <row r="233" spans="1:7" x14ac:dyDescent="0.3">
      <c r="A233" s="1"/>
      <c r="B233" s="1"/>
      <c r="C233" s="1"/>
      <c r="D233" s="1"/>
      <c r="E233" s="1"/>
      <c r="F233" s="1"/>
      <c r="G233" s="16"/>
    </row>
    <row r="234" spans="1:7" x14ac:dyDescent="0.3">
      <c r="A234" s="1"/>
      <c r="B234" s="1"/>
      <c r="C234" s="1"/>
      <c r="D234" s="1"/>
      <c r="E234" s="1"/>
      <c r="F234" s="1"/>
      <c r="G234" s="16"/>
    </row>
    <row r="235" spans="1:7" x14ac:dyDescent="0.3">
      <c r="A235" s="1"/>
      <c r="B235" s="1"/>
      <c r="C235" s="1"/>
      <c r="D235" s="1"/>
      <c r="E235" s="1"/>
      <c r="F235" s="1"/>
      <c r="G235" s="16"/>
    </row>
    <row r="236" spans="1:7" x14ac:dyDescent="0.3">
      <c r="A236" s="1"/>
      <c r="B236" s="1"/>
      <c r="C236" s="1"/>
      <c r="D236" s="1"/>
      <c r="E236" s="1"/>
      <c r="F236" s="1"/>
      <c r="G236" s="16"/>
    </row>
    <row r="237" spans="1:7" x14ac:dyDescent="0.3">
      <c r="A237" s="1"/>
      <c r="B237" s="1"/>
      <c r="C237" s="1"/>
      <c r="D237" s="1"/>
      <c r="E237" s="1"/>
      <c r="F237" s="1"/>
      <c r="G237" s="16"/>
    </row>
    <row r="238" spans="1:7" x14ac:dyDescent="0.3">
      <c r="A238" s="1"/>
      <c r="B238" s="1"/>
      <c r="C238" s="1"/>
      <c r="D238" s="1"/>
      <c r="E238" s="1"/>
      <c r="F238" s="1"/>
      <c r="G238" s="16"/>
    </row>
    <row r="239" spans="1:7" x14ac:dyDescent="0.3">
      <c r="A239" s="1"/>
      <c r="B239" s="1"/>
      <c r="C239" s="1"/>
      <c r="D239" s="1"/>
      <c r="E239" s="1"/>
      <c r="F239" s="1"/>
      <c r="G239" s="16"/>
    </row>
    <row r="240" spans="1:7" x14ac:dyDescent="0.3">
      <c r="A240" s="1"/>
      <c r="B240" s="1"/>
      <c r="C240" s="1"/>
      <c r="D240" s="1"/>
      <c r="E240" s="1"/>
      <c r="F240" s="1"/>
      <c r="G240" s="16"/>
    </row>
    <row r="241" spans="1:7" x14ac:dyDescent="0.3">
      <c r="A241" s="1"/>
      <c r="B241" s="1"/>
      <c r="C241" s="1"/>
      <c r="D241" s="1"/>
      <c r="E241" s="1"/>
      <c r="F241" s="1"/>
      <c r="G241" s="16"/>
    </row>
    <row r="242" spans="1:7" x14ac:dyDescent="0.3">
      <c r="A242" s="1"/>
      <c r="B242" s="1"/>
      <c r="C242" s="1"/>
      <c r="D242" s="1"/>
      <c r="E242" s="1"/>
      <c r="F242" s="1"/>
      <c r="G242" s="16"/>
    </row>
    <row r="243" spans="1:7" x14ac:dyDescent="0.3">
      <c r="A243" s="1"/>
      <c r="B243" s="1"/>
      <c r="C243" s="1"/>
      <c r="D243" s="1"/>
      <c r="E243" s="1"/>
      <c r="F243" s="1"/>
      <c r="G243" s="16"/>
    </row>
    <row r="244" spans="1:7" x14ac:dyDescent="0.3">
      <c r="A244" s="1"/>
      <c r="B244" s="1"/>
      <c r="C244" s="1"/>
      <c r="D244" s="1"/>
      <c r="E244" s="1"/>
      <c r="F244" s="1"/>
      <c r="G244" s="16"/>
    </row>
    <row r="245" spans="1:7" x14ac:dyDescent="0.3">
      <c r="A245" s="1"/>
      <c r="B245" s="1"/>
      <c r="C245" s="1"/>
      <c r="D245" s="1"/>
      <c r="E245" s="1"/>
      <c r="F245" s="1"/>
      <c r="G245" s="16"/>
    </row>
    <row r="246" spans="1:7" x14ac:dyDescent="0.3">
      <c r="A246" s="1"/>
      <c r="B246" s="1"/>
      <c r="C246" s="1"/>
      <c r="D246" s="1"/>
      <c r="E246" s="1"/>
      <c r="F246" s="1"/>
      <c r="G246" s="16"/>
    </row>
    <row r="247" spans="1:7" x14ac:dyDescent="0.3">
      <c r="A247" s="1"/>
      <c r="B247" s="1"/>
      <c r="C247" s="1"/>
      <c r="D247" s="1"/>
      <c r="E247" s="1"/>
      <c r="F247" s="1"/>
      <c r="G247" s="16"/>
    </row>
    <row r="248" spans="1:7" x14ac:dyDescent="0.3">
      <c r="A248" s="1"/>
      <c r="B248" s="1"/>
      <c r="C248" s="1"/>
      <c r="D248" s="1"/>
      <c r="E248" s="1"/>
      <c r="F248" s="1"/>
      <c r="G248" s="16"/>
    </row>
    <row r="249" spans="1:7" x14ac:dyDescent="0.3">
      <c r="A249" s="1"/>
      <c r="B249" s="1"/>
      <c r="C249" s="1"/>
      <c r="D249" s="1"/>
      <c r="E249" s="1"/>
      <c r="F249" s="1"/>
      <c r="G249" s="16"/>
    </row>
    <row r="250" spans="1:7" x14ac:dyDescent="0.3">
      <c r="A250" s="1"/>
      <c r="B250" s="1"/>
      <c r="C250" s="1"/>
      <c r="D250" s="1"/>
      <c r="E250" s="1"/>
      <c r="F250" s="1"/>
      <c r="G250" s="16"/>
    </row>
    <row r="251" spans="1:7" x14ac:dyDescent="0.3">
      <c r="A251" s="1"/>
      <c r="B251" s="1"/>
      <c r="C251" s="1"/>
      <c r="D251" s="1"/>
      <c r="E251" s="1"/>
      <c r="F251" s="1"/>
      <c r="G251" s="16"/>
    </row>
    <row r="252" spans="1:7" x14ac:dyDescent="0.3">
      <c r="A252" s="1"/>
      <c r="B252" s="1"/>
      <c r="C252" s="1"/>
      <c r="D252" s="1"/>
      <c r="E252" s="1"/>
      <c r="F252" s="1"/>
      <c r="G252" s="16"/>
    </row>
    <row r="253" spans="1:7" x14ac:dyDescent="0.3">
      <c r="A253" s="1"/>
      <c r="B253" s="1"/>
      <c r="C253" s="1"/>
      <c r="D253" s="1"/>
      <c r="E253" s="1"/>
      <c r="F253" s="1"/>
      <c r="G253" s="16"/>
    </row>
    <row r="254" spans="1:7" x14ac:dyDescent="0.3">
      <c r="A254" s="1"/>
      <c r="B254" s="1"/>
      <c r="C254" s="1"/>
      <c r="D254" s="1"/>
      <c r="E254" s="1"/>
      <c r="F254" s="1"/>
      <c r="G254" s="16"/>
    </row>
    <row r="255" spans="1:7" x14ac:dyDescent="0.3">
      <c r="A255" s="1"/>
      <c r="B255" s="1"/>
      <c r="C255" s="1"/>
      <c r="D255" s="1"/>
      <c r="E255" s="1"/>
      <c r="F255" s="1"/>
      <c r="G255" s="16"/>
    </row>
    <row r="256" spans="1:7" x14ac:dyDescent="0.3">
      <c r="A256" s="1"/>
      <c r="B256" s="1"/>
      <c r="C256" s="1"/>
      <c r="D256" s="1"/>
      <c r="E256" s="1"/>
      <c r="F256" s="1"/>
      <c r="G256" s="16"/>
    </row>
    <row r="257" spans="1:7" x14ac:dyDescent="0.3">
      <c r="A257" s="1"/>
      <c r="B257" s="1"/>
      <c r="C257" s="1"/>
      <c r="D257" s="1"/>
      <c r="E257" s="1"/>
      <c r="F257" s="1"/>
      <c r="G257" s="16"/>
    </row>
    <row r="258" spans="1:7" x14ac:dyDescent="0.3">
      <c r="A258" s="1"/>
      <c r="B258" s="1"/>
      <c r="C258" s="1"/>
      <c r="D258" s="1"/>
      <c r="E258" s="1"/>
      <c r="F258" s="1"/>
      <c r="G258" s="16"/>
    </row>
    <row r="259" spans="1:7" x14ac:dyDescent="0.3">
      <c r="A259" s="1"/>
      <c r="B259" s="1"/>
      <c r="C259" s="1"/>
      <c r="D259" s="1"/>
      <c r="E259" s="1"/>
      <c r="F259" s="1"/>
      <c r="G259" s="16"/>
    </row>
    <row r="260" spans="1:7" x14ac:dyDescent="0.3">
      <c r="A260" s="1"/>
      <c r="B260" s="1"/>
      <c r="C260" s="1"/>
      <c r="D260" s="1"/>
      <c r="E260" s="1"/>
      <c r="F260" s="1"/>
      <c r="G260" s="16"/>
    </row>
    <row r="261" spans="1:7" x14ac:dyDescent="0.3">
      <c r="A261" s="1"/>
      <c r="B261" s="1"/>
      <c r="C261" s="1"/>
      <c r="D261" s="1"/>
      <c r="E261" s="1"/>
      <c r="F261" s="1"/>
      <c r="G261" s="16"/>
    </row>
    <row r="262" spans="1:7" x14ac:dyDescent="0.3">
      <c r="A262" s="1"/>
      <c r="B262" s="1"/>
      <c r="C262" s="1"/>
      <c r="D262" s="1"/>
      <c r="E262" s="1"/>
      <c r="F262" s="1"/>
      <c r="G262" s="16"/>
    </row>
    <row r="263" spans="1:7" x14ac:dyDescent="0.3">
      <c r="A263" s="1"/>
      <c r="B263" s="1"/>
      <c r="C263" s="1"/>
      <c r="D263" s="1"/>
      <c r="E263" s="1"/>
      <c r="F263" s="1"/>
      <c r="G263" s="16"/>
    </row>
    <row r="264" spans="1:7" x14ac:dyDescent="0.3">
      <c r="A264" s="1"/>
      <c r="B264" s="1"/>
      <c r="C264" s="1"/>
      <c r="D264" s="1"/>
      <c r="E264" s="1"/>
      <c r="F264" s="1"/>
      <c r="G264" s="16"/>
    </row>
    <row r="265" spans="1:7" x14ac:dyDescent="0.3">
      <c r="A265" s="1"/>
      <c r="B265" s="1"/>
      <c r="C265" s="1"/>
      <c r="D265" s="1"/>
      <c r="E265" s="1"/>
      <c r="F265" s="1"/>
      <c r="G265" s="16"/>
    </row>
    <row r="266" spans="1:7" x14ac:dyDescent="0.3">
      <c r="A266" s="1"/>
      <c r="B266" s="1"/>
      <c r="C266" s="1"/>
      <c r="D266" s="1"/>
      <c r="E266" s="1"/>
      <c r="F266" s="1"/>
      <c r="G266" s="16"/>
    </row>
    <row r="267" spans="1:7" x14ac:dyDescent="0.3">
      <c r="A267" s="1"/>
      <c r="B267" s="1"/>
      <c r="C267" s="1"/>
      <c r="D267" s="1"/>
      <c r="E267" s="1"/>
      <c r="F267" s="1"/>
      <c r="G267" s="16"/>
    </row>
    <row r="268" spans="1:7" x14ac:dyDescent="0.3">
      <c r="A268" s="1"/>
      <c r="B268" s="1"/>
      <c r="C268" s="1"/>
      <c r="D268" s="1"/>
      <c r="E268" s="1"/>
      <c r="F268" s="1"/>
      <c r="G268" s="16"/>
    </row>
    <row r="269" spans="1:7" x14ac:dyDescent="0.3">
      <c r="A269" s="1"/>
      <c r="B269" s="1"/>
      <c r="C269" s="1"/>
      <c r="D269" s="1"/>
      <c r="E269" s="1"/>
      <c r="F269" s="1"/>
      <c r="G269" s="16"/>
    </row>
    <row r="270" spans="1:7" x14ac:dyDescent="0.3">
      <c r="A270" s="1"/>
      <c r="B270" s="1"/>
      <c r="C270" s="1"/>
      <c r="D270" s="1"/>
      <c r="E270" s="1"/>
      <c r="F270" s="1"/>
      <c r="G270" s="16"/>
    </row>
    <row r="271" spans="1:7" x14ac:dyDescent="0.3">
      <c r="A271" s="1"/>
      <c r="B271" s="1"/>
      <c r="C271" s="1"/>
      <c r="D271" s="1"/>
      <c r="E271" s="1"/>
      <c r="F271" s="1"/>
      <c r="G271" s="16"/>
    </row>
    <row r="272" spans="1:7" x14ac:dyDescent="0.3">
      <c r="A272" s="1"/>
      <c r="B272" s="1"/>
      <c r="C272" s="1"/>
      <c r="D272" s="1"/>
      <c r="E272" s="1"/>
      <c r="F272" s="1"/>
      <c r="G272" s="16"/>
    </row>
    <row r="273" spans="1:7" x14ac:dyDescent="0.3">
      <c r="A273" s="1"/>
      <c r="B273" s="1"/>
      <c r="C273" s="1"/>
      <c r="D273" s="1"/>
      <c r="E273" s="1"/>
      <c r="F273" s="1"/>
      <c r="G273" s="16"/>
    </row>
    <row r="274" spans="1:7" x14ac:dyDescent="0.3">
      <c r="A274" s="1"/>
      <c r="B274" s="1"/>
      <c r="C274" s="1"/>
      <c r="D274" s="1"/>
      <c r="E274" s="1"/>
      <c r="F274" s="1"/>
      <c r="G274" s="16"/>
    </row>
    <row r="275" spans="1:7" x14ac:dyDescent="0.3">
      <c r="A275" s="1"/>
      <c r="B275" s="1"/>
      <c r="C275" s="1"/>
      <c r="D275" s="1"/>
      <c r="E275" s="1"/>
      <c r="F275" s="1"/>
      <c r="G275" s="16"/>
    </row>
    <row r="276" spans="1:7" x14ac:dyDescent="0.3">
      <c r="A276" s="1"/>
      <c r="B276" s="1"/>
      <c r="C276" s="1"/>
      <c r="D276" s="1"/>
      <c r="E276" s="1"/>
      <c r="F276" s="1"/>
      <c r="G276" s="16"/>
    </row>
    <row r="277" spans="1:7" x14ac:dyDescent="0.3">
      <c r="A277" s="1"/>
      <c r="B277" s="1"/>
      <c r="C277" s="1"/>
      <c r="D277" s="1"/>
      <c r="E277" s="1"/>
      <c r="F277" s="1"/>
      <c r="G277" s="16"/>
    </row>
    <row r="278" spans="1:7" x14ac:dyDescent="0.3">
      <c r="A278" s="1"/>
      <c r="B278" s="1"/>
      <c r="C278" s="1"/>
      <c r="D278" s="1"/>
      <c r="E278" s="1"/>
      <c r="F278" s="1"/>
      <c r="G278" s="16"/>
    </row>
    <row r="279" spans="1:7" x14ac:dyDescent="0.3">
      <c r="A279" s="1"/>
      <c r="B279" s="1"/>
      <c r="C279" s="1"/>
      <c r="D279" s="1"/>
      <c r="E279" s="1"/>
      <c r="F279" s="1"/>
      <c r="G279" s="16"/>
    </row>
    <row r="280" spans="1:7" x14ac:dyDescent="0.3">
      <c r="A280" s="1"/>
      <c r="B280" s="1"/>
      <c r="C280" s="1"/>
      <c r="D280" s="1"/>
      <c r="E280" s="1"/>
      <c r="F280" s="1"/>
      <c r="G280" s="16"/>
    </row>
    <row r="281" spans="1:7" x14ac:dyDescent="0.3">
      <c r="A281" s="1"/>
      <c r="B281" s="1"/>
      <c r="C281" s="1"/>
      <c r="D281" s="1"/>
      <c r="E281" s="1"/>
      <c r="F281" s="1"/>
      <c r="G281" s="16"/>
    </row>
    <row r="282" spans="1:7" x14ac:dyDescent="0.3">
      <c r="A282" s="1"/>
      <c r="B282" s="1"/>
      <c r="C282" s="1"/>
      <c r="D282" s="1"/>
      <c r="E282" s="1"/>
      <c r="F282" s="1"/>
      <c r="G282" s="16"/>
    </row>
    <row r="283" spans="1:7" x14ac:dyDescent="0.3">
      <c r="A283" s="1"/>
      <c r="B283" s="1"/>
      <c r="C283" s="1"/>
      <c r="D283" s="1"/>
      <c r="E283" s="1"/>
      <c r="F283" s="1"/>
      <c r="G283" s="16"/>
    </row>
    <row r="284" spans="1:7" x14ac:dyDescent="0.3">
      <c r="A284" s="1"/>
      <c r="B284" s="1"/>
      <c r="C284" s="1"/>
      <c r="D284" s="1"/>
      <c r="E284" s="1"/>
      <c r="F284" s="1"/>
      <c r="G284" s="16"/>
    </row>
    <row r="285" spans="1:7" x14ac:dyDescent="0.3">
      <c r="A285" s="1"/>
      <c r="B285" s="1"/>
      <c r="C285" s="1"/>
      <c r="D285" s="1"/>
      <c r="E285" s="1"/>
      <c r="F285" s="1"/>
      <c r="G285" s="16"/>
    </row>
    <row r="286" spans="1:7" x14ac:dyDescent="0.3">
      <c r="A286" s="1"/>
      <c r="B286" s="1"/>
      <c r="C286" s="1"/>
      <c r="D286" s="1"/>
      <c r="E286" s="1"/>
      <c r="F286" s="1"/>
      <c r="G286" s="16"/>
    </row>
    <row r="287" spans="1:7" x14ac:dyDescent="0.3">
      <c r="A287" s="1"/>
      <c r="B287" s="1"/>
      <c r="C287" s="1"/>
      <c r="D287" s="1"/>
      <c r="E287" s="1"/>
      <c r="F287" s="1"/>
      <c r="G287" s="16"/>
    </row>
    <row r="288" spans="1:7" x14ac:dyDescent="0.3">
      <c r="A288" s="1"/>
      <c r="B288" s="1"/>
      <c r="C288" s="1"/>
      <c r="D288" s="1"/>
      <c r="E288" s="1"/>
      <c r="F288" s="1"/>
      <c r="G288" s="16"/>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1D879-99F5-4586-8D4F-E54338A97FBC}">
  <sheetPr codeName="Sheet3"/>
  <dimension ref="A1:AN287"/>
  <sheetViews>
    <sheetView rightToLeft="1" workbookViewId="0">
      <pane xSplit="1" ySplit="1" topLeftCell="C2" activePane="bottomRight" state="frozen"/>
      <selection activeCell="A6" sqref="A6"/>
      <selection pane="topRight" activeCell="A6" sqref="A6"/>
      <selection pane="bottomLeft" activeCell="A6" sqref="A6"/>
      <selection pane="bottomRight" activeCell="Q11" sqref="Q11"/>
    </sheetView>
  </sheetViews>
  <sheetFormatPr defaultColWidth="8.77734375" defaultRowHeight="14.4" x14ac:dyDescent="0.3"/>
  <cols>
    <col min="1" max="1" width="60.77734375" style="8" customWidth="1"/>
    <col min="2" max="2" width="10" style="2" customWidth="1"/>
    <col min="3" max="3" width="9.77734375" style="8" customWidth="1"/>
    <col min="4" max="4" width="11.77734375" style="2" customWidth="1"/>
    <col min="5" max="5" width="8.77734375" style="2"/>
    <col min="6" max="6" width="7.77734375" style="2" bestFit="1" customWidth="1"/>
    <col min="7" max="7" width="9.21875" style="2" bestFit="1" customWidth="1"/>
    <col min="8" max="15" width="8.77734375" style="1" customWidth="1"/>
    <col min="16" max="17" width="8.77734375" style="30" customWidth="1"/>
    <col min="18" max="34" width="8.77734375" style="1" customWidth="1"/>
    <col min="35" max="35" width="8.77734375" style="2"/>
    <col min="36" max="36" width="9.77734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6" t="s">
        <v>18</v>
      </c>
      <c r="B2" s="6" t="s">
        <v>9</v>
      </c>
      <c r="C2" s="6" t="s">
        <v>9</v>
      </c>
      <c r="D2" s="57" t="s">
        <v>9</v>
      </c>
      <c r="E2" s="3"/>
      <c r="F2" s="3" t="s">
        <v>9</v>
      </c>
      <c r="G2" s="3" t="s">
        <v>9</v>
      </c>
      <c r="H2" s="3" t="s">
        <v>9</v>
      </c>
      <c r="I2" s="50" t="s">
        <v>9</v>
      </c>
      <c r="J2" s="3" t="s">
        <v>873</v>
      </c>
      <c r="K2" s="3" t="s">
        <v>873</v>
      </c>
      <c r="L2" s="56" t="s">
        <v>873</v>
      </c>
      <c r="M2" s="56" t="s">
        <v>1263</v>
      </c>
      <c r="N2" s="50" t="s">
        <v>1054</v>
      </c>
      <c r="O2" s="50" t="s">
        <v>1674</v>
      </c>
      <c r="P2" s="29"/>
      <c r="Q2" s="50" t="s">
        <v>1962</v>
      </c>
      <c r="R2" s="50" t="s">
        <v>1963</v>
      </c>
      <c r="S2" s="50" t="s">
        <v>1779</v>
      </c>
      <c r="T2" s="50" t="s">
        <v>1962</v>
      </c>
      <c r="U2" s="50" t="s">
        <v>1674</v>
      </c>
      <c r="V2" s="50" t="s">
        <v>1779</v>
      </c>
      <c r="W2" s="3"/>
      <c r="X2" s="3"/>
      <c r="Y2" s="3"/>
      <c r="Z2" s="3" t="s">
        <v>1264</v>
      </c>
      <c r="AA2" s="3"/>
      <c r="AB2" s="3"/>
      <c r="AC2" s="3"/>
      <c r="AD2" s="3"/>
      <c r="AE2" s="3"/>
      <c r="AF2" s="3"/>
      <c r="AG2" s="3"/>
      <c r="AH2" s="3"/>
      <c r="AJ2" s="2">
        <f>COUNTA(B2:AH2)</f>
        <v>20</v>
      </c>
      <c r="AL2" s="2">
        <f>COUNTA(F2:O2,R2:S2)</f>
        <v>12</v>
      </c>
      <c r="AN2" s="42">
        <f>COUNTIF(AL2:AL150,"&gt;=2")</f>
        <v>14</v>
      </c>
    </row>
    <row r="3" spans="1:40" x14ac:dyDescent="0.3">
      <c r="A3" s="5" t="s">
        <v>178</v>
      </c>
      <c r="B3" s="6"/>
      <c r="C3" s="5"/>
      <c r="D3" s="1"/>
      <c r="E3" s="1"/>
      <c r="F3" s="59" t="s">
        <v>179</v>
      </c>
      <c r="G3" s="1" t="s">
        <v>179</v>
      </c>
      <c r="H3" s="1" t="s">
        <v>179</v>
      </c>
      <c r="I3" s="53" t="s">
        <v>179</v>
      </c>
      <c r="J3" s="1" t="s">
        <v>874</v>
      </c>
      <c r="K3" s="1" t="s">
        <v>874</v>
      </c>
      <c r="L3" s="54" t="s">
        <v>874</v>
      </c>
      <c r="M3" s="54" t="s">
        <v>1264</v>
      </c>
      <c r="N3" s="53" t="s">
        <v>1436</v>
      </c>
      <c r="O3" s="53" t="s">
        <v>1675</v>
      </c>
      <c r="Q3" s="53" t="s">
        <v>1964</v>
      </c>
      <c r="R3" s="53" t="s">
        <v>1965</v>
      </c>
      <c r="S3" s="53" t="s">
        <v>1263</v>
      </c>
      <c r="T3" s="53" t="s">
        <v>1964</v>
      </c>
      <c r="U3" s="53" t="s">
        <v>1675</v>
      </c>
      <c r="V3" s="53" t="s">
        <v>1263</v>
      </c>
      <c r="Z3" s="53" t="s">
        <v>8</v>
      </c>
      <c r="AH3" s="1" t="s">
        <v>956</v>
      </c>
      <c r="AJ3" s="2">
        <f>COUNTA(B3:AH3)</f>
        <v>18</v>
      </c>
      <c r="AL3" s="2">
        <f t="shared" ref="AL3:AL65" si="0">COUNTA(F3:O3,R3:S3)</f>
        <v>12</v>
      </c>
    </row>
    <row r="4" spans="1:40" x14ac:dyDescent="0.3">
      <c r="A4" s="5" t="s">
        <v>19</v>
      </c>
      <c r="B4" s="58" t="s">
        <v>3235</v>
      </c>
      <c r="C4" s="64" t="s">
        <v>3142</v>
      </c>
      <c r="D4" s="54" t="s">
        <v>20</v>
      </c>
      <c r="E4" s="63" t="s">
        <v>361</v>
      </c>
      <c r="F4" s="54" t="s">
        <v>20</v>
      </c>
      <c r="G4" s="1" t="s">
        <v>410</v>
      </c>
      <c r="H4" s="1" t="s">
        <v>410</v>
      </c>
      <c r="I4" s="53" t="s">
        <v>410</v>
      </c>
      <c r="J4" s="1" t="s">
        <v>875</v>
      </c>
      <c r="K4" s="1" t="s">
        <v>875</v>
      </c>
      <c r="L4" s="53" t="s">
        <v>875</v>
      </c>
      <c r="M4" s="53" t="s">
        <v>8</v>
      </c>
      <c r="N4" s="53" t="s">
        <v>1437</v>
      </c>
      <c r="O4" s="53" t="s">
        <v>874</v>
      </c>
      <c r="P4" s="53" t="s">
        <v>1169</v>
      </c>
      <c r="Q4" s="53" t="s">
        <v>1244</v>
      </c>
      <c r="R4" s="53" t="s">
        <v>1970</v>
      </c>
      <c r="S4" s="54" t="s">
        <v>1264</v>
      </c>
      <c r="T4" s="53" t="s">
        <v>971</v>
      </c>
      <c r="U4" s="53" t="s">
        <v>1676</v>
      </c>
      <c r="V4" s="53" t="s">
        <v>1264</v>
      </c>
      <c r="X4" s="53" t="s">
        <v>1962</v>
      </c>
      <c r="Y4" s="53" t="s">
        <v>1674</v>
      </c>
      <c r="Z4" s="54" t="s">
        <v>9</v>
      </c>
      <c r="AB4" s="54" t="s">
        <v>2730</v>
      </c>
      <c r="AC4" s="53" t="s">
        <v>2002</v>
      </c>
      <c r="AD4" s="53" t="s">
        <v>1086</v>
      </c>
      <c r="AE4" s="53" t="s">
        <v>34</v>
      </c>
      <c r="AG4" s="54" t="s">
        <v>979</v>
      </c>
      <c r="AH4" s="1" t="s">
        <v>984</v>
      </c>
      <c r="AJ4" s="2">
        <f>COUNTA(B4:AH4)</f>
        <v>30</v>
      </c>
      <c r="AL4" s="2">
        <f t="shared" si="0"/>
        <v>12</v>
      </c>
    </row>
    <row r="5" spans="1:40" x14ac:dyDescent="0.3">
      <c r="A5" s="5" t="s">
        <v>2731</v>
      </c>
      <c r="B5" s="65" t="s">
        <v>3236</v>
      </c>
      <c r="C5" s="5"/>
      <c r="D5" s="1"/>
      <c r="E5" s="12"/>
      <c r="F5" s="1"/>
      <c r="G5" s="1"/>
      <c r="AB5" s="54" t="s">
        <v>2732</v>
      </c>
      <c r="AC5" s="53" t="s">
        <v>1983</v>
      </c>
      <c r="AD5" s="53" t="s">
        <v>1087</v>
      </c>
      <c r="AE5" s="53" t="s">
        <v>36</v>
      </c>
      <c r="AG5" s="54" t="s">
        <v>1258</v>
      </c>
      <c r="AH5" s="1" t="s">
        <v>985</v>
      </c>
      <c r="AJ5" s="2">
        <f t="shared" ref="AJ5:AJ68" si="1">COUNTA(B5:AH5)</f>
        <v>7</v>
      </c>
      <c r="AL5" s="2">
        <f t="shared" si="0"/>
        <v>0</v>
      </c>
    </row>
    <row r="6" spans="1:40" x14ac:dyDescent="0.3">
      <c r="A6" s="5" t="s">
        <v>3024</v>
      </c>
      <c r="B6" s="58" t="s">
        <v>3237</v>
      </c>
      <c r="C6" s="5"/>
      <c r="D6" s="1"/>
      <c r="E6" s="12"/>
      <c r="F6" s="1"/>
      <c r="G6" s="1"/>
      <c r="AG6" s="54" t="s">
        <v>980</v>
      </c>
      <c r="AH6" s="1" t="s">
        <v>986</v>
      </c>
      <c r="AJ6" s="2">
        <f t="shared" si="1"/>
        <v>3</v>
      </c>
      <c r="AL6" s="2">
        <f t="shared" si="0"/>
        <v>0</v>
      </c>
    </row>
    <row r="7" spans="1:40" x14ac:dyDescent="0.3">
      <c r="A7" s="5" t="s">
        <v>2860</v>
      </c>
      <c r="B7" s="6"/>
      <c r="C7" s="5"/>
      <c r="D7" s="1"/>
      <c r="E7" s="12"/>
      <c r="F7" s="1"/>
      <c r="G7" s="1"/>
      <c r="AD7" s="54" t="s">
        <v>1088</v>
      </c>
      <c r="AE7" s="1" t="s">
        <v>37</v>
      </c>
      <c r="AJ7" s="2">
        <f t="shared" si="1"/>
        <v>2</v>
      </c>
      <c r="AL7" s="2">
        <f t="shared" si="0"/>
        <v>0</v>
      </c>
    </row>
    <row r="8" spans="1:40" x14ac:dyDescent="0.3">
      <c r="A8" s="5" t="s">
        <v>1265</v>
      </c>
      <c r="B8" s="6"/>
      <c r="C8" s="5"/>
      <c r="D8" s="1"/>
      <c r="E8" s="12"/>
      <c r="F8" s="1"/>
      <c r="G8" s="1"/>
      <c r="M8" s="54" t="s">
        <v>9</v>
      </c>
      <c r="N8" s="54" t="s">
        <v>1439</v>
      </c>
      <c r="T8" s="54" t="s">
        <v>1966</v>
      </c>
      <c r="AJ8" s="2">
        <f t="shared" si="1"/>
        <v>3</v>
      </c>
      <c r="AL8" s="2">
        <f t="shared" si="0"/>
        <v>2</v>
      </c>
    </row>
    <row r="9" spans="1:40" x14ac:dyDescent="0.3">
      <c r="A9" s="5" t="s">
        <v>1489</v>
      </c>
      <c r="B9" s="6"/>
      <c r="C9" s="5"/>
      <c r="D9" s="1"/>
      <c r="E9" s="12"/>
      <c r="F9" s="1"/>
      <c r="G9" s="1"/>
      <c r="N9" s="53" t="s">
        <v>1440</v>
      </c>
      <c r="O9" s="53" t="s">
        <v>875</v>
      </c>
      <c r="Q9" s="53" t="s">
        <v>1247</v>
      </c>
      <c r="R9" s="53" t="s">
        <v>1971</v>
      </c>
      <c r="S9" s="1" t="s">
        <v>9</v>
      </c>
      <c r="V9" s="53" t="s">
        <v>9</v>
      </c>
      <c r="Z9" s="1" t="s">
        <v>181</v>
      </c>
      <c r="AJ9" s="2">
        <f t="shared" si="1"/>
        <v>7</v>
      </c>
      <c r="AL9" s="2">
        <f t="shared" si="0"/>
        <v>4</v>
      </c>
    </row>
    <row r="10" spans="1:40" x14ac:dyDescent="0.3">
      <c r="A10" s="5" t="s">
        <v>1457</v>
      </c>
      <c r="B10" s="6"/>
      <c r="C10" s="5"/>
      <c r="D10" s="1"/>
      <c r="E10" s="12"/>
      <c r="F10" s="1"/>
      <c r="G10" s="1"/>
      <c r="M10" s="1" t="s">
        <v>1458</v>
      </c>
      <c r="AJ10" s="2">
        <f t="shared" si="1"/>
        <v>1</v>
      </c>
      <c r="AL10" s="2">
        <f t="shared" si="0"/>
        <v>1</v>
      </c>
    </row>
    <row r="11" spans="1:40" ht="28.8" x14ac:dyDescent="0.3">
      <c r="A11" s="5" t="s">
        <v>2244</v>
      </c>
      <c r="B11" s="6"/>
      <c r="C11" s="5"/>
      <c r="D11" s="1"/>
      <c r="E11" s="12"/>
      <c r="F11" s="1"/>
      <c r="G11" s="1"/>
      <c r="S11" s="1" t="s">
        <v>44</v>
      </c>
      <c r="AJ11" s="2">
        <f t="shared" si="1"/>
        <v>1</v>
      </c>
      <c r="AL11" s="2">
        <f t="shared" si="0"/>
        <v>1</v>
      </c>
    </row>
    <row r="12" spans="1:40" x14ac:dyDescent="0.3">
      <c r="A12" s="5" t="s">
        <v>109</v>
      </c>
      <c r="B12" s="1"/>
      <c r="C12" s="5"/>
      <c r="D12" s="1"/>
      <c r="E12" s="1"/>
      <c r="F12" s="1"/>
      <c r="G12" s="1"/>
      <c r="AJ12" s="2">
        <f t="shared" si="1"/>
        <v>0</v>
      </c>
      <c r="AL12" s="2">
        <f t="shared" si="0"/>
        <v>0</v>
      </c>
    </row>
    <row r="13" spans="1:40" x14ac:dyDescent="0.3">
      <c r="A13" s="5" t="s">
        <v>132</v>
      </c>
      <c r="B13" s="1" t="s">
        <v>133</v>
      </c>
      <c r="C13" s="36" t="s">
        <v>133</v>
      </c>
      <c r="D13" s="59" t="s">
        <v>133</v>
      </c>
      <c r="E13" s="1"/>
      <c r="F13" s="10" t="s">
        <v>133</v>
      </c>
      <c r="G13" s="1"/>
      <c r="AJ13" s="2">
        <f t="shared" si="1"/>
        <v>4</v>
      </c>
      <c r="AL13" s="2">
        <f t="shared" si="0"/>
        <v>1</v>
      </c>
    </row>
    <row r="14" spans="1:40" ht="28.8" x14ac:dyDescent="0.3">
      <c r="A14" s="5" t="s">
        <v>336</v>
      </c>
      <c r="B14" s="1"/>
      <c r="C14" s="5"/>
      <c r="D14" s="1"/>
      <c r="E14" s="1"/>
      <c r="F14" s="1"/>
      <c r="G14" s="1"/>
      <c r="H14" s="1" t="s">
        <v>702</v>
      </c>
      <c r="AJ14" s="2">
        <f t="shared" si="1"/>
        <v>1</v>
      </c>
      <c r="AL14" s="2">
        <f t="shared" si="0"/>
        <v>1</v>
      </c>
    </row>
    <row r="15" spans="1:40" ht="28.8" x14ac:dyDescent="0.3">
      <c r="A15" s="5" t="s">
        <v>337</v>
      </c>
      <c r="B15" s="1"/>
      <c r="C15" s="5"/>
      <c r="D15" s="1"/>
      <c r="E15" s="1"/>
      <c r="F15" s="1"/>
      <c r="G15" s="1"/>
      <c r="H15" s="1" t="s">
        <v>703</v>
      </c>
      <c r="AJ15" s="2">
        <f t="shared" si="1"/>
        <v>1</v>
      </c>
      <c r="AL15" s="2">
        <f t="shared" si="0"/>
        <v>1</v>
      </c>
    </row>
    <row r="16" spans="1:40" x14ac:dyDescent="0.3">
      <c r="A16" s="5" t="s">
        <v>338</v>
      </c>
      <c r="B16" s="1"/>
      <c r="C16" s="5"/>
      <c r="D16" s="1"/>
      <c r="E16" s="1"/>
      <c r="F16" s="1"/>
      <c r="G16" s="1"/>
      <c r="H16" s="1" t="s">
        <v>704</v>
      </c>
      <c r="AJ16" s="2">
        <f t="shared" si="1"/>
        <v>1</v>
      </c>
      <c r="AL16" s="2">
        <f t="shared" si="0"/>
        <v>1</v>
      </c>
    </row>
    <row r="17" spans="1:38" ht="28.8" x14ac:dyDescent="0.3">
      <c r="A17" s="5" t="s">
        <v>423</v>
      </c>
      <c r="B17" s="44" t="s">
        <v>424</v>
      </c>
      <c r="C17" s="5"/>
      <c r="D17" s="1"/>
      <c r="E17" s="1"/>
      <c r="F17" s="1"/>
      <c r="G17" s="63" t="s">
        <v>424</v>
      </c>
      <c r="H17" s="12" t="s">
        <v>422</v>
      </c>
      <c r="AJ17" s="2">
        <f t="shared" si="1"/>
        <v>3</v>
      </c>
      <c r="AL17" s="2">
        <f t="shared" si="0"/>
        <v>2</v>
      </c>
    </row>
    <row r="18" spans="1:38" ht="28.8" x14ac:dyDescent="0.3">
      <c r="A18" s="5" t="s">
        <v>617</v>
      </c>
      <c r="B18" s="1"/>
      <c r="C18" s="5"/>
      <c r="D18" s="1"/>
      <c r="E18" s="1"/>
      <c r="F18" s="1"/>
      <c r="G18" s="12"/>
      <c r="H18" s="12" t="s">
        <v>437</v>
      </c>
      <c r="AJ18" s="2">
        <f t="shared" si="1"/>
        <v>1</v>
      </c>
      <c r="AL18" s="2">
        <f t="shared" si="0"/>
        <v>1</v>
      </c>
    </row>
    <row r="19" spans="1:38" ht="43.2" x14ac:dyDescent="0.3">
      <c r="A19" s="5" t="s">
        <v>529</v>
      </c>
      <c r="B19" s="1"/>
      <c r="C19" s="5"/>
      <c r="D19" s="1"/>
      <c r="E19" s="1"/>
      <c r="F19" s="1"/>
      <c r="G19" s="54" t="s">
        <v>120</v>
      </c>
      <c r="H19" s="1" t="s">
        <v>59</v>
      </c>
      <c r="AJ19" s="2">
        <f t="shared" si="1"/>
        <v>2</v>
      </c>
      <c r="AL19" s="2">
        <f t="shared" si="0"/>
        <v>2</v>
      </c>
    </row>
    <row r="20" spans="1:38" x14ac:dyDescent="0.3">
      <c r="A20" s="5" t="s">
        <v>530</v>
      </c>
      <c r="B20" s="1"/>
      <c r="C20" s="5"/>
      <c r="D20" s="1"/>
      <c r="E20" s="1"/>
      <c r="F20" s="1"/>
      <c r="G20" s="54" t="s">
        <v>281</v>
      </c>
      <c r="H20" s="1" t="s">
        <v>133</v>
      </c>
      <c r="AJ20" s="2">
        <f t="shared" si="1"/>
        <v>2</v>
      </c>
      <c r="AL20" s="2">
        <f t="shared" si="0"/>
        <v>2</v>
      </c>
    </row>
    <row r="21" spans="1:38" x14ac:dyDescent="0.3">
      <c r="A21" s="5" t="s">
        <v>727</v>
      </c>
      <c r="B21" s="1"/>
      <c r="C21" s="5"/>
      <c r="D21" s="1"/>
      <c r="E21" s="1"/>
      <c r="F21" s="1"/>
      <c r="G21" s="1"/>
      <c r="I21" s="66" t="s">
        <v>230</v>
      </c>
      <c r="J21" s="61" t="s">
        <v>923</v>
      </c>
      <c r="N21" s="53" t="s">
        <v>1575</v>
      </c>
      <c r="O21" s="53" t="s">
        <v>1360</v>
      </c>
      <c r="P21" s="53" t="s">
        <v>924</v>
      </c>
      <c r="T21" s="53" t="s">
        <v>1015</v>
      </c>
      <c r="V21" s="54" t="s">
        <v>44</v>
      </c>
      <c r="AG21" s="54" t="s">
        <v>877</v>
      </c>
      <c r="AH21" s="1" t="s">
        <v>901</v>
      </c>
      <c r="AJ21" s="2">
        <f t="shared" si="1"/>
        <v>9</v>
      </c>
      <c r="AL21" s="2">
        <f t="shared" si="0"/>
        <v>4</v>
      </c>
    </row>
    <row r="22" spans="1:38" x14ac:dyDescent="0.3">
      <c r="A22" s="5" t="s">
        <v>728</v>
      </c>
      <c r="B22" s="1"/>
      <c r="C22" s="5"/>
      <c r="D22" s="1"/>
      <c r="E22" s="1"/>
      <c r="F22" s="1"/>
      <c r="G22" s="1"/>
      <c r="I22" s="66" t="s">
        <v>232</v>
      </c>
      <c r="J22" s="61" t="s">
        <v>924</v>
      </c>
      <c r="N22" s="53" t="s">
        <v>1576</v>
      </c>
      <c r="O22" s="53" t="s">
        <v>1361</v>
      </c>
      <c r="P22" s="53" t="s">
        <v>925</v>
      </c>
      <c r="T22" s="53" t="s">
        <v>1016</v>
      </c>
      <c r="V22" s="54" t="s">
        <v>33</v>
      </c>
      <c r="AG22" s="54" t="s">
        <v>878</v>
      </c>
      <c r="AH22" s="1" t="s">
        <v>902</v>
      </c>
      <c r="AJ22" s="2">
        <f t="shared" si="1"/>
        <v>9</v>
      </c>
      <c r="AL22" s="2">
        <f t="shared" si="0"/>
        <v>4</v>
      </c>
    </row>
    <row r="23" spans="1:38" x14ac:dyDescent="0.3">
      <c r="A23" s="5" t="s">
        <v>729</v>
      </c>
      <c r="B23" s="1"/>
      <c r="C23" s="5"/>
      <c r="D23" s="1"/>
      <c r="E23" s="1"/>
      <c r="F23" s="1"/>
      <c r="G23" s="1"/>
      <c r="I23" s="66" t="s">
        <v>234</v>
      </c>
      <c r="J23" s="61" t="s">
        <v>925</v>
      </c>
      <c r="N23" s="53" t="s">
        <v>1577</v>
      </c>
      <c r="O23" s="53" t="s">
        <v>1362</v>
      </c>
      <c r="P23" s="53" t="s">
        <v>926</v>
      </c>
      <c r="T23" s="53" t="s">
        <v>1017</v>
      </c>
      <c r="V23" s="54" t="s">
        <v>34</v>
      </c>
      <c r="AG23" s="54" t="s">
        <v>879</v>
      </c>
      <c r="AH23" s="1" t="s">
        <v>904</v>
      </c>
      <c r="AJ23" s="2">
        <f t="shared" si="1"/>
        <v>9</v>
      </c>
      <c r="AL23" s="2">
        <f t="shared" si="0"/>
        <v>4</v>
      </c>
    </row>
    <row r="24" spans="1:38" x14ac:dyDescent="0.3">
      <c r="A24" s="5" t="s">
        <v>2900</v>
      </c>
      <c r="B24" s="1"/>
      <c r="C24" s="5"/>
      <c r="D24" s="1"/>
      <c r="E24" s="1"/>
      <c r="F24" s="1"/>
      <c r="G24" s="1"/>
      <c r="I24" s="10"/>
      <c r="J24" s="10"/>
      <c r="AD24" s="1" t="s">
        <v>2901</v>
      </c>
      <c r="AJ24" s="2">
        <f t="shared" si="1"/>
        <v>1</v>
      </c>
      <c r="AL24" s="2">
        <f t="shared" si="0"/>
        <v>0</v>
      </c>
    </row>
    <row r="25" spans="1:38" ht="28.8" x14ac:dyDescent="0.3">
      <c r="A25" s="5" t="s">
        <v>1251</v>
      </c>
      <c r="B25" s="65" t="s">
        <v>3246</v>
      </c>
      <c r="C25" s="5"/>
      <c r="D25" s="1"/>
      <c r="E25" s="1"/>
      <c r="F25" s="1"/>
      <c r="G25" s="1"/>
      <c r="L25" s="54" t="s">
        <v>974</v>
      </c>
      <c r="M25" s="54" t="s">
        <v>1440</v>
      </c>
      <c r="N25" s="1" t="s">
        <v>1611</v>
      </c>
      <c r="AJ25" s="2">
        <f t="shared" si="1"/>
        <v>4</v>
      </c>
      <c r="AL25" s="2">
        <f t="shared" si="0"/>
        <v>3</v>
      </c>
    </row>
    <row r="26" spans="1:38" ht="28.8" x14ac:dyDescent="0.3">
      <c r="A26" s="5" t="s">
        <v>1387</v>
      </c>
      <c r="B26" s="5"/>
      <c r="C26" s="5"/>
      <c r="D26" s="1"/>
      <c r="E26" s="1"/>
      <c r="F26" s="1"/>
      <c r="G26" s="1"/>
      <c r="M26" s="54" t="s">
        <v>1388</v>
      </c>
      <c r="N26" s="53" t="s">
        <v>1557</v>
      </c>
      <c r="O26" s="53" t="s">
        <v>946</v>
      </c>
      <c r="T26" s="54" t="s">
        <v>1013</v>
      </c>
      <c r="AG26" s="54" t="s">
        <v>976</v>
      </c>
      <c r="AH26" s="1" t="s">
        <v>1252</v>
      </c>
      <c r="AJ26" s="2">
        <f t="shared" si="1"/>
        <v>6</v>
      </c>
      <c r="AL26" s="2">
        <f t="shared" si="0"/>
        <v>3</v>
      </c>
    </row>
    <row r="27" spans="1:38" ht="28.8" x14ac:dyDescent="0.3">
      <c r="A27" s="5" t="s">
        <v>1504</v>
      </c>
      <c r="B27" s="5"/>
      <c r="C27" s="5"/>
      <c r="D27" s="1"/>
      <c r="E27" s="1"/>
      <c r="F27" s="1"/>
      <c r="G27" s="1"/>
      <c r="N27" s="1" t="s">
        <v>1088</v>
      </c>
      <c r="AJ27" s="2">
        <f t="shared" si="1"/>
        <v>1</v>
      </c>
      <c r="AL27" s="2">
        <f t="shared" si="0"/>
        <v>1</v>
      </c>
    </row>
    <row r="28" spans="1:38" ht="57.6" x14ac:dyDescent="0.3">
      <c r="A28" s="5" t="s">
        <v>1589</v>
      </c>
      <c r="B28" s="5"/>
      <c r="C28" s="5"/>
      <c r="D28" s="1"/>
      <c r="E28" s="1"/>
      <c r="F28" s="1"/>
      <c r="G28" s="1"/>
      <c r="N28" s="54" t="s">
        <v>1590</v>
      </c>
      <c r="O28" s="1" t="s">
        <v>1358</v>
      </c>
      <c r="AJ28" s="2">
        <f t="shared" si="1"/>
        <v>2</v>
      </c>
      <c r="AL28" s="2">
        <f t="shared" si="0"/>
        <v>2</v>
      </c>
    </row>
    <row r="29" spans="1:38" x14ac:dyDescent="0.3">
      <c r="A29" s="5" t="s">
        <v>1632</v>
      </c>
      <c r="B29" s="5"/>
      <c r="C29" s="5"/>
      <c r="D29" s="1"/>
      <c r="E29" s="1"/>
      <c r="F29" s="1"/>
      <c r="G29" s="1"/>
      <c r="N29" s="1" t="s">
        <v>1633</v>
      </c>
      <c r="AJ29" s="2">
        <f t="shared" si="1"/>
        <v>1</v>
      </c>
      <c r="AL29" s="2">
        <f t="shared" si="0"/>
        <v>1</v>
      </c>
    </row>
    <row r="30" spans="1:38" ht="28.8" x14ac:dyDescent="0.3">
      <c r="A30" s="5" t="s">
        <v>1763</v>
      </c>
      <c r="B30" s="5"/>
      <c r="C30" s="5"/>
      <c r="D30" s="1"/>
      <c r="E30" s="1"/>
      <c r="F30" s="1"/>
      <c r="G30" s="1"/>
      <c r="O30" s="1" t="s">
        <v>1322</v>
      </c>
      <c r="AJ30" s="2">
        <f t="shared" si="1"/>
        <v>1</v>
      </c>
      <c r="AL30" s="2">
        <f t="shared" si="0"/>
        <v>1</v>
      </c>
    </row>
    <row r="31" spans="1:38" x14ac:dyDescent="0.3">
      <c r="A31" s="5" t="s">
        <v>1765</v>
      </c>
      <c r="B31" s="5"/>
      <c r="C31" s="5"/>
      <c r="D31" s="1"/>
      <c r="E31" s="1"/>
      <c r="F31" s="1"/>
      <c r="G31" s="1"/>
      <c r="O31" s="1" t="s">
        <v>1325</v>
      </c>
      <c r="AJ31" s="2">
        <f t="shared" si="1"/>
        <v>1</v>
      </c>
      <c r="AL31" s="2">
        <f t="shared" si="0"/>
        <v>1</v>
      </c>
    </row>
    <row r="32" spans="1:38" ht="28.8" x14ac:dyDescent="0.3">
      <c r="A32" s="5" t="s">
        <v>1769</v>
      </c>
      <c r="B32" s="5"/>
      <c r="C32" s="5"/>
      <c r="D32" s="1"/>
      <c r="E32" s="1"/>
      <c r="F32" s="1"/>
      <c r="G32" s="1"/>
      <c r="O32" s="1" t="s">
        <v>1353</v>
      </c>
      <c r="AJ32" s="2">
        <f t="shared" si="1"/>
        <v>1</v>
      </c>
      <c r="AL32" s="2">
        <f t="shared" si="0"/>
        <v>1</v>
      </c>
    </row>
    <row r="33" spans="1:38" ht="28.8" x14ac:dyDescent="0.3">
      <c r="A33" s="5" t="s">
        <v>1770</v>
      </c>
      <c r="B33" s="5"/>
      <c r="C33" s="5"/>
      <c r="D33" s="1"/>
      <c r="E33" s="1"/>
      <c r="F33" s="1"/>
      <c r="G33" s="1"/>
      <c r="O33" s="1" t="s">
        <v>1356</v>
      </c>
      <c r="AJ33" s="2">
        <f t="shared" si="1"/>
        <v>1</v>
      </c>
      <c r="AL33" s="2">
        <f t="shared" si="0"/>
        <v>1</v>
      </c>
    </row>
    <row r="34" spans="1:38" ht="43.2" x14ac:dyDescent="0.3">
      <c r="A34" s="5" t="s">
        <v>1830</v>
      </c>
      <c r="B34" s="5"/>
      <c r="C34" s="5"/>
      <c r="D34" s="1"/>
      <c r="E34" s="1"/>
      <c r="F34" s="1"/>
      <c r="G34" s="1"/>
      <c r="P34" s="30" t="s">
        <v>490</v>
      </c>
      <c r="AJ34" s="2">
        <f t="shared" si="1"/>
        <v>1</v>
      </c>
      <c r="AL34" s="2">
        <f t="shared" si="0"/>
        <v>0</v>
      </c>
    </row>
    <row r="35" spans="1:38" x14ac:dyDescent="0.3">
      <c r="A35" s="5" t="s">
        <v>1831</v>
      </c>
      <c r="B35" s="5"/>
      <c r="C35" s="5"/>
      <c r="D35" s="1"/>
      <c r="E35" s="1"/>
      <c r="F35" s="1"/>
      <c r="G35" s="1"/>
      <c r="P35" s="30" t="s">
        <v>245</v>
      </c>
      <c r="AJ35" s="2">
        <f t="shared" si="1"/>
        <v>1</v>
      </c>
      <c r="AL35" s="2">
        <f t="shared" si="0"/>
        <v>0</v>
      </c>
    </row>
    <row r="36" spans="1:38" ht="28.8" x14ac:dyDescent="0.3">
      <c r="A36" s="5" t="s">
        <v>1832</v>
      </c>
      <c r="B36" s="5"/>
      <c r="C36" s="5"/>
      <c r="D36" s="1"/>
      <c r="E36" s="1"/>
      <c r="F36" s="1"/>
      <c r="G36" s="1"/>
      <c r="P36" s="30" t="s">
        <v>247</v>
      </c>
      <c r="AJ36" s="2">
        <f t="shared" si="1"/>
        <v>1</v>
      </c>
      <c r="AL36" s="2">
        <f t="shared" si="0"/>
        <v>0</v>
      </c>
    </row>
    <row r="37" spans="1:38" x14ac:dyDescent="0.3">
      <c r="A37" s="5" t="s">
        <v>1833</v>
      </c>
      <c r="B37" s="5"/>
      <c r="C37" s="5"/>
      <c r="D37" s="1"/>
      <c r="E37" s="1"/>
      <c r="F37" s="1"/>
      <c r="G37" s="1"/>
      <c r="P37" s="30" t="s">
        <v>249</v>
      </c>
      <c r="AJ37" s="2">
        <f t="shared" si="1"/>
        <v>1</v>
      </c>
      <c r="AL37" s="2">
        <f t="shared" si="0"/>
        <v>0</v>
      </c>
    </row>
    <row r="38" spans="1:38" ht="28.8" x14ac:dyDescent="0.3">
      <c r="A38" s="5" t="s">
        <v>1834</v>
      </c>
      <c r="B38" s="5"/>
      <c r="C38" s="5"/>
      <c r="D38" s="1"/>
      <c r="E38" s="1"/>
      <c r="F38" s="1"/>
      <c r="G38" s="1"/>
      <c r="P38" s="30" t="s">
        <v>251</v>
      </c>
      <c r="AJ38" s="2">
        <f t="shared" si="1"/>
        <v>1</v>
      </c>
      <c r="AL38" s="2">
        <f t="shared" si="0"/>
        <v>0</v>
      </c>
    </row>
    <row r="39" spans="1:38" x14ac:dyDescent="0.3">
      <c r="A39" s="5" t="s">
        <v>1835</v>
      </c>
      <c r="B39" s="5"/>
      <c r="C39" s="5"/>
      <c r="D39" s="1"/>
      <c r="E39" s="1"/>
      <c r="F39" s="1"/>
      <c r="G39" s="1"/>
      <c r="P39" s="54" t="s">
        <v>253</v>
      </c>
      <c r="Q39" s="53" t="s">
        <v>982</v>
      </c>
      <c r="R39" s="1" t="s">
        <v>1995</v>
      </c>
      <c r="AJ39" s="2">
        <f t="shared" si="1"/>
        <v>3</v>
      </c>
      <c r="AL39" s="2">
        <f t="shared" si="0"/>
        <v>1</v>
      </c>
    </row>
    <row r="40" spans="1:38" x14ac:dyDescent="0.3">
      <c r="A40" s="5" t="s">
        <v>1854</v>
      </c>
      <c r="B40" s="5"/>
      <c r="C40" s="5"/>
      <c r="D40" s="1"/>
      <c r="E40" s="1"/>
      <c r="F40" s="1"/>
      <c r="G40" s="1"/>
      <c r="P40" s="30" t="s">
        <v>276</v>
      </c>
      <c r="AJ40" s="2">
        <f t="shared" si="1"/>
        <v>1</v>
      </c>
      <c r="AL40" s="2">
        <f t="shared" si="0"/>
        <v>0</v>
      </c>
    </row>
    <row r="41" spans="1:38" x14ac:dyDescent="0.3">
      <c r="A41" s="5" t="s">
        <v>1855</v>
      </c>
      <c r="B41" s="5"/>
      <c r="C41" s="5"/>
      <c r="D41" s="1"/>
      <c r="E41" s="1"/>
      <c r="F41" s="1"/>
      <c r="G41" s="1"/>
      <c r="P41" s="30" t="s">
        <v>278</v>
      </c>
      <c r="AJ41" s="2">
        <f t="shared" si="1"/>
        <v>1</v>
      </c>
      <c r="AL41" s="2">
        <f t="shared" si="0"/>
        <v>0</v>
      </c>
    </row>
    <row r="42" spans="1:38" x14ac:dyDescent="0.3">
      <c r="A42" s="5" t="s">
        <v>1856</v>
      </c>
      <c r="B42" s="5"/>
      <c r="C42" s="5"/>
      <c r="D42" s="1"/>
      <c r="E42" s="1"/>
      <c r="F42" s="1"/>
      <c r="G42" s="1"/>
      <c r="P42" s="30" t="s">
        <v>118</v>
      </c>
      <c r="AJ42" s="2">
        <f t="shared" si="1"/>
        <v>1</v>
      </c>
      <c r="AL42" s="2">
        <f t="shared" si="0"/>
        <v>0</v>
      </c>
    </row>
    <row r="43" spans="1:38" ht="43.2" x14ac:dyDescent="0.3">
      <c r="A43" s="5" t="s">
        <v>1869</v>
      </c>
      <c r="B43" s="5"/>
      <c r="C43" s="5"/>
      <c r="D43" s="1"/>
      <c r="E43" s="1"/>
      <c r="F43" s="1"/>
      <c r="G43" s="1"/>
      <c r="P43" s="30" t="s">
        <v>541</v>
      </c>
      <c r="AJ43" s="2">
        <f t="shared" si="1"/>
        <v>1</v>
      </c>
      <c r="AL43" s="2">
        <f t="shared" si="0"/>
        <v>0</v>
      </c>
    </row>
    <row r="44" spans="1:38" x14ac:dyDescent="0.3">
      <c r="A44" s="5" t="s">
        <v>1870</v>
      </c>
      <c r="B44" s="5"/>
      <c r="C44" s="5"/>
      <c r="D44" s="1"/>
      <c r="E44" s="1"/>
      <c r="F44" s="1"/>
      <c r="G44" s="1"/>
      <c r="P44" s="30" t="s">
        <v>543</v>
      </c>
      <c r="AJ44" s="2">
        <f t="shared" si="1"/>
        <v>1</v>
      </c>
      <c r="AL44" s="2">
        <f t="shared" si="0"/>
        <v>0</v>
      </c>
    </row>
    <row r="45" spans="1:38" x14ac:dyDescent="0.3">
      <c r="A45" s="5" t="s">
        <v>1871</v>
      </c>
      <c r="B45" s="5"/>
      <c r="C45" s="5"/>
      <c r="D45" s="1"/>
      <c r="E45" s="1"/>
      <c r="F45" s="1"/>
      <c r="G45" s="1"/>
      <c r="P45" s="30" t="s">
        <v>545</v>
      </c>
      <c r="AJ45" s="2">
        <f t="shared" si="1"/>
        <v>1</v>
      </c>
      <c r="AL45" s="2">
        <f t="shared" si="0"/>
        <v>0</v>
      </c>
    </row>
    <row r="46" spans="1:38" x14ac:dyDescent="0.3">
      <c r="A46" s="5" t="s">
        <v>1872</v>
      </c>
      <c r="B46" s="5"/>
      <c r="C46" s="5"/>
      <c r="D46" s="1"/>
      <c r="E46" s="1"/>
      <c r="F46" s="1"/>
      <c r="G46" s="1"/>
      <c r="P46" s="30" t="s">
        <v>547</v>
      </c>
      <c r="AJ46" s="2">
        <f t="shared" si="1"/>
        <v>1</v>
      </c>
      <c r="AL46" s="2">
        <f t="shared" si="0"/>
        <v>0</v>
      </c>
    </row>
    <row r="47" spans="1:38" x14ac:dyDescent="0.3">
      <c r="A47" s="5" t="s">
        <v>1873</v>
      </c>
      <c r="B47" s="5"/>
      <c r="C47" s="5"/>
      <c r="D47" s="1"/>
      <c r="E47" s="1"/>
      <c r="F47" s="1"/>
      <c r="G47" s="1"/>
      <c r="P47" s="30" t="s">
        <v>549</v>
      </c>
      <c r="AJ47" s="2">
        <f t="shared" si="1"/>
        <v>1</v>
      </c>
      <c r="AL47" s="2">
        <f t="shared" si="0"/>
        <v>0</v>
      </c>
    </row>
    <row r="48" spans="1:38" x14ac:dyDescent="0.3">
      <c r="A48" s="5" t="s">
        <v>1874</v>
      </c>
      <c r="B48" s="5"/>
      <c r="C48" s="5"/>
      <c r="D48" s="1"/>
      <c r="E48" s="1"/>
      <c r="F48" s="1"/>
      <c r="G48" s="1"/>
      <c r="P48" s="30" t="s">
        <v>551</v>
      </c>
      <c r="AJ48" s="2">
        <f t="shared" si="1"/>
        <v>1</v>
      </c>
      <c r="AL48" s="2">
        <f t="shared" si="0"/>
        <v>0</v>
      </c>
    </row>
    <row r="49" spans="1:38" x14ac:dyDescent="0.3">
      <c r="A49" s="5" t="s">
        <v>1875</v>
      </c>
      <c r="B49" s="5"/>
      <c r="C49" s="5"/>
      <c r="D49" s="1"/>
      <c r="E49" s="1"/>
      <c r="F49" s="1"/>
      <c r="G49" s="1"/>
      <c r="P49" s="30" t="s">
        <v>552</v>
      </c>
      <c r="AJ49" s="2">
        <f t="shared" si="1"/>
        <v>1</v>
      </c>
      <c r="AL49" s="2">
        <f t="shared" si="0"/>
        <v>0</v>
      </c>
    </row>
    <row r="50" spans="1:38" x14ac:dyDescent="0.3">
      <c r="A50" s="5" t="s">
        <v>1876</v>
      </c>
      <c r="B50" s="5"/>
      <c r="C50" s="5"/>
      <c r="D50" s="1"/>
      <c r="E50" s="1"/>
      <c r="F50" s="1"/>
      <c r="G50" s="1"/>
      <c r="P50" s="30" t="s">
        <v>553</v>
      </c>
      <c r="AJ50" s="2">
        <f t="shared" si="1"/>
        <v>1</v>
      </c>
      <c r="AL50" s="2">
        <f t="shared" si="0"/>
        <v>0</v>
      </c>
    </row>
    <row r="51" spans="1:38" x14ac:dyDescent="0.3">
      <c r="A51" s="5" t="s">
        <v>1877</v>
      </c>
      <c r="B51" s="5"/>
      <c r="C51" s="5"/>
      <c r="D51" s="1"/>
      <c r="E51" s="1"/>
      <c r="F51" s="1"/>
      <c r="G51" s="1"/>
      <c r="P51" s="30" t="s">
        <v>293</v>
      </c>
      <c r="AJ51" s="2">
        <f t="shared" si="1"/>
        <v>1</v>
      </c>
      <c r="AL51" s="2">
        <f t="shared" si="0"/>
        <v>0</v>
      </c>
    </row>
    <row r="52" spans="1:38" ht="28.8" x14ac:dyDescent="0.3">
      <c r="A52" s="5" t="s">
        <v>1878</v>
      </c>
      <c r="B52" s="5"/>
      <c r="C52" s="5"/>
      <c r="D52" s="1"/>
      <c r="E52" s="1"/>
      <c r="F52" s="1"/>
      <c r="G52" s="1"/>
      <c r="P52" s="30" t="s">
        <v>295</v>
      </c>
      <c r="AJ52" s="2">
        <f t="shared" si="1"/>
        <v>1</v>
      </c>
      <c r="AL52" s="2">
        <f t="shared" si="0"/>
        <v>0</v>
      </c>
    </row>
    <row r="53" spans="1:38" ht="28.8" x14ac:dyDescent="0.3">
      <c r="A53" s="5" t="s">
        <v>1879</v>
      </c>
      <c r="B53" s="5"/>
      <c r="C53" s="5"/>
      <c r="D53" s="1"/>
      <c r="E53" s="1"/>
      <c r="F53" s="1"/>
      <c r="G53" s="1"/>
      <c r="P53" s="30" t="s">
        <v>296</v>
      </c>
      <c r="AJ53" s="2">
        <f t="shared" si="1"/>
        <v>1</v>
      </c>
      <c r="AL53" s="2">
        <f t="shared" si="0"/>
        <v>0</v>
      </c>
    </row>
    <row r="54" spans="1:38" ht="28.8" x14ac:dyDescent="0.3">
      <c r="A54" s="5" t="s">
        <v>1894</v>
      </c>
      <c r="B54" s="5"/>
      <c r="C54" s="5"/>
      <c r="D54" s="1"/>
      <c r="E54" s="1"/>
      <c r="F54" s="1"/>
      <c r="G54" s="1"/>
      <c r="P54" s="30" t="s">
        <v>891</v>
      </c>
      <c r="AJ54" s="2">
        <f t="shared" si="1"/>
        <v>1</v>
      </c>
      <c r="AL54" s="2">
        <f t="shared" si="0"/>
        <v>0</v>
      </c>
    </row>
    <row r="55" spans="1:38" x14ac:dyDescent="0.3">
      <c r="A55" s="5" t="s">
        <v>1895</v>
      </c>
      <c r="B55" s="5"/>
      <c r="C55" s="5"/>
      <c r="D55" s="1"/>
      <c r="E55" s="1"/>
      <c r="F55" s="1"/>
      <c r="G55" s="1"/>
      <c r="P55" s="30" t="s">
        <v>892</v>
      </c>
      <c r="AJ55" s="2">
        <f t="shared" si="1"/>
        <v>1</v>
      </c>
      <c r="AL55" s="2">
        <f t="shared" si="0"/>
        <v>0</v>
      </c>
    </row>
    <row r="56" spans="1:38" x14ac:dyDescent="0.3">
      <c r="A56" s="5" t="s">
        <v>1896</v>
      </c>
      <c r="B56" s="5"/>
      <c r="C56" s="5"/>
      <c r="D56" s="1"/>
      <c r="E56" s="1"/>
      <c r="F56" s="1"/>
      <c r="G56" s="1"/>
      <c r="P56" s="30" t="s">
        <v>893</v>
      </c>
      <c r="AJ56" s="2">
        <f t="shared" si="1"/>
        <v>1</v>
      </c>
      <c r="AL56" s="2">
        <f t="shared" si="0"/>
        <v>0</v>
      </c>
    </row>
    <row r="57" spans="1:38" x14ac:dyDescent="0.3">
      <c r="A57" s="5" t="s">
        <v>1897</v>
      </c>
      <c r="B57" s="5"/>
      <c r="C57" s="5"/>
      <c r="D57" s="1"/>
      <c r="E57" s="1"/>
      <c r="F57" s="1"/>
      <c r="G57" s="1"/>
      <c r="P57" s="30" t="s">
        <v>894</v>
      </c>
      <c r="AJ57" s="2">
        <f t="shared" si="1"/>
        <v>1</v>
      </c>
      <c r="AL57" s="2">
        <f t="shared" si="0"/>
        <v>0</v>
      </c>
    </row>
    <row r="58" spans="1:38" ht="28.8" x14ac:dyDescent="0.3">
      <c r="A58" s="5" t="s">
        <v>1904</v>
      </c>
      <c r="B58" s="5"/>
      <c r="C58" s="5"/>
      <c r="D58" s="1"/>
      <c r="E58" s="1"/>
      <c r="F58" s="1"/>
      <c r="G58" s="1"/>
      <c r="P58" s="30" t="s">
        <v>905</v>
      </c>
      <c r="AJ58" s="2">
        <f t="shared" si="1"/>
        <v>1</v>
      </c>
      <c r="AL58" s="2">
        <f t="shared" si="0"/>
        <v>0</v>
      </c>
    </row>
    <row r="59" spans="1:38" x14ac:dyDescent="0.3">
      <c r="A59" s="5" t="s">
        <v>1905</v>
      </c>
      <c r="B59" s="5"/>
      <c r="C59" s="5"/>
      <c r="D59" s="1"/>
      <c r="E59" s="1"/>
      <c r="F59" s="1"/>
      <c r="G59" s="1"/>
      <c r="P59" s="30" t="s">
        <v>882</v>
      </c>
      <c r="AJ59" s="2">
        <f t="shared" si="1"/>
        <v>1</v>
      </c>
      <c r="AL59" s="2">
        <f t="shared" si="0"/>
        <v>0</v>
      </c>
    </row>
    <row r="60" spans="1:38" ht="28.8" x14ac:dyDescent="0.3">
      <c r="A60" s="5" t="s">
        <v>1906</v>
      </c>
      <c r="B60" s="5"/>
      <c r="C60" s="5"/>
      <c r="D60" s="1"/>
      <c r="E60" s="1"/>
      <c r="F60" s="1"/>
      <c r="G60" s="1"/>
      <c r="P60" s="30" t="s">
        <v>903</v>
      </c>
      <c r="AJ60" s="2">
        <f t="shared" si="1"/>
        <v>1</v>
      </c>
      <c r="AL60" s="2">
        <f t="shared" si="0"/>
        <v>0</v>
      </c>
    </row>
    <row r="61" spans="1:38" ht="28.8" x14ac:dyDescent="0.3">
      <c r="A61" s="5" t="s">
        <v>1908</v>
      </c>
      <c r="B61" s="5"/>
      <c r="C61" s="5"/>
      <c r="D61" s="1"/>
      <c r="E61" s="1"/>
      <c r="F61" s="1"/>
      <c r="G61" s="1"/>
      <c r="P61" s="30" t="s">
        <v>904</v>
      </c>
      <c r="AJ61" s="2">
        <f t="shared" si="1"/>
        <v>1</v>
      </c>
      <c r="AL61" s="2">
        <f t="shared" si="0"/>
        <v>0</v>
      </c>
    </row>
    <row r="62" spans="1:38" x14ac:dyDescent="0.3">
      <c r="A62" s="5" t="s">
        <v>1909</v>
      </c>
      <c r="B62" s="5"/>
      <c r="C62" s="5"/>
      <c r="D62" s="1"/>
      <c r="E62" s="1"/>
      <c r="F62" s="1"/>
      <c r="G62" s="1"/>
      <c r="P62" s="30" t="s">
        <v>906</v>
      </c>
      <c r="AJ62" s="2">
        <f t="shared" si="1"/>
        <v>1</v>
      </c>
      <c r="AL62" s="2">
        <f t="shared" si="0"/>
        <v>0</v>
      </c>
    </row>
    <row r="63" spans="1:38" x14ac:dyDescent="0.3">
      <c r="A63" s="5" t="s">
        <v>1910</v>
      </c>
      <c r="B63" s="5"/>
      <c r="C63" s="5"/>
      <c r="D63" s="1"/>
      <c r="E63" s="1"/>
      <c r="F63" s="1"/>
      <c r="G63" s="1"/>
      <c r="P63" s="30" t="s">
        <v>907</v>
      </c>
      <c r="AJ63" s="2">
        <f t="shared" si="1"/>
        <v>1</v>
      </c>
      <c r="AL63" s="2">
        <f t="shared" si="0"/>
        <v>0</v>
      </c>
    </row>
    <row r="64" spans="1:38" x14ac:dyDescent="0.3">
      <c r="A64" s="5" t="s">
        <v>1911</v>
      </c>
      <c r="B64" s="5"/>
      <c r="C64" s="5"/>
      <c r="D64" s="1"/>
      <c r="E64" s="1"/>
      <c r="F64" s="1"/>
      <c r="G64" s="1"/>
      <c r="P64" s="30" t="s">
        <v>908</v>
      </c>
      <c r="AJ64" s="2">
        <f t="shared" si="1"/>
        <v>1</v>
      </c>
      <c r="AL64" s="2">
        <f t="shared" si="0"/>
        <v>0</v>
      </c>
    </row>
    <row r="65" spans="1:38" ht="43.2" x14ac:dyDescent="0.3">
      <c r="A65" s="5" t="s">
        <v>1912</v>
      </c>
      <c r="B65" s="5"/>
      <c r="C65" s="5"/>
      <c r="D65" s="1"/>
      <c r="E65" s="1"/>
      <c r="F65" s="1"/>
      <c r="G65" s="1"/>
      <c r="P65" s="30" t="s">
        <v>909</v>
      </c>
      <c r="AJ65" s="2">
        <f t="shared" si="1"/>
        <v>1</v>
      </c>
      <c r="AL65" s="2">
        <f t="shared" si="0"/>
        <v>0</v>
      </c>
    </row>
    <row r="66" spans="1:38" x14ac:dyDescent="0.3">
      <c r="A66" s="5" t="s">
        <v>1913</v>
      </c>
      <c r="B66" s="5"/>
      <c r="C66" s="5"/>
      <c r="D66" s="1"/>
      <c r="E66" s="1"/>
      <c r="F66" s="1"/>
      <c r="G66" s="1"/>
      <c r="P66" s="30" t="s">
        <v>910</v>
      </c>
      <c r="AJ66" s="2">
        <f t="shared" si="1"/>
        <v>1</v>
      </c>
      <c r="AL66" s="2">
        <f t="shared" ref="AL66:AL129" si="2">COUNTA(F66:O66,R66:S66)</f>
        <v>0</v>
      </c>
    </row>
    <row r="67" spans="1:38" ht="28.8" x14ac:dyDescent="0.3">
      <c r="A67" s="5" t="s">
        <v>1914</v>
      </c>
      <c r="B67" s="5"/>
      <c r="C67" s="5"/>
      <c r="D67" s="1"/>
      <c r="E67" s="1"/>
      <c r="F67" s="1"/>
      <c r="G67" s="1"/>
      <c r="P67" s="30" t="s">
        <v>911</v>
      </c>
      <c r="AJ67" s="2">
        <f t="shared" si="1"/>
        <v>1</v>
      </c>
      <c r="AL67" s="2">
        <f t="shared" si="2"/>
        <v>0</v>
      </c>
    </row>
    <row r="68" spans="1:38" x14ac:dyDescent="0.3">
      <c r="A68" s="5" t="s">
        <v>1915</v>
      </c>
      <c r="B68" s="5"/>
      <c r="C68" s="5"/>
      <c r="D68" s="1"/>
      <c r="E68" s="1"/>
      <c r="F68" s="1"/>
      <c r="G68" s="1"/>
      <c r="P68" s="30" t="s">
        <v>912</v>
      </c>
      <c r="AJ68" s="2">
        <f t="shared" si="1"/>
        <v>1</v>
      </c>
      <c r="AL68" s="2">
        <f t="shared" si="2"/>
        <v>0</v>
      </c>
    </row>
    <row r="69" spans="1:38" x14ac:dyDescent="0.3">
      <c r="A69" s="5" t="s">
        <v>1916</v>
      </c>
      <c r="B69" s="5"/>
      <c r="C69" s="5"/>
      <c r="D69" s="1"/>
      <c r="E69" s="1"/>
      <c r="F69" s="1"/>
      <c r="G69" s="1"/>
      <c r="P69" s="30" t="s">
        <v>914</v>
      </c>
      <c r="AJ69" s="2">
        <f t="shared" ref="AJ69:AJ132" si="3">COUNTA(B69:AH69)</f>
        <v>1</v>
      </c>
      <c r="AL69" s="2">
        <f t="shared" si="2"/>
        <v>0</v>
      </c>
    </row>
    <row r="70" spans="1:38" x14ac:dyDescent="0.3">
      <c r="A70" s="5" t="s">
        <v>1917</v>
      </c>
      <c r="B70" s="1"/>
      <c r="C70" s="5"/>
      <c r="D70" s="1"/>
      <c r="E70" s="1"/>
      <c r="F70" s="1"/>
      <c r="G70" s="1"/>
      <c r="P70" s="30" t="s">
        <v>915</v>
      </c>
      <c r="AJ70" s="2">
        <f t="shared" si="3"/>
        <v>1</v>
      </c>
      <c r="AL70" s="2">
        <f t="shared" si="2"/>
        <v>0</v>
      </c>
    </row>
    <row r="71" spans="1:38" x14ac:dyDescent="0.3">
      <c r="A71" s="5" t="s">
        <v>1923</v>
      </c>
      <c r="B71" s="1"/>
      <c r="C71" s="5"/>
      <c r="D71" s="1"/>
      <c r="E71" s="1"/>
      <c r="F71" s="1"/>
      <c r="G71" s="1"/>
      <c r="P71" s="30" t="s">
        <v>922</v>
      </c>
      <c r="AJ71" s="2">
        <f t="shared" si="3"/>
        <v>1</v>
      </c>
      <c r="AL71" s="2">
        <f t="shared" si="2"/>
        <v>0</v>
      </c>
    </row>
    <row r="72" spans="1:38" ht="28.8" x14ac:dyDescent="0.3">
      <c r="A72" s="5" t="s">
        <v>1935</v>
      </c>
      <c r="B72" s="1"/>
      <c r="C72" s="5"/>
      <c r="D72" s="1"/>
      <c r="E72" s="1"/>
      <c r="F72" s="1"/>
      <c r="G72" s="1"/>
      <c r="P72" s="30" t="s">
        <v>952</v>
      </c>
      <c r="AJ72" s="2">
        <f t="shared" si="3"/>
        <v>1</v>
      </c>
      <c r="AL72" s="2">
        <f t="shared" si="2"/>
        <v>0</v>
      </c>
    </row>
    <row r="73" spans="1:38" x14ac:dyDescent="0.3">
      <c r="A73" s="5" t="s">
        <v>1936</v>
      </c>
      <c r="B73" s="1"/>
      <c r="C73" s="5"/>
      <c r="D73" s="1"/>
      <c r="E73" s="1"/>
      <c r="F73" s="1"/>
      <c r="G73" s="1"/>
      <c r="P73" s="30" t="s">
        <v>953</v>
      </c>
      <c r="AJ73" s="2">
        <f t="shared" si="3"/>
        <v>1</v>
      </c>
      <c r="AL73" s="2">
        <f t="shared" si="2"/>
        <v>0</v>
      </c>
    </row>
    <row r="74" spans="1:38" ht="28.8" x14ac:dyDescent="0.3">
      <c r="A74" s="5" t="s">
        <v>1937</v>
      </c>
      <c r="B74" s="1"/>
      <c r="C74" s="5"/>
      <c r="D74" s="1"/>
      <c r="E74" s="1"/>
      <c r="F74" s="1"/>
      <c r="G74" s="1"/>
      <c r="P74" s="30" t="s">
        <v>954</v>
      </c>
      <c r="AJ74" s="2">
        <f t="shared" si="3"/>
        <v>1</v>
      </c>
      <c r="AL74" s="2">
        <f t="shared" si="2"/>
        <v>0</v>
      </c>
    </row>
    <row r="75" spans="1:38" ht="28.8" x14ac:dyDescent="0.3">
      <c r="A75" s="5" t="s">
        <v>1938</v>
      </c>
      <c r="B75" s="1"/>
      <c r="C75" s="5"/>
      <c r="D75" s="1"/>
      <c r="E75" s="1"/>
      <c r="F75" s="1"/>
      <c r="G75" s="1"/>
      <c r="P75" s="30" t="s">
        <v>955</v>
      </c>
      <c r="AJ75" s="2">
        <f t="shared" si="3"/>
        <v>1</v>
      </c>
      <c r="AL75" s="2">
        <f t="shared" si="2"/>
        <v>0</v>
      </c>
    </row>
    <row r="76" spans="1:38" x14ac:dyDescent="0.3">
      <c r="A76" s="5" t="s">
        <v>1946</v>
      </c>
      <c r="B76" s="1"/>
      <c r="C76" s="5"/>
      <c r="D76" s="1"/>
      <c r="E76" s="1"/>
      <c r="F76" s="1"/>
      <c r="G76" s="1"/>
      <c r="P76" s="30" t="s">
        <v>965</v>
      </c>
      <c r="AJ76" s="2">
        <f t="shared" si="3"/>
        <v>1</v>
      </c>
      <c r="AL76" s="2">
        <f t="shared" si="2"/>
        <v>0</v>
      </c>
    </row>
    <row r="77" spans="1:38" x14ac:dyDescent="0.3">
      <c r="A77" s="5" t="s">
        <v>1947</v>
      </c>
      <c r="B77" s="1"/>
      <c r="C77" s="5"/>
      <c r="D77" s="1"/>
      <c r="E77" s="1"/>
      <c r="F77" s="1"/>
      <c r="G77" s="1"/>
      <c r="P77" s="30" t="s">
        <v>966</v>
      </c>
      <c r="AJ77" s="2">
        <f t="shared" si="3"/>
        <v>1</v>
      </c>
      <c r="AL77" s="2">
        <f t="shared" si="2"/>
        <v>0</v>
      </c>
    </row>
    <row r="78" spans="1:38" x14ac:dyDescent="0.3">
      <c r="A78" s="5" t="s">
        <v>1948</v>
      </c>
      <c r="B78" s="1"/>
      <c r="C78" s="5"/>
      <c r="D78" s="1"/>
      <c r="E78" s="1"/>
      <c r="F78" s="1"/>
      <c r="G78" s="1"/>
      <c r="P78" s="30" t="s">
        <v>967</v>
      </c>
      <c r="AJ78" s="2">
        <f t="shared" si="3"/>
        <v>1</v>
      </c>
      <c r="AL78" s="2">
        <f t="shared" si="2"/>
        <v>0</v>
      </c>
    </row>
    <row r="79" spans="1:38" x14ac:dyDescent="0.3">
      <c r="A79" s="5" t="s">
        <v>1959</v>
      </c>
      <c r="B79" s="5"/>
      <c r="C79" s="5"/>
      <c r="D79" s="1"/>
      <c r="E79" s="1"/>
      <c r="F79" s="1"/>
      <c r="G79" s="1"/>
      <c r="P79" s="30" t="s">
        <v>1733</v>
      </c>
      <c r="AJ79" s="2">
        <f t="shared" si="3"/>
        <v>1</v>
      </c>
      <c r="AL79" s="2">
        <f t="shared" si="2"/>
        <v>0</v>
      </c>
    </row>
    <row r="80" spans="1:38" x14ac:dyDescent="0.3">
      <c r="A80" s="5" t="s">
        <v>1960</v>
      </c>
      <c r="B80" s="1"/>
      <c r="C80" s="5"/>
      <c r="D80" s="1"/>
      <c r="E80" s="1"/>
      <c r="F80" s="1"/>
      <c r="G80" s="1"/>
      <c r="P80" s="30" t="s">
        <v>1734</v>
      </c>
      <c r="AJ80" s="2">
        <f t="shared" si="3"/>
        <v>1</v>
      </c>
      <c r="AL80" s="2">
        <f t="shared" si="2"/>
        <v>0</v>
      </c>
    </row>
    <row r="81" spans="1:38" x14ac:dyDescent="0.3">
      <c r="A81" s="5" t="s">
        <v>1954</v>
      </c>
      <c r="B81" s="1"/>
      <c r="C81" s="5"/>
      <c r="D81" s="1"/>
      <c r="E81" s="1"/>
      <c r="F81" s="1"/>
      <c r="G81" s="1"/>
      <c r="P81" s="30" t="s">
        <v>1728</v>
      </c>
      <c r="AJ81" s="2">
        <f t="shared" si="3"/>
        <v>1</v>
      </c>
      <c r="AL81" s="2">
        <f t="shared" si="2"/>
        <v>0</v>
      </c>
    </row>
    <row r="82" spans="1:38" ht="28.8" x14ac:dyDescent="0.3">
      <c r="A82" s="5" t="s">
        <v>1956</v>
      </c>
      <c r="B82" s="1"/>
      <c r="C82" s="5"/>
      <c r="D82" s="1"/>
      <c r="E82" s="1"/>
      <c r="F82" s="1"/>
      <c r="G82" s="1"/>
      <c r="P82" s="30" t="s">
        <v>1730</v>
      </c>
      <c r="AJ82" s="2">
        <f t="shared" si="3"/>
        <v>1</v>
      </c>
      <c r="AL82" s="2">
        <f t="shared" si="2"/>
        <v>0</v>
      </c>
    </row>
    <row r="83" spans="1:38" ht="28.8" x14ac:dyDescent="0.3">
      <c r="A83" s="5" t="s">
        <v>1957</v>
      </c>
      <c r="B83" s="1"/>
      <c r="C83" s="5"/>
      <c r="D83" s="1"/>
      <c r="E83" s="1"/>
      <c r="F83" s="1"/>
      <c r="G83" s="1"/>
      <c r="P83" s="30" t="s">
        <v>1731</v>
      </c>
      <c r="AJ83" s="2">
        <f t="shared" si="3"/>
        <v>1</v>
      </c>
      <c r="AL83" s="2">
        <f t="shared" si="2"/>
        <v>0</v>
      </c>
    </row>
    <row r="84" spans="1:38" x14ac:dyDescent="0.3">
      <c r="A84" s="5" t="s">
        <v>1958</v>
      </c>
      <c r="B84" s="1"/>
      <c r="C84" s="5"/>
      <c r="D84" s="1"/>
      <c r="E84" s="1"/>
      <c r="F84" s="1"/>
      <c r="G84" s="1"/>
      <c r="P84" s="30" t="s">
        <v>1732</v>
      </c>
      <c r="AJ84" s="2">
        <f t="shared" si="3"/>
        <v>1</v>
      </c>
      <c r="AL84" s="2">
        <f t="shared" si="2"/>
        <v>0</v>
      </c>
    </row>
    <row r="85" spans="1:38" ht="28.8" x14ac:dyDescent="0.3">
      <c r="A85" s="5" t="s">
        <v>2420</v>
      </c>
      <c r="B85" s="1"/>
      <c r="C85" s="5"/>
      <c r="D85" s="1"/>
      <c r="E85" s="1"/>
      <c r="F85" s="1"/>
      <c r="G85" s="1"/>
      <c r="U85" s="1" t="s">
        <v>890</v>
      </c>
      <c r="AJ85" s="2">
        <f t="shared" si="3"/>
        <v>1</v>
      </c>
      <c r="AL85" s="2">
        <f t="shared" si="2"/>
        <v>0</v>
      </c>
    </row>
    <row r="86" spans="1:38" ht="28.8" x14ac:dyDescent="0.3">
      <c r="A86" s="5" t="s">
        <v>2421</v>
      </c>
      <c r="B86" s="1"/>
      <c r="C86" s="5"/>
      <c r="D86" s="1"/>
      <c r="E86" s="1"/>
      <c r="F86" s="1"/>
      <c r="G86" s="1"/>
      <c r="U86" s="1" t="s">
        <v>891</v>
      </c>
      <c r="AJ86" s="2">
        <f t="shared" si="3"/>
        <v>1</v>
      </c>
      <c r="AL86" s="2">
        <f t="shared" si="2"/>
        <v>0</v>
      </c>
    </row>
    <row r="87" spans="1:38" ht="28.8" x14ac:dyDescent="0.3">
      <c r="A87" s="5" t="s">
        <v>2422</v>
      </c>
      <c r="B87" s="1"/>
      <c r="C87" s="5"/>
      <c r="D87" s="1"/>
      <c r="E87" s="1"/>
      <c r="F87" s="1"/>
      <c r="G87" s="1"/>
      <c r="U87" s="1" t="s">
        <v>892</v>
      </c>
      <c r="AJ87" s="2">
        <f t="shared" si="3"/>
        <v>1</v>
      </c>
      <c r="AL87" s="2">
        <f t="shared" si="2"/>
        <v>0</v>
      </c>
    </row>
    <row r="88" spans="1:38" ht="28.8" x14ac:dyDescent="0.3">
      <c r="A88" s="5" t="s">
        <v>2423</v>
      </c>
      <c r="B88" s="1"/>
      <c r="C88" s="5"/>
      <c r="D88" s="1"/>
      <c r="E88" s="1"/>
      <c r="F88" s="1"/>
      <c r="G88" s="1"/>
      <c r="U88" s="1" t="s">
        <v>893</v>
      </c>
      <c r="AJ88" s="2">
        <f t="shared" si="3"/>
        <v>1</v>
      </c>
      <c r="AL88" s="2">
        <f t="shared" si="2"/>
        <v>0</v>
      </c>
    </row>
    <row r="89" spans="1:38" ht="28.8" x14ac:dyDescent="0.3">
      <c r="A89" s="5" t="s">
        <v>2424</v>
      </c>
      <c r="B89" s="1"/>
      <c r="C89" s="5"/>
      <c r="D89" s="1"/>
      <c r="E89" s="1"/>
      <c r="F89" s="1"/>
      <c r="G89" s="1"/>
      <c r="U89" s="1" t="s">
        <v>894</v>
      </c>
      <c r="AJ89" s="2">
        <f t="shared" si="3"/>
        <v>1</v>
      </c>
      <c r="AL89" s="2">
        <f t="shared" si="2"/>
        <v>0</v>
      </c>
    </row>
    <row r="90" spans="1:38" ht="28.8" x14ac:dyDescent="0.3">
      <c r="A90" s="5" t="s">
        <v>2425</v>
      </c>
      <c r="B90" s="1"/>
      <c r="C90" s="5"/>
      <c r="D90" s="1"/>
      <c r="E90" s="1"/>
      <c r="F90" s="1"/>
      <c r="G90" s="1"/>
      <c r="U90" s="1" t="s">
        <v>895</v>
      </c>
      <c r="AJ90" s="2">
        <f t="shared" si="3"/>
        <v>1</v>
      </c>
      <c r="AL90" s="2">
        <f t="shared" si="2"/>
        <v>0</v>
      </c>
    </row>
    <row r="91" spans="1:38" ht="28.8" x14ac:dyDescent="0.3">
      <c r="A91" s="5" t="s">
        <v>2426</v>
      </c>
      <c r="B91" s="1"/>
      <c r="C91" s="5"/>
      <c r="D91" s="1"/>
      <c r="E91" s="1"/>
      <c r="F91" s="1"/>
      <c r="G91" s="1"/>
      <c r="U91" s="1" t="s">
        <v>896</v>
      </c>
      <c r="AJ91" s="2">
        <f t="shared" si="3"/>
        <v>1</v>
      </c>
      <c r="AL91" s="2">
        <f t="shared" si="2"/>
        <v>0</v>
      </c>
    </row>
    <row r="92" spans="1:38" x14ac:dyDescent="0.3">
      <c r="A92" s="5" t="s">
        <v>2705</v>
      </c>
      <c r="B92" s="1"/>
      <c r="C92" s="5"/>
      <c r="D92" s="1"/>
      <c r="E92" s="1"/>
      <c r="F92" s="1"/>
      <c r="G92" s="1"/>
      <c r="AA92" s="54" t="s">
        <v>2706</v>
      </c>
      <c r="AB92" s="53" t="s">
        <v>2753</v>
      </c>
      <c r="AD92" s="1" t="s">
        <v>1118</v>
      </c>
      <c r="AJ92" s="2">
        <f t="shared" si="3"/>
        <v>3</v>
      </c>
      <c r="AL92" s="2">
        <f t="shared" si="2"/>
        <v>0</v>
      </c>
    </row>
    <row r="93" spans="1:38" x14ac:dyDescent="0.3">
      <c r="A93" s="5" t="s">
        <v>2720</v>
      </c>
      <c r="B93" s="1"/>
      <c r="C93" s="5"/>
      <c r="D93" s="1"/>
      <c r="E93" s="1"/>
      <c r="F93" s="1"/>
      <c r="G93" s="1"/>
      <c r="AA93" s="1" t="s">
        <v>2717</v>
      </c>
      <c r="AJ93" s="2">
        <f t="shared" si="3"/>
        <v>1</v>
      </c>
      <c r="AL93" s="2">
        <f t="shared" si="2"/>
        <v>0</v>
      </c>
    </row>
    <row r="94" spans="1:38" x14ac:dyDescent="0.3">
      <c r="A94" s="5" t="s">
        <v>2734</v>
      </c>
      <c r="B94" s="1"/>
      <c r="C94" s="5"/>
      <c r="D94" s="1"/>
      <c r="E94" s="1"/>
      <c r="F94" s="1"/>
      <c r="G94" s="1"/>
      <c r="AB94" s="54" t="s">
        <v>2735</v>
      </c>
      <c r="AD94" s="1" t="s">
        <v>1054</v>
      </c>
      <c r="AJ94" s="2">
        <f t="shared" si="3"/>
        <v>2</v>
      </c>
      <c r="AL94" s="2">
        <f t="shared" si="2"/>
        <v>0</v>
      </c>
    </row>
    <row r="95" spans="1:38" x14ac:dyDescent="0.3">
      <c r="A95" s="5" t="s">
        <v>2832</v>
      </c>
      <c r="B95" s="1"/>
      <c r="C95" s="5"/>
      <c r="D95" s="1"/>
      <c r="E95" s="1"/>
      <c r="F95" s="1"/>
      <c r="G95" s="1"/>
      <c r="AD95" s="1" t="s">
        <v>1436</v>
      </c>
      <c r="AJ95" s="2">
        <f t="shared" si="3"/>
        <v>1</v>
      </c>
      <c r="AL95" s="2">
        <f t="shared" si="2"/>
        <v>0</v>
      </c>
    </row>
    <row r="96" spans="1:38" x14ac:dyDescent="0.3">
      <c r="A96" s="5" t="s">
        <v>2869</v>
      </c>
      <c r="B96" s="1"/>
      <c r="C96" s="5"/>
      <c r="D96" s="1"/>
      <c r="E96" s="1"/>
      <c r="F96" s="1"/>
      <c r="G96" s="1"/>
      <c r="AD96" s="1" t="s">
        <v>1120</v>
      </c>
      <c r="AJ96" s="2">
        <f t="shared" si="3"/>
        <v>1</v>
      </c>
      <c r="AL96" s="2">
        <f t="shared" si="2"/>
        <v>0</v>
      </c>
    </row>
    <row r="97" spans="1:38" ht="28.8" x14ac:dyDescent="0.3">
      <c r="A97" s="5" t="s">
        <v>2870</v>
      </c>
      <c r="B97" s="1"/>
      <c r="C97" s="5"/>
      <c r="D97" s="1"/>
      <c r="E97" s="1"/>
      <c r="F97" s="1"/>
      <c r="G97" s="1"/>
      <c r="AD97" s="1" t="s">
        <v>2871</v>
      </c>
      <c r="AJ97" s="2">
        <f t="shared" si="3"/>
        <v>1</v>
      </c>
      <c r="AL97" s="2">
        <f t="shared" si="2"/>
        <v>0</v>
      </c>
    </row>
    <row r="98" spans="1:38" x14ac:dyDescent="0.3">
      <c r="A98" s="5" t="s">
        <v>2784</v>
      </c>
      <c r="B98" s="1"/>
      <c r="C98" s="5"/>
      <c r="D98" s="1"/>
      <c r="E98" s="1"/>
      <c r="F98" s="1"/>
      <c r="G98" s="1"/>
      <c r="AB98" s="1" t="s">
        <v>2207</v>
      </c>
      <c r="AJ98" s="2">
        <f t="shared" si="3"/>
        <v>1</v>
      </c>
      <c r="AL98" s="2">
        <f t="shared" si="2"/>
        <v>0</v>
      </c>
    </row>
    <row r="99" spans="1:38" ht="28.8" x14ac:dyDescent="0.3">
      <c r="A99" s="5" t="s">
        <v>2788</v>
      </c>
      <c r="B99" s="1"/>
      <c r="C99" s="5"/>
      <c r="D99" s="1"/>
      <c r="E99" s="1"/>
      <c r="F99" s="1"/>
      <c r="G99" s="1"/>
      <c r="AC99" s="1" t="s">
        <v>2822</v>
      </c>
      <c r="AJ99" s="2">
        <f t="shared" si="3"/>
        <v>1</v>
      </c>
      <c r="AL99" s="2">
        <f t="shared" si="2"/>
        <v>0</v>
      </c>
    </row>
    <row r="100" spans="1:38" x14ac:dyDescent="0.3">
      <c r="A100" s="5" t="s">
        <v>2789</v>
      </c>
      <c r="B100" s="1"/>
      <c r="C100" s="5"/>
      <c r="D100" s="1"/>
      <c r="E100" s="1"/>
      <c r="F100" s="1"/>
      <c r="G100" s="1"/>
      <c r="AC100" s="1" t="s">
        <v>2823</v>
      </c>
      <c r="AJ100" s="2">
        <f t="shared" si="3"/>
        <v>1</v>
      </c>
      <c r="AL100" s="2">
        <f t="shared" si="2"/>
        <v>0</v>
      </c>
    </row>
    <row r="101" spans="1:38" ht="28.8" x14ac:dyDescent="0.3">
      <c r="A101" s="5" t="s">
        <v>2790</v>
      </c>
      <c r="B101" s="1"/>
      <c r="C101" s="5"/>
      <c r="D101" s="1"/>
      <c r="E101" s="1"/>
      <c r="F101" s="1"/>
      <c r="G101" s="1"/>
      <c r="AC101" s="1" t="s">
        <v>2824</v>
      </c>
      <c r="AJ101" s="2">
        <f t="shared" si="3"/>
        <v>1</v>
      </c>
      <c r="AL101" s="2">
        <f t="shared" si="2"/>
        <v>0</v>
      </c>
    </row>
    <row r="102" spans="1:38" x14ac:dyDescent="0.3">
      <c r="A102" s="5" t="s">
        <v>2791</v>
      </c>
      <c r="B102" s="1"/>
      <c r="C102" s="5"/>
      <c r="D102" s="1"/>
      <c r="E102" s="1"/>
      <c r="F102" s="1"/>
      <c r="G102" s="1"/>
      <c r="AC102" s="1" t="s">
        <v>2825</v>
      </c>
      <c r="AJ102" s="2">
        <f t="shared" si="3"/>
        <v>1</v>
      </c>
      <c r="AL102" s="2">
        <f t="shared" si="2"/>
        <v>0</v>
      </c>
    </row>
    <row r="103" spans="1:38" ht="28.8" x14ac:dyDescent="0.3">
      <c r="A103" s="5" t="s">
        <v>2792</v>
      </c>
      <c r="B103" s="1"/>
      <c r="C103" s="5"/>
      <c r="D103" s="1"/>
      <c r="E103" s="1"/>
      <c r="F103" s="1"/>
      <c r="G103" s="1"/>
      <c r="AC103" s="1" t="s">
        <v>1963</v>
      </c>
      <c r="AJ103" s="2">
        <f t="shared" si="3"/>
        <v>1</v>
      </c>
      <c r="AL103" s="2">
        <f t="shared" si="2"/>
        <v>0</v>
      </c>
    </row>
    <row r="104" spans="1:38" ht="28.8" x14ac:dyDescent="0.3">
      <c r="A104" s="5" t="s">
        <v>2821</v>
      </c>
      <c r="B104" s="1"/>
      <c r="C104" s="5"/>
      <c r="D104" s="1"/>
      <c r="E104" s="1"/>
      <c r="F104" s="1"/>
      <c r="G104" s="1"/>
      <c r="AC104" s="1" t="s">
        <v>1982</v>
      </c>
      <c r="AJ104" s="2">
        <f t="shared" si="3"/>
        <v>1</v>
      </c>
      <c r="AL104" s="2">
        <f t="shared" si="2"/>
        <v>0</v>
      </c>
    </row>
    <row r="105" spans="1:38" x14ac:dyDescent="0.3">
      <c r="A105" s="5" t="s">
        <v>2840</v>
      </c>
      <c r="B105" s="1"/>
      <c r="C105" s="5"/>
      <c r="D105" s="1"/>
      <c r="E105" s="1"/>
      <c r="F105" s="1"/>
      <c r="G105" s="1"/>
      <c r="AD105" s="1" t="s">
        <v>1067</v>
      </c>
      <c r="AJ105" s="2">
        <f t="shared" si="3"/>
        <v>1</v>
      </c>
      <c r="AL105" s="2">
        <f t="shared" si="2"/>
        <v>0</v>
      </c>
    </row>
    <row r="106" spans="1:38" x14ac:dyDescent="0.3">
      <c r="A106" s="5" t="s">
        <v>2854</v>
      </c>
      <c r="B106" s="1"/>
      <c r="C106" s="5"/>
      <c r="D106" s="1"/>
      <c r="E106" s="1"/>
      <c r="F106" s="1"/>
      <c r="G106" s="1"/>
      <c r="AD106" s="1" t="s">
        <v>1084</v>
      </c>
      <c r="AJ106" s="2">
        <f t="shared" si="3"/>
        <v>1</v>
      </c>
      <c r="AL106" s="2">
        <f t="shared" si="2"/>
        <v>0</v>
      </c>
    </row>
    <row r="107" spans="1:38" ht="28.8" x14ac:dyDescent="0.3">
      <c r="A107" s="5" t="s">
        <v>2873</v>
      </c>
      <c r="B107" s="1"/>
      <c r="C107" s="5"/>
      <c r="D107" s="1"/>
      <c r="E107" s="1"/>
      <c r="F107" s="1"/>
      <c r="G107" s="1"/>
      <c r="AD107" s="1" t="s">
        <v>1477</v>
      </c>
      <c r="AJ107" s="2">
        <f t="shared" si="3"/>
        <v>1</v>
      </c>
      <c r="AL107" s="2">
        <f t="shared" si="2"/>
        <v>0</v>
      </c>
    </row>
    <row r="108" spans="1:38" x14ac:dyDescent="0.3">
      <c r="A108" s="5" t="s">
        <v>2857</v>
      </c>
      <c r="B108" s="1"/>
      <c r="C108" s="5"/>
      <c r="D108" s="1"/>
      <c r="E108" s="1"/>
      <c r="F108" s="1"/>
      <c r="G108" s="1"/>
      <c r="AD108" s="1" t="s">
        <v>1079</v>
      </c>
      <c r="AJ108" s="2">
        <f t="shared" si="3"/>
        <v>1</v>
      </c>
      <c r="AL108" s="2">
        <f t="shared" si="2"/>
        <v>0</v>
      </c>
    </row>
    <row r="109" spans="1:38" x14ac:dyDescent="0.3">
      <c r="A109" s="5" t="s">
        <v>2877</v>
      </c>
      <c r="B109" s="1"/>
      <c r="C109" s="5"/>
      <c r="D109" s="1"/>
      <c r="E109" s="1"/>
      <c r="F109" s="1"/>
      <c r="G109" s="1"/>
      <c r="AD109" s="1" t="s">
        <v>1139</v>
      </c>
      <c r="AJ109" s="2">
        <f t="shared" si="3"/>
        <v>1</v>
      </c>
      <c r="AL109" s="2">
        <f t="shared" si="2"/>
        <v>0</v>
      </c>
    </row>
    <row r="110" spans="1:38" x14ac:dyDescent="0.3">
      <c r="A110" s="5" t="s">
        <v>2859</v>
      </c>
      <c r="B110" s="1"/>
      <c r="C110" s="5"/>
      <c r="D110" s="1"/>
      <c r="E110" s="1"/>
      <c r="F110" s="1"/>
      <c r="G110" s="1"/>
      <c r="AD110" s="1" t="s">
        <v>1081</v>
      </c>
      <c r="AJ110" s="2">
        <f t="shared" si="3"/>
        <v>1</v>
      </c>
      <c r="AL110" s="2">
        <f t="shared" si="2"/>
        <v>0</v>
      </c>
    </row>
    <row r="111" spans="1:38" x14ac:dyDescent="0.3">
      <c r="A111" s="5" t="s">
        <v>2878</v>
      </c>
      <c r="B111" s="1"/>
      <c r="C111" s="5"/>
      <c r="D111" s="1"/>
      <c r="E111" s="1"/>
      <c r="F111" s="1"/>
      <c r="G111" s="1"/>
      <c r="AD111" s="1" t="s">
        <v>1143</v>
      </c>
      <c r="AJ111" s="2">
        <f t="shared" si="3"/>
        <v>1</v>
      </c>
      <c r="AL111" s="2">
        <f t="shared" si="2"/>
        <v>0</v>
      </c>
    </row>
    <row r="112" spans="1:38" ht="28.8" x14ac:dyDescent="0.3">
      <c r="A112" s="5" t="s">
        <v>2879</v>
      </c>
      <c r="B112" s="1"/>
      <c r="C112" s="5"/>
      <c r="D112" s="1"/>
      <c r="E112" s="1"/>
      <c r="F112" s="1"/>
      <c r="G112" s="1"/>
      <c r="AD112" s="1" t="s">
        <v>1144</v>
      </c>
      <c r="AJ112" s="2">
        <f t="shared" si="3"/>
        <v>1</v>
      </c>
      <c r="AL112" s="2">
        <f t="shared" si="2"/>
        <v>0</v>
      </c>
    </row>
    <row r="113" spans="1:38" x14ac:dyDescent="0.3">
      <c r="A113" s="5" t="s">
        <v>3098</v>
      </c>
      <c r="B113" s="1"/>
      <c r="C113" s="5"/>
      <c r="D113" s="1"/>
      <c r="E113" s="1"/>
      <c r="F113" s="1"/>
      <c r="G113" s="1"/>
      <c r="AH113" s="1" t="s">
        <v>959</v>
      </c>
      <c r="AJ113" s="2">
        <f t="shared" si="3"/>
        <v>1</v>
      </c>
      <c r="AL113" s="2">
        <f t="shared" si="2"/>
        <v>0</v>
      </c>
    </row>
    <row r="114" spans="1:38" x14ac:dyDescent="0.3">
      <c r="A114" s="5" t="s">
        <v>2941</v>
      </c>
      <c r="B114" s="1"/>
      <c r="C114" s="5"/>
      <c r="D114" s="1"/>
      <c r="E114" s="1"/>
      <c r="F114" s="1"/>
      <c r="G114" s="1"/>
      <c r="AD114" s="54" t="s">
        <v>2942</v>
      </c>
      <c r="AE114" s="1" t="s">
        <v>976</v>
      </c>
      <c r="AJ114" s="2">
        <f t="shared" si="3"/>
        <v>2</v>
      </c>
      <c r="AL114" s="2">
        <f t="shared" si="2"/>
        <v>0</v>
      </c>
    </row>
    <row r="115" spans="1:38" ht="28.8" x14ac:dyDescent="0.3">
      <c r="A115" s="5" t="s">
        <v>3099</v>
      </c>
      <c r="B115" s="1"/>
      <c r="C115" s="5"/>
      <c r="D115" s="1"/>
      <c r="E115" s="1"/>
      <c r="F115" s="1"/>
      <c r="G115" s="1"/>
      <c r="AH115" s="1" t="s">
        <v>960</v>
      </c>
      <c r="AJ115" s="2">
        <f t="shared" si="3"/>
        <v>1</v>
      </c>
      <c r="AL115" s="2">
        <f t="shared" si="2"/>
        <v>0</v>
      </c>
    </row>
    <row r="116" spans="1:38" x14ac:dyDescent="0.3">
      <c r="A116" s="5" t="s">
        <v>2944</v>
      </c>
      <c r="B116" s="1"/>
      <c r="C116" s="5"/>
      <c r="D116" s="1"/>
      <c r="E116" s="1"/>
      <c r="F116" s="1"/>
      <c r="G116" s="1"/>
      <c r="AD116" s="1" t="s">
        <v>2943</v>
      </c>
      <c r="AJ116" s="2">
        <f t="shared" si="3"/>
        <v>1</v>
      </c>
      <c r="AL116" s="2">
        <f t="shared" si="2"/>
        <v>0</v>
      </c>
    </row>
    <row r="117" spans="1:38" x14ac:dyDescent="0.3">
      <c r="A117" s="5" t="s">
        <v>2945</v>
      </c>
      <c r="B117" s="1"/>
      <c r="C117" s="5"/>
      <c r="D117" s="1"/>
      <c r="E117" s="1"/>
      <c r="F117" s="1"/>
      <c r="G117" s="1"/>
      <c r="AD117" s="1" t="s">
        <v>2946</v>
      </c>
      <c r="AJ117" s="2">
        <f t="shared" si="3"/>
        <v>1</v>
      </c>
      <c r="AL117" s="2">
        <f t="shared" si="2"/>
        <v>0</v>
      </c>
    </row>
    <row r="118" spans="1:38" x14ac:dyDescent="0.3">
      <c r="A118" s="5" t="s">
        <v>2947</v>
      </c>
      <c r="B118" s="1"/>
      <c r="C118" s="5"/>
      <c r="D118" s="1"/>
      <c r="E118" s="1"/>
      <c r="F118" s="1"/>
      <c r="G118" s="1"/>
      <c r="AD118" s="1" t="s">
        <v>2948</v>
      </c>
      <c r="AJ118" s="2">
        <f t="shared" si="3"/>
        <v>1</v>
      </c>
      <c r="AL118" s="2">
        <f t="shared" si="2"/>
        <v>0</v>
      </c>
    </row>
    <row r="119" spans="1:38" ht="28.8" x14ac:dyDescent="0.3">
      <c r="A119" s="5" t="s">
        <v>3107</v>
      </c>
      <c r="B119" s="1"/>
      <c r="C119" s="5"/>
      <c r="D119" s="1"/>
      <c r="E119" s="1"/>
      <c r="F119" s="1"/>
      <c r="G119" s="16"/>
      <c r="AH119" s="1" t="s">
        <v>1172</v>
      </c>
      <c r="AJ119" s="2">
        <f t="shared" si="3"/>
        <v>1</v>
      </c>
      <c r="AL119" s="2">
        <f t="shared" si="2"/>
        <v>0</v>
      </c>
    </row>
    <row r="120" spans="1:38" ht="28.8" x14ac:dyDescent="0.3">
      <c r="A120" s="5" t="s">
        <v>2961</v>
      </c>
      <c r="B120" s="1"/>
      <c r="C120" s="5"/>
      <c r="D120" s="1"/>
      <c r="E120" s="1"/>
      <c r="F120" s="1"/>
      <c r="G120" s="1"/>
      <c r="AE120" s="1" t="s">
        <v>190</v>
      </c>
      <c r="AJ120" s="2">
        <f t="shared" si="3"/>
        <v>1</v>
      </c>
      <c r="AL120" s="2">
        <f t="shared" si="2"/>
        <v>0</v>
      </c>
    </row>
    <row r="121" spans="1:38" x14ac:dyDescent="0.3">
      <c r="A121" s="5" t="s">
        <v>3023</v>
      </c>
      <c r="B121" s="1"/>
      <c r="C121" s="5"/>
      <c r="D121" s="1"/>
      <c r="E121" s="1"/>
      <c r="F121" s="1"/>
      <c r="G121" s="1"/>
      <c r="AG121" s="54" t="s">
        <v>1180</v>
      </c>
      <c r="AH121" s="1" t="s">
        <v>983</v>
      </c>
      <c r="AJ121" s="2">
        <f t="shared" si="3"/>
        <v>2</v>
      </c>
      <c r="AL121" s="2">
        <f t="shared" si="2"/>
        <v>0</v>
      </c>
    </row>
    <row r="122" spans="1:38" ht="28.8" x14ac:dyDescent="0.3">
      <c r="A122" s="5" t="s">
        <v>3097</v>
      </c>
      <c r="B122" s="1"/>
      <c r="C122" s="5"/>
      <c r="D122" s="1"/>
      <c r="E122" s="1"/>
      <c r="F122" s="1"/>
      <c r="G122" s="1"/>
      <c r="AH122" s="1" t="s">
        <v>957</v>
      </c>
      <c r="AJ122" s="2">
        <f t="shared" si="3"/>
        <v>1</v>
      </c>
      <c r="AL122" s="2">
        <f t="shared" si="2"/>
        <v>0</v>
      </c>
    </row>
    <row r="123" spans="1:38" ht="28.8" x14ac:dyDescent="0.3">
      <c r="A123" s="5" t="s">
        <v>3025</v>
      </c>
      <c r="B123" s="1"/>
      <c r="C123" s="5"/>
      <c r="D123" s="1"/>
      <c r="E123" s="1"/>
      <c r="F123" s="1"/>
      <c r="G123" s="1"/>
      <c r="AG123" s="54" t="s">
        <v>982</v>
      </c>
      <c r="AH123" s="1" t="s">
        <v>989</v>
      </c>
      <c r="AJ123" s="2">
        <f t="shared" si="3"/>
        <v>2</v>
      </c>
      <c r="AL123" s="2">
        <f t="shared" si="2"/>
        <v>0</v>
      </c>
    </row>
    <row r="124" spans="1:38" ht="28.8" x14ac:dyDescent="0.3">
      <c r="A124" s="5" t="s">
        <v>3035</v>
      </c>
      <c r="B124" s="1"/>
      <c r="C124" s="5"/>
      <c r="D124" s="1"/>
      <c r="E124" s="1"/>
      <c r="F124" s="1"/>
      <c r="G124" s="1"/>
      <c r="AG124" s="54" t="s">
        <v>1026</v>
      </c>
      <c r="AH124" s="1" t="s">
        <v>1432</v>
      </c>
      <c r="AJ124" s="2">
        <f t="shared" si="3"/>
        <v>2</v>
      </c>
      <c r="AL124" s="2">
        <f t="shared" si="2"/>
        <v>0</v>
      </c>
    </row>
    <row r="125" spans="1:38" ht="28.8" x14ac:dyDescent="0.3">
      <c r="A125" s="5" t="s">
        <v>3036</v>
      </c>
      <c r="B125" s="1"/>
      <c r="C125" s="5"/>
      <c r="D125" s="1"/>
      <c r="E125" s="1"/>
      <c r="F125" s="1"/>
      <c r="G125" s="1"/>
      <c r="AG125" s="54" t="s">
        <v>1027</v>
      </c>
      <c r="AH125" s="1" t="s">
        <v>1433</v>
      </c>
      <c r="AJ125" s="2">
        <f t="shared" si="3"/>
        <v>2</v>
      </c>
      <c r="AL125" s="2">
        <f t="shared" si="2"/>
        <v>0</v>
      </c>
    </row>
    <row r="126" spans="1:38" ht="28.8" x14ac:dyDescent="0.3">
      <c r="A126" s="5" t="s">
        <v>3037</v>
      </c>
      <c r="B126" s="1"/>
      <c r="C126" s="5"/>
      <c r="D126" s="1"/>
      <c r="E126" s="1"/>
      <c r="F126" s="1"/>
      <c r="G126" s="1"/>
      <c r="AG126" s="54" t="s">
        <v>1029</v>
      </c>
      <c r="AH126" s="1" t="s">
        <v>1434</v>
      </c>
      <c r="AJ126" s="2">
        <f t="shared" si="3"/>
        <v>2</v>
      </c>
      <c r="AL126" s="2">
        <f t="shared" si="2"/>
        <v>0</v>
      </c>
    </row>
    <row r="127" spans="1:38" ht="28.8" x14ac:dyDescent="0.3">
      <c r="A127" s="5" t="s">
        <v>3038</v>
      </c>
      <c r="B127" s="1"/>
      <c r="C127" s="5"/>
      <c r="D127" s="1"/>
      <c r="E127" s="1"/>
      <c r="F127" s="1"/>
      <c r="G127" s="1"/>
      <c r="AG127" s="54" t="s">
        <v>1197</v>
      </c>
      <c r="AH127" s="1" t="s">
        <v>1436</v>
      </c>
      <c r="AJ127" s="2">
        <f t="shared" si="3"/>
        <v>2</v>
      </c>
      <c r="AL127" s="2">
        <f t="shared" si="2"/>
        <v>0</v>
      </c>
    </row>
    <row r="128" spans="1:38" ht="28.8" x14ac:dyDescent="0.3">
      <c r="A128" s="5" t="s">
        <v>3039</v>
      </c>
      <c r="B128" s="1"/>
      <c r="C128" s="5"/>
      <c r="D128" s="1"/>
      <c r="E128" s="1"/>
      <c r="F128" s="1"/>
      <c r="G128" s="1"/>
      <c r="AG128" s="54" t="s">
        <v>1035</v>
      </c>
      <c r="AH128" s="1" t="s">
        <v>1437</v>
      </c>
      <c r="AJ128" s="2">
        <f t="shared" si="3"/>
        <v>2</v>
      </c>
      <c r="AL128" s="2">
        <f t="shared" si="2"/>
        <v>0</v>
      </c>
    </row>
    <row r="129" spans="1:38" ht="28.8" x14ac:dyDescent="0.3">
      <c r="A129" s="5" t="s">
        <v>3040</v>
      </c>
      <c r="B129" s="1"/>
      <c r="C129" s="5"/>
      <c r="D129" s="1"/>
      <c r="E129" s="1"/>
      <c r="F129" s="1"/>
      <c r="G129" s="1"/>
      <c r="AG129" s="54" t="s">
        <v>1198</v>
      </c>
      <c r="AH129" s="1" t="s">
        <v>1055</v>
      </c>
      <c r="AJ129" s="2">
        <f t="shared" si="3"/>
        <v>2</v>
      </c>
      <c r="AL129" s="2">
        <f t="shared" si="2"/>
        <v>0</v>
      </c>
    </row>
    <row r="130" spans="1:38" ht="28.8" x14ac:dyDescent="0.3">
      <c r="A130" s="5" t="s">
        <v>3041</v>
      </c>
      <c r="B130" s="1"/>
      <c r="C130" s="5"/>
      <c r="D130" s="1"/>
      <c r="E130" s="1"/>
      <c r="F130" s="1"/>
      <c r="G130" s="1"/>
      <c r="AG130" s="54" t="s">
        <v>1036</v>
      </c>
      <c r="AH130" s="1" t="s">
        <v>1440</v>
      </c>
      <c r="AJ130" s="2">
        <f t="shared" si="3"/>
        <v>2</v>
      </c>
      <c r="AL130" s="2">
        <f t="shared" ref="AL130:AL150" si="4">COUNTA(F130:O130,R130:S130)</f>
        <v>0</v>
      </c>
    </row>
    <row r="131" spans="1:38" ht="28.8" x14ac:dyDescent="0.3">
      <c r="A131" s="5" t="s">
        <v>3042</v>
      </c>
      <c r="B131" s="1"/>
      <c r="C131" s="5"/>
      <c r="D131" s="1"/>
      <c r="E131" s="1"/>
      <c r="F131" s="1"/>
      <c r="G131" s="1"/>
      <c r="AG131" s="54" t="s">
        <v>1200</v>
      </c>
      <c r="AH131" s="1" t="s">
        <v>1056</v>
      </c>
      <c r="AJ131" s="2">
        <f t="shared" si="3"/>
        <v>2</v>
      </c>
      <c r="AL131" s="2">
        <f t="shared" si="4"/>
        <v>0</v>
      </c>
    </row>
    <row r="132" spans="1:38" ht="28.8" x14ac:dyDescent="0.3">
      <c r="A132" s="5" t="s">
        <v>3043</v>
      </c>
      <c r="B132" s="1"/>
      <c r="C132" s="5"/>
      <c r="D132" s="1"/>
      <c r="E132" s="1"/>
      <c r="F132" s="1"/>
      <c r="G132" s="1"/>
      <c r="AG132" s="54" t="s">
        <v>2053</v>
      </c>
      <c r="AH132" s="1" t="s">
        <v>1441</v>
      </c>
      <c r="AJ132" s="2">
        <f t="shared" si="3"/>
        <v>2</v>
      </c>
      <c r="AL132" s="2">
        <f t="shared" si="4"/>
        <v>0</v>
      </c>
    </row>
    <row r="133" spans="1:38" ht="28.8" x14ac:dyDescent="0.3">
      <c r="A133" s="5" t="s">
        <v>3046</v>
      </c>
      <c r="B133" s="1"/>
      <c r="C133" s="5"/>
      <c r="D133" s="1"/>
      <c r="E133" s="1"/>
      <c r="F133" s="1"/>
      <c r="G133" s="1"/>
      <c r="AG133" s="1" t="s">
        <v>1437</v>
      </c>
      <c r="AJ133" s="2">
        <f t="shared" ref="AJ133:AJ150" si="5">COUNTA(B133:AH133)</f>
        <v>1</v>
      </c>
      <c r="AL133" s="2">
        <f t="shared" si="4"/>
        <v>0</v>
      </c>
    </row>
    <row r="134" spans="1:38" ht="28.8" x14ac:dyDescent="0.3">
      <c r="A134" s="5" t="s">
        <v>3047</v>
      </c>
      <c r="B134" s="1"/>
      <c r="C134" s="5"/>
      <c r="D134" s="1"/>
      <c r="E134" s="1"/>
      <c r="F134" s="1"/>
      <c r="G134" s="1"/>
      <c r="AG134" s="1" t="s">
        <v>1055</v>
      </c>
      <c r="AJ134" s="2">
        <f t="shared" si="5"/>
        <v>1</v>
      </c>
      <c r="AL134" s="2">
        <f t="shared" si="4"/>
        <v>0</v>
      </c>
    </row>
    <row r="135" spans="1:38" ht="28.8" x14ac:dyDescent="0.3">
      <c r="A135" s="5" t="s">
        <v>3048</v>
      </c>
      <c r="B135" s="1"/>
      <c r="C135" s="5"/>
      <c r="D135" s="1"/>
      <c r="E135" s="1"/>
      <c r="F135" s="1"/>
      <c r="G135" s="1"/>
      <c r="AG135" s="1" t="s">
        <v>1440</v>
      </c>
      <c r="AJ135" s="2">
        <f t="shared" si="5"/>
        <v>1</v>
      </c>
      <c r="AL135" s="2">
        <f t="shared" si="4"/>
        <v>0</v>
      </c>
    </row>
    <row r="136" spans="1:38" ht="28.8" x14ac:dyDescent="0.3">
      <c r="A136" s="5" t="s">
        <v>3049</v>
      </c>
      <c r="B136" s="1"/>
      <c r="C136" s="5"/>
      <c r="D136" s="1"/>
      <c r="E136" s="1"/>
      <c r="F136" s="1"/>
      <c r="G136" s="1"/>
      <c r="AG136" s="1" t="s">
        <v>1056</v>
      </c>
      <c r="AJ136" s="2">
        <f t="shared" si="5"/>
        <v>1</v>
      </c>
      <c r="AL136" s="2">
        <f t="shared" si="4"/>
        <v>0</v>
      </c>
    </row>
    <row r="137" spans="1:38" ht="28.8" x14ac:dyDescent="0.3">
      <c r="A137" s="5" t="s">
        <v>3050</v>
      </c>
      <c r="B137" s="1"/>
      <c r="C137" s="5"/>
      <c r="D137" s="1"/>
      <c r="E137" s="1"/>
      <c r="F137" s="1"/>
      <c r="G137" s="1"/>
      <c r="AG137" s="1" t="s">
        <v>1443</v>
      </c>
      <c r="AJ137" s="2">
        <f t="shared" si="5"/>
        <v>1</v>
      </c>
      <c r="AL137" s="2">
        <f t="shared" si="4"/>
        <v>0</v>
      </c>
    </row>
    <row r="138" spans="1:38" ht="28.8" x14ac:dyDescent="0.3">
      <c r="A138" s="5" t="s">
        <v>3051</v>
      </c>
      <c r="B138" s="1"/>
      <c r="C138" s="5"/>
      <c r="D138" s="1"/>
      <c r="E138" s="1"/>
      <c r="F138" s="1"/>
      <c r="G138" s="1"/>
      <c r="AG138" s="1" t="s">
        <v>1057</v>
      </c>
      <c r="AJ138" s="2">
        <f t="shared" si="5"/>
        <v>1</v>
      </c>
      <c r="AL138" s="2">
        <f t="shared" si="4"/>
        <v>0</v>
      </c>
    </row>
    <row r="139" spans="1:38" ht="28.8" x14ac:dyDescent="0.3">
      <c r="A139" s="5" t="s">
        <v>3052</v>
      </c>
      <c r="B139" s="1"/>
      <c r="C139" s="5"/>
      <c r="D139" s="1"/>
      <c r="E139" s="1"/>
      <c r="F139" s="1"/>
      <c r="G139" s="1"/>
      <c r="AG139" s="1" t="s">
        <v>1445</v>
      </c>
      <c r="AJ139" s="2">
        <f t="shared" si="5"/>
        <v>1</v>
      </c>
      <c r="AL139" s="2">
        <f t="shared" si="4"/>
        <v>0</v>
      </c>
    </row>
    <row r="140" spans="1:38" ht="28.8" x14ac:dyDescent="0.3">
      <c r="A140" s="5" t="s">
        <v>3053</v>
      </c>
      <c r="B140" s="1"/>
      <c r="C140" s="5"/>
      <c r="D140" s="1"/>
      <c r="E140" s="1"/>
      <c r="F140" s="1"/>
      <c r="G140" s="1"/>
      <c r="AG140" s="1" t="s">
        <v>1058</v>
      </c>
      <c r="AJ140" s="2">
        <f t="shared" si="5"/>
        <v>1</v>
      </c>
      <c r="AL140" s="2">
        <f t="shared" si="4"/>
        <v>0</v>
      </c>
    </row>
    <row r="141" spans="1:38" ht="43.2" x14ac:dyDescent="0.3">
      <c r="A141" s="5" t="s">
        <v>3054</v>
      </c>
      <c r="B141" s="1"/>
      <c r="C141" s="5"/>
      <c r="D141" s="1"/>
      <c r="E141" s="1"/>
      <c r="F141" s="1"/>
      <c r="G141" s="1"/>
      <c r="AG141" s="1" t="s">
        <v>364</v>
      </c>
      <c r="AJ141" s="2">
        <f t="shared" si="5"/>
        <v>1</v>
      </c>
      <c r="AL141" s="2">
        <f t="shared" si="4"/>
        <v>0</v>
      </c>
    </row>
    <row r="142" spans="1:38" ht="28.8" x14ac:dyDescent="0.3">
      <c r="A142" s="5" t="s">
        <v>3055</v>
      </c>
      <c r="B142" s="1"/>
      <c r="C142" s="5"/>
      <c r="D142" s="1"/>
      <c r="E142" s="1"/>
      <c r="F142" s="1"/>
      <c r="G142" s="1"/>
      <c r="AG142" s="1" t="s">
        <v>1447</v>
      </c>
      <c r="AJ142" s="2">
        <f t="shared" si="5"/>
        <v>1</v>
      </c>
      <c r="AL142" s="2">
        <f t="shared" si="4"/>
        <v>0</v>
      </c>
    </row>
    <row r="143" spans="1:38" ht="28.8" x14ac:dyDescent="0.3">
      <c r="A143" s="5" t="s">
        <v>3056</v>
      </c>
      <c r="B143" s="1"/>
      <c r="C143" s="5"/>
      <c r="D143" s="1"/>
      <c r="E143" s="1"/>
      <c r="F143" s="1"/>
      <c r="G143" s="1"/>
      <c r="AG143" s="1" t="s">
        <v>1448</v>
      </c>
      <c r="AJ143" s="2">
        <f t="shared" si="5"/>
        <v>1</v>
      </c>
      <c r="AL143" s="2">
        <f t="shared" si="4"/>
        <v>0</v>
      </c>
    </row>
    <row r="144" spans="1:38" ht="43.2" x14ac:dyDescent="0.3">
      <c r="A144" s="5" t="s">
        <v>3057</v>
      </c>
      <c r="B144" s="1"/>
      <c r="C144" s="5"/>
      <c r="D144" s="1"/>
      <c r="E144" s="1"/>
      <c r="F144" s="1"/>
      <c r="G144" s="1"/>
      <c r="AG144" s="1" t="s">
        <v>365</v>
      </c>
      <c r="AJ144" s="2">
        <f t="shared" si="5"/>
        <v>1</v>
      </c>
      <c r="AL144" s="2">
        <f t="shared" si="4"/>
        <v>0</v>
      </c>
    </row>
    <row r="145" spans="1:38" ht="28.8" x14ac:dyDescent="0.3">
      <c r="A145" s="5" t="s">
        <v>3058</v>
      </c>
      <c r="B145" s="1"/>
      <c r="C145" s="5"/>
      <c r="D145" s="1"/>
      <c r="E145" s="1"/>
      <c r="F145" s="1"/>
      <c r="G145" s="1"/>
      <c r="AG145" s="1" t="s">
        <v>1449</v>
      </c>
      <c r="AJ145" s="2">
        <f t="shared" si="5"/>
        <v>1</v>
      </c>
      <c r="AL145" s="2">
        <f t="shared" si="4"/>
        <v>0</v>
      </c>
    </row>
    <row r="146" spans="1:38" ht="28.8" x14ac:dyDescent="0.3">
      <c r="A146" s="5" t="s">
        <v>3059</v>
      </c>
      <c r="B146" s="1"/>
      <c r="C146" s="5"/>
      <c r="D146" s="1"/>
      <c r="E146" s="1"/>
      <c r="F146" s="1"/>
      <c r="G146" s="1"/>
      <c r="AG146" s="1" t="s">
        <v>1067</v>
      </c>
      <c r="AJ146" s="2">
        <f t="shared" si="5"/>
        <v>1</v>
      </c>
      <c r="AL146" s="2">
        <f t="shared" si="4"/>
        <v>0</v>
      </c>
    </row>
    <row r="147" spans="1:38" x14ac:dyDescent="0.3">
      <c r="A147" s="5" t="s">
        <v>3096</v>
      </c>
      <c r="B147" s="1"/>
      <c r="C147" s="5"/>
      <c r="D147" s="1"/>
      <c r="E147" s="1"/>
      <c r="F147" s="1"/>
      <c r="G147" s="1"/>
      <c r="AH147" s="1" t="s">
        <v>952</v>
      </c>
      <c r="AJ147" s="2">
        <f t="shared" si="5"/>
        <v>1</v>
      </c>
      <c r="AL147" s="2">
        <f t="shared" si="4"/>
        <v>0</v>
      </c>
    </row>
    <row r="148" spans="1:38" x14ac:dyDescent="0.3">
      <c r="A148" s="5" t="s">
        <v>3095</v>
      </c>
      <c r="B148" s="1"/>
      <c r="C148" s="5"/>
      <c r="D148" s="1"/>
      <c r="E148" s="1"/>
      <c r="F148" s="1"/>
      <c r="G148" s="1"/>
      <c r="AH148" s="1" t="s">
        <v>954</v>
      </c>
      <c r="AJ148" s="2">
        <f t="shared" si="5"/>
        <v>1</v>
      </c>
      <c r="AL148" s="2">
        <f t="shared" si="4"/>
        <v>0</v>
      </c>
    </row>
    <row r="149" spans="1:38" ht="28.8" x14ac:dyDescent="0.3">
      <c r="A149" s="5" t="s">
        <v>3103</v>
      </c>
      <c r="B149" s="1"/>
      <c r="C149" s="5"/>
      <c r="D149" s="1"/>
      <c r="E149" s="1"/>
      <c r="F149" s="1"/>
      <c r="G149" s="1"/>
      <c r="AH149" s="1" t="s">
        <v>1964</v>
      </c>
      <c r="AJ149" s="2">
        <f t="shared" si="5"/>
        <v>1</v>
      </c>
      <c r="AL149" s="2">
        <f t="shared" si="4"/>
        <v>0</v>
      </c>
    </row>
    <row r="150" spans="1:38" ht="28.8" x14ac:dyDescent="0.3">
      <c r="A150" s="5" t="s">
        <v>3147</v>
      </c>
      <c r="B150" s="1"/>
      <c r="C150" s="5" t="s">
        <v>3148</v>
      </c>
      <c r="D150" s="1"/>
      <c r="E150" s="1"/>
      <c r="F150" s="1"/>
      <c r="G150" s="1"/>
      <c r="AJ150" s="2">
        <f t="shared" si="5"/>
        <v>1</v>
      </c>
      <c r="AL150" s="2">
        <f t="shared" si="4"/>
        <v>0</v>
      </c>
    </row>
    <row r="151" spans="1:38" x14ac:dyDescent="0.3">
      <c r="A151" s="5"/>
      <c r="B151" s="1"/>
      <c r="C151" s="5"/>
      <c r="D151" s="1"/>
      <c r="E151" s="1"/>
      <c r="F151" s="1"/>
      <c r="G151" s="1"/>
    </row>
    <row r="152" spans="1:38" x14ac:dyDescent="0.3">
      <c r="B152" s="1"/>
      <c r="C152" s="5"/>
      <c r="D152" s="1"/>
      <c r="E152" s="1"/>
      <c r="F152" s="1"/>
      <c r="G152" s="1"/>
    </row>
    <row r="153" spans="1:38" x14ac:dyDescent="0.3">
      <c r="A153" s="5"/>
      <c r="B153" s="1"/>
      <c r="C153" s="5"/>
      <c r="D153" s="1"/>
      <c r="E153" s="1"/>
      <c r="F153" s="1"/>
      <c r="G153" s="1"/>
    </row>
    <row r="154" spans="1:38" x14ac:dyDescent="0.3">
      <c r="A154" s="5"/>
      <c r="B154" s="1"/>
      <c r="C154" s="5"/>
      <c r="D154" s="1"/>
      <c r="E154" s="1"/>
      <c r="F154" s="1"/>
      <c r="G154" s="1"/>
    </row>
    <row r="155" spans="1:38" x14ac:dyDescent="0.3">
      <c r="A155" s="5"/>
      <c r="B155" s="1"/>
      <c r="C155" s="5"/>
      <c r="D155" s="1"/>
      <c r="E155" s="1"/>
      <c r="F155" s="1"/>
      <c r="G155" s="1"/>
    </row>
    <row r="156" spans="1:38" x14ac:dyDescent="0.3">
      <c r="A156" s="5"/>
      <c r="B156" s="1"/>
      <c r="C156" s="5"/>
      <c r="D156" s="1"/>
      <c r="E156" s="1"/>
      <c r="F156" s="1"/>
      <c r="G156" s="1"/>
    </row>
    <row r="157" spans="1:38" x14ac:dyDescent="0.3">
      <c r="A157" s="5"/>
      <c r="B157" s="1"/>
      <c r="C157" s="5"/>
      <c r="D157" s="1"/>
      <c r="E157" s="1"/>
      <c r="F157" s="1"/>
      <c r="G157" s="1"/>
    </row>
    <row r="158" spans="1:38" x14ac:dyDescent="0.3">
      <c r="A158" s="5"/>
      <c r="B158" s="1"/>
      <c r="C158" s="5"/>
      <c r="D158" s="1"/>
      <c r="E158" s="1"/>
      <c r="F158" s="1"/>
      <c r="G158" s="1"/>
    </row>
    <row r="159" spans="1:38" x14ac:dyDescent="0.3">
      <c r="A159" s="5"/>
      <c r="B159" s="1"/>
      <c r="C159" s="5"/>
      <c r="D159" s="1"/>
      <c r="E159" s="1"/>
      <c r="F159" s="1"/>
      <c r="G159" s="1"/>
    </row>
    <row r="160" spans="1:38"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row>
    <row r="165" spans="1:7" x14ac:dyDescent="0.3">
      <c r="A165" s="5"/>
      <c r="B165" s="1"/>
      <c r="C165" s="5"/>
      <c r="D165" s="1"/>
      <c r="E165" s="1"/>
      <c r="F165" s="1"/>
    </row>
    <row r="166" spans="1:7" x14ac:dyDescent="0.3">
      <c r="A166" s="5"/>
      <c r="B166" s="1"/>
      <c r="C166" s="5"/>
      <c r="D166" s="1"/>
      <c r="E166" s="1"/>
      <c r="F166" s="1"/>
    </row>
    <row r="167" spans="1:7" x14ac:dyDescent="0.3">
      <c r="A167" s="5"/>
      <c r="B167" s="1"/>
      <c r="C167" s="5"/>
      <c r="D167" s="1"/>
      <c r="E167" s="1"/>
      <c r="F167" s="1"/>
    </row>
    <row r="168" spans="1:7" x14ac:dyDescent="0.3">
      <c r="A168" s="5"/>
      <c r="B168" s="1"/>
      <c r="C168" s="5"/>
      <c r="D168" s="1"/>
      <c r="E168" s="1"/>
      <c r="F168" s="1"/>
    </row>
    <row r="169" spans="1:7" x14ac:dyDescent="0.3">
      <c r="A169" s="5"/>
      <c r="B169" s="1"/>
      <c r="C169" s="5"/>
      <c r="D169" s="1"/>
      <c r="E169" s="1"/>
      <c r="F169" s="1"/>
    </row>
    <row r="170" spans="1:7" x14ac:dyDescent="0.3">
      <c r="A170" s="5"/>
      <c r="B170" s="1"/>
      <c r="C170" s="5"/>
      <c r="D170" s="1"/>
      <c r="E170" s="1"/>
      <c r="F170" s="1"/>
    </row>
    <row r="171" spans="1:7" x14ac:dyDescent="0.3">
      <c r="A171" s="5"/>
      <c r="B171" s="1"/>
      <c r="C171" s="5"/>
      <c r="D171" s="1"/>
      <c r="E171" s="1"/>
      <c r="F171" s="1"/>
    </row>
    <row r="172" spans="1:7" x14ac:dyDescent="0.3">
      <c r="A172" s="5"/>
      <c r="B172" s="1"/>
      <c r="C172" s="5"/>
      <c r="D172" s="1"/>
      <c r="E172" s="1"/>
      <c r="F172" s="1"/>
    </row>
    <row r="173" spans="1:7" x14ac:dyDescent="0.3">
      <c r="A173" s="5"/>
      <c r="B173" s="1"/>
      <c r="C173" s="5"/>
      <c r="D173" s="1"/>
      <c r="E173" s="1"/>
      <c r="F173" s="1"/>
    </row>
    <row r="174" spans="1:7" x14ac:dyDescent="0.3">
      <c r="A174" s="5"/>
      <c r="B174" s="1"/>
      <c r="C174" s="5"/>
      <c r="D174" s="1"/>
      <c r="E174" s="1"/>
      <c r="F174" s="1"/>
    </row>
    <row r="175" spans="1:7" x14ac:dyDescent="0.3">
      <c r="A175" s="5"/>
      <c r="B175" s="1"/>
      <c r="C175" s="5"/>
      <c r="D175" s="1"/>
      <c r="E175" s="1"/>
      <c r="F175" s="1"/>
    </row>
    <row r="176" spans="1:7" x14ac:dyDescent="0.3">
      <c r="A176" s="5"/>
      <c r="B176" s="1"/>
      <c r="C176" s="5"/>
      <c r="D176" s="1"/>
      <c r="E176" s="1"/>
      <c r="F176" s="1"/>
    </row>
    <row r="177" spans="1:6" x14ac:dyDescent="0.3">
      <c r="A177" s="5"/>
      <c r="B177" s="1"/>
      <c r="C177" s="5"/>
      <c r="D177" s="1"/>
      <c r="E177" s="1"/>
      <c r="F177" s="1"/>
    </row>
    <row r="178" spans="1:6" x14ac:dyDescent="0.3">
      <c r="A178" s="5"/>
      <c r="B178" s="1"/>
      <c r="C178" s="5"/>
      <c r="D178" s="1"/>
      <c r="E178" s="1"/>
      <c r="F178" s="1"/>
    </row>
    <row r="179" spans="1:6" x14ac:dyDescent="0.3">
      <c r="A179" s="5"/>
      <c r="B179" s="1"/>
      <c r="C179" s="5"/>
      <c r="D179" s="1"/>
      <c r="E179" s="1"/>
      <c r="F179" s="1"/>
    </row>
    <row r="180" spans="1:6" x14ac:dyDescent="0.3">
      <c r="A180" s="5"/>
      <c r="B180" s="1"/>
      <c r="C180" s="5"/>
      <c r="D180" s="1"/>
      <c r="E180" s="1"/>
      <c r="F180" s="1"/>
    </row>
    <row r="181" spans="1:6" x14ac:dyDescent="0.3">
      <c r="A181" s="5"/>
      <c r="B181" s="1"/>
      <c r="C181" s="5"/>
      <c r="D181" s="1"/>
      <c r="E181" s="1"/>
      <c r="F181" s="1"/>
    </row>
    <row r="182" spans="1:6" x14ac:dyDescent="0.3">
      <c r="B182" s="1"/>
    </row>
    <row r="183" spans="1:6" x14ac:dyDescent="0.3">
      <c r="B183" s="1"/>
    </row>
    <row r="184" spans="1:6" x14ac:dyDescent="0.3">
      <c r="B184" s="1"/>
    </row>
    <row r="185" spans="1:6" x14ac:dyDescent="0.3">
      <c r="B185" s="1"/>
    </row>
    <row r="186" spans="1:6" x14ac:dyDescent="0.3">
      <c r="B186" s="1"/>
    </row>
    <row r="187" spans="1:6" x14ac:dyDescent="0.3">
      <c r="B187" s="1"/>
    </row>
    <row r="188" spans="1:6" x14ac:dyDescent="0.3">
      <c r="B188" s="1"/>
    </row>
    <row r="189" spans="1:6" x14ac:dyDescent="0.3">
      <c r="B189" s="1"/>
    </row>
    <row r="190" spans="1:6" x14ac:dyDescent="0.3">
      <c r="B190" s="1"/>
    </row>
    <row r="191" spans="1:6" x14ac:dyDescent="0.3">
      <c r="B191" s="1"/>
    </row>
    <row r="192" spans="1:6" x14ac:dyDescent="0.3">
      <c r="B192" s="1"/>
    </row>
    <row r="193" spans="2:2" x14ac:dyDescent="0.3">
      <c r="B193" s="1"/>
    </row>
    <row r="194" spans="2:2" x14ac:dyDescent="0.3">
      <c r="B194" s="1"/>
    </row>
    <row r="195" spans="2:2" x14ac:dyDescent="0.3">
      <c r="B195" s="1"/>
    </row>
    <row r="196" spans="2:2" x14ac:dyDescent="0.3">
      <c r="B196" s="1"/>
    </row>
    <row r="197" spans="2:2" x14ac:dyDescent="0.3">
      <c r="B197" s="1"/>
    </row>
    <row r="198" spans="2:2" x14ac:dyDescent="0.3">
      <c r="B198" s="1"/>
    </row>
    <row r="199" spans="2:2" x14ac:dyDescent="0.3">
      <c r="B199" s="1"/>
    </row>
    <row r="200" spans="2:2" x14ac:dyDescent="0.3">
      <c r="B200" s="1"/>
    </row>
    <row r="201" spans="2:2" x14ac:dyDescent="0.3">
      <c r="B201" s="1"/>
    </row>
    <row r="202" spans="2:2" x14ac:dyDescent="0.3">
      <c r="B202" s="1"/>
    </row>
    <row r="203" spans="2:2" x14ac:dyDescent="0.3">
      <c r="B203" s="1"/>
    </row>
    <row r="204" spans="2:2" x14ac:dyDescent="0.3">
      <c r="B204" s="1"/>
    </row>
    <row r="205" spans="2:2" x14ac:dyDescent="0.3">
      <c r="B205" s="1"/>
    </row>
    <row r="206" spans="2:2" x14ac:dyDescent="0.3">
      <c r="B206" s="1"/>
    </row>
    <row r="207" spans="2:2" x14ac:dyDescent="0.3">
      <c r="B207" s="1"/>
    </row>
    <row r="208" spans="2:2" x14ac:dyDescent="0.3">
      <c r="B208" s="1"/>
    </row>
    <row r="209" spans="2:2" x14ac:dyDescent="0.3">
      <c r="B209" s="1"/>
    </row>
    <row r="210" spans="2:2" x14ac:dyDescent="0.3">
      <c r="B210" s="1"/>
    </row>
    <row r="211" spans="2:2" x14ac:dyDescent="0.3">
      <c r="B211" s="1"/>
    </row>
    <row r="212" spans="2:2" x14ac:dyDescent="0.3">
      <c r="B212" s="1"/>
    </row>
    <row r="213" spans="2:2" x14ac:dyDescent="0.3">
      <c r="B213" s="1"/>
    </row>
    <row r="214" spans="2:2" x14ac:dyDescent="0.3">
      <c r="B214" s="1"/>
    </row>
    <row r="215" spans="2:2" x14ac:dyDescent="0.3">
      <c r="B215" s="1"/>
    </row>
    <row r="216" spans="2:2" x14ac:dyDescent="0.3">
      <c r="B216" s="1"/>
    </row>
    <row r="217" spans="2:2" x14ac:dyDescent="0.3">
      <c r="B217" s="1"/>
    </row>
    <row r="218" spans="2:2" x14ac:dyDescent="0.3">
      <c r="B218" s="1"/>
    </row>
    <row r="219" spans="2:2" x14ac:dyDescent="0.3">
      <c r="B219" s="1"/>
    </row>
    <row r="220" spans="2:2" x14ac:dyDescent="0.3">
      <c r="B220" s="1"/>
    </row>
    <row r="221" spans="2:2" x14ac:dyDescent="0.3">
      <c r="B221" s="1"/>
    </row>
    <row r="222" spans="2:2" x14ac:dyDescent="0.3">
      <c r="B222" s="1"/>
    </row>
    <row r="223" spans="2:2" x14ac:dyDescent="0.3">
      <c r="B223" s="1"/>
    </row>
    <row r="224" spans="2:2" x14ac:dyDescent="0.3">
      <c r="B224" s="1"/>
    </row>
    <row r="225" spans="2:2" x14ac:dyDescent="0.3">
      <c r="B225" s="1"/>
    </row>
    <row r="226" spans="2:2" x14ac:dyDescent="0.3">
      <c r="B226" s="1"/>
    </row>
    <row r="227" spans="2:2" x14ac:dyDescent="0.3">
      <c r="B227" s="1"/>
    </row>
    <row r="228" spans="2:2" x14ac:dyDescent="0.3">
      <c r="B228" s="1"/>
    </row>
    <row r="229" spans="2:2" x14ac:dyDescent="0.3">
      <c r="B229" s="1"/>
    </row>
    <row r="230" spans="2:2" x14ac:dyDescent="0.3">
      <c r="B230" s="1"/>
    </row>
    <row r="231" spans="2:2" x14ac:dyDescent="0.3">
      <c r="B231" s="1"/>
    </row>
    <row r="232" spans="2:2" x14ac:dyDescent="0.3">
      <c r="B232" s="1"/>
    </row>
    <row r="233" spans="2:2" x14ac:dyDescent="0.3">
      <c r="B233" s="1"/>
    </row>
    <row r="234" spans="2:2" x14ac:dyDescent="0.3">
      <c r="B234" s="1"/>
    </row>
    <row r="235" spans="2:2" x14ac:dyDescent="0.3">
      <c r="B235" s="1"/>
    </row>
    <row r="236" spans="2:2" x14ac:dyDescent="0.3">
      <c r="B236" s="1"/>
    </row>
    <row r="237" spans="2:2" x14ac:dyDescent="0.3">
      <c r="B237" s="1"/>
    </row>
    <row r="238" spans="2:2" x14ac:dyDescent="0.3">
      <c r="B238" s="1"/>
    </row>
    <row r="239" spans="2:2" x14ac:dyDescent="0.3">
      <c r="B239" s="1"/>
    </row>
    <row r="240" spans="2:2" x14ac:dyDescent="0.3">
      <c r="B240" s="1"/>
    </row>
    <row r="241" spans="2:2" x14ac:dyDescent="0.3">
      <c r="B241" s="1"/>
    </row>
    <row r="242" spans="2:2" x14ac:dyDescent="0.3">
      <c r="B242" s="1"/>
    </row>
    <row r="243" spans="2:2" x14ac:dyDescent="0.3">
      <c r="B243" s="1"/>
    </row>
    <row r="244" spans="2:2" x14ac:dyDescent="0.3">
      <c r="B244" s="1"/>
    </row>
    <row r="245" spans="2:2" x14ac:dyDescent="0.3">
      <c r="B245" s="1"/>
    </row>
    <row r="246" spans="2:2" x14ac:dyDescent="0.3">
      <c r="B246" s="1"/>
    </row>
    <row r="247" spans="2:2" x14ac:dyDescent="0.3">
      <c r="B247" s="1"/>
    </row>
    <row r="248" spans="2:2" x14ac:dyDescent="0.3">
      <c r="B248" s="1"/>
    </row>
    <row r="249" spans="2:2" x14ac:dyDescent="0.3">
      <c r="B249" s="1"/>
    </row>
    <row r="250" spans="2:2" x14ac:dyDescent="0.3">
      <c r="B250" s="1"/>
    </row>
    <row r="251" spans="2:2" x14ac:dyDescent="0.3">
      <c r="B251" s="1"/>
    </row>
    <row r="252" spans="2:2" x14ac:dyDescent="0.3">
      <c r="B252" s="1"/>
    </row>
    <row r="253" spans="2:2" x14ac:dyDescent="0.3">
      <c r="B253" s="1"/>
    </row>
    <row r="254" spans="2:2" x14ac:dyDescent="0.3">
      <c r="B254" s="1"/>
    </row>
    <row r="255" spans="2:2" x14ac:dyDescent="0.3">
      <c r="B255" s="1"/>
    </row>
    <row r="256" spans="2:2" x14ac:dyDescent="0.3">
      <c r="B256" s="1"/>
    </row>
    <row r="257" spans="2:2" x14ac:dyDescent="0.3">
      <c r="B257" s="1"/>
    </row>
    <row r="258" spans="2:2" x14ac:dyDescent="0.3">
      <c r="B258" s="1"/>
    </row>
    <row r="259" spans="2:2" x14ac:dyDescent="0.3">
      <c r="B259" s="1"/>
    </row>
    <row r="260" spans="2:2" x14ac:dyDescent="0.3">
      <c r="B260" s="1"/>
    </row>
    <row r="261" spans="2:2" x14ac:dyDescent="0.3">
      <c r="B261" s="1"/>
    </row>
    <row r="262" spans="2:2" x14ac:dyDescent="0.3">
      <c r="B262" s="1"/>
    </row>
    <row r="263" spans="2:2" x14ac:dyDescent="0.3">
      <c r="B263" s="1"/>
    </row>
    <row r="264" spans="2:2" x14ac:dyDescent="0.3">
      <c r="B264" s="1"/>
    </row>
    <row r="265" spans="2:2" x14ac:dyDescent="0.3">
      <c r="B265" s="1"/>
    </row>
    <row r="266" spans="2:2" x14ac:dyDescent="0.3">
      <c r="B266" s="1"/>
    </row>
    <row r="267" spans="2:2" x14ac:dyDescent="0.3">
      <c r="B267" s="1"/>
    </row>
    <row r="268" spans="2:2" x14ac:dyDescent="0.3">
      <c r="B268" s="1"/>
    </row>
    <row r="269" spans="2:2" x14ac:dyDescent="0.3">
      <c r="B269" s="1"/>
    </row>
    <row r="270" spans="2:2" x14ac:dyDescent="0.3">
      <c r="B270" s="1"/>
    </row>
    <row r="271" spans="2:2" x14ac:dyDescent="0.3">
      <c r="B271" s="1"/>
    </row>
    <row r="272" spans="2:2"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sheetData>
  <phoneticPr fontId="11"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C5BE-8F5A-4E13-AC18-9E64701A1710}">
  <sheetPr codeName="Sheet4"/>
  <dimension ref="A1:AN288"/>
  <sheetViews>
    <sheetView rightToLeft="1" workbookViewId="0">
      <pane xSplit="1" ySplit="1" topLeftCell="K2"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 customWidth="1"/>
    <col min="2" max="2" width="10" style="2" customWidth="1"/>
    <col min="3" max="3" width="11.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61</v>
      </c>
      <c r="B2" s="46" t="s">
        <v>62</v>
      </c>
      <c r="C2" s="5" t="s">
        <v>62</v>
      </c>
      <c r="D2" s="59" t="s">
        <v>62</v>
      </c>
      <c r="E2" s="1"/>
      <c r="F2" s="61" t="s">
        <v>62</v>
      </c>
      <c r="G2" s="67" t="s">
        <v>82</v>
      </c>
      <c r="H2" s="67" t="s">
        <v>443</v>
      </c>
      <c r="I2" s="53" t="s">
        <v>228</v>
      </c>
      <c r="J2" s="53" t="s">
        <v>922</v>
      </c>
      <c r="K2" s="53" t="s">
        <v>946</v>
      </c>
      <c r="L2" s="54" t="s">
        <v>944</v>
      </c>
      <c r="M2" s="54" t="s">
        <v>1390</v>
      </c>
      <c r="N2" s="53" t="s">
        <v>1560</v>
      </c>
      <c r="O2" s="53" t="s">
        <v>929</v>
      </c>
      <c r="P2" s="54" t="s">
        <v>886</v>
      </c>
      <c r="Q2" s="53" t="s">
        <v>1029</v>
      </c>
      <c r="R2" s="53" t="s">
        <v>2043</v>
      </c>
      <c r="S2" s="53" t="s">
        <v>437</v>
      </c>
      <c r="T2" s="53" t="s">
        <v>985</v>
      </c>
      <c r="U2" s="53" t="s">
        <v>902</v>
      </c>
      <c r="V2" s="53" t="s">
        <v>241</v>
      </c>
      <c r="Z2" s="54" t="s">
        <v>422</v>
      </c>
      <c r="AB2" s="53" t="s">
        <v>2764</v>
      </c>
      <c r="AD2" s="53" t="s">
        <v>1117</v>
      </c>
      <c r="AE2" s="53" t="s">
        <v>98</v>
      </c>
      <c r="AF2" s="3"/>
      <c r="AG2" s="50" t="s">
        <v>1252</v>
      </c>
      <c r="AH2" s="3" t="s">
        <v>943</v>
      </c>
      <c r="AJ2" s="2">
        <f>COUNTA(B2:AH2)</f>
        <v>26</v>
      </c>
      <c r="AL2" s="2">
        <f>COUNTA(F2:O2,R2:S2)</f>
        <v>12</v>
      </c>
      <c r="AN2" s="2">
        <f>COUNTIF(AL2:AL47,"&gt;=2")</f>
        <v>3</v>
      </c>
    </row>
    <row r="3" spans="1:40" ht="28.8" x14ac:dyDescent="0.3">
      <c r="A3" s="5" t="s">
        <v>56</v>
      </c>
      <c r="B3" s="6" t="s">
        <v>57</v>
      </c>
      <c r="C3" s="5" t="s">
        <v>57</v>
      </c>
      <c r="D3" s="59" t="s">
        <v>57</v>
      </c>
      <c r="E3" s="3"/>
      <c r="F3" s="68" t="s">
        <v>57</v>
      </c>
      <c r="G3" s="67" t="s">
        <v>444</v>
      </c>
      <c r="H3" s="67" t="s">
        <v>442</v>
      </c>
      <c r="I3" s="53" t="s">
        <v>226</v>
      </c>
      <c r="J3" s="53" t="s">
        <v>921</v>
      </c>
      <c r="K3" s="53" t="s">
        <v>944</v>
      </c>
      <c r="L3" s="54" t="s">
        <v>943</v>
      </c>
      <c r="M3" s="54" t="s">
        <v>1389</v>
      </c>
      <c r="N3" s="53" t="s">
        <v>1558</v>
      </c>
      <c r="O3" s="53" t="s">
        <v>928</v>
      </c>
      <c r="P3" s="54" t="s">
        <v>946</v>
      </c>
      <c r="Q3" s="53" t="s">
        <v>1013</v>
      </c>
      <c r="R3" s="53" t="s">
        <v>2029</v>
      </c>
      <c r="U3" s="54" t="s">
        <v>905</v>
      </c>
      <c r="V3" s="53" t="s">
        <v>14</v>
      </c>
      <c r="Z3" s="53" t="s">
        <v>36</v>
      </c>
      <c r="AD3" s="53" t="s">
        <v>365</v>
      </c>
      <c r="AE3" s="1" t="s">
        <v>185</v>
      </c>
      <c r="AJ3" s="2">
        <f t="shared" ref="AJ3:AJ47" si="0">COUNTA(B3:AH3)</f>
        <v>21</v>
      </c>
      <c r="AL3" s="2">
        <f t="shared" ref="AL3:AL47" si="1">COUNTA(F3:O3,R3:S3)</f>
        <v>11</v>
      </c>
    </row>
    <row r="4" spans="1:40" x14ac:dyDescent="0.3">
      <c r="A4" s="5" t="s">
        <v>1955</v>
      </c>
      <c r="B4" s="6"/>
      <c r="C4" s="5"/>
      <c r="D4" s="1"/>
      <c r="E4" s="1"/>
      <c r="F4" s="10"/>
      <c r="G4" s="12"/>
      <c r="H4" s="12"/>
      <c r="P4" s="54" t="s">
        <v>1729</v>
      </c>
      <c r="Q4" s="54" t="s">
        <v>1027</v>
      </c>
      <c r="R4" s="53" t="s">
        <v>2042</v>
      </c>
      <c r="U4" s="53" t="s">
        <v>882</v>
      </c>
      <c r="Z4" s="53" t="s">
        <v>37</v>
      </c>
      <c r="AE4" s="1" t="s">
        <v>410</v>
      </c>
      <c r="AJ4" s="2">
        <f t="shared" si="0"/>
        <v>6</v>
      </c>
      <c r="AL4" s="2">
        <f t="shared" si="1"/>
        <v>1</v>
      </c>
    </row>
    <row r="5" spans="1:40" ht="43.2" x14ac:dyDescent="0.3">
      <c r="A5" s="5" t="s">
        <v>1892</v>
      </c>
      <c r="B5" s="5"/>
      <c r="C5" s="5"/>
      <c r="D5" s="1"/>
      <c r="E5" s="1"/>
      <c r="F5" s="10"/>
      <c r="G5" s="12"/>
      <c r="H5" s="12"/>
      <c r="P5" s="30" t="s">
        <v>884</v>
      </c>
      <c r="AJ5" s="2">
        <f t="shared" si="0"/>
        <v>1</v>
      </c>
      <c r="AL5" s="2">
        <f t="shared" si="1"/>
        <v>0</v>
      </c>
    </row>
    <row r="6" spans="1:40" x14ac:dyDescent="0.3">
      <c r="A6" s="5" t="s">
        <v>2855</v>
      </c>
      <c r="B6" s="6"/>
      <c r="C6" s="5"/>
      <c r="D6" s="1"/>
      <c r="E6" s="1"/>
      <c r="F6" s="10"/>
      <c r="G6" s="12"/>
      <c r="H6" s="12"/>
      <c r="AD6" s="1" t="s">
        <v>1085</v>
      </c>
      <c r="AJ6" s="2">
        <f t="shared" si="0"/>
        <v>1</v>
      </c>
      <c r="AL6" s="2">
        <f t="shared" si="1"/>
        <v>0</v>
      </c>
    </row>
    <row r="7" spans="1:40" ht="28.8" x14ac:dyDescent="0.3">
      <c r="A7" s="5" t="s">
        <v>2874</v>
      </c>
      <c r="B7" s="6"/>
      <c r="C7" s="5"/>
      <c r="D7" s="1"/>
      <c r="E7" s="1"/>
      <c r="F7" s="10"/>
      <c r="G7" s="12"/>
      <c r="H7" s="12"/>
      <c r="AD7" s="1" t="s">
        <v>1136</v>
      </c>
      <c r="AJ7" s="2">
        <f t="shared" si="0"/>
        <v>1</v>
      </c>
      <c r="AL7" s="2">
        <f t="shared" si="1"/>
        <v>0</v>
      </c>
    </row>
    <row r="8" spans="1:40" ht="28.8" x14ac:dyDescent="0.3">
      <c r="A8" s="5" t="s">
        <v>2027</v>
      </c>
      <c r="B8" s="6"/>
      <c r="C8" s="5"/>
      <c r="D8" s="1"/>
      <c r="E8" s="1"/>
      <c r="F8" s="10"/>
      <c r="G8" s="12"/>
      <c r="H8" s="12"/>
      <c r="Q8" s="54" t="s">
        <v>1012</v>
      </c>
      <c r="R8" s="1" t="s">
        <v>2028</v>
      </c>
      <c r="AJ8" s="2">
        <f t="shared" si="0"/>
        <v>2</v>
      </c>
      <c r="AL8" s="2">
        <f t="shared" si="1"/>
        <v>1</v>
      </c>
    </row>
    <row r="9" spans="1:40" ht="28.8" x14ac:dyDescent="0.3">
      <c r="A9" s="5" t="s">
        <v>1933</v>
      </c>
      <c r="B9" s="6"/>
      <c r="C9" s="5"/>
      <c r="D9" s="1"/>
      <c r="E9" s="1"/>
      <c r="F9" s="10"/>
      <c r="G9" s="12"/>
      <c r="H9" s="12"/>
      <c r="P9" s="54" t="s">
        <v>948</v>
      </c>
      <c r="Q9" s="53" t="s">
        <v>1014</v>
      </c>
      <c r="R9" s="1" t="s">
        <v>2030</v>
      </c>
      <c r="AJ9" s="2">
        <f t="shared" si="0"/>
        <v>3</v>
      </c>
      <c r="AL9" s="2">
        <f t="shared" si="1"/>
        <v>1</v>
      </c>
    </row>
    <row r="10" spans="1:40" ht="28.8" x14ac:dyDescent="0.3">
      <c r="A10" s="5" t="s">
        <v>1934</v>
      </c>
      <c r="B10" s="6"/>
      <c r="C10" s="5"/>
      <c r="D10" s="1"/>
      <c r="E10" s="1"/>
      <c r="F10" s="10"/>
      <c r="G10" s="12"/>
      <c r="H10" s="12"/>
      <c r="P10" s="30" t="s">
        <v>950</v>
      </c>
      <c r="AJ10" s="2">
        <f t="shared" si="0"/>
        <v>1</v>
      </c>
      <c r="AL10" s="2">
        <f t="shared" si="1"/>
        <v>0</v>
      </c>
    </row>
    <row r="11" spans="1:40" x14ac:dyDescent="0.3">
      <c r="A11" s="5" t="s">
        <v>2963</v>
      </c>
      <c r="B11" s="6"/>
      <c r="C11" s="5"/>
      <c r="D11" s="1"/>
      <c r="E11" s="1"/>
      <c r="F11" s="10"/>
      <c r="G11" s="12"/>
      <c r="H11" s="12"/>
      <c r="AE11" s="1" t="s">
        <v>15</v>
      </c>
      <c r="AJ11" s="2">
        <f t="shared" si="0"/>
        <v>1</v>
      </c>
      <c r="AL11" s="2">
        <f t="shared" si="1"/>
        <v>0</v>
      </c>
    </row>
    <row r="12" spans="1:40" x14ac:dyDescent="0.3">
      <c r="A12" s="5" t="s">
        <v>507</v>
      </c>
      <c r="B12" s="1"/>
      <c r="C12" s="5"/>
      <c r="D12" s="1"/>
      <c r="E12" s="1"/>
      <c r="F12" s="1"/>
      <c r="G12" s="63" t="s">
        <v>508</v>
      </c>
      <c r="H12" s="67" t="s">
        <v>264</v>
      </c>
      <c r="I12" s="53" t="s">
        <v>674</v>
      </c>
      <c r="J12" s="1" t="s">
        <v>1029</v>
      </c>
      <c r="K12" s="53" t="s">
        <v>1029</v>
      </c>
      <c r="L12" s="53" t="s">
        <v>979</v>
      </c>
      <c r="M12" s="53" t="s">
        <v>1058</v>
      </c>
      <c r="N12" s="53" t="s">
        <v>1635</v>
      </c>
      <c r="O12" s="53" t="s">
        <v>1388</v>
      </c>
      <c r="P12" s="53" t="s">
        <v>927</v>
      </c>
      <c r="Q12" s="53" t="s">
        <v>1081</v>
      </c>
      <c r="R12" s="53" t="s">
        <v>2216</v>
      </c>
      <c r="S12" s="53" t="s">
        <v>920</v>
      </c>
      <c r="T12" s="54" t="s">
        <v>2408</v>
      </c>
      <c r="U12" s="53" t="s">
        <v>2496</v>
      </c>
      <c r="Z12" s="53" t="s">
        <v>533</v>
      </c>
      <c r="AB12" s="53" t="s">
        <v>2206</v>
      </c>
      <c r="AD12" s="53" t="s">
        <v>2897</v>
      </c>
      <c r="AE12" s="53" t="s">
        <v>973</v>
      </c>
      <c r="AF12" s="53" t="s">
        <v>1002</v>
      </c>
      <c r="AG12" s="53" t="s">
        <v>992</v>
      </c>
      <c r="AH12" s="1" t="s">
        <v>997</v>
      </c>
      <c r="AJ12" s="2">
        <f t="shared" si="0"/>
        <v>22</v>
      </c>
      <c r="AL12" s="2">
        <f t="shared" si="1"/>
        <v>11</v>
      </c>
    </row>
    <row r="13" spans="1:40" ht="28.8" x14ac:dyDescent="0.3">
      <c r="A13" s="5" t="s">
        <v>2515</v>
      </c>
      <c r="B13" s="1"/>
      <c r="C13" s="5"/>
      <c r="D13" s="1"/>
      <c r="E13" s="1"/>
      <c r="F13" s="1"/>
      <c r="G13" s="1"/>
      <c r="V13" s="54" t="s">
        <v>189</v>
      </c>
      <c r="AE13" s="54" t="s">
        <v>9</v>
      </c>
      <c r="AG13" s="53" t="s">
        <v>1676</v>
      </c>
      <c r="AH13" s="1" t="s">
        <v>1675</v>
      </c>
      <c r="AJ13" s="2">
        <f t="shared" si="0"/>
        <v>4</v>
      </c>
      <c r="AL13" s="2">
        <f t="shared" si="1"/>
        <v>0</v>
      </c>
    </row>
    <row r="14" spans="1:40" ht="28.8" x14ac:dyDescent="0.3">
      <c r="A14" s="5" t="s">
        <v>2516</v>
      </c>
      <c r="B14" s="1"/>
      <c r="C14" s="5"/>
      <c r="D14" s="1"/>
      <c r="E14" s="1"/>
      <c r="F14" s="1"/>
      <c r="G14" s="1"/>
      <c r="V14" s="54" t="s">
        <v>190</v>
      </c>
      <c r="AD14" s="54" t="s">
        <v>1448</v>
      </c>
      <c r="AH14" s="1" t="s">
        <v>1677</v>
      </c>
      <c r="AJ14" s="2">
        <f t="shared" si="0"/>
        <v>3</v>
      </c>
      <c r="AL14" s="2">
        <f t="shared" si="1"/>
        <v>0</v>
      </c>
    </row>
    <row r="15" spans="1:40" x14ac:dyDescent="0.3">
      <c r="A15" s="5" t="s">
        <v>3064</v>
      </c>
      <c r="B15" s="5"/>
      <c r="C15" s="5"/>
      <c r="D15" s="1"/>
      <c r="E15" s="1"/>
      <c r="F15" s="1"/>
      <c r="G15" s="1"/>
      <c r="AH15" s="1" t="s">
        <v>873</v>
      </c>
      <c r="AJ15" s="2">
        <f t="shared" si="0"/>
        <v>1</v>
      </c>
      <c r="AL15" s="2">
        <f t="shared" si="1"/>
        <v>0</v>
      </c>
    </row>
    <row r="16" spans="1:40" ht="28.8" x14ac:dyDescent="0.3">
      <c r="A16" s="5" t="s">
        <v>2754</v>
      </c>
      <c r="B16" s="1"/>
      <c r="C16" s="5"/>
      <c r="D16" s="1"/>
      <c r="E16" s="1"/>
      <c r="F16" s="1"/>
      <c r="G16" s="1"/>
      <c r="AB16" s="54" t="s">
        <v>2176</v>
      </c>
      <c r="AD16" s="1" t="s">
        <v>1465</v>
      </c>
      <c r="AJ16" s="2">
        <f t="shared" si="0"/>
        <v>2</v>
      </c>
      <c r="AL16" s="2">
        <f t="shared" si="1"/>
        <v>0</v>
      </c>
    </row>
    <row r="17" spans="1:38" ht="28.8" x14ac:dyDescent="0.3">
      <c r="A17" s="5" t="s">
        <v>2755</v>
      </c>
      <c r="B17" s="1"/>
      <c r="C17" s="5"/>
      <c r="D17" s="1"/>
      <c r="E17" s="1"/>
      <c r="F17" s="1"/>
      <c r="G17" s="1"/>
      <c r="AB17" s="54" t="s">
        <v>2756</v>
      </c>
      <c r="AD17" s="1" t="s">
        <v>1119</v>
      </c>
      <c r="AJ17" s="2">
        <f t="shared" si="0"/>
        <v>2</v>
      </c>
      <c r="AL17" s="2">
        <f t="shared" si="1"/>
        <v>0</v>
      </c>
    </row>
    <row r="18" spans="1:38" x14ac:dyDescent="0.3">
      <c r="A18" s="5" t="s">
        <v>2828</v>
      </c>
      <c r="B18" s="1"/>
      <c r="C18" s="5"/>
      <c r="D18" s="1"/>
      <c r="E18" s="1"/>
      <c r="F18" s="1"/>
      <c r="G18" s="1"/>
      <c r="AD18" s="1" t="s">
        <v>2570</v>
      </c>
      <c r="AJ18" s="2">
        <f t="shared" si="0"/>
        <v>1</v>
      </c>
      <c r="AL18" s="2">
        <f t="shared" si="1"/>
        <v>0</v>
      </c>
    </row>
    <row r="19" spans="1:38" x14ac:dyDescent="0.3">
      <c r="A19" s="5" t="s">
        <v>2831</v>
      </c>
      <c r="B19" s="1"/>
      <c r="C19" s="5"/>
      <c r="D19" s="1"/>
      <c r="E19" s="1"/>
      <c r="F19" s="1"/>
      <c r="G19" s="1"/>
      <c r="AD19" s="1" t="s">
        <v>1432</v>
      </c>
      <c r="AJ19" s="2">
        <f t="shared" si="0"/>
        <v>1</v>
      </c>
      <c r="AL19" s="2">
        <f t="shared" si="1"/>
        <v>0</v>
      </c>
    </row>
    <row r="20" spans="1:38" x14ac:dyDescent="0.3">
      <c r="A20" s="5" t="s">
        <v>2830</v>
      </c>
      <c r="B20" s="1"/>
      <c r="C20" s="5"/>
      <c r="D20" s="1"/>
      <c r="E20" s="1"/>
      <c r="F20" s="1"/>
      <c r="G20" s="1"/>
      <c r="AD20" s="1" t="s">
        <v>1433</v>
      </c>
      <c r="AJ20" s="2">
        <f t="shared" si="0"/>
        <v>1</v>
      </c>
      <c r="AL20" s="2">
        <f t="shared" si="1"/>
        <v>0</v>
      </c>
    </row>
    <row r="21" spans="1:38" x14ac:dyDescent="0.3">
      <c r="A21" s="5" t="s">
        <v>2829</v>
      </c>
      <c r="B21" s="1"/>
      <c r="C21" s="5"/>
      <c r="D21" s="1"/>
      <c r="E21" s="1"/>
      <c r="F21" s="1"/>
      <c r="G21" s="1"/>
      <c r="AD21" s="1" t="s">
        <v>1434</v>
      </c>
      <c r="AJ21" s="2">
        <f t="shared" si="0"/>
        <v>1</v>
      </c>
      <c r="AL21" s="2">
        <f t="shared" si="1"/>
        <v>0</v>
      </c>
    </row>
    <row r="22" spans="1:38" x14ac:dyDescent="0.3">
      <c r="A22" s="5" t="s">
        <v>2833</v>
      </c>
      <c r="B22" s="1"/>
      <c r="C22" s="5"/>
      <c r="D22" s="1"/>
      <c r="E22" s="1"/>
      <c r="F22" s="1"/>
      <c r="G22" s="1"/>
      <c r="AD22" s="1" t="s">
        <v>1055</v>
      </c>
      <c r="AJ22" s="2">
        <f t="shared" si="0"/>
        <v>1</v>
      </c>
      <c r="AL22" s="2">
        <f t="shared" si="1"/>
        <v>0</v>
      </c>
    </row>
    <row r="23" spans="1:38" x14ac:dyDescent="0.3">
      <c r="A23" s="5" t="s">
        <v>2839</v>
      </c>
      <c r="B23" s="1"/>
      <c r="C23" s="5"/>
      <c r="D23" s="1"/>
      <c r="E23" s="1"/>
      <c r="F23" s="1"/>
      <c r="G23" s="1"/>
      <c r="AD23" s="54" t="s">
        <v>1449</v>
      </c>
      <c r="AE23" s="1" t="s">
        <v>1264</v>
      </c>
      <c r="AJ23" s="2">
        <f t="shared" si="0"/>
        <v>2</v>
      </c>
      <c r="AL23" s="2">
        <f t="shared" si="1"/>
        <v>0</v>
      </c>
    </row>
    <row r="24" spans="1:38" x14ac:dyDescent="0.3">
      <c r="A24" s="5" t="s">
        <v>2956</v>
      </c>
      <c r="B24" s="1"/>
      <c r="C24" s="5"/>
      <c r="D24" s="1"/>
      <c r="E24" s="1"/>
      <c r="F24" s="1"/>
      <c r="G24" s="1"/>
      <c r="AE24" s="54" t="s">
        <v>8</v>
      </c>
      <c r="AH24" s="1" t="s">
        <v>1674</v>
      </c>
      <c r="AJ24" s="2">
        <f t="shared" si="0"/>
        <v>2</v>
      </c>
      <c r="AL24" s="2">
        <f t="shared" si="1"/>
        <v>0</v>
      </c>
    </row>
    <row r="25" spans="1:38" x14ac:dyDescent="0.3">
      <c r="A25" s="5" t="s">
        <v>2898</v>
      </c>
      <c r="B25" s="1"/>
      <c r="C25" s="5"/>
      <c r="D25" s="1"/>
      <c r="E25" s="1"/>
      <c r="F25" s="1"/>
      <c r="G25" s="1"/>
      <c r="AD25" s="1" t="s">
        <v>2899</v>
      </c>
      <c r="AJ25" s="2">
        <f t="shared" si="0"/>
        <v>1</v>
      </c>
      <c r="AL25" s="2">
        <f t="shared" si="1"/>
        <v>0</v>
      </c>
    </row>
    <row r="26" spans="1:38" ht="28.8" x14ac:dyDescent="0.3">
      <c r="A26" s="5" t="s">
        <v>2738</v>
      </c>
      <c r="B26" s="5"/>
      <c r="C26" s="5"/>
      <c r="D26" s="1"/>
      <c r="E26" s="1"/>
      <c r="F26" s="1"/>
      <c r="G26" s="1"/>
      <c r="AB26" s="53" t="s">
        <v>2156</v>
      </c>
      <c r="AD26" s="1" t="s">
        <v>1124</v>
      </c>
      <c r="AJ26" s="2">
        <f t="shared" si="0"/>
        <v>2</v>
      </c>
      <c r="AL26" s="2">
        <f t="shared" si="1"/>
        <v>0</v>
      </c>
    </row>
    <row r="27" spans="1:38" x14ac:dyDescent="0.3">
      <c r="A27" s="5" t="s">
        <v>2850</v>
      </c>
      <c r="B27" s="5"/>
      <c r="C27" s="5"/>
      <c r="D27" s="1"/>
      <c r="E27" s="1"/>
      <c r="F27" s="1"/>
      <c r="G27" s="1"/>
      <c r="AD27" s="1" t="s">
        <v>1456</v>
      </c>
      <c r="AJ27" s="2">
        <f t="shared" si="0"/>
        <v>1</v>
      </c>
      <c r="AL27" s="2">
        <f t="shared" si="1"/>
        <v>0</v>
      </c>
    </row>
    <row r="28" spans="1:38" ht="28.8" x14ac:dyDescent="0.3">
      <c r="A28" s="5" t="s">
        <v>2736</v>
      </c>
      <c r="B28" s="5"/>
      <c r="C28" s="5"/>
      <c r="D28" s="1"/>
      <c r="E28" s="1"/>
      <c r="F28" s="1"/>
      <c r="G28" s="1"/>
      <c r="AB28" s="54" t="s">
        <v>2153</v>
      </c>
      <c r="AD28" s="1" t="s">
        <v>1121</v>
      </c>
      <c r="AJ28" s="2">
        <f t="shared" si="0"/>
        <v>2</v>
      </c>
      <c r="AL28" s="2">
        <f t="shared" si="1"/>
        <v>0</v>
      </c>
    </row>
    <row r="29" spans="1:38" x14ac:dyDescent="0.3">
      <c r="A29" s="5" t="s">
        <v>2848</v>
      </c>
      <c r="B29" s="5"/>
      <c r="C29" s="5"/>
      <c r="D29" s="1"/>
      <c r="E29" s="1"/>
      <c r="F29" s="1"/>
      <c r="G29" s="1"/>
      <c r="AD29" s="1" t="s">
        <v>1455</v>
      </c>
      <c r="AJ29" s="2">
        <f t="shared" si="0"/>
        <v>1</v>
      </c>
      <c r="AL29" s="2">
        <f t="shared" si="1"/>
        <v>0</v>
      </c>
    </row>
    <row r="30" spans="1:38" x14ac:dyDescent="0.3">
      <c r="A30" s="1" t="s">
        <v>2962</v>
      </c>
      <c r="B30" s="5"/>
      <c r="C30" s="1"/>
      <c r="D30" s="1"/>
      <c r="E30" s="1"/>
      <c r="F30" s="1"/>
      <c r="G30" s="1"/>
      <c r="AE30" s="1" t="s">
        <v>14</v>
      </c>
      <c r="AJ30" s="2">
        <f t="shared" si="0"/>
        <v>1</v>
      </c>
      <c r="AL30" s="2">
        <f t="shared" si="1"/>
        <v>0</v>
      </c>
    </row>
    <row r="31" spans="1:38" ht="28.8" x14ac:dyDescent="0.3">
      <c r="A31" s="5" t="s">
        <v>2965</v>
      </c>
      <c r="B31" s="5"/>
      <c r="C31" s="5"/>
      <c r="D31" s="1"/>
      <c r="E31" s="1"/>
      <c r="F31" s="1"/>
      <c r="G31" s="1"/>
      <c r="AE31" s="1" t="s">
        <v>437</v>
      </c>
      <c r="AJ31" s="2">
        <f t="shared" si="0"/>
        <v>1</v>
      </c>
      <c r="AL31" s="2">
        <f t="shared" si="1"/>
        <v>0</v>
      </c>
    </row>
    <row r="32" spans="1:38" x14ac:dyDescent="0.3">
      <c r="A32" s="5" t="s">
        <v>3021</v>
      </c>
      <c r="B32" s="5"/>
      <c r="C32" s="5"/>
      <c r="D32" s="1"/>
      <c r="E32" s="1"/>
      <c r="F32" s="1"/>
      <c r="G32" s="1"/>
      <c r="AG32" s="54" t="s">
        <v>973</v>
      </c>
      <c r="AH32" s="1" t="s">
        <v>932</v>
      </c>
      <c r="AJ32" s="2">
        <f t="shared" si="0"/>
        <v>2</v>
      </c>
      <c r="AL32" s="2">
        <f t="shared" si="1"/>
        <v>0</v>
      </c>
    </row>
    <row r="33" spans="1:38" x14ac:dyDescent="0.3">
      <c r="A33" s="5" t="s">
        <v>3085</v>
      </c>
      <c r="B33" s="5"/>
      <c r="C33" s="5"/>
      <c r="D33" s="1"/>
      <c r="E33" s="1"/>
      <c r="F33" s="1"/>
      <c r="G33" s="1"/>
      <c r="AE33" s="54" t="s">
        <v>64</v>
      </c>
      <c r="AH33" s="1" t="s">
        <v>929</v>
      </c>
      <c r="AJ33" s="2">
        <f t="shared" si="0"/>
        <v>2</v>
      </c>
      <c r="AL33" s="2">
        <f t="shared" si="1"/>
        <v>0</v>
      </c>
    </row>
    <row r="34" spans="1:38" x14ac:dyDescent="0.3">
      <c r="A34" s="5" t="s">
        <v>3012</v>
      </c>
      <c r="B34" s="5"/>
      <c r="C34" s="5"/>
      <c r="D34" s="1"/>
      <c r="E34" s="1"/>
      <c r="F34" s="1"/>
      <c r="G34" s="1"/>
      <c r="AF34" s="1" t="s">
        <v>1441</v>
      </c>
      <c r="AJ34" s="2">
        <f t="shared" si="0"/>
        <v>1</v>
      </c>
      <c r="AL34" s="2">
        <f t="shared" si="1"/>
        <v>0</v>
      </c>
    </row>
    <row r="35" spans="1:38" ht="28.8" x14ac:dyDescent="0.3">
      <c r="A35" s="5" t="s">
        <v>3086</v>
      </c>
      <c r="B35" s="5"/>
      <c r="C35" s="5"/>
      <c r="D35" s="1"/>
      <c r="E35" s="1"/>
      <c r="F35" s="1"/>
      <c r="G35" s="1"/>
      <c r="AG35" s="54" t="s">
        <v>1250</v>
      </c>
      <c r="AH35" s="1" t="s">
        <v>933</v>
      </c>
      <c r="AJ35" s="2">
        <f t="shared" si="0"/>
        <v>2</v>
      </c>
      <c r="AL35" s="2">
        <f t="shared" si="1"/>
        <v>0</v>
      </c>
    </row>
    <row r="36" spans="1:38" ht="28.8" x14ac:dyDescent="0.3">
      <c r="A36" s="5" t="s">
        <v>3087</v>
      </c>
      <c r="B36" s="5"/>
      <c r="C36" s="5"/>
      <c r="D36" s="1"/>
      <c r="E36" s="1"/>
      <c r="F36" s="1"/>
      <c r="G36" s="1"/>
      <c r="AH36" s="1" t="s">
        <v>930</v>
      </c>
      <c r="AJ36" s="2">
        <f t="shared" si="0"/>
        <v>1</v>
      </c>
      <c r="AL36" s="2">
        <f t="shared" si="1"/>
        <v>0</v>
      </c>
    </row>
    <row r="37" spans="1:38" x14ac:dyDescent="0.3">
      <c r="A37" s="5" t="s">
        <v>3088</v>
      </c>
      <c r="B37" s="5"/>
      <c r="C37" s="5"/>
      <c r="D37" s="1"/>
      <c r="E37" s="1"/>
      <c r="F37" s="1"/>
      <c r="G37" s="1"/>
      <c r="AH37" s="1" t="s">
        <v>1170</v>
      </c>
      <c r="AJ37" s="2">
        <f t="shared" si="0"/>
        <v>1</v>
      </c>
      <c r="AL37" s="2">
        <f t="shared" si="1"/>
        <v>0</v>
      </c>
    </row>
    <row r="38" spans="1:38" ht="28.8" x14ac:dyDescent="0.3">
      <c r="A38" s="5" t="s">
        <v>3089</v>
      </c>
      <c r="B38" s="5"/>
      <c r="C38" s="5"/>
      <c r="D38" s="1"/>
      <c r="E38" s="1"/>
      <c r="F38" s="1"/>
      <c r="G38" s="1"/>
      <c r="AH38" s="1" t="s">
        <v>935</v>
      </c>
      <c r="AJ38" s="2">
        <f t="shared" si="0"/>
        <v>1</v>
      </c>
      <c r="AL38" s="2">
        <f t="shared" si="1"/>
        <v>0</v>
      </c>
    </row>
    <row r="39" spans="1:38" x14ac:dyDescent="0.3">
      <c r="A39" s="5" t="s">
        <v>3090</v>
      </c>
      <c r="B39" s="5"/>
      <c r="C39" s="5"/>
      <c r="D39" s="1"/>
      <c r="E39" s="1"/>
      <c r="F39" s="1"/>
      <c r="G39" s="1"/>
      <c r="AH39" s="1" t="s">
        <v>938</v>
      </c>
      <c r="AJ39" s="2">
        <f t="shared" si="0"/>
        <v>1</v>
      </c>
      <c r="AL39" s="2">
        <f t="shared" si="1"/>
        <v>0</v>
      </c>
    </row>
    <row r="40" spans="1:38" ht="28.8" x14ac:dyDescent="0.3">
      <c r="A40" s="5" t="s">
        <v>3091</v>
      </c>
      <c r="B40" s="5"/>
      <c r="C40" s="5"/>
      <c r="D40" s="1"/>
      <c r="E40" s="1"/>
      <c r="F40" s="1"/>
      <c r="G40" s="1"/>
      <c r="AH40" s="1" t="s">
        <v>940</v>
      </c>
      <c r="AJ40" s="2">
        <f t="shared" si="0"/>
        <v>1</v>
      </c>
      <c r="AL40" s="2">
        <f t="shared" si="1"/>
        <v>0</v>
      </c>
    </row>
    <row r="41" spans="1:38" ht="43.2" x14ac:dyDescent="0.3">
      <c r="A41" s="5" t="s">
        <v>3092</v>
      </c>
      <c r="B41" s="5"/>
      <c r="C41" s="5"/>
      <c r="D41" s="1"/>
      <c r="E41" s="1"/>
      <c r="F41" s="1"/>
      <c r="G41" s="1"/>
      <c r="AH41" s="1" t="s">
        <v>948</v>
      </c>
      <c r="AJ41" s="2">
        <f t="shared" si="0"/>
        <v>1</v>
      </c>
      <c r="AL41" s="2">
        <f t="shared" si="1"/>
        <v>0</v>
      </c>
    </row>
    <row r="42" spans="1:38" ht="43.2" x14ac:dyDescent="0.3">
      <c r="A42" s="5" t="s">
        <v>3093</v>
      </c>
      <c r="B42" s="5"/>
      <c r="C42" s="5"/>
      <c r="D42" s="1"/>
      <c r="E42" s="1"/>
      <c r="F42" s="1"/>
      <c r="G42" s="1"/>
      <c r="AH42" s="1" t="s">
        <v>950</v>
      </c>
      <c r="AJ42" s="2">
        <f t="shared" si="0"/>
        <v>1</v>
      </c>
      <c r="AL42" s="2">
        <f t="shared" si="1"/>
        <v>0</v>
      </c>
    </row>
    <row r="43" spans="1:38" ht="43.2" x14ac:dyDescent="0.3">
      <c r="A43" s="5" t="s">
        <v>3094</v>
      </c>
      <c r="B43" s="5"/>
      <c r="C43" s="5"/>
      <c r="D43" s="1"/>
      <c r="E43" s="1"/>
      <c r="F43" s="1"/>
      <c r="G43" s="1"/>
      <c r="AH43" s="1" t="s">
        <v>951</v>
      </c>
      <c r="AJ43" s="2">
        <f t="shared" si="0"/>
        <v>1</v>
      </c>
      <c r="AL43" s="2">
        <f t="shared" si="1"/>
        <v>0</v>
      </c>
    </row>
    <row r="44" spans="1:38" ht="28.8" x14ac:dyDescent="0.3">
      <c r="A44" s="5" t="s">
        <v>3100</v>
      </c>
      <c r="B44" s="5"/>
      <c r="C44" s="5"/>
      <c r="D44" s="1"/>
      <c r="E44" s="1"/>
      <c r="F44" s="1"/>
      <c r="G44" s="1"/>
      <c r="AH44" s="1" t="s">
        <v>961</v>
      </c>
      <c r="AJ44" s="2">
        <f t="shared" si="0"/>
        <v>1</v>
      </c>
      <c r="AL44" s="2">
        <f t="shared" si="1"/>
        <v>0</v>
      </c>
    </row>
    <row r="45" spans="1:38" ht="28.8" x14ac:dyDescent="0.3">
      <c r="A45" s="5" t="s">
        <v>1606</v>
      </c>
      <c r="B45" s="5"/>
      <c r="C45" s="5"/>
      <c r="D45" s="1"/>
      <c r="E45" s="1"/>
      <c r="F45" s="1"/>
      <c r="G45" s="1"/>
      <c r="N45" s="1" t="s">
        <v>1608</v>
      </c>
      <c r="AJ45" s="2">
        <f t="shared" si="0"/>
        <v>1</v>
      </c>
      <c r="AL45" s="2">
        <f t="shared" si="1"/>
        <v>1</v>
      </c>
    </row>
    <row r="46" spans="1:38" x14ac:dyDescent="0.3">
      <c r="A46" s="5" t="s">
        <v>1607</v>
      </c>
      <c r="B46" s="5"/>
      <c r="C46" s="5"/>
      <c r="D46" s="1"/>
      <c r="E46" s="1"/>
      <c r="F46" s="1"/>
      <c r="G46" s="1"/>
      <c r="N46" s="1" t="s">
        <v>1609</v>
      </c>
      <c r="AJ46" s="2">
        <f t="shared" si="0"/>
        <v>1</v>
      </c>
      <c r="AL46" s="2">
        <f t="shared" si="1"/>
        <v>1</v>
      </c>
    </row>
    <row r="47" spans="1:38" x14ac:dyDescent="0.3">
      <c r="A47" s="5" t="s">
        <v>3154</v>
      </c>
      <c r="B47" s="5"/>
      <c r="C47" s="5" t="s">
        <v>3155</v>
      </c>
      <c r="D47" s="1"/>
      <c r="E47" s="1"/>
      <c r="F47" s="1"/>
      <c r="G47" s="1"/>
      <c r="AJ47" s="2">
        <f t="shared" si="0"/>
        <v>1</v>
      </c>
      <c r="AL47" s="2">
        <f t="shared" si="1"/>
        <v>0</v>
      </c>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1"/>
      <c r="B183" s="1"/>
      <c r="C183" s="1"/>
      <c r="D183" s="1"/>
      <c r="E183" s="1"/>
      <c r="F183" s="1"/>
      <c r="G183" s="1"/>
    </row>
    <row r="184" spans="1:7" x14ac:dyDescent="0.3">
      <c r="A184" s="1"/>
      <c r="B184" s="1"/>
      <c r="C184" s="1"/>
      <c r="D184" s="1"/>
      <c r="E184" s="1"/>
      <c r="F184" s="1"/>
      <c r="G184" s="1"/>
    </row>
    <row r="185" spans="1:7" x14ac:dyDescent="0.3">
      <c r="A185" s="1"/>
      <c r="B185" s="1"/>
      <c r="C185" s="1"/>
      <c r="D185" s="1"/>
      <c r="E185" s="1"/>
      <c r="F185" s="1"/>
      <c r="G185" s="1"/>
    </row>
    <row r="186" spans="1:7" x14ac:dyDescent="0.3">
      <c r="A186" s="1"/>
      <c r="B186" s="1"/>
      <c r="C186" s="1"/>
      <c r="D186" s="1"/>
      <c r="E186" s="1"/>
      <c r="F186" s="1"/>
      <c r="G186" s="1"/>
    </row>
    <row r="187" spans="1:7" x14ac:dyDescent="0.3">
      <c r="A187" s="1"/>
      <c r="B187" s="1"/>
      <c r="C187" s="1"/>
      <c r="D187" s="1"/>
      <c r="E187" s="1"/>
      <c r="F187" s="1"/>
      <c r="G187" s="1"/>
    </row>
    <row r="188" spans="1:7" x14ac:dyDescent="0.3">
      <c r="A188" s="1"/>
      <c r="B188" s="1"/>
      <c r="C188" s="1"/>
      <c r="D188" s="1"/>
      <c r="E188" s="1"/>
      <c r="F188" s="1"/>
      <c r="G188" s="1"/>
    </row>
    <row r="189" spans="1:7" x14ac:dyDescent="0.3">
      <c r="A189" s="1"/>
      <c r="B189" s="1"/>
      <c r="C189" s="1"/>
      <c r="D189" s="1"/>
      <c r="E189" s="1"/>
      <c r="F189" s="1"/>
      <c r="G189" s="1"/>
    </row>
    <row r="190" spans="1:7" x14ac:dyDescent="0.3">
      <c r="A190" s="1"/>
      <c r="B190" s="1"/>
      <c r="C190" s="1"/>
      <c r="D190" s="1"/>
      <c r="E190" s="1"/>
      <c r="F190" s="1"/>
      <c r="G190" s="1"/>
    </row>
    <row r="191" spans="1:7" x14ac:dyDescent="0.3">
      <c r="A191" s="1"/>
      <c r="B191" s="1"/>
      <c r="C191" s="1"/>
      <c r="D191" s="1"/>
      <c r="E191" s="1"/>
      <c r="F191" s="1"/>
      <c r="G191" s="1"/>
    </row>
    <row r="192" spans="1:7" x14ac:dyDescent="0.3">
      <c r="A192" s="1"/>
      <c r="B192" s="1"/>
      <c r="C192" s="1"/>
      <c r="D192" s="1"/>
      <c r="E192" s="1"/>
      <c r="F192" s="1"/>
      <c r="G192" s="1"/>
    </row>
    <row r="193" spans="1:7" x14ac:dyDescent="0.3">
      <c r="A193" s="1"/>
      <c r="B193" s="1"/>
      <c r="C193" s="1"/>
      <c r="D193" s="1"/>
      <c r="E193" s="1"/>
      <c r="F193" s="1"/>
      <c r="G193" s="1"/>
    </row>
    <row r="194" spans="1:7" x14ac:dyDescent="0.3">
      <c r="A194" s="1"/>
      <c r="B194" s="1"/>
      <c r="C194" s="1"/>
      <c r="D194" s="1"/>
      <c r="E194" s="1"/>
      <c r="F194" s="1"/>
      <c r="G194" s="1"/>
    </row>
    <row r="195" spans="1:7" x14ac:dyDescent="0.3">
      <c r="A195" s="1"/>
      <c r="B195" s="1"/>
      <c r="C195" s="1"/>
      <c r="D195" s="1"/>
      <c r="E195" s="1"/>
      <c r="F195" s="1"/>
      <c r="G195" s="1"/>
    </row>
    <row r="196" spans="1:7" x14ac:dyDescent="0.3">
      <c r="A196" s="1"/>
      <c r="B196" s="1"/>
      <c r="C196" s="1"/>
      <c r="D196" s="1"/>
      <c r="E196" s="1"/>
      <c r="F196" s="1"/>
      <c r="G196" s="1"/>
    </row>
    <row r="197" spans="1:7" x14ac:dyDescent="0.3">
      <c r="A197" s="1"/>
      <c r="B197" s="1"/>
      <c r="C197" s="1"/>
      <c r="D197" s="1"/>
      <c r="E197" s="1"/>
      <c r="F197" s="1"/>
      <c r="G197" s="1"/>
    </row>
    <row r="198" spans="1:7" x14ac:dyDescent="0.3">
      <c r="A198" s="1"/>
      <c r="B198" s="1"/>
      <c r="C198" s="1"/>
      <c r="D198" s="1"/>
      <c r="E198" s="1"/>
      <c r="F198" s="1"/>
      <c r="G198" s="1"/>
    </row>
    <row r="199" spans="1:7" x14ac:dyDescent="0.3">
      <c r="A199" s="1"/>
      <c r="B199" s="1"/>
      <c r="C199" s="1"/>
      <c r="D199" s="1"/>
      <c r="E199" s="1"/>
      <c r="F199" s="1"/>
      <c r="G199" s="1"/>
    </row>
    <row r="200" spans="1:7" x14ac:dyDescent="0.3">
      <c r="A200" s="1"/>
      <c r="B200" s="1"/>
      <c r="C200" s="1"/>
      <c r="D200" s="1"/>
      <c r="E200" s="1"/>
      <c r="F200" s="1"/>
      <c r="G200" s="1"/>
    </row>
    <row r="201" spans="1:7" x14ac:dyDescent="0.3">
      <c r="A201" s="1"/>
      <c r="B201" s="1"/>
      <c r="C201" s="1"/>
      <c r="D201" s="1"/>
      <c r="E201" s="1"/>
      <c r="F201" s="1"/>
      <c r="G201" s="1"/>
    </row>
    <row r="202" spans="1:7" x14ac:dyDescent="0.3">
      <c r="A202" s="1"/>
      <c r="B202" s="1"/>
      <c r="C202" s="1"/>
      <c r="D202" s="1"/>
      <c r="E202" s="1"/>
      <c r="F202" s="1"/>
      <c r="G202" s="1"/>
    </row>
    <row r="203" spans="1:7" x14ac:dyDescent="0.3">
      <c r="A203" s="1"/>
      <c r="B203" s="1"/>
      <c r="C203" s="1"/>
      <c r="D203" s="1"/>
      <c r="E203" s="1"/>
      <c r="F203" s="1"/>
      <c r="G203" s="1"/>
    </row>
    <row r="204" spans="1:7" x14ac:dyDescent="0.3">
      <c r="A204" s="1"/>
      <c r="B204" s="1"/>
      <c r="C204" s="1"/>
      <c r="D204" s="1"/>
      <c r="E204" s="1"/>
      <c r="F204" s="1"/>
      <c r="G204" s="1"/>
    </row>
    <row r="205" spans="1:7" x14ac:dyDescent="0.3">
      <c r="A205" s="1"/>
      <c r="B205" s="1"/>
      <c r="C205" s="1"/>
      <c r="D205" s="1"/>
      <c r="E205" s="1"/>
      <c r="F205" s="1"/>
      <c r="G205" s="1"/>
    </row>
    <row r="206" spans="1:7" x14ac:dyDescent="0.3">
      <c r="A206" s="1"/>
      <c r="B206" s="1"/>
      <c r="C206" s="1"/>
      <c r="D206" s="1"/>
      <c r="E206" s="1"/>
      <c r="F206" s="1"/>
      <c r="G206" s="1"/>
    </row>
    <row r="207" spans="1:7" x14ac:dyDescent="0.3">
      <c r="A207" s="1"/>
      <c r="B207" s="1"/>
      <c r="C207" s="1"/>
      <c r="D207" s="1"/>
      <c r="E207" s="1"/>
      <c r="F207" s="1"/>
      <c r="G207" s="1"/>
    </row>
    <row r="208" spans="1:7" x14ac:dyDescent="0.3">
      <c r="A208" s="1"/>
      <c r="B208" s="1"/>
      <c r="C208" s="1"/>
      <c r="D208" s="1"/>
      <c r="E208" s="1"/>
      <c r="F208" s="1"/>
      <c r="G208" s="1"/>
    </row>
    <row r="209" spans="1:7" x14ac:dyDescent="0.3">
      <c r="A209" s="1"/>
      <c r="B209" s="1"/>
      <c r="C209" s="1"/>
      <c r="D209" s="1"/>
      <c r="E209" s="1"/>
      <c r="F209" s="1"/>
      <c r="G209" s="1"/>
    </row>
    <row r="210" spans="1:7" x14ac:dyDescent="0.3">
      <c r="A210" s="1"/>
      <c r="B210" s="1"/>
      <c r="C210" s="1"/>
      <c r="D210" s="1"/>
      <c r="E210" s="1"/>
      <c r="F210" s="1"/>
      <c r="G210" s="1"/>
    </row>
    <row r="211" spans="1:7" x14ac:dyDescent="0.3">
      <c r="A211" s="1"/>
      <c r="B211" s="1"/>
      <c r="C211" s="1"/>
      <c r="D211" s="1"/>
      <c r="E211" s="1"/>
      <c r="F211" s="1"/>
      <c r="G211" s="1"/>
    </row>
    <row r="212" spans="1:7" x14ac:dyDescent="0.3">
      <c r="A212" s="1"/>
      <c r="B212" s="1"/>
      <c r="C212" s="1"/>
      <c r="D212" s="1"/>
      <c r="E212" s="1"/>
      <c r="F212" s="1"/>
      <c r="G212" s="1"/>
    </row>
    <row r="213" spans="1:7" x14ac:dyDescent="0.3">
      <c r="A213" s="1"/>
      <c r="B213" s="1"/>
      <c r="C213" s="1"/>
      <c r="D213" s="1"/>
      <c r="E213" s="1"/>
      <c r="F213" s="1"/>
      <c r="G213" s="1"/>
    </row>
    <row r="214" spans="1:7" x14ac:dyDescent="0.3">
      <c r="A214" s="1"/>
      <c r="B214" s="1"/>
      <c r="C214" s="1"/>
      <c r="D214" s="1"/>
      <c r="E214" s="1"/>
      <c r="F214" s="1"/>
      <c r="G214" s="1"/>
    </row>
    <row r="215" spans="1:7" x14ac:dyDescent="0.3">
      <c r="A215" s="1"/>
      <c r="B215" s="1"/>
      <c r="C215" s="1"/>
      <c r="D215" s="1"/>
      <c r="E215" s="1"/>
      <c r="F215" s="1"/>
      <c r="G215" s="1"/>
    </row>
    <row r="216" spans="1:7" x14ac:dyDescent="0.3">
      <c r="A216" s="1"/>
      <c r="B216" s="1"/>
      <c r="C216" s="1"/>
      <c r="D216" s="1"/>
      <c r="E216" s="1"/>
      <c r="F216" s="1"/>
      <c r="G216" s="1"/>
    </row>
    <row r="217" spans="1:7" x14ac:dyDescent="0.3">
      <c r="A217" s="1"/>
      <c r="B217" s="1"/>
      <c r="C217" s="1"/>
      <c r="D217" s="1"/>
      <c r="E217" s="1"/>
      <c r="F217" s="1"/>
      <c r="G217" s="1"/>
    </row>
    <row r="218" spans="1:7" x14ac:dyDescent="0.3">
      <c r="A218" s="1"/>
      <c r="B218" s="1"/>
      <c r="C218" s="1"/>
      <c r="D218" s="1"/>
      <c r="E218" s="1"/>
      <c r="F218" s="1"/>
      <c r="G218" s="1"/>
    </row>
    <row r="219" spans="1:7" x14ac:dyDescent="0.3">
      <c r="A219" s="1"/>
      <c r="B219" s="1"/>
      <c r="C219" s="1"/>
      <c r="D219" s="1"/>
      <c r="E219" s="1"/>
      <c r="F219" s="1"/>
      <c r="G219" s="1"/>
    </row>
    <row r="220" spans="1:7" x14ac:dyDescent="0.3">
      <c r="A220" s="1"/>
      <c r="B220" s="1"/>
      <c r="C220" s="1"/>
      <c r="D220" s="1"/>
      <c r="E220" s="1"/>
      <c r="F220" s="1"/>
      <c r="G220" s="1"/>
    </row>
    <row r="221" spans="1:7" x14ac:dyDescent="0.3">
      <c r="A221" s="1"/>
      <c r="B221" s="1"/>
      <c r="C221" s="1"/>
      <c r="D221" s="1"/>
      <c r="E221" s="1"/>
      <c r="F221" s="1"/>
      <c r="G221" s="1"/>
    </row>
    <row r="222" spans="1:7" x14ac:dyDescent="0.3">
      <c r="A222" s="1"/>
      <c r="B222" s="1"/>
      <c r="C222" s="1"/>
      <c r="D222" s="1"/>
      <c r="E222" s="1"/>
      <c r="F222" s="1"/>
      <c r="G222" s="1"/>
    </row>
    <row r="223" spans="1:7" x14ac:dyDescent="0.3">
      <c r="A223" s="1"/>
      <c r="B223" s="1"/>
      <c r="C223" s="1"/>
      <c r="D223" s="1"/>
      <c r="E223" s="1"/>
      <c r="F223" s="1"/>
      <c r="G223" s="1"/>
    </row>
    <row r="224" spans="1:7" x14ac:dyDescent="0.3">
      <c r="A224" s="1"/>
      <c r="B224" s="1"/>
      <c r="C224" s="1"/>
      <c r="D224" s="1"/>
      <c r="E224" s="1"/>
      <c r="F224" s="1"/>
      <c r="G224" s="1"/>
    </row>
    <row r="225" spans="1:7" x14ac:dyDescent="0.3">
      <c r="A225" s="1"/>
      <c r="B225" s="1"/>
      <c r="C225" s="1"/>
      <c r="D225" s="1"/>
      <c r="E225" s="1"/>
      <c r="F225" s="1"/>
      <c r="G225" s="1"/>
    </row>
    <row r="226" spans="1:7" x14ac:dyDescent="0.3">
      <c r="A226" s="1"/>
      <c r="B226" s="1"/>
      <c r="C226" s="1"/>
      <c r="D226" s="1"/>
      <c r="E226" s="1"/>
      <c r="F226" s="1"/>
      <c r="G226" s="1"/>
    </row>
    <row r="227" spans="1:7" x14ac:dyDescent="0.3">
      <c r="A227" s="1"/>
      <c r="B227" s="1"/>
      <c r="C227" s="1"/>
      <c r="D227" s="1"/>
      <c r="E227" s="1"/>
      <c r="F227" s="1"/>
      <c r="G227" s="1"/>
    </row>
    <row r="228" spans="1:7" x14ac:dyDescent="0.3">
      <c r="A228" s="1"/>
      <c r="B228" s="1"/>
      <c r="C228" s="1"/>
      <c r="D228" s="1"/>
      <c r="E228" s="1"/>
      <c r="F228" s="1"/>
      <c r="G228" s="1"/>
    </row>
    <row r="229" spans="1:7" x14ac:dyDescent="0.3">
      <c r="A229" s="1"/>
      <c r="B229" s="1"/>
      <c r="C229" s="1"/>
      <c r="D229" s="1"/>
      <c r="E229" s="1"/>
      <c r="F229" s="1"/>
      <c r="G229" s="1"/>
    </row>
    <row r="230" spans="1:7" x14ac:dyDescent="0.3">
      <c r="A230" s="1"/>
      <c r="B230" s="1"/>
      <c r="C230" s="1"/>
      <c r="D230" s="1"/>
      <c r="E230" s="1"/>
      <c r="F230" s="1"/>
      <c r="G230" s="1"/>
    </row>
    <row r="231" spans="1:7" x14ac:dyDescent="0.3">
      <c r="A231" s="1"/>
      <c r="B231" s="1"/>
      <c r="C231" s="1"/>
      <c r="D231" s="1"/>
      <c r="E231" s="1"/>
      <c r="F231" s="1"/>
      <c r="G231" s="1"/>
    </row>
    <row r="232" spans="1:7" x14ac:dyDescent="0.3">
      <c r="A232" s="1"/>
      <c r="B232" s="1"/>
      <c r="C232" s="1"/>
      <c r="D232" s="1"/>
      <c r="E232" s="1"/>
      <c r="F232" s="1"/>
      <c r="G232" s="1"/>
    </row>
    <row r="233" spans="1:7" x14ac:dyDescent="0.3">
      <c r="A233" s="1"/>
      <c r="B233" s="1"/>
      <c r="C233" s="1"/>
      <c r="D233" s="1"/>
      <c r="E233" s="1"/>
      <c r="F233" s="1"/>
      <c r="G233" s="1"/>
    </row>
    <row r="234" spans="1:7" x14ac:dyDescent="0.3">
      <c r="A234" s="1"/>
      <c r="B234" s="1"/>
      <c r="C234" s="1"/>
      <c r="D234" s="1"/>
      <c r="E234" s="1"/>
      <c r="F234" s="1"/>
      <c r="G234" s="1"/>
    </row>
    <row r="235" spans="1:7" x14ac:dyDescent="0.3">
      <c r="A235" s="1"/>
      <c r="B235" s="1"/>
      <c r="C235" s="1"/>
      <c r="D235" s="1"/>
      <c r="E235" s="1"/>
      <c r="F235" s="1"/>
      <c r="G235" s="1"/>
    </row>
    <row r="236" spans="1:7" x14ac:dyDescent="0.3">
      <c r="A236" s="1"/>
      <c r="B236" s="1"/>
      <c r="C236" s="1"/>
      <c r="D236" s="1"/>
      <c r="E236" s="1"/>
      <c r="F236" s="1"/>
      <c r="G236" s="1"/>
    </row>
    <row r="237" spans="1:7" x14ac:dyDescent="0.3">
      <c r="A237" s="1"/>
      <c r="B237" s="1"/>
      <c r="C237" s="1"/>
      <c r="D237" s="1"/>
      <c r="E237" s="1"/>
      <c r="F237" s="1"/>
      <c r="G237" s="1"/>
    </row>
    <row r="238" spans="1:7" x14ac:dyDescent="0.3">
      <c r="A238" s="1"/>
      <c r="B238" s="1"/>
      <c r="C238" s="1"/>
      <c r="D238" s="1"/>
      <c r="E238" s="1"/>
      <c r="F238" s="1"/>
      <c r="G238" s="1"/>
    </row>
    <row r="239" spans="1:7" x14ac:dyDescent="0.3">
      <c r="A239" s="1"/>
      <c r="B239" s="1"/>
      <c r="C239" s="1"/>
      <c r="D239" s="1"/>
      <c r="E239" s="1"/>
      <c r="F239" s="1"/>
      <c r="G239" s="1"/>
    </row>
    <row r="240" spans="1:7" x14ac:dyDescent="0.3">
      <c r="A240" s="1"/>
      <c r="B240" s="1"/>
      <c r="C240" s="1"/>
      <c r="D240" s="1"/>
      <c r="E240" s="1"/>
      <c r="F240" s="1"/>
      <c r="G240" s="1"/>
    </row>
    <row r="241" spans="1:7" x14ac:dyDescent="0.3">
      <c r="A241" s="1"/>
      <c r="B241" s="1"/>
      <c r="C241" s="1"/>
      <c r="D241" s="1"/>
      <c r="E241" s="1"/>
      <c r="F241" s="1"/>
      <c r="G241" s="1"/>
    </row>
    <row r="242" spans="1:7" x14ac:dyDescent="0.3">
      <c r="A242" s="1"/>
      <c r="B242" s="1"/>
      <c r="C242" s="1"/>
      <c r="D242" s="1"/>
      <c r="E242" s="1"/>
      <c r="F242" s="1"/>
      <c r="G242" s="1"/>
    </row>
    <row r="243" spans="1:7" x14ac:dyDescent="0.3">
      <c r="A243" s="1"/>
      <c r="B243" s="1"/>
      <c r="C243" s="1"/>
      <c r="D243" s="1"/>
      <c r="E243" s="1"/>
      <c r="F243" s="1"/>
      <c r="G243" s="1"/>
    </row>
    <row r="244" spans="1:7" x14ac:dyDescent="0.3">
      <c r="A244" s="1"/>
      <c r="B244" s="1"/>
      <c r="C244" s="1"/>
      <c r="D244" s="1"/>
      <c r="E244" s="1"/>
      <c r="F244" s="1"/>
      <c r="G244" s="1"/>
    </row>
    <row r="245" spans="1:7" x14ac:dyDescent="0.3">
      <c r="A245" s="1"/>
      <c r="B245" s="1"/>
      <c r="C245" s="1"/>
      <c r="D245" s="1"/>
      <c r="E245" s="1"/>
      <c r="F245" s="1"/>
      <c r="G245" s="1"/>
    </row>
    <row r="246" spans="1:7" x14ac:dyDescent="0.3">
      <c r="A246" s="1"/>
      <c r="B246" s="1"/>
      <c r="C246" s="1"/>
      <c r="D246" s="1"/>
      <c r="E246" s="1"/>
      <c r="F246" s="1"/>
      <c r="G246" s="1"/>
    </row>
    <row r="247" spans="1:7" x14ac:dyDescent="0.3">
      <c r="A247" s="1"/>
      <c r="B247" s="1"/>
      <c r="C247" s="1"/>
      <c r="D247" s="1"/>
      <c r="E247" s="1"/>
      <c r="F247" s="1"/>
      <c r="G247" s="1"/>
    </row>
    <row r="248" spans="1:7" x14ac:dyDescent="0.3">
      <c r="A248" s="1"/>
      <c r="B248" s="1"/>
      <c r="C248" s="1"/>
      <c r="D248" s="1"/>
      <c r="E248" s="1"/>
      <c r="F248" s="1"/>
      <c r="G248" s="1"/>
    </row>
    <row r="249" spans="1:7" x14ac:dyDescent="0.3">
      <c r="A249" s="1"/>
      <c r="B249" s="1"/>
      <c r="C249" s="1"/>
      <c r="D249" s="1"/>
      <c r="E249" s="1"/>
      <c r="F249" s="1"/>
      <c r="G249" s="1"/>
    </row>
    <row r="250" spans="1:7" x14ac:dyDescent="0.3">
      <c r="A250" s="1"/>
      <c r="B250" s="1"/>
      <c r="C250" s="1"/>
      <c r="D250" s="1"/>
      <c r="E250" s="1"/>
      <c r="F250" s="1"/>
      <c r="G250" s="1"/>
    </row>
    <row r="251" spans="1:7" x14ac:dyDescent="0.3">
      <c r="A251" s="1"/>
      <c r="B251" s="1"/>
      <c r="C251" s="1"/>
      <c r="D251" s="1"/>
      <c r="E251" s="1"/>
      <c r="F251" s="1"/>
      <c r="G251" s="1"/>
    </row>
    <row r="252" spans="1:7" x14ac:dyDescent="0.3">
      <c r="A252" s="1"/>
      <c r="B252" s="1"/>
      <c r="C252" s="1"/>
      <c r="D252" s="1"/>
      <c r="E252" s="1"/>
      <c r="F252" s="1"/>
      <c r="G252" s="1"/>
    </row>
    <row r="253" spans="1:7" x14ac:dyDescent="0.3">
      <c r="A253" s="1"/>
      <c r="B253" s="1"/>
      <c r="C253" s="1"/>
      <c r="D253" s="1"/>
      <c r="E253" s="1"/>
      <c r="F253" s="1"/>
      <c r="G253" s="1"/>
    </row>
    <row r="254" spans="1:7" x14ac:dyDescent="0.3">
      <c r="A254" s="1"/>
      <c r="B254" s="1"/>
      <c r="C254" s="1"/>
      <c r="D254" s="1"/>
      <c r="E254" s="1"/>
      <c r="F254" s="1"/>
      <c r="G254" s="1"/>
    </row>
    <row r="255" spans="1:7" x14ac:dyDescent="0.3">
      <c r="A255" s="1"/>
      <c r="B255" s="1"/>
      <c r="C255" s="1"/>
      <c r="D255" s="1"/>
      <c r="E255" s="1"/>
      <c r="F255" s="1"/>
      <c r="G255" s="1"/>
    </row>
    <row r="256" spans="1:7" x14ac:dyDescent="0.3">
      <c r="A256" s="1"/>
      <c r="B256" s="1"/>
      <c r="C256" s="1"/>
      <c r="D256" s="1"/>
      <c r="E256" s="1"/>
      <c r="F256" s="1"/>
      <c r="G256" s="1"/>
    </row>
    <row r="257" spans="1:7" x14ac:dyDescent="0.3">
      <c r="A257" s="1"/>
      <c r="B257" s="1"/>
      <c r="C257" s="1"/>
      <c r="D257" s="1"/>
      <c r="E257" s="1"/>
      <c r="F257" s="1"/>
      <c r="G257" s="1"/>
    </row>
    <row r="258" spans="1:7" x14ac:dyDescent="0.3">
      <c r="A258" s="1"/>
      <c r="B258" s="1"/>
      <c r="C258" s="1"/>
      <c r="D258" s="1"/>
      <c r="E258" s="1"/>
      <c r="F258" s="1"/>
      <c r="G258" s="1"/>
    </row>
    <row r="259" spans="1:7" x14ac:dyDescent="0.3">
      <c r="A259" s="1"/>
      <c r="B259" s="1"/>
      <c r="C259" s="1"/>
      <c r="D259" s="1"/>
      <c r="E259" s="1"/>
      <c r="F259" s="1"/>
      <c r="G259" s="1"/>
    </row>
    <row r="260" spans="1:7" x14ac:dyDescent="0.3">
      <c r="A260" s="1"/>
      <c r="B260" s="1"/>
      <c r="C260" s="1"/>
      <c r="D260" s="1"/>
      <c r="E260" s="1"/>
      <c r="F260" s="1"/>
      <c r="G260" s="1"/>
    </row>
    <row r="261" spans="1:7" x14ac:dyDescent="0.3">
      <c r="A261" s="1"/>
      <c r="B261" s="1"/>
      <c r="C261" s="1"/>
      <c r="D261" s="1"/>
      <c r="E261" s="1"/>
      <c r="F261" s="1"/>
      <c r="G261" s="1"/>
    </row>
    <row r="262" spans="1:7" x14ac:dyDescent="0.3">
      <c r="A262" s="1"/>
      <c r="B262" s="1"/>
      <c r="C262" s="1"/>
      <c r="D262" s="1"/>
      <c r="E262" s="1"/>
      <c r="F262" s="1"/>
      <c r="G262" s="1"/>
    </row>
    <row r="263" spans="1:7" x14ac:dyDescent="0.3">
      <c r="A263" s="1"/>
      <c r="B263" s="1"/>
      <c r="C263" s="1"/>
      <c r="D263" s="1"/>
      <c r="E263" s="1"/>
      <c r="F263" s="1"/>
      <c r="G263" s="1"/>
    </row>
    <row r="264" spans="1:7" x14ac:dyDescent="0.3">
      <c r="A264" s="1"/>
      <c r="B264" s="1"/>
      <c r="C264" s="1"/>
      <c r="D264" s="1"/>
      <c r="E264" s="1"/>
      <c r="F264" s="1"/>
      <c r="G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D8BF-760E-470A-9179-922442D7FB2A}">
  <sheetPr codeName="Sheet5"/>
  <dimension ref="A1:AN288"/>
  <sheetViews>
    <sheetView rightToLeft="1" zoomScale="88" workbookViewId="0">
      <pane xSplit="1" ySplit="1" topLeftCell="P2" activePane="bottomRight" state="frozen"/>
      <selection activeCell="D96" sqref="D96"/>
      <selection pane="topRight" activeCell="D96" sqref="D96"/>
      <selection pane="bottomLeft" activeCell="D96" sqref="D96"/>
      <selection pane="bottomRight" activeCell="T9" sqref="T9"/>
    </sheetView>
  </sheetViews>
  <sheetFormatPr defaultColWidth="8.77734375" defaultRowHeight="14.4" x14ac:dyDescent="0.3"/>
  <cols>
    <col min="1" max="1" width="52.21875" style="8" customWidth="1"/>
    <col min="2" max="2" width="10" style="2" customWidth="1"/>
    <col min="3" max="3" width="10.5546875" style="8" customWidth="1"/>
    <col min="4" max="4" width="11.77734375" style="2" customWidth="1"/>
    <col min="5" max="5" width="8.77734375" style="2"/>
    <col min="6" max="6" width="10.44140625" style="2" customWidth="1"/>
    <col min="7" max="7" width="13.1093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169</v>
      </c>
      <c r="B2" s="6"/>
      <c r="C2" s="5"/>
      <c r="D2" s="59" t="s">
        <v>171</v>
      </c>
      <c r="E2" s="3"/>
      <c r="F2" s="50" t="s">
        <v>332</v>
      </c>
      <c r="G2" s="13" t="s">
        <v>610</v>
      </c>
      <c r="H2" s="3"/>
      <c r="I2" s="3"/>
      <c r="J2" s="3"/>
      <c r="K2" s="3"/>
      <c r="L2" s="3"/>
      <c r="M2" s="3"/>
      <c r="N2" s="3"/>
      <c r="O2" s="3"/>
      <c r="P2" s="29"/>
      <c r="Q2" s="29"/>
      <c r="R2" s="3"/>
      <c r="S2" s="3"/>
      <c r="T2" s="3"/>
      <c r="U2" s="3"/>
      <c r="V2" s="3"/>
      <c r="W2" s="3"/>
      <c r="X2" s="3"/>
      <c r="Y2" s="3"/>
      <c r="Z2" s="3"/>
      <c r="AA2" s="3"/>
      <c r="AB2" s="3"/>
      <c r="AC2" s="3"/>
      <c r="AD2" s="3"/>
      <c r="AE2" s="3"/>
      <c r="AF2" s="3"/>
      <c r="AG2" s="3"/>
      <c r="AH2" s="3"/>
      <c r="AJ2" s="2">
        <f>COUNTA(B2:AH2)</f>
        <v>3</v>
      </c>
      <c r="AL2" s="2">
        <f>COUNTA(F2:O2,R2:S2)</f>
        <v>2</v>
      </c>
      <c r="AN2" s="2">
        <f>COUNTIF(AL2:AL55,"&gt;=2")</f>
        <v>21</v>
      </c>
    </row>
    <row r="3" spans="1:40" ht="28.8" x14ac:dyDescent="0.3">
      <c r="A3" s="5" t="s">
        <v>170</v>
      </c>
      <c r="B3" s="6"/>
      <c r="C3" s="5"/>
      <c r="D3" s="59" t="s">
        <v>172</v>
      </c>
      <c r="E3" s="1"/>
      <c r="F3" s="50" t="s">
        <v>333</v>
      </c>
      <c r="G3" s="13" t="s">
        <v>611</v>
      </c>
      <c r="AJ3" s="2">
        <f t="shared" ref="AJ3:AJ55" si="0">COUNTA(B3:AH3)</f>
        <v>3</v>
      </c>
      <c r="AL3" s="2">
        <f t="shared" ref="AL3:AL55" si="1">COUNTA(F3:O3,R3:S3)</f>
        <v>2</v>
      </c>
    </row>
    <row r="4" spans="1:40" x14ac:dyDescent="0.3">
      <c r="A4" s="5" t="s">
        <v>2218</v>
      </c>
      <c r="B4" s="69" t="s">
        <v>222</v>
      </c>
      <c r="C4" s="5"/>
      <c r="D4" s="1"/>
      <c r="E4" s="1"/>
      <c r="F4" s="63" t="s">
        <v>222</v>
      </c>
      <c r="G4" s="61" t="s">
        <v>242</v>
      </c>
      <c r="H4" s="67" t="s">
        <v>525</v>
      </c>
      <c r="I4" s="67" t="s">
        <v>148</v>
      </c>
      <c r="J4" s="67" t="s">
        <v>1015</v>
      </c>
      <c r="K4" s="53" t="s">
        <v>1030</v>
      </c>
      <c r="M4" s="53" t="s">
        <v>362</v>
      </c>
      <c r="N4" s="53" t="s">
        <v>1636</v>
      </c>
      <c r="O4" s="53" t="s">
        <v>1389</v>
      </c>
      <c r="Q4" s="53" t="s">
        <v>1086</v>
      </c>
      <c r="R4" s="53" t="s">
        <v>2217</v>
      </c>
      <c r="S4" s="53" t="s">
        <v>1169</v>
      </c>
      <c r="T4" s="53" t="s">
        <v>2409</v>
      </c>
      <c r="U4" s="54" t="s">
        <v>2481</v>
      </c>
      <c r="V4" s="53" t="s">
        <v>104</v>
      </c>
      <c r="Z4" s="53" t="s">
        <v>276</v>
      </c>
      <c r="AD4" s="53" t="s">
        <v>1485</v>
      </c>
      <c r="AE4" s="53" t="s">
        <v>101</v>
      </c>
      <c r="AF4" s="53" t="s">
        <v>362</v>
      </c>
      <c r="AG4" s="53" t="s">
        <v>1076</v>
      </c>
      <c r="AH4" s="1" t="s">
        <v>1079</v>
      </c>
      <c r="AJ4" s="2">
        <f t="shared" si="0"/>
        <v>22</v>
      </c>
      <c r="AL4" s="2">
        <f t="shared" si="1"/>
        <v>11</v>
      </c>
    </row>
    <row r="5" spans="1:40" ht="28.8" x14ac:dyDescent="0.3">
      <c r="A5" s="5" t="s">
        <v>126</v>
      </c>
      <c r="B5" s="5" t="s">
        <v>127</v>
      </c>
      <c r="C5" s="5" t="s">
        <v>127</v>
      </c>
      <c r="D5" s="54" t="s">
        <v>127</v>
      </c>
      <c r="E5" s="53" t="s">
        <v>386</v>
      </c>
      <c r="F5" s="53" t="s">
        <v>127</v>
      </c>
      <c r="G5" s="53" t="s">
        <v>525</v>
      </c>
      <c r="H5" s="53" t="s">
        <v>506</v>
      </c>
      <c r="I5" s="61" t="s">
        <v>60</v>
      </c>
      <c r="J5" s="61" t="s">
        <v>1016</v>
      </c>
      <c r="K5" s="53" t="s">
        <v>918</v>
      </c>
      <c r="L5" s="53" t="s">
        <v>936</v>
      </c>
      <c r="M5" s="53" t="s">
        <v>1324</v>
      </c>
      <c r="N5" s="53" t="s">
        <v>1101</v>
      </c>
      <c r="O5" s="53" t="s">
        <v>1727</v>
      </c>
      <c r="P5" s="53" t="s">
        <v>928</v>
      </c>
      <c r="Q5" s="53" t="s">
        <v>2151</v>
      </c>
      <c r="R5" s="53" t="s">
        <v>2152</v>
      </c>
      <c r="S5" s="53" t="s">
        <v>442</v>
      </c>
      <c r="T5" s="53" t="s">
        <v>2053</v>
      </c>
      <c r="V5" s="53" t="s">
        <v>133</v>
      </c>
      <c r="AJ5" s="2">
        <f t="shared" si="0"/>
        <v>20</v>
      </c>
      <c r="AL5" s="2">
        <f t="shared" si="1"/>
        <v>12</v>
      </c>
    </row>
    <row r="6" spans="1:40" ht="28.8" x14ac:dyDescent="0.3">
      <c r="A6" s="5" t="s">
        <v>1327</v>
      </c>
      <c r="B6" s="6"/>
      <c r="C6" s="5"/>
      <c r="D6" s="1"/>
      <c r="E6" s="1"/>
      <c r="F6" s="1"/>
      <c r="G6" s="1"/>
      <c r="I6" s="10"/>
      <c r="J6" s="10"/>
      <c r="M6" s="1" t="s">
        <v>1325</v>
      </c>
      <c r="AJ6" s="2">
        <f t="shared" si="0"/>
        <v>1</v>
      </c>
      <c r="AL6" s="2">
        <f t="shared" si="1"/>
        <v>1</v>
      </c>
    </row>
    <row r="7" spans="1:40" ht="28.8" x14ac:dyDescent="0.3">
      <c r="A7" s="5" t="s">
        <v>1326</v>
      </c>
      <c r="B7" s="6"/>
      <c r="C7" s="5"/>
      <c r="D7" s="1"/>
      <c r="E7" s="1"/>
      <c r="F7" s="1"/>
      <c r="G7" s="1"/>
      <c r="I7" s="10"/>
      <c r="J7" s="10"/>
      <c r="M7" s="1" t="s">
        <v>1328</v>
      </c>
      <c r="AJ7" s="2">
        <f t="shared" si="0"/>
        <v>1</v>
      </c>
      <c r="AL7" s="2">
        <f t="shared" si="1"/>
        <v>1</v>
      </c>
    </row>
    <row r="8" spans="1:40" ht="43.2" x14ac:dyDescent="0.3">
      <c r="A8" s="5" t="s">
        <v>773</v>
      </c>
      <c r="B8" s="72" t="s">
        <v>3289</v>
      </c>
      <c r="C8" s="73" t="s">
        <v>3201</v>
      </c>
      <c r="D8" s="1"/>
      <c r="E8" s="1"/>
      <c r="F8" s="1"/>
      <c r="G8" s="1"/>
      <c r="I8" s="70" t="s">
        <v>510</v>
      </c>
      <c r="J8" s="1" t="s">
        <v>972</v>
      </c>
      <c r="AJ8" s="2">
        <f t="shared" si="0"/>
        <v>4</v>
      </c>
      <c r="AL8" s="2">
        <f t="shared" si="1"/>
        <v>2</v>
      </c>
    </row>
    <row r="9" spans="1:40" ht="28.8" x14ac:dyDescent="0.3">
      <c r="A9" s="5" t="s">
        <v>2250</v>
      </c>
      <c r="B9" s="6"/>
      <c r="C9" s="5"/>
      <c r="D9" s="1"/>
      <c r="E9" s="1"/>
      <c r="F9" s="1"/>
      <c r="G9" s="1"/>
      <c r="H9" s="66" t="s">
        <v>99</v>
      </c>
      <c r="P9" s="54" t="s">
        <v>232</v>
      </c>
      <c r="Q9" s="53" t="s">
        <v>999</v>
      </c>
      <c r="R9" s="53" t="s">
        <v>2006</v>
      </c>
      <c r="S9" s="53" t="s">
        <v>443</v>
      </c>
      <c r="T9" s="53" t="s">
        <v>1037</v>
      </c>
      <c r="V9" s="1" t="s">
        <v>289</v>
      </c>
      <c r="AJ9" s="2">
        <f t="shared" si="0"/>
        <v>7</v>
      </c>
      <c r="AL9" s="2">
        <f t="shared" si="1"/>
        <v>3</v>
      </c>
    </row>
    <row r="10" spans="1:40" ht="28.8" x14ac:dyDescent="0.3">
      <c r="A10" s="5" t="s">
        <v>2251</v>
      </c>
      <c r="B10" s="6"/>
      <c r="C10" s="5"/>
      <c r="D10" s="1"/>
      <c r="E10" s="1"/>
      <c r="F10" s="1"/>
      <c r="G10" s="1"/>
      <c r="H10" s="10"/>
      <c r="S10" s="54" t="s">
        <v>57</v>
      </c>
      <c r="T10" s="53" t="s">
        <v>1245</v>
      </c>
      <c r="V10" s="1" t="s">
        <v>290</v>
      </c>
      <c r="AJ10" s="2">
        <f t="shared" si="0"/>
        <v>3</v>
      </c>
      <c r="AL10" s="2">
        <f t="shared" si="1"/>
        <v>1</v>
      </c>
    </row>
    <row r="11" spans="1:40" ht="28.8" x14ac:dyDescent="0.3">
      <c r="A11" s="5" t="s">
        <v>2342</v>
      </c>
      <c r="B11" s="6"/>
      <c r="C11" s="5"/>
      <c r="D11" s="1"/>
      <c r="E11" s="1"/>
      <c r="F11" s="1"/>
      <c r="G11" s="1"/>
      <c r="H11" s="10"/>
      <c r="T11" s="1" t="s">
        <v>1201</v>
      </c>
      <c r="AJ11" s="2">
        <f t="shared" si="0"/>
        <v>1</v>
      </c>
      <c r="AL11" s="2">
        <f t="shared" si="1"/>
        <v>0</v>
      </c>
    </row>
    <row r="12" spans="1:40" x14ac:dyDescent="0.3">
      <c r="A12" s="5" t="s">
        <v>223</v>
      </c>
      <c r="B12" s="1"/>
      <c r="C12" s="5"/>
      <c r="D12" s="1"/>
      <c r="E12" s="1"/>
      <c r="F12" s="12" t="s">
        <v>224</v>
      </c>
      <c r="G12" s="1"/>
      <c r="AJ12" s="2">
        <f t="shared" si="0"/>
        <v>1</v>
      </c>
      <c r="AL12" s="2">
        <f t="shared" si="1"/>
        <v>1</v>
      </c>
    </row>
    <row r="13" spans="1:40" ht="43.2" x14ac:dyDescent="0.3">
      <c r="A13" s="5" t="s">
        <v>225</v>
      </c>
      <c r="B13" s="1"/>
      <c r="C13" s="5"/>
      <c r="D13" s="1"/>
      <c r="E13" s="1"/>
      <c r="F13" s="12" t="s">
        <v>226</v>
      </c>
      <c r="G13" s="1"/>
      <c r="AJ13" s="2">
        <f t="shared" si="0"/>
        <v>1</v>
      </c>
      <c r="AL13" s="2">
        <f t="shared" si="1"/>
        <v>1</v>
      </c>
    </row>
    <row r="14" spans="1:40" ht="28.8" x14ac:dyDescent="0.3">
      <c r="A14" s="5" t="s">
        <v>227</v>
      </c>
      <c r="B14" s="1"/>
      <c r="C14" s="5"/>
      <c r="D14" s="1"/>
      <c r="E14" s="1"/>
      <c r="F14" s="12" t="s">
        <v>228</v>
      </c>
      <c r="G14" s="1"/>
      <c r="AJ14" s="2">
        <f t="shared" si="0"/>
        <v>1</v>
      </c>
      <c r="AL14" s="2">
        <f t="shared" si="1"/>
        <v>1</v>
      </c>
    </row>
    <row r="15" spans="1:40" ht="28.8" x14ac:dyDescent="0.3">
      <c r="A15" s="5" t="s">
        <v>229</v>
      </c>
      <c r="B15" s="5"/>
      <c r="C15" s="5"/>
      <c r="D15" s="1"/>
      <c r="E15" s="1"/>
      <c r="F15" s="12" t="s">
        <v>230</v>
      </c>
      <c r="G15" s="1"/>
      <c r="AJ15" s="2">
        <f t="shared" si="0"/>
        <v>1</v>
      </c>
      <c r="AL15" s="2">
        <f t="shared" si="1"/>
        <v>1</v>
      </c>
    </row>
    <row r="16" spans="1:40" ht="28.8" x14ac:dyDescent="0.3">
      <c r="A16" s="5" t="s">
        <v>604</v>
      </c>
      <c r="B16" s="1"/>
      <c r="C16" s="5"/>
      <c r="D16" s="1"/>
      <c r="E16" s="1"/>
      <c r="F16" s="1"/>
      <c r="G16" s="66" t="s">
        <v>605</v>
      </c>
      <c r="T16" s="1" t="s">
        <v>1198</v>
      </c>
      <c r="AJ16" s="2">
        <f t="shared" si="0"/>
        <v>2</v>
      </c>
      <c r="AL16" s="2">
        <f t="shared" si="1"/>
        <v>1</v>
      </c>
    </row>
    <row r="17" spans="1:38" ht="28.8" x14ac:dyDescent="0.3">
      <c r="A17" s="5" t="s">
        <v>2236</v>
      </c>
      <c r="B17" s="1"/>
      <c r="C17" s="5"/>
      <c r="D17" s="1"/>
      <c r="E17" s="1"/>
      <c r="F17" s="1"/>
      <c r="G17" s="10"/>
      <c r="S17" s="54" t="s">
        <v>8</v>
      </c>
      <c r="T17" s="53" t="s">
        <v>2301</v>
      </c>
      <c r="V17" s="53" t="s">
        <v>8</v>
      </c>
      <c r="Z17" s="53" t="s">
        <v>179</v>
      </c>
      <c r="AD17" s="54" t="s">
        <v>1089</v>
      </c>
      <c r="AE17" s="1" t="s">
        <v>1068</v>
      </c>
      <c r="AJ17" s="2">
        <f t="shared" si="0"/>
        <v>6</v>
      </c>
      <c r="AL17" s="2">
        <f t="shared" si="1"/>
        <v>1</v>
      </c>
    </row>
    <row r="18" spans="1:38" x14ac:dyDescent="0.3">
      <c r="A18" s="5" t="s">
        <v>2587</v>
      </c>
      <c r="B18" s="1"/>
      <c r="C18" s="5"/>
      <c r="D18" s="1"/>
      <c r="E18" s="1"/>
      <c r="F18" s="1"/>
      <c r="G18" s="10"/>
      <c r="Z18" s="1" t="s">
        <v>410</v>
      </c>
      <c r="AJ18" s="2">
        <f t="shared" si="0"/>
        <v>1</v>
      </c>
      <c r="AL18" s="2">
        <f t="shared" si="1"/>
        <v>0</v>
      </c>
    </row>
    <row r="19" spans="1:38" ht="28.8" x14ac:dyDescent="0.3">
      <c r="A19" s="5" t="s">
        <v>231</v>
      </c>
      <c r="B19" s="12" t="s">
        <v>232</v>
      </c>
      <c r="C19" s="5"/>
      <c r="D19" s="1"/>
      <c r="E19" s="1"/>
      <c r="F19" s="63" t="s">
        <v>232</v>
      </c>
      <c r="G19" s="67" t="s">
        <v>234</v>
      </c>
      <c r="AE19" s="1" t="s">
        <v>442</v>
      </c>
      <c r="AJ19" s="2">
        <f t="shared" si="0"/>
        <v>4</v>
      </c>
      <c r="AL19" s="2">
        <f t="shared" si="1"/>
        <v>2</v>
      </c>
    </row>
    <row r="20" spans="1:38" ht="28.8" x14ac:dyDescent="0.3">
      <c r="A20" s="5" t="s">
        <v>647</v>
      </c>
      <c r="C20" s="5"/>
      <c r="D20" s="1"/>
      <c r="E20" s="1"/>
      <c r="F20" s="12"/>
      <c r="G20" s="12"/>
      <c r="H20" s="63" t="s">
        <v>110</v>
      </c>
      <c r="I20" s="67" t="s">
        <v>247</v>
      </c>
      <c r="J20" s="67" t="s">
        <v>958</v>
      </c>
      <c r="K20" s="53" t="s">
        <v>920</v>
      </c>
      <c r="L20" s="54" t="s">
        <v>935</v>
      </c>
      <c r="M20" s="53" t="s">
        <v>1360</v>
      </c>
      <c r="N20" s="54" t="s">
        <v>1515</v>
      </c>
      <c r="O20" s="53" t="s">
        <v>921</v>
      </c>
      <c r="Q20" s="53" t="s">
        <v>1017</v>
      </c>
      <c r="R20" s="53" t="s">
        <v>2034</v>
      </c>
      <c r="S20" s="53" t="s">
        <v>14</v>
      </c>
      <c r="T20" s="53" t="s">
        <v>1179</v>
      </c>
      <c r="V20" s="54" t="s">
        <v>12</v>
      </c>
      <c r="Z20" s="1" t="s">
        <v>16</v>
      </c>
      <c r="AJ20" s="2">
        <f t="shared" si="0"/>
        <v>14</v>
      </c>
      <c r="AL20" s="2">
        <f t="shared" si="1"/>
        <v>10</v>
      </c>
    </row>
    <row r="21" spans="1:38" ht="28.8" x14ac:dyDescent="0.3">
      <c r="A21" s="5" t="s">
        <v>648</v>
      </c>
      <c r="B21" s="1"/>
      <c r="C21" s="5"/>
      <c r="D21" s="1"/>
      <c r="E21" s="1"/>
      <c r="F21" s="12"/>
      <c r="G21" s="12"/>
      <c r="H21" s="63" t="s">
        <v>649</v>
      </c>
      <c r="I21" s="67" t="s">
        <v>249</v>
      </c>
      <c r="J21" s="67" t="s">
        <v>959</v>
      </c>
      <c r="K21" s="53" t="s">
        <v>1169</v>
      </c>
      <c r="L21" s="53" t="s">
        <v>937</v>
      </c>
      <c r="M21" s="1" t="s">
        <v>1361</v>
      </c>
      <c r="AJ21" s="2">
        <f t="shared" si="0"/>
        <v>6</v>
      </c>
      <c r="AL21" s="2">
        <f t="shared" si="1"/>
        <v>6</v>
      </c>
    </row>
    <row r="22" spans="1:38" ht="28.8" x14ac:dyDescent="0.3">
      <c r="A22" s="5" t="s">
        <v>233</v>
      </c>
      <c r="B22" s="12" t="s">
        <v>234</v>
      </c>
      <c r="C22" s="5"/>
      <c r="D22" s="1"/>
      <c r="E22" s="1"/>
      <c r="F22" s="67" t="s">
        <v>234</v>
      </c>
      <c r="G22" s="67" t="s">
        <v>238</v>
      </c>
      <c r="H22" s="63" t="s">
        <v>222</v>
      </c>
      <c r="I22" s="67" t="s">
        <v>251</v>
      </c>
      <c r="J22" s="67" t="s">
        <v>960</v>
      </c>
      <c r="K22" s="53" t="s">
        <v>921</v>
      </c>
      <c r="L22" s="53" t="s">
        <v>938</v>
      </c>
      <c r="M22" s="53" t="s">
        <v>1362</v>
      </c>
      <c r="AJ22" s="2">
        <f t="shared" si="0"/>
        <v>9</v>
      </c>
      <c r="AL22" s="2">
        <f t="shared" si="1"/>
        <v>8</v>
      </c>
    </row>
    <row r="23" spans="1:38" ht="28.8" x14ac:dyDescent="0.3">
      <c r="A23" s="5" t="s">
        <v>235</v>
      </c>
      <c r="B23" s="12" t="s">
        <v>238</v>
      </c>
      <c r="C23" s="5"/>
      <c r="D23" s="1"/>
      <c r="E23" s="1"/>
      <c r="F23" s="67" t="s">
        <v>238</v>
      </c>
      <c r="G23" s="67" t="s">
        <v>239</v>
      </c>
      <c r="H23" s="67" t="s">
        <v>224</v>
      </c>
      <c r="I23" s="67" t="s">
        <v>253</v>
      </c>
      <c r="J23" s="67" t="s">
        <v>961</v>
      </c>
      <c r="K23" s="53" t="s">
        <v>922</v>
      </c>
      <c r="L23" s="54" t="s">
        <v>940</v>
      </c>
      <c r="M23" s="53" t="s">
        <v>1365</v>
      </c>
      <c r="N23" s="53" t="s">
        <v>1103</v>
      </c>
      <c r="O23" s="53" t="s">
        <v>920</v>
      </c>
      <c r="S23" s="54" t="s">
        <v>10</v>
      </c>
      <c r="V23" s="54" t="s">
        <v>181</v>
      </c>
      <c r="Z23" s="53" t="s">
        <v>10</v>
      </c>
      <c r="AE23" s="1" t="s">
        <v>110</v>
      </c>
      <c r="AJ23" s="2">
        <f t="shared" si="0"/>
        <v>15</v>
      </c>
      <c r="AL23" s="2">
        <f t="shared" si="1"/>
        <v>11</v>
      </c>
    </row>
    <row r="24" spans="1:38" ht="28.8" x14ac:dyDescent="0.3">
      <c r="A24" s="5" t="s">
        <v>236</v>
      </c>
      <c r="B24" s="12" t="s">
        <v>239</v>
      </c>
      <c r="C24" s="5"/>
      <c r="D24" s="1"/>
      <c r="E24" s="1"/>
      <c r="F24" s="67" t="s">
        <v>239</v>
      </c>
      <c r="G24" s="67" t="s">
        <v>240</v>
      </c>
      <c r="H24" s="67" t="s">
        <v>226</v>
      </c>
      <c r="I24" s="67" t="s">
        <v>497</v>
      </c>
      <c r="J24" s="67" t="s">
        <v>962</v>
      </c>
      <c r="K24" s="53" t="s">
        <v>923</v>
      </c>
      <c r="L24" s="53" t="s">
        <v>941</v>
      </c>
      <c r="M24" s="53" t="s">
        <v>1366</v>
      </c>
      <c r="N24" s="53" t="s">
        <v>1517</v>
      </c>
      <c r="P24" s="54" t="s">
        <v>13</v>
      </c>
      <c r="Q24" s="53" t="s">
        <v>1011</v>
      </c>
      <c r="R24" s="53" t="s">
        <v>2026</v>
      </c>
      <c r="T24" s="54" t="s">
        <v>972</v>
      </c>
      <c r="AB24" s="54" t="s">
        <v>2201</v>
      </c>
      <c r="AC24" s="1" t="s">
        <v>2008</v>
      </c>
      <c r="AJ24" s="2">
        <f t="shared" si="0"/>
        <v>16</v>
      </c>
      <c r="AL24" s="2">
        <f t="shared" si="1"/>
        <v>10</v>
      </c>
    </row>
    <row r="25" spans="1:38" ht="28.8" x14ac:dyDescent="0.3">
      <c r="A25" s="5" t="s">
        <v>237</v>
      </c>
      <c r="B25" s="12" t="s">
        <v>240</v>
      </c>
      <c r="C25" s="5"/>
      <c r="D25" s="1"/>
      <c r="E25" s="1"/>
      <c r="F25" s="67" t="s">
        <v>240</v>
      </c>
      <c r="G25" s="67" t="s">
        <v>96</v>
      </c>
      <c r="H25" s="12" t="s">
        <v>230</v>
      </c>
      <c r="I25" s="12"/>
      <c r="AJ25" s="2">
        <f t="shared" si="0"/>
        <v>4</v>
      </c>
      <c r="AL25" s="2">
        <f t="shared" si="1"/>
        <v>3</v>
      </c>
    </row>
    <row r="26" spans="1:38" ht="28.8" x14ac:dyDescent="0.3">
      <c r="A26" s="5" t="s">
        <v>722</v>
      </c>
      <c r="B26" s="5"/>
      <c r="C26" s="5"/>
      <c r="D26" s="1"/>
      <c r="E26" s="3"/>
      <c r="F26" s="13"/>
      <c r="G26" s="12"/>
      <c r="H26" s="12" t="s">
        <v>228</v>
      </c>
      <c r="I26" s="12"/>
      <c r="AJ26" s="2">
        <f t="shared" si="0"/>
        <v>1</v>
      </c>
      <c r="AL26" s="2">
        <f t="shared" si="1"/>
        <v>1</v>
      </c>
    </row>
    <row r="27" spans="1:38" ht="28.8" x14ac:dyDescent="0.3">
      <c r="A27" s="5" t="s">
        <v>742</v>
      </c>
      <c r="B27" s="5"/>
      <c r="C27" s="5"/>
      <c r="D27" s="1"/>
      <c r="E27" s="1"/>
      <c r="F27" s="1"/>
      <c r="G27" s="1"/>
      <c r="I27" s="63" t="s">
        <v>245</v>
      </c>
      <c r="J27" s="67" t="s">
        <v>957</v>
      </c>
      <c r="K27" s="53" t="s">
        <v>919</v>
      </c>
      <c r="L27" s="53" t="s">
        <v>1170</v>
      </c>
      <c r="M27" s="53" t="s">
        <v>1359</v>
      </c>
      <c r="N27" s="53" t="s">
        <v>1516</v>
      </c>
      <c r="AJ27" s="2">
        <f t="shared" si="0"/>
        <v>6</v>
      </c>
      <c r="AL27" s="2">
        <f t="shared" si="1"/>
        <v>6</v>
      </c>
    </row>
    <row r="28" spans="1:38" ht="28.8" x14ac:dyDescent="0.3">
      <c r="A28" s="5" t="s">
        <v>1363</v>
      </c>
      <c r="B28" s="5"/>
      <c r="C28" s="5"/>
      <c r="D28" s="1"/>
      <c r="E28" s="1"/>
      <c r="F28" s="1"/>
      <c r="G28" s="1"/>
      <c r="I28" s="12"/>
      <c r="J28" s="12"/>
      <c r="M28" s="1" t="s">
        <v>1364</v>
      </c>
      <c r="AJ28" s="2">
        <f t="shared" si="0"/>
        <v>1</v>
      </c>
      <c r="AL28" s="2">
        <f t="shared" si="1"/>
        <v>1</v>
      </c>
    </row>
    <row r="29" spans="1:38" ht="28.8" x14ac:dyDescent="0.3">
      <c r="A29" s="5" t="s">
        <v>2866</v>
      </c>
      <c r="B29" s="5"/>
      <c r="C29" s="5"/>
      <c r="D29" s="1"/>
      <c r="E29" s="1"/>
      <c r="F29" s="1"/>
      <c r="G29" s="1"/>
      <c r="I29" s="12"/>
      <c r="J29" s="12"/>
      <c r="AD29" s="1" t="s">
        <v>1460</v>
      </c>
      <c r="AJ29" s="2">
        <f t="shared" si="0"/>
        <v>1</v>
      </c>
      <c r="AL29" s="2">
        <f t="shared" si="1"/>
        <v>0</v>
      </c>
    </row>
    <row r="30" spans="1:38" ht="28.8" x14ac:dyDescent="0.3">
      <c r="A30" s="5" t="s">
        <v>744</v>
      </c>
      <c r="B30" s="74" t="s">
        <v>3278</v>
      </c>
      <c r="C30" s="73" t="s">
        <v>3181</v>
      </c>
      <c r="D30" s="1"/>
      <c r="E30" s="1"/>
      <c r="F30" s="1"/>
      <c r="G30" s="1"/>
      <c r="I30" s="70" t="s">
        <v>512</v>
      </c>
      <c r="J30" s="1" t="s">
        <v>973</v>
      </c>
      <c r="AJ30" s="2">
        <f t="shared" si="0"/>
        <v>4</v>
      </c>
      <c r="AL30" s="2">
        <f t="shared" si="1"/>
        <v>2</v>
      </c>
    </row>
    <row r="31" spans="1:38" ht="28.8" x14ac:dyDescent="0.3">
      <c r="A31" s="5" t="s">
        <v>745</v>
      </c>
      <c r="B31" s="74" t="s">
        <v>3279</v>
      </c>
      <c r="C31" s="71" t="s">
        <v>3186</v>
      </c>
      <c r="D31" s="1"/>
      <c r="E31" s="1"/>
      <c r="F31" s="1"/>
      <c r="G31" s="1"/>
      <c r="I31" s="70" t="s">
        <v>513</v>
      </c>
      <c r="J31" s="1" t="s">
        <v>974</v>
      </c>
      <c r="AJ31" s="2">
        <f t="shared" si="0"/>
        <v>4</v>
      </c>
      <c r="AL31" s="2">
        <f t="shared" si="1"/>
        <v>2</v>
      </c>
    </row>
    <row r="32" spans="1:38" ht="28.8" x14ac:dyDescent="0.3">
      <c r="A32" s="5" t="s">
        <v>746</v>
      </c>
      <c r="B32" s="36"/>
      <c r="C32" s="38"/>
      <c r="D32" s="1"/>
      <c r="E32" s="1"/>
      <c r="F32" s="1"/>
      <c r="G32" s="1"/>
      <c r="I32" s="70" t="s">
        <v>264</v>
      </c>
      <c r="J32" s="1" t="s">
        <v>975</v>
      </c>
      <c r="AJ32" s="2">
        <f t="shared" si="0"/>
        <v>2</v>
      </c>
      <c r="AL32" s="2">
        <f t="shared" si="1"/>
        <v>2</v>
      </c>
    </row>
    <row r="33" spans="1:38" ht="28.8" x14ac:dyDescent="0.3">
      <c r="A33" s="5" t="s">
        <v>747</v>
      </c>
      <c r="B33" s="74" t="s">
        <v>3280</v>
      </c>
      <c r="C33" s="71" t="s">
        <v>3194</v>
      </c>
      <c r="D33" s="1"/>
      <c r="E33" s="1"/>
      <c r="F33" s="1"/>
      <c r="G33" s="1"/>
      <c r="I33" s="70" t="s">
        <v>265</v>
      </c>
      <c r="J33" s="1" t="s">
        <v>976</v>
      </c>
      <c r="AJ33" s="2">
        <f t="shared" si="0"/>
        <v>4</v>
      </c>
      <c r="AL33" s="2">
        <f t="shared" si="1"/>
        <v>2</v>
      </c>
    </row>
    <row r="34" spans="1:38" ht="28.8" x14ac:dyDescent="0.3">
      <c r="A34" s="5" t="s">
        <v>748</v>
      </c>
      <c r="B34" s="74" t="s">
        <v>3281</v>
      </c>
      <c r="C34" s="71" t="s">
        <v>3192</v>
      </c>
      <c r="D34" s="1"/>
      <c r="E34" s="1"/>
      <c r="F34" s="1"/>
      <c r="G34" s="1"/>
      <c r="I34" s="70" t="s">
        <v>267</v>
      </c>
      <c r="J34" s="1" t="s">
        <v>977</v>
      </c>
      <c r="AJ34" s="2">
        <f t="shared" si="0"/>
        <v>4</v>
      </c>
      <c r="AL34" s="2">
        <f t="shared" si="1"/>
        <v>2</v>
      </c>
    </row>
    <row r="35" spans="1:38" ht="28.8" x14ac:dyDescent="0.3">
      <c r="A35" s="5" t="s">
        <v>749</v>
      </c>
      <c r="B35" s="74" t="s">
        <v>3282</v>
      </c>
      <c r="C35" s="71" t="s">
        <v>3193</v>
      </c>
      <c r="D35" s="1"/>
      <c r="E35" s="1"/>
      <c r="F35" s="1"/>
      <c r="G35" s="1"/>
      <c r="I35" s="70" t="s">
        <v>517</v>
      </c>
      <c r="J35" s="1" t="s">
        <v>978</v>
      </c>
      <c r="AJ35" s="2">
        <f t="shared" si="0"/>
        <v>4</v>
      </c>
      <c r="AL35" s="2">
        <f t="shared" si="1"/>
        <v>2</v>
      </c>
    </row>
    <row r="36" spans="1:38" ht="28.8" x14ac:dyDescent="0.3">
      <c r="A36" s="5" t="s">
        <v>750</v>
      </c>
      <c r="B36" s="74" t="s">
        <v>3283</v>
      </c>
      <c r="C36" s="71" t="s">
        <v>3187</v>
      </c>
      <c r="D36" s="1"/>
      <c r="E36" s="1"/>
      <c r="F36" s="1"/>
      <c r="G36" s="1"/>
      <c r="I36" s="70" t="s">
        <v>515</v>
      </c>
      <c r="J36" s="1" t="s">
        <v>979</v>
      </c>
      <c r="AJ36" s="2">
        <f t="shared" si="0"/>
        <v>4</v>
      </c>
      <c r="AL36" s="2">
        <f t="shared" si="1"/>
        <v>2</v>
      </c>
    </row>
    <row r="37" spans="1:38" ht="28.8" x14ac:dyDescent="0.3">
      <c r="A37" s="5" t="s">
        <v>3182</v>
      </c>
      <c r="B37" s="74" t="s">
        <v>3284</v>
      </c>
      <c r="C37" s="38" t="s">
        <v>3183</v>
      </c>
      <c r="D37" s="1"/>
      <c r="E37" s="1"/>
      <c r="F37" s="1"/>
      <c r="G37" s="1"/>
      <c r="I37" s="18"/>
      <c r="AJ37" s="2">
        <f t="shared" si="0"/>
        <v>2</v>
      </c>
      <c r="AL37" s="2">
        <f t="shared" si="1"/>
        <v>0</v>
      </c>
    </row>
    <row r="38" spans="1:38" ht="28.8" x14ac:dyDescent="0.3">
      <c r="A38" s="5" t="s">
        <v>3184</v>
      </c>
      <c r="B38" s="74" t="s">
        <v>3285</v>
      </c>
      <c r="C38" s="38" t="s">
        <v>3185</v>
      </c>
      <c r="D38" s="1"/>
      <c r="E38" s="1"/>
      <c r="F38" s="1"/>
      <c r="G38" s="1"/>
      <c r="I38" s="18"/>
      <c r="AJ38" s="2">
        <f t="shared" si="0"/>
        <v>2</v>
      </c>
      <c r="AL38" s="2">
        <f t="shared" si="1"/>
        <v>0</v>
      </c>
    </row>
    <row r="39" spans="1:38" ht="28.8" x14ac:dyDescent="0.3">
      <c r="A39" s="5" t="s">
        <v>3188</v>
      </c>
      <c r="B39" s="36"/>
      <c r="C39" s="38" t="s">
        <v>3189</v>
      </c>
      <c r="D39" s="1"/>
      <c r="E39" s="1"/>
      <c r="F39" s="1"/>
      <c r="G39" s="1"/>
      <c r="I39" s="18"/>
      <c r="AJ39" s="2">
        <f t="shared" si="0"/>
        <v>1</v>
      </c>
      <c r="AL39" s="2">
        <f t="shared" si="1"/>
        <v>0</v>
      </c>
    </row>
    <row r="40" spans="1:38" ht="28.8" x14ac:dyDescent="0.3">
      <c r="A40" s="5" t="s">
        <v>3190</v>
      </c>
      <c r="B40" s="36"/>
      <c r="C40" s="38" t="s">
        <v>3191</v>
      </c>
      <c r="D40" s="1"/>
      <c r="E40" s="1"/>
      <c r="F40" s="1"/>
      <c r="G40" s="1"/>
      <c r="I40" s="18"/>
      <c r="AJ40" s="2">
        <f t="shared" si="0"/>
        <v>1</v>
      </c>
      <c r="AL40" s="2">
        <f t="shared" si="1"/>
        <v>0</v>
      </c>
    </row>
    <row r="41" spans="1:38" ht="28.8" x14ac:dyDescent="0.3">
      <c r="A41" s="5" t="s">
        <v>3195</v>
      </c>
      <c r="B41" s="74" t="s">
        <v>3286</v>
      </c>
      <c r="C41" s="38" t="s">
        <v>3198</v>
      </c>
      <c r="D41" s="1"/>
      <c r="E41" s="1"/>
      <c r="F41" s="1"/>
      <c r="G41" s="1"/>
      <c r="I41" s="18"/>
      <c r="AJ41" s="2">
        <f t="shared" si="0"/>
        <v>2</v>
      </c>
      <c r="AL41" s="2">
        <f t="shared" si="1"/>
        <v>0</v>
      </c>
    </row>
    <row r="42" spans="1:38" ht="43.2" x14ac:dyDescent="0.3">
      <c r="A42" s="5" t="s">
        <v>3196</v>
      </c>
      <c r="B42" s="74" t="s">
        <v>3287</v>
      </c>
      <c r="C42" s="38" t="s">
        <v>3199</v>
      </c>
      <c r="D42" s="1"/>
      <c r="E42" s="1"/>
      <c r="F42" s="1"/>
      <c r="G42" s="1"/>
      <c r="I42" s="18"/>
      <c r="AJ42" s="2">
        <f t="shared" si="0"/>
        <v>2</v>
      </c>
      <c r="AL42" s="2">
        <f t="shared" si="1"/>
        <v>0</v>
      </c>
    </row>
    <row r="43" spans="1:38" ht="28.8" x14ac:dyDescent="0.3">
      <c r="A43" s="5" t="s">
        <v>3197</v>
      </c>
      <c r="B43" s="74" t="s">
        <v>3288</v>
      </c>
      <c r="C43" s="38" t="s">
        <v>3200</v>
      </c>
      <c r="D43" s="1"/>
      <c r="E43" s="1"/>
      <c r="F43" s="1"/>
      <c r="G43" s="1"/>
      <c r="I43" s="18"/>
      <c r="AJ43" s="2">
        <f t="shared" si="0"/>
        <v>2</v>
      </c>
      <c r="AL43" s="2">
        <f t="shared" si="1"/>
        <v>0</v>
      </c>
    </row>
    <row r="44" spans="1:38" ht="28.8" x14ac:dyDescent="0.3">
      <c r="A44" s="5" t="s">
        <v>1329</v>
      </c>
      <c r="B44" s="5"/>
      <c r="C44" s="5"/>
      <c r="D44" s="1"/>
      <c r="E44" s="1"/>
      <c r="F44" s="1"/>
      <c r="G44" s="1"/>
      <c r="M44" s="1" t="s">
        <v>1330</v>
      </c>
      <c r="AJ44" s="2">
        <f t="shared" si="0"/>
        <v>1</v>
      </c>
      <c r="AL44" s="2">
        <f t="shared" si="1"/>
        <v>1</v>
      </c>
    </row>
    <row r="45" spans="1:38" ht="28.8" x14ac:dyDescent="0.3">
      <c r="A45" s="5" t="s">
        <v>2847</v>
      </c>
      <c r="B45" s="5"/>
      <c r="C45" s="5"/>
      <c r="D45" s="1"/>
      <c r="E45" s="1"/>
      <c r="F45" s="1"/>
      <c r="G45" s="1"/>
      <c r="T45" s="54" t="s">
        <v>984</v>
      </c>
      <c r="AD45" s="1" t="s">
        <v>1074</v>
      </c>
      <c r="AJ45" s="2">
        <f t="shared" si="0"/>
        <v>2</v>
      </c>
      <c r="AL45" s="2">
        <f t="shared" si="1"/>
        <v>0</v>
      </c>
    </row>
    <row r="46" spans="1:38" x14ac:dyDescent="0.3">
      <c r="A46" s="5" t="s">
        <v>2321</v>
      </c>
      <c r="B46" s="5"/>
      <c r="C46" s="5"/>
      <c r="D46" s="1"/>
      <c r="E46" s="1"/>
      <c r="F46" s="1"/>
      <c r="G46" s="1"/>
      <c r="T46" s="1" t="s">
        <v>999</v>
      </c>
      <c r="AJ46" s="2">
        <f t="shared" si="0"/>
        <v>1</v>
      </c>
      <c r="AL46" s="2">
        <f t="shared" si="1"/>
        <v>0</v>
      </c>
    </row>
    <row r="47" spans="1:38" x14ac:dyDescent="0.3">
      <c r="A47" s="5" t="s">
        <v>2322</v>
      </c>
      <c r="B47" s="5"/>
      <c r="C47" s="5"/>
      <c r="D47" s="1"/>
      <c r="E47" s="1"/>
      <c r="F47" s="1"/>
      <c r="G47" s="1"/>
      <c r="T47" s="1" t="s">
        <v>1000</v>
      </c>
      <c r="AJ47" s="2">
        <f t="shared" si="0"/>
        <v>1</v>
      </c>
      <c r="AL47" s="2">
        <f t="shared" si="1"/>
        <v>0</v>
      </c>
    </row>
    <row r="48" spans="1:38" ht="28.8" x14ac:dyDescent="0.3">
      <c r="A48" s="5" t="s">
        <v>2341</v>
      </c>
      <c r="B48" s="5"/>
      <c r="C48" s="5"/>
      <c r="D48" s="1"/>
      <c r="E48" s="1"/>
      <c r="F48" s="1"/>
      <c r="G48" s="1"/>
      <c r="T48" s="1" t="s">
        <v>1199</v>
      </c>
      <c r="AJ48" s="2">
        <f t="shared" si="0"/>
        <v>1</v>
      </c>
      <c r="AL48" s="2">
        <f t="shared" si="1"/>
        <v>0</v>
      </c>
    </row>
    <row r="49" spans="1:38" ht="28.8" x14ac:dyDescent="0.3">
      <c r="A49" s="5" t="s">
        <v>3026</v>
      </c>
      <c r="B49" s="5"/>
      <c r="C49" s="5"/>
      <c r="D49" s="1"/>
      <c r="E49" s="1"/>
      <c r="F49" s="1"/>
      <c r="G49" s="1"/>
      <c r="Z49" s="53" t="s">
        <v>11</v>
      </c>
      <c r="AG49" s="54" t="s">
        <v>984</v>
      </c>
      <c r="AH49" s="1" t="s">
        <v>991</v>
      </c>
      <c r="AJ49" s="2">
        <f t="shared" si="0"/>
        <v>3</v>
      </c>
      <c r="AL49" s="2">
        <f t="shared" si="1"/>
        <v>0</v>
      </c>
    </row>
    <row r="50" spans="1:38" ht="28.8" x14ac:dyDescent="0.3">
      <c r="A50" s="5" t="s">
        <v>3027</v>
      </c>
      <c r="B50" s="5"/>
      <c r="C50" s="5"/>
      <c r="D50" s="1"/>
      <c r="E50" s="1"/>
      <c r="F50" s="1"/>
      <c r="G50" s="1"/>
      <c r="Z50" s="53" t="s">
        <v>17</v>
      </c>
      <c r="AG50" s="53" t="s">
        <v>985</v>
      </c>
      <c r="AH50" s="1" t="s">
        <v>992</v>
      </c>
      <c r="AJ50" s="2">
        <f t="shared" si="0"/>
        <v>3</v>
      </c>
      <c r="AL50" s="2">
        <f t="shared" si="1"/>
        <v>0</v>
      </c>
    </row>
    <row r="51" spans="1:38" ht="28.8" x14ac:dyDescent="0.3">
      <c r="A51" s="5" t="s">
        <v>3028</v>
      </c>
      <c r="B51" s="5"/>
      <c r="C51" s="5"/>
      <c r="D51" s="1"/>
      <c r="E51" s="1"/>
      <c r="F51" s="1"/>
      <c r="G51" s="1"/>
      <c r="AG51" s="53" t="s">
        <v>986</v>
      </c>
      <c r="AH51" s="1" t="s">
        <v>993</v>
      </c>
      <c r="AJ51" s="2">
        <f t="shared" si="0"/>
        <v>2</v>
      </c>
      <c r="AL51" s="2">
        <f t="shared" si="1"/>
        <v>0</v>
      </c>
    </row>
    <row r="52" spans="1:38" ht="28.8" x14ac:dyDescent="0.3">
      <c r="A52" s="5" t="s">
        <v>2737</v>
      </c>
      <c r="B52" s="5"/>
      <c r="C52" s="5"/>
      <c r="D52" s="1"/>
      <c r="E52" s="1"/>
      <c r="F52" s="1"/>
      <c r="G52" s="1"/>
      <c r="AB52" s="54" t="s">
        <v>2154</v>
      </c>
      <c r="AD52" s="1" t="s">
        <v>1122</v>
      </c>
      <c r="AJ52" s="2">
        <f t="shared" si="0"/>
        <v>2</v>
      </c>
      <c r="AL52" s="2">
        <f t="shared" si="1"/>
        <v>0</v>
      </c>
    </row>
    <row r="53" spans="1:38" ht="28.8" x14ac:dyDescent="0.3">
      <c r="A53" s="5" t="s">
        <v>2849</v>
      </c>
      <c r="B53" s="5"/>
      <c r="C53" s="5"/>
      <c r="D53" s="1"/>
      <c r="E53" s="1"/>
      <c r="F53" s="1"/>
      <c r="G53" s="1"/>
      <c r="AD53" s="1" t="s">
        <v>1076</v>
      </c>
      <c r="AJ53" s="2">
        <f t="shared" si="0"/>
        <v>1</v>
      </c>
      <c r="AL53" s="2">
        <f t="shared" si="1"/>
        <v>0</v>
      </c>
    </row>
    <row r="54" spans="1:38" x14ac:dyDescent="0.3">
      <c r="A54" s="5" t="s">
        <v>2846</v>
      </c>
      <c r="B54" s="5"/>
      <c r="C54" s="5"/>
      <c r="D54" s="1"/>
      <c r="E54" s="1"/>
      <c r="F54" s="1"/>
      <c r="G54" s="1"/>
      <c r="AD54" s="1" t="s">
        <v>1454</v>
      </c>
      <c r="AJ54" s="2">
        <f t="shared" si="0"/>
        <v>1</v>
      </c>
      <c r="AL54" s="2">
        <f t="shared" si="1"/>
        <v>0</v>
      </c>
    </row>
    <row r="55" spans="1:38" x14ac:dyDescent="0.3">
      <c r="A55" s="5" t="s">
        <v>2886</v>
      </c>
      <c r="B55" s="5"/>
      <c r="C55" s="5"/>
      <c r="D55" s="1"/>
      <c r="E55" s="1"/>
      <c r="F55" s="1"/>
      <c r="G55" s="1"/>
      <c r="AD55" s="1" t="s">
        <v>2887</v>
      </c>
      <c r="AJ55" s="2">
        <f t="shared" si="0"/>
        <v>1</v>
      </c>
      <c r="AL55" s="2">
        <f t="shared" si="1"/>
        <v>0</v>
      </c>
    </row>
    <row r="56" spans="1:38" x14ac:dyDescent="0.3">
      <c r="A56" s="5"/>
      <c r="B56" s="5"/>
      <c r="C56" s="5"/>
      <c r="D56" s="1"/>
      <c r="E56" s="1"/>
      <c r="F56" s="1"/>
      <c r="G56" s="1"/>
    </row>
    <row r="57" spans="1:38" x14ac:dyDescent="0.3">
      <c r="A57" s="5"/>
      <c r="B57" s="5"/>
      <c r="C57" s="5"/>
      <c r="D57" s="1"/>
      <c r="E57" s="1"/>
      <c r="F57" s="1"/>
      <c r="G57" s="1"/>
    </row>
    <row r="58" spans="1:38" x14ac:dyDescent="0.3">
      <c r="A58" s="5"/>
      <c r="B58" s="5"/>
      <c r="C58" s="5"/>
      <c r="D58" s="1"/>
      <c r="E58" s="1"/>
      <c r="F58" s="1"/>
      <c r="G58" s="1"/>
    </row>
    <row r="59" spans="1:38" x14ac:dyDescent="0.3">
      <c r="A59" s="5"/>
      <c r="B59" s="5"/>
      <c r="C59" s="5"/>
      <c r="D59" s="1"/>
      <c r="E59" s="1"/>
      <c r="F59" s="1"/>
      <c r="G59" s="1"/>
    </row>
    <row r="60" spans="1:38" x14ac:dyDescent="0.3">
      <c r="A60" s="5"/>
      <c r="B60" s="5"/>
      <c r="C60" s="5"/>
      <c r="D60" s="1"/>
      <c r="E60" s="1"/>
      <c r="F60" s="1"/>
      <c r="G60" s="1"/>
    </row>
    <row r="61" spans="1:38" x14ac:dyDescent="0.3">
      <c r="A61" s="5"/>
      <c r="B61" s="5"/>
      <c r="C61" s="5"/>
      <c r="D61" s="1"/>
      <c r="E61" s="1"/>
      <c r="F61" s="1"/>
      <c r="G61" s="1"/>
    </row>
    <row r="62" spans="1:38" x14ac:dyDescent="0.3">
      <c r="A62" s="5"/>
      <c r="B62" s="5"/>
      <c r="C62" s="5"/>
      <c r="D62" s="1"/>
      <c r="E62" s="1"/>
      <c r="F62" s="1"/>
      <c r="G62" s="1"/>
    </row>
    <row r="63" spans="1:38" x14ac:dyDescent="0.3">
      <c r="A63" s="5"/>
      <c r="B63" s="5"/>
      <c r="C63" s="5"/>
      <c r="D63" s="1"/>
      <c r="E63" s="1"/>
      <c r="F63" s="1"/>
      <c r="G63" s="1"/>
    </row>
    <row r="64" spans="1:38"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D940-DE01-4376-B146-F57EB0E36F1C}">
  <sheetPr codeName="Sheet6"/>
  <dimension ref="A1:AN290"/>
  <sheetViews>
    <sheetView rightToLeft="1" workbookViewId="0">
      <pane xSplit="1" ySplit="1" topLeftCell="D117" activePane="bottomRight" state="frozen"/>
      <selection activeCell="S94" sqref="S94"/>
      <selection pane="topRight" activeCell="S94" sqref="S94"/>
      <selection pane="bottomLeft" activeCell="S94" sqref="S94"/>
      <selection pane="bottomRight" activeCell="N137" sqref="N137"/>
    </sheetView>
  </sheetViews>
  <sheetFormatPr defaultColWidth="8.77734375" defaultRowHeight="14.4" x14ac:dyDescent="0.3"/>
  <cols>
    <col min="1" max="1" width="52.21875" style="2" customWidth="1"/>
    <col min="2" max="2" width="10" style="2" customWidth="1"/>
    <col min="3" max="3" width="10.77734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65</v>
      </c>
      <c r="B2" s="51" t="s">
        <v>3247</v>
      </c>
      <c r="C2" s="5" t="s">
        <v>66</v>
      </c>
      <c r="D2" s="54" t="s">
        <v>66</v>
      </c>
      <c r="E2" s="67" t="s">
        <v>368</v>
      </c>
      <c r="F2" s="67" t="s">
        <v>66</v>
      </c>
      <c r="G2" s="67" t="s">
        <v>445</v>
      </c>
      <c r="H2" s="75" t="s">
        <v>619</v>
      </c>
      <c r="I2" s="50" t="s">
        <v>96</v>
      </c>
      <c r="J2" s="50" t="s">
        <v>929</v>
      </c>
      <c r="K2" s="56" t="s">
        <v>880</v>
      </c>
      <c r="L2" s="50" t="s">
        <v>917</v>
      </c>
      <c r="M2" s="50" t="s">
        <v>442</v>
      </c>
      <c r="N2" s="50" t="s">
        <v>1506</v>
      </c>
      <c r="O2" s="56" t="s">
        <v>1715</v>
      </c>
      <c r="P2" s="29"/>
      <c r="Q2" s="50" t="s">
        <v>2094</v>
      </c>
      <c r="R2" s="50" t="s">
        <v>2117</v>
      </c>
      <c r="S2" s="3" t="s">
        <v>880</v>
      </c>
      <c r="T2" s="3"/>
      <c r="U2" s="3"/>
      <c r="V2" s="3"/>
      <c r="W2" s="3"/>
      <c r="X2" s="3"/>
      <c r="Y2" s="3"/>
      <c r="Z2" s="3"/>
      <c r="AA2" s="3"/>
      <c r="AB2" s="3"/>
      <c r="AC2" s="3"/>
      <c r="AD2" s="3"/>
      <c r="AE2" s="3"/>
      <c r="AF2" s="3"/>
      <c r="AG2" s="3"/>
      <c r="AH2" s="3"/>
      <c r="AJ2" s="2">
        <f>COUNTA(B2:AH2)</f>
        <v>17</v>
      </c>
      <c r="AL2" s="2">
        <f>COUNTA(F2:O2,R2:S2)</f>
        <v>12</v>
      </c>
      <c r="AN2" s="2">
        <f>COUNTIF(AL2:AL179,"&gt;=2")</f>
        <v>46</v>
      </c>
    </row>
    <row r="3" spans="1:40" x14ac:dyDescent="0.3">
      <c r="A3" s="5" t="s">
        <v>67</v>
      </c>
      <c r="B3" s="51" t="s">
        <v>3249</v>
      </c>
      <c r="C3" s="5" t="s">
        <v>68</v>
      </c>
      <c r="D3" s="54" t="s">
        <v>68</v>
      </c>
      <c r="E3" s="67" t="s">
        <v>369</v>
      </c>
      <c r="F3" s="12" t="s">
        <v>68</v>
      </c>
      <c r="G3" s="12"/>
      <c r="AJ3" s="2">
        <f>COUNTA(B3:AH3)</f>
        <v>5</v>
      </c>
      <c r="AL3" s="2">
        <f t="shared" ref="AL3:AL67" si="0">COUNTA(F3:O3,R3:S3)</f>
        <v>1</v>
      </c>
    </row>
    <row r="4" spans="1:40" x14ac:dyDescent="0.3">
      <c r="A4" s="5" t="s">
        <v>451</v>
      </c>
      <c r="B4" s="51" t="s">
        <v>3248</v>
      </c>
      <c r="C4" s="64" t="s">
        <v>3159</v>
      </c>
      <c r="D4" s="1"/>
      <c r="E4" s="12"/>
      <c r="F4" s="12"/>
      <c r="G4" s="67" t="s">
        <v>452</v>
      </c>
      <c r="H4" s="12" t="s">
        <v>624</v>
      </c>
      <c r="AJ4" s="2">
        <f t="shared" ref="AJ4:AJ67" si="1">COUNTA(B4:AH4)</f>
        <v>4</v>
      </c>
      <c r="AL4" s="2">
        <f t="shared" si="0"/>
        <v>2</v>
      </c>
    </row>
    <row r="5" spans="1:40" x14ac:dyDescent="0.3">
      <c r="A5" s="5" t="s">
        <v>1157</v>
      </c>
      <c r="B5" s="5"/>
      <c r="C5" s="5"/>
      <c r="D5" s="1"/>
      <c r="E5" s="12"/>
      <c r="F5" s="12"/>
      <c r="G5" s="12"/>
      <c r="H5" s="12"/>
      <c r="K5" s="1" t="s">
        <v>905</v>
      </c>
      <c r="AJ5" s="2">
        <f t="shared" si="1"/>
        <v>1</v>
      </c>
      <c r="AL5" s="2">
        <f t="shared" si="0"/>
        <v>1</v>
      </c>
    </row>
    <row r="6" spans="1:40" x14ac:dyDescent="0.3">
      <c r="A6" s="5" t="s">
        <v>1279</v>
      </c>
      <c r="B6" s="6"/>
      <c r="C6" s="5"/>
      <c r="D6" s="1"/>
      <c r="E6" s="12"/>
      <c r="F6" s="12"/>
      <c r="G6" s="12"/>
      <c r="H6" s="12"/>
      <c r="M6" s="1" t="s">
        <v>437</v>
      </c>
      <c r="AJ6" s="2">
        <f t="shared" si="1"/>
        <v>1</v>
      </c>
      <c r="AL6" s="2">
        <f t="shared" si="0"/>
        <v>1</v>
      </c>
    </row>
    <row r="7" spans="1:40" x14ac:dyDescent="0.3">
      <c r="A7" s="5" t="s">
        <v>2292</v>
      </c>
      <c r="B7" s="51" t="s">
        <v>3250</v>
      </c>
      <c r="C7" s="5" t="s">
        <v>69</v>
      </c>
      <c r="D7" s="54" t="s">
        <v>69</v>
      </c>
      <c r="E7" s="67" t="s">
        <v>3158</v>
      </c>
      <c r="F7" s="67" t="s">
        <v>69</v>
      </c>
      <c r="G7" s="67" t="s">
        <v>447</v>
      </c>
      <c r="H7" s="67" t="s">
        <v>620</v>
      </c>
      <c r="I7" s="53" t="s">
        <v>240</v>
      </c>
      <c r="J7" s="53" t="s">
        <v>928</v>
      </c>
      <c r="K7" s="54" t="s">
        <v>899</v>
      </c>
      <c r="L7" s="53" t="s">
        <v>914</v>
      </c>
      <c r="M7" s="53" t="s">
        <v>440</v>
      </c>
      <c r="N7" s="53" t="s">
        <v>1505</v>
      </c>
      <c r="O7" s="54" t="s">
        <v>1716</v>
      </c>
      <c r="Q7" s="53" t="s">
        <v>2115</v>
      </c>
      <c r="R7" s="53" t="s">
        <v>2116</v>
      </c>
      <c r="S7" s="1" t="s">
        <v>898</v>
      </c>
      <c r="AJ7" s="2">
        <f t="shared" si="1"/>
        <v>17</v>
      </c>
      <c r="AL7" s="2">
        <f t="shared" si="0"/>
        <v>12</v>
      </c>
    </row>
    <row r="8" spans="1:40" x14ac:dyDescent="0.3">
      <c r="A8" s="5" t="s">
        <v>1283</v>
      </c>
      <c r="B8" s="6"/>
      <c r="C8" s="5"/>
      <c r="D8" s="1"/>
      <c r="E8" s="1"/>
      <c r="F8" s="12"/>
      <c r="G8" s="12"/>
      <c r="H8" s="12"/>
      <c r="M8" s="1" t="s">
        <v>222</v>
      </c>
      <c r="AJ8" s="2">
        <f t="shared" si="1"/>
        <v>1</v>
      </c>
      <c r="AL8" s="2">
        <f t="shared" si="0"/>
        <v>1</v>
      </c>
    </row>
    <row r="9" spans="1:40" x14ac:dyDescent="0.3">
      <c r="A9" s="5" t="s">
        <v>731</v>
      </c>
      <c r="B9" s="6"/>
      <c r="C9" s="5"/>
      <c r="D9" s="1"/>
      <c r="E9" s="1"/>
      <c r="F9" s="12"/>
      <c r="G9" s="12"/>
      <c r="H9" s="12"/>
      <c r="I9" s="53" t="s">
        <v>239</v>
      </c>
      <c r="J9" s="1" t="s">
        <v>927</v>
      </c>
      <c r="AJ9" s="2">
        <f t="shared" si="1"/>
        <v>2</v>
      </c>
      <c r="AL9" s="2">
        <f t="shared" si="0"/>
        <v>2</v>
      </c>
    </row>
    <row r="10" spans="1:40" x14ac:dyDescent="0.3">
      <c r="A10" s="5" t="s">
        <v>621</v>
      </c>
      <c r="B10" s="6"/>
      <c r="C10" s="5"/>
      <c r="D10" s="1"/>
      <c r="E10" s="1"/>
      <c r="F10" s="12"/>
      <c r="G10" s="12"/>
      <c r="H10" s="12" t="s">
        <v>448</v>
      </c>
      <c r="AJ10" s="2">
        <f t="shared" si="1"/>
        <v>1</v>
      </c>
      <c r="AL10" s="2">
        <f t="shared" si="0"/>
        <v>1</v>
      </c>
    </row>
    <row r="11" spans="1:40" x14ac:dyDescent="0.3">
      <c r="A11" s="5" t="s">
        <v>196</v>
      </c>
      <c r="B11" s="51" t="s">
        <v>3251</v>
      </c>
      <c r="C11" s="64" t="s">
        <v>197</v>
      </c>
      <c r="D11" s="1"/>
      <c r="E11" s="67" t="s">
        <v>371</v>
      </c>
      <c r="F11" s="67" t="s">
        <v>197</v>
      </c>
      <c r="G11" s="67" t="s">
        <v>453</v>
      </c>
      <c r="H11" s="67" t="s">
        <v>625</v>
      </c>
      <c r="I11" s="53" t="s">
        <v>97</v>
      </c>
      <c r="J11" s="53" t="s">
        <v>930</v>
      </c>
      <c r="K11" s="54" t="s">
        <v>900</v>
      </c>
      <c r="M11" s="53" t="s">
        <v>443</v>
      </c>
      <c r="N11" s="1" t="s">
        <v>1503</v>
      </c>
      <c r="AJ11" s="2">
        <f t="shared" si="1"/>
        <v>11</v>
      </c>
      <c r="AL11" s="2">
        <f t="shared" si="0"/>
        <v>8</v>
      </c>
    </row>
    <row r="12" spans="1:40" x14ac:dyDescent="0.3">
      <c r="A12" s="5" t="s">
        <v>70</v>
      </c>
      <c r="B12" s="1"/>
      <c r="C12" s="5" t="s">
        <v>71</v>
      </c>
      <c r="D12" s="54" t="s">
        <v>71</v>
      </c>
      <c r="E12" s="67" t="s">
        <v>370</v>
      </c>
      <c r="F12" s="67" t="s">
        <v>71</v>
      </c>
      <c r="G12" s="12"/>
      <c r="AJ12" s="2">
        <f t="shared" si="1"/>
        <v>4</v>
      </c>
      <c r="AL12" s="2">
        <f t="shared" si="0"/>
        <v>1</v>
      </c>
    </row>
    <row r="13" spans="1:40" x14ac:dyDescent="0.3">
      <c r="A13" s="5" t="s">
        <v>3160</v>
      </c>
      <c r="B13" s="1"/>
      <c r="C13" s="64" t="s">
        <v>3161</v>
      </c>
      <c r="D13" s="1"/>
      <c r="E13" s="12"/>
      <c r="F13" s="12"/>
      <c r="G13" s="12"/>
      <c r="AJ13" s="2">
        <f t="shared" si="1"/>
        <v>1</v>
      </c>
      <c r="AL13" s="2">
        <f t="shared" si="0"/>
        <v>0</v>
      </c>
    </row>
    <row r="14" spans="1:40" x14ac:dyDescent="0.3">
      <c r="A14" s="5" t="s">
        <v>1156</v>
      </c>
      <c r="B14" s="53" t="s">
        <v>3252</v>
      </c>
      <c r="C14" s="64" t="s">
        <v>77</v>
      </c>
      <c r="D14" s="1"/>
      <c r="E14" s="1"/>
      <c r="F14" s="67" t="s">
        <v>195</v>
      </c>
      <c r="G14" s="67" t="s">
        <v>448</v>
      </c>
      <c r="H14" s="67" t="s">
        <v>622</v>
      </c>
      <c r="I14" s="53" t="s">
        <v>58</v>
      </c>
      <c r="J14" s="53" t="s">
        <v>931</v>
      </c>
      <c r="K14" s="54" t="s">
        <v>881</v>
      </c>
      <c r="AJ14" s="2">
        <f t="shared" si="1"/>
        <v>8</v>
      </c>
      <c r="AL14" s="2">
        <f t="shared" si="0"/>
        <v>6</v>
      </c>
    </row>
    <row r="15" spans="1:40" x14ac:dyDescent="0.3">
      <c r="A15" s="5" t="s">
        <v>72</v>
      </c>
      <c r="B15" s="64" t="s">
        <v>3255</v>
      </c>
      <c r="C15" s="5" t="s">
        <v>73</v>
      </c>
      <c r="D15" s="54" t="s">
        <v>73</v>
      </c>
      <c r="E15" s="67" t="s">
        <v>372</v>
      </c>
      <c r="F15" s="67" t="s">
        <v>73</v>
      </c>
      <c r="G15" s="67" t="s">
        <v>454</v>
      </c>
      <c r="I15" s="53" t="s">
        <v>98</v>
      </c>
      <c r="J15" s="53" t="s">
        <v>932</v>
      </c>
      <c r="K15" s="54" t="s">
        <v>882</v>
      </c>
      <c r="AJ15" s="2">
        <f t="shared" si="1"/>
        <v>9</v>
      </c>
      <c r="AL15" s="2">
        <f t="shared" si="0"/>
        <v>5</v>
      </c>
    </row>
    <row r="16" spans="1:40" x14ac:dyDescent="0.3">
      <c r="A16" s="5" t="s">
        <v>74</v>
      </c>
      <c r="B16" s="53" t="s">
        <v>3253</v>
      </c>
      <c r="C16" s="5" t="s">
        <v>75</v>
      </c>
      <c r="D16" s="59" t="s">
        <v>75</v>
      </c>
      <c r="E16" s="1"/>
      <c r="F16" s="67" t="s">
        <v>75</v>
      </c>
      <c r="G16" s="67" t="s">
        <v>450</v>
      </c>
      <c r="H16" s="67" t="s">
        <v>623</v>
      </c>
      <c r="I16" s="53" t="s">
        <v>99</v>
      </c>
      <c r="J16" s="53" t="s">
        <v>933</v>
      </c>
      <c r="K16" s="54" t="s">
        <v>903</v>
      </c>
      <c r="AJ16" s="2">
        <f t="shared" si="1"/>
        <v>9</v>
      </c>
      <c r="AL16" s="2">
        <f t="shared" si="0"/>
        <v>6</v>
      </c>
    </row>
    <row r="17" spans="1:38" x14ac:dyDescent="0.3">
      <c r="A17" s="5" t="s">
        <v>1158</v>
      </c>
      <c r="B17" s="1"/>
      <c r="C17" s="5"/>
      <c r="D17" s="1"/>
      <c r="E17" s="1"/>
      <c r="F17" s="12"/>
      <c r="G17" s="12"/>
      <c r="H17" s="12"/>
      <c r="K17" s="54" t="s">
        <v>901</v>
      </c>
      <c r="AJ17" s="2">
        <f t="shared" si="1"/>
        <v>1</v>
      </c>
      <c r="AL17" s="2">
        <f t="shared" si="0"/>
        <v>1</v>
      </c>
    </row>
    <row r="18" spans="1:38" x14ac:dyDescent="0.3">
      <c r="A18" s="5" t="s">
        <v>76</v>
      </c>
      <c r="B18" s="1"/>
      <c r="C18" s="5"/>
      <c r="D18" s="54" t="s">
        <v>77</v>
      </c>
      <c r="E18" s="1"/>
      <c r="F18" s="67" t="s">
        <v>77</v>
      </c>
      <c r="G18" s="12" t="s">
        <v>455</v>
      </c>
      <c r="AJ18" s="2">
        <f t="shared" si="1"/>
        <v>3</v>
      </c>
      <c r="AL18" s="2">
        <f t="shared" si="0"/>
        <v>2</v>
      </c>
    </row>
    <row r="19" spans="1:38" x14ac:dyDescent="0.3">
      <c r="A19" s="5" t="s">
        <v>78</v>
      </c>
      <c r="B19" s="53" t="s">
        <v>3254</v>
      </c>
      <c r="C19" s="5" t="s">
        <v>79</v>
      </c>
      <c r="D19" s="54" t="s">
        <v>79</v>
      </c>
      <c r="E19" s="1"/>
      <c r="F19" s="1"/>
      <c r="G19" s="12"/>
      <c r="AJ19" s="2">
        <f t="shared" si="1"/>
        <v>3</v>
      </c>
      <c r="AL19" s="2">
        <f t="shared" si="0"/>
        <v>0</v>
      </c>
    </row>
    <row r="20" spans="1:38" x14ac:dyDescent="0.3">
      <c r="A20" s="5" t="s">
        <v>198</v>
      </c>
      <c r="B20" s="1"/>
      <c r="C20" s="5"/>
      <c r="D20" s="1"/>
      <c r="E20" s="1"/>
      <c r="F20" s="67" t="s">
        <v>199</v>
      </c>
      <c r="G20" s="12" t="s">
        <v>449</v>
      </c>
      <c r="AJ20" s="2">
        <f t="shared" si="1"/>
        <v>2</v>
      </c>
      <c r="AL20" s="2">
        <f t="shared" si="0"/>
        <v>2</v>
      </c>
    </row>
    <row r="21" spans="1:38" x14ac:dyDescent="0.3">
      <c r="A21" s="5" t="s">
        <v>80</v>
      </c>
      <c r="B21" s="53" t="s">
        <v>3257</v>
      </c>
      <c r="C21" s="5" t="s">
        <v>81</v>
      </c>
      <c r="D21" s="54" t="s">
        <v>81</v>
      </c>
      <c r="E21" s="67" t="s">
        <v>373</v>
      </c>
      <c r="F21" s="67" t="s">
        <v>81</v>
      </c>
      <c r="G21" s="12" t="s">
        <v>456</v>
      </c>
      <c r="AJ21" s="2">
        <f t="shared" si="1"/>
        <v>6</v>
      </c>
      <c r="AL21" s="2">
        <f t="shared" si="0"/>
        <v>2</v>
      </c>
    </row>
    <row r="22" spans="1:38" x14ac:dyDescent="0.3">
      <c r="A22" s="5" t="s">
        <v>200</v>
      </c>
      <c r="B22" s="1"/>
      <c r="C22" s="5"/>
      <c r="D22" s="1"/>
      <c r="E22" s="1"/>
      <c r="F22" s="12" t="s">
        <v>201</v>
      </c>
      <c r="G22" s="12"/>
      <c r="AJ22" s="2">
        <f t="shared" si="1"/>
        <v>1</v>
      </c>
      <c r="AL22" s="2">
        <f t="shared" si="0"/>
        <v>1</v>
      </c>
    </row>
    <row r="23" spans="1:38" x14ac:dyDescent="0.3">
      <c r="A23" s="5" t="s">
        <v>628</v>
      </c>
      <c r="B23" s="1"/>
      <c r="C23" s="5"/>
      <c r="D23" s="1"/>
      <c r="E23" s="1"/>
      <c r="F23" s="12"/>
      <c r="G23" s="12"/>
      <c r="H23" s="12" t="s">
        <v>629</v>
      </c>
      <c r="AJ23" s="2">
        <f t="shared" si="1"/>
        <v>1</v>
      </c>
      <c r="AL23" s="2">
        <f t="shared" si="0"/>
        <v>1</v>
      </c>
    </row>
    <row r="24" spans="1:38" x14ac:dyDescent="0.3">
      <c r="A24" s="5" t="s">
        <v>457</v>
      </c>
      <c r="B24" s="1"/>
      <c r="C24" s="5"/>
      <c r="D24" s="1"/>
      <c r="E24" s="1"/>
      <c r="F24" s="12"/>
      <c r="G24" s="67" t="s">
        <v>461</v>
      </c>
      <c r="H24" s="12" t="s">
        <v>626</v>
      </c>
      <c r="AJ24" s="2">
        <f t="shared" si="1"/>
        <v>2</v>
      </c>
      <c r="AL24" s="2">
        <f t="shared" si="0"/>
        <v>2</v>
      </c>
    </row>
    <row r="25" spans="1:38" x14ac:dyDescent="0.3">
      <c r="A25" s="5" t="s">
        <v>458</v>
      </c>
      <c r="B25" s="1"/>
      <c r="C25" s="5"/>
      <c r="D25" s="1"/>
      <c r="E25" s="1"/>
      <c r="F25" s="12"/>
      <c r="G25" s="12" t="s">
        <v>462</v>
      </c>
      <c r="H25" s="12"/>
      <c r="AJ25" s="2">
        <f t="shared" si="1"/>
        <v>1</v>
      </c>
      <c r="AL25" s="2">
        <f t="shared" si="0"/>
        <v>1</v>
      </c>
    </row>
    <row r="26" spans="1:38" x14ac:dyDescent="0.3">
      <c r="A26" s="5" t="s">
        <v>459</v>
      </c>
      <c r="B26" s="64" t="s">
        <v>3256</v>
      </c>
      <c r="C26" s="64" t="s">
        <v>3162</v>
      </c>
      <c r="D26" s="1"/>
      <c r="E26" s="1"/>
      <c r="F26" s="12"/>
      <c r="G26" s="12" t="s">
        <v>463</v>
      </c>
      <c r="H26" s="12"/>
      <c r="AJ26" s="2">
        <f t="shared" si="1"/>
        <v>3</v>
      </c>
      <c r="AL26" s="2">
        <f t="shared" si="0"/>
        <v>1</v>
      </c>
    </row>
    <row r="27" spans="1:38" x14ac:dyDescent="0.3">
      <c r="A27" s="5" t="s">
        <v>460</v>
      </c>
      <c r="B27" s="64" t="s">
        <v>3258</v>
      </c>
      <c r="C27" s="5"/>
      <c r="D27" s="1"/>
      <c r="E27" s="1"/>
      <c r="F27" s="12"/>
      <c r="G27" s="67" t="s">
        <v>464</v>
      </c>
      <c r="H27" s="12" t="s">
        <v>627</v>
      </c>
      <c r="AJ27" s="2">
        <f t="shared" si="1"/>
        <v>3</v>
      </c>
      <c r="AL27" s="2">
        <f t="shared" si="0"/>
        <v>2</v>
      </c>
    </row>
    <row r="28" spans="1:38" x14ac:dyDescent="0.3">
      <c r="A28" s="40" t="s">
        <v>3218</v>
      </c>
      <c r="B28" s="5"/>
      <c r="C28" s="38" t="s">
        <v>3223</v>
      </c>
      <c r="D28" s="1"/>
      <c r="E28" s="1"/>
      <c r="F28" s="12"/>
      <c r="G28" s="12"/>
      <c r="H28" s="12"/>
      <c r="AJ28" s="2">
        <f t="shared" si="1"/>
        <v>1</v>
      </c>
      <c r="AL28" s="2">
        <f t="shared" si="0"/>
        <v>0</v>
      </c>
    </row>
    <row r="29" spans="1:38" x14ac:dyDescent="0.3">
      <c r="A29" s="40" t="s">
        <v>3219</v>
      </c>
      <c r="B29" s="5"/>
      <c r="C29" s="38" t="s">
        <v>3224</v>
      </c>
      <c r="D29" s="1"/>
      <c r="E29" s="1"/>
      <c r="F29" s="12"/>
      <c r="G29" s="12"/>
      <c r="H29" s="12"/>
      <c r="AJ29" s="2">
        <f t="shared" si="1"/>
        <v>1</v>
      </c>
      <c r="AL29" s="2">
        <f t="shared" si="0"/>
        <v>0</v>
      </c>
    </row>
    <row r="30" spans="1:38" ht="28.8" x14ac:dyDescent="0.3">
      <c r="A30" s="40" t="s">
        <v>3220</v>
      </c>
      <c r="B30" s="5"/>
      <c r="C30" s="38" t="s">
        <v>3225</v>
      </c>
      <c r="D30" s="1"/>
      <c r="E30" s="1"/>
      <c r="F30" s="12"/>
      <c r="G30" s="12"/>
      <c r="H30" s="12"/>
      <c r="AJ30" s="2">
        <f t="shared" si="1"/>
        <v>1</v>
      </c>
      <c r="AL30" s="2">
        <f t="shared" si="0"/>
        <v>0</v>
      </c>
    </row>
    <row r="31" spans="1:38" x14ac:dyDescent="0.3">
      <c r="A31" s="40" t="s">
        <v>3221</v>
      </c>
      <c r="B31" s="5"/>
      <c r="C31" s="38" t="s">
        <v>3226</v>
      </c>
      <c r="D31" s="1"/>
      <c r="E31" s="1"/>
      <c r="F31" s="12"/>
      <c r="G31" s="12"/>
      <c r="H31" s="12"/>
      <c r="AJ31" s="2">
        <f t="shared" si="1"/>
        <v>1</v>
      </c>
      <c r="AL31" s="2">
        <f t="shared" si="0"/>
        <v>0</v>
      </c>
    </row>
    <row r="32" spans="1:38" x14ac:dyDescent="0.3">
      <c r="A32" s="40" t="s">
        <v>3222</v>
      </c>
      <c r="B32" s="5"/>
      <c r="C32" s="38" t="s">
        <v>3227</v>
      </c>
      <c r="D32" s="1"/>
      <c r="E32" s="1"/>
      <c r="F32" s="12"/>
      <c r="G32" s="12"/>
      <c r="H32" s="12"/>
      <c r="AJ32" s="2">
        <f t="shared" si="1"/>
        <v>1</v>
      </c>
      <c r="AL32" s="2">
        <f t="shared" si="0"/>
        <v>0</v>
      </c>
    </row>
    <row r="33" spans="1:38" ht="28.8" x14ac:dyDescent="0.3">
      <c r="A33" s="5" t="s">
        <v>83</v>
      </c>
      <c r="B33" s="5" t="s">
        <v>82</v>
      </c>
      <c r="C33" s="38" t="s">
        <v>82</v>
      </c>
      <c r="D33" s="59" t="s">
        <v>82</v>
      </c>
      <c r="E33" s="1"/>
      <c r="F33" s="1" t="s">
        <v>82</v>
      </c>
      <c r="G33" s="1"/>
      <c r="AJ33" s="2">
        <f t="shared" si="1"/>
        <v>4</v>
      </c>
      <c r="AL33" s="2">
        <f t="shared" si="0"/>
        <v>1</v>
      </c>
    </row>
    <row r="34" spans="1:38" ht="28.8" x14ac:dyDescent="0.3">
      <c r="A34" s="5" t="s">
        <v>84</v>
      </c>
      <c r="B34" s="5" t="s">
        <v>110</v>
      </c>
      <c r="C34" s="38" t="s">
        <v>110</v>
      </c>
      <c r="D34" s="59" t="s">
        <v>110</v>
      </c>
      <c r="E34" s="1"/>
      <c r="F34" s="1" t="s">
        <v>110</v>
      </c>
      <c r="G34" s="1"/>
      <c r="AJ34" s="2">
        <f t="shared" si="1"/>
        <v>4</v>
      </c>
      <c r="AL34" s="2">
        <f t="shared" si="0"/>
        <v>1</v>
      </c>
    </row>
    <row r="35" spans="1:38" x14ac:dyDescent="0.3">
      <c r="A35" s="5" t="s">
        <v>1286</v>
      </c>
      <c r="B35" s="5" t="s">
        <v>3203</v>
      </c>
      <c r="C35" s="71" t="s">
        <v>3203</v>
      </c>
      <c r="D35" s="1"/>
      <c r="E35" s="1"/>
      <c r="F35" s="1"/>
      <c r="G35" s="1"/>
      <c r="K35" s="54" t="s">
        <v>906</v>
      </c>
      <c r="L35" s="53" t="s">
        <v>922</v>
      </c>
      <c r="M35" s="53" t="s">
        <v>226</v>
      </c>
      <c r="N35" s="53" t="s">
        <v>1094</v>
      </c>
      <c r="O35" s="53" t="s">
        <v>1721</v>
      </c>
      <c r="Q35" s="53" t="s">
        <v>2122</v>
      </c>
      <c r="R35" s="53" t="s">
        <v>2123</v>
      </c>
      <c r="S35" s="1" t="s">
        <v>881</v>
      </c>
      <c r="AJ35" s="2">
        <f t="shared" si="1"/>
        <v>10</v>
      </c>
      <c r="AL35" s="2">
        <f t="shared" si="0"/>
        <v>7</v>
      </c>
    </row>
    <row r="36" spans="1:38" x14ac:dyDescent="0.3">
      <c r="A36" s="5" t="s">
        <v>1285</v>
      </c>
      <c r="B36" s="5"/>
      <c r="C36" s="38"/>
      <c r="D36" s="1"/>
      <c r="E36" s="1"/>
      <c r="F36" s="1"/>
      <c r="G36" s="1"/>
      <c r="L36" s="54" t="s">
        <v>916</v>
      </c>
      <c r="M36" s="53" t="s">
        <v>57</v>
      </c>
      <c r="N36" s="53" t="s">
        <v>1510</v>
      </c>
      <c r="O36" s="53" t="s">
        <v>1722</v>
      </c>
      <c r="Q36" s="53" t="s">
        <v>2126</v>
      </c>
      <c r="R36" s="53" t="s">
        <v>2127</v>
      </c>
      <c r="S36" s="1" t="s">
        <v>882</v>
      </c>
      <c r="AJ36" s="2">
        <f t="shared" si="1"/>
        <v>7</v>
      </c>
      <c r="AL36" s="2">
        <f t="shared" si="0"/>
        <v>6</v>
      </c>
    </row>
    <row r="37" spans="1:38" x14ac:dyDescent="0.3">
      <c r="A37" s="5" t="s">
        <v>1284</v>
      </c>
      <c r="B37" s="64" t="s">
        <v>3262</v>
      </c>
      <c r="C37" s="71" t="s">
        <v>3202</v>
      </c>
      <c r="D37" s="1"/>
      <c r="E37" s="1"/>
      <c r="F37" s="1"/>
      <c r="G37" s="1"/>
      <c r="M37" s="1" t="s">
        <v>224</v>
      </c>
      <c r="AJ37" s="2">
        <f t="shared" si="1"/>
        <v>3</v>
      </c>
      <c r="AL37" s="2">
        <f t="shared" si="0"/>
        <v>1</v>
      </c>
    </row>
    <row r="38" spans="1:38" x14ac:dyDescent="0.3">
      <c r="A38" s="5" t="s">
        <v>3263</v>
      </c>
      <c r="B38" s="5" t="s">
        <v>3264</v>
      </c>
      <c r="C38" s="38"/>
      <c r="D38" s="1"/>
      <c r="E38" s="1"/>
      <c r="F38" s="1"/>
      <c r="G38" s="1"/>
      <c r="AJ38" s="2">
        <f t="shared" si="1"/>
        <v>1</v>
      </c>
    </row>
    <row r="39" spans="1:38" x14ac:dyDescent="0.3">
      <c r="A39" s="5" t="s">
        <v>2128</v>
      </c>
      <c r="B39" s="5"/>
      <c r="C39" s="5"/>
      <c r="D39" s="1"/>
      <c r="E39" s="1"/>
      <c r="F39" s="1"/>
      <c r="G39" s="1"/>
      <c r="Q39" s="53" t="s">
        <v>2129</v>
      </c>
      <c r="R39" s="53" t="s">
        <v>2130</v>
      </c>
      <c r="S39" s="1" t="s">
        <v>903</v>
      </c>
      <c r="AJ39" s="2">
        <f t="shared" si="1"/>
        <v>3</v>
      </c>
      <c r="AL39" s="2">
        <f t="shared" si="0"/>
        <v>2</v>
      </c>
    </row>
    <row r="40" spans="1:38" x14ac:dyDescent="0.3">
      <c r="A40" s="5" t="s">
        <v>2137</v>
      </c>
      <c r="B40" s="5"/>
      <c r="C40" s="5"/>
      <c r="D40" s="1"/>
      <c r="E40" s="1"/>
      <c r="F40" s="1"/>
      <c r="G40" s="1"/>
      <c r="Q40" s="53" t="s">
        <v>2138</v>
      </c>
      <c r="R40" s="53" t="s">
        <v>2139</v>
      </c>
      <c r="S40" s="1" t="s">
        <v>904</v>
      </c>
      <c r="AJ40" s="2">
        <f t="shared" si="1"/>
        <v>3</v>
      </c>
      <c r="AL40" s="2">
        <f t="shared" si="0"/>
        <v>2</v>
      </c>
    </row>
    <row r="41" spans="1:38" x14ac:dyDescent="0.3">
      <c r="A41" s="5" t="s">
        <v>1507</v>
      </c>
      <c r="B41" s="5"/>
      <c r="C41" s="5"/>
      <c r="D41" s="1"/>
      <c r="E41" s="1"/>
      <c r="F41" s="1"/>
      <c r="G41" s="1"/>
      <c r="N41" s="1" t="s">
        <v>1092</v>
      </c>
      <c r="AJ41" s="2">
        <f t="shared" si="1"/>
        <v>1</v>
      </c>
      <c r="AL41" s="2">
        <f t="shared" si="0"/>
        <v>1</v>
      </c>
    </row>
    <row r="42" spans="1:38" x14ac:dyDescent="0.3">
      <c r="A42" s="5" t="s">
        <v>1508</v>
      </c>
      <c r="B42" s="5"/>
      <c r="C42" s="5"/>
      <c r="D42" s="1"/>
      <c r="E42" s="1"/>
      <c r="F42" s="1"/>
      <c r="G42" s="1"/>
      <c r="N42" s="1" t="s">
        <v>1509</v>
      </c>
      <c r="AJ42" s="2">
        <f t="shared" si="1"/>
        <v>1</v>
      </c>
      <c r="AL42" s="2">
        <f t="shared" si="0"/>
        <v>1</v>
      </c>
    </row>
    <row r="43" spans="1:38" x14ac:dyDescent="0.3">
      <c r="A43" s="5" t="s">
        <v>1723</v>
      </c>
      <c r="B43" s="5"/>
      <c r="C43" s="5"/>
      <c r="D43" s="1"/>
      <c r="E43" s="1"/>
      <c r="F43" s="1"/>
      <c r="G43" s="1"/>
      <c r="O43" s="53" t="s">
        <v>1725</v>
      </c>
      <c r="Q43" s="53" t="s">
        <v>2144</v>
      </c>
      <c r="R43" s="53" t="s">
        <v>2145</v>
      </c>
      <c r="S43" s="1" t="s">
        <v>908</v>
      </c>
      <c r="AJ43" s="2">
        <f t="shared" si="1"/>
        <v>4</v>
      </c>
      <c r="AL43" s="2">
        <f t="shared" si="0"/>
        <v>3</v>
      </c>
    </row>
    <row r="44" spans="1:38" x14ac:dyDescent="0.3">
      <c r="A44" s="5" t="s">
        <v>1724</v>
      </c>
      <c r="B44" s="5"/>
      <c r="C44" s="5"/>
      <c r="D44" s="1"/>
      <c r="E44" s="1"/>
      <c r="F44" s="1"/>
      <c r="G44" s="1"/>
      <c r="O44" s="53" t="s">
        <v>1726</v>
      </c>
      <c r="Q44" s="53" t="s">
        <v>2147</v>
      </c>
      <c r="R44" s="53" t="s">
        <v>2146</v>
      </c>
      <c r="S44" s="1" t="s">
        <v>909</v>
      </c>
      <c r="AJ44" s="2">
        <f t="shared" si="1"/>
        <v>4</v>
      </c>
      <c r="AL44" s="2">
        <f t="shared" si="0"/>
        <v>3</v>
      </c>
    </row>
    <row r="45" spans="1:38" x14ac:dyDescent="0.3">
      <c r="A45" s="5" t="s">
        <v>85</v>
      </c>
      <c r="B45" s="64" t="s">
        <v>3259</v>
      </c>
      <c r="C45" s="5" t="s">
        <v>86</v>
      </c>
      <c r="D45" s="54" t="s">
        <v>86</v>
      </c>
      <c r="E45" s="53" t="s">
        <v>374</v>
      </c>
      <c r="F45" s="53" t="s">
        <v>86</v>
      </c>
      <c r="G45" s="67" t="s">
        <v>446</v>
      </c>
      <c r="H45" s="67" t="s">
        <v>630</v>
      </c>
      <c r="I45" s="53" t="s">
        <v>242</v>
      </c>
      <c r="J45" s="53" t="s">
        <v>938</v>
      </c>
      <c r="L45" s="53" t="s">
        <v>920</v>
      </c>
      <c r="M45" s="53" t="s">
        <v>82</v>
      </c>
      <c r="N45" s="1" t="s">
        <v>1098</v>
      </c>
      <c r="AJ45" s="2">
        <f t="shared" si="1"/>
        <v>12</v>
      </c>
      <c r="AL45" s="2">
        <f t="shared" si="0"/>
        <v>8</v>
      </c>
    </row>
    <row r="46" spans="1:38" x14ac:dyDescent="0.3">
      <c r="A46" s="5" t="s">
        <v>942</v>
      </c>
      <c r="B46" s="5"/>
      <c r="C46" s="5"/>
      <c r="D46" s="1"/>
      <c r="E46" s="1"/>
      <c r="F46" s="1"/>
      <c r="G46" s="12"/>
      <c r="H46" s="12"/>
      <c r="J46" s="53" t="s">
        <v>943</v>
      </c>
      <c r="K46" s="53" t="s">
        <v>904</v>
      </c>
      <c r="L46" s="53" t="s">
        <v>915</v>
      </c>
      <c r="Q46" s="53" t="s">
        <v>2124</v>
      </c>
      <c r="R46" s="53" t="s">
        <v>2125</v>
      </c>
      <c r="S46" s="1" t="s">
        <v>905</v>
      </c>
      <c r="AJ46" s="2">
        <f t="shared" si="1"/>
        <v>6</v>
      </c>
      <c r="AL46" s="2">
        <f t="shared" si="0"/>
        <v>5</v>
      </c>
    </row>
    <row r="47" spans="1:38" x14ac:dyDescent="0.3">
      <c r="A47" s="5" t="s">
        <v>1717</v>
      </c>
      <c r="B47" s="5"/>
      <c r="C47" s="5"/>
      <c r="D47" s="1"/>
      <c r="E47" s="1"/>
      <c r="F47" s="1"/>
      <c r="G47" s="12"/>
      <c r="H47" s="12"/>
      <c r="O47" s="53" t="s">
        <v>1718</v>
      </c>
      <c r="Q47" s="53" t="s">
        <v>2120</v>
      </c>
      <c r="R47" s="53" t="s">
        <v>2121</v>
      </c>
      <c r="S47" s="1" t="s">
        <v>900</v>
      </c>
      <c r="AJ47" s="2">
        <f t="shared" si="1"/>
        <v>4</v>
      </c>
      <c r="AL47" s="2">
        <f t="shared" si="0"/>
        <v>3</v>
      </c>
    </row>
    <row r="48" spans="1:38" x14ac:dyDescent="0.3">
      <c r="A48" s="5" t="s">
        <v>2141</v>
      </c>
      <c r="B48" s="5"/>
      <c r="C48" s="5"/>
      <c r="D48" s="1"/>
      <c r="E48" s="1"/>
      <c r="F48" s="1"/>
      <c r="G48" s="12"/>
      <c r="H48" s="12"/>
      <c r="Q48" s="53" t="s">
        <v>2142</v>
      </c>
      <c r="R48" s="53" t="s">
        <v>2143</v>
      </c>
      <c r="S48" s="1" t="s">
        <v>907</v>
      </c>
      <c r="AJ48" s="2">
        <f t="shared" si="1"/>
        <v>3</v>
      </c>
      <c r="AL48" s="2">
        <f t="shared" si="0"/>
        <v>2</v>
      </c>
    </row>
    <row r="49" spans="1:38" x14ac:dyDescent="0.3">
      <c r="A49" s="5" t="s">
        <v>934</v>
      </c>
      <c r="B49" s="5"/>
      <c r="C49" s="5"/>
      <c r="D49" s="1"/>
      <c r="E49" s="1"/>
      <c r="F49" s="1"/>
      <c r="G49" s="12"/>
      <c r="H49" s="12"/>
      <c r="J49" s="1" t="s">
        <v>935</v>
      </c>
      <c r="AJ49" s="2">
        <f t="shared" si="1"/>
        <v>1</v>
      </c>
      <c r="AL49" s="2">
        <f t="shared" si="0"/>
        <v>1</v>
      </c>
    </row>
    <row r="50" spans="1:38" x14ac:dyDescent="0.3">
      <c r="A50" s="5" t="s">
        <v>1280</v>
      </c>
      <c r="B50" s="5"/>
      <c r="C50" s="5"/>
      <c r="D50" s="1"/>
      <c r="E50" s="1"/>
      <c r="F50" s="1"/>
      <c r="G50" s="12"/>
      <c r="H50" s="12"/>
      <c r="M50" s="1" t="s">
        <v>441</v>
      </c>
      <c r="AJ50" s="2">
        <f t="shared" si="1"/>
        <v>1</v>
      </c>
      <c r="AL50" s="2">
        <f t="shared" si="0"/>
        <v>1</v>
      </c>
    </row>
    <row r="51" spans="1:38" x14ac:dyDescent="0.3">
      <c r="A51" s="5" t="s">
        <v>1281</v>
      </c>
      <c r="B51" s="5"/>
      <c r="C51" s="5"/>
      <c r="D51" s="1"/>
      <c r="E51" s="1"/>
      <c r="F51" s="1"/>
      <c r="G51" s="12"/>
      <c r="H51" s="12"/>
      <c r="M51" s="1" t="s">
        <v>62</v>
      </c>
      <c r="AJ51" s="2">
        <f t="shared" si="1"/>
        <v>1</v>
      </c>
      <c r="AL51" s="2">
        <f t="shared" si="0"/>
        <v>1</v>
      </c>
    </row>
    <row r="52" spans="1:38" x14ac:dyDescent="0.3">
      <c r="A52" s="5" t="s">
        <v>2131</v>
      </c>
      <c r="B52" s="5"/>
      <c r="C52" s="5"/>
      <c r="D52" s="1"/>
      <c r="E52" s="1"/>
      <c r="F52" s="1"/>
      <c r="G52" s="12"/>
      <c r="H52" s="12"/>
      <c r="Q52" s="53" t="s">
        <v>2132</v>
      </c>
      <c r="R52" s="53" t="s">
        <v>2133</v>
      </c>
      <c r="S52" s="1" t="s">
        <v>901</v>
      </c>
      <c r="AJ52" s="2">
        <f t="shared" si="1"/>
        <v>3</v>
      </c>
      <c r="AL52" s="2">
        <f t="shared" si="0"/>
        <v>2</v>
      </c>
    </row>
    <row r="53" spans="1:38" x14ac:dyDescent="0.3">
      <c r="A53" s="5" t="s">
        <v>2134</v>
      </c>
      <c r="B53" s="5"/>
      <c r="C53" s="5"/>
      <c r="D53" s="1"/>
      <c r="E53" s="1"/>
      <c r="F53" s="1"/>
      <c r="G53" s="12"/>
      <c r="H53" s="12"/>
      <c r="Q53" s="53" t="s">
        <v>2135</v>
      </c>
      <c r="R53" s="53" t="s">
        <v>2136</v>
      </c>
      <c r="S53" s="1" t="s">
        <v>902</v>
      </c>
      <c r="AJ53" s="2">
        <f t="shared" si="1"/>
        <v>3</v>
      </c>
      <c r="AL53" s="2">
        <f t="shared" si="0"/>
        <v>2</v>
      </c>
    </row>
    <row r="54" spans="1:38" x14ac:dyDescent="0.3">
      <c r="A54" s="5" t="s">
        <v>87</v>
      </c>
      <c r="B54" s="64" t="s">
        <v>3260</v>
      </c>
      <c r="C54" s="5" t="s">
        <v>88</v>
      </c>
      <c r="D54" s="54" t="s">
        <v>88</v>
      </c>
      <c r="E54" s="67" t="s">
        <v>375</v>
      </c>
      <c r="F54" s="12" t="s">
        <v>88</v>
      </c>
      <c r="G54" s="12"/>
      <c r="AJ54" s="2">
        <f t="shared" si="1"/>
        <v>5</v>
      </c>
      <c r="AL54" s="2">
        <f t="shared" si="0"/>
        <v>1</v>
      </c>
    </row>
    <row r="55" spans="1:38" x14ac:dyDescent="0.3">
      <c r="A55" s="5" t="s">
        <v>89</v>
      </c>
      <c r="B55" s="5"/>
      <c r="C55" s="5"/>
      <c r="D55" s="54" t="s">
        <v>90</v>
      </c>
      <c r="E55" s="67" t="s">
        <v>382</v>
      </c>
      <c r="F55" s="67" t="s">
        <v>90</v>
      </c>
      <c r="G55" s="67" t="s">
        <v>475</v>
      </c>
      <c r="H55" s="67" t="s">
        <v>635</v>
      </c>
      <c r="J55" s="1" t="s">
        <v>944</v>
      </c>
      <c r="AJ55" s="2">
        <f t="shared" si="1"/>
        <v>6</v>
      </c>
      <c r="AL55" s="2">
        <f t="shared" si="0"/>
        <v>4</v>
      </c>
    </row>
    <row r="56" spans="1:38" x14ac:dyDescent="0.3">
      <c r="A56" s="5" t="s">
        <v>202</v>
      </c>
      <c r="B56" s="64" t="s">
        <v>3261</v>
      </c>
      <c r="C56" s="76" t="s">
        <v>203</v>
      </c>
      <c r="D56" s="1"/>
      <c r="E56" s="1"/>
      <c r="F56" s="67" t="s">
        <v>203</v>
      </c>
      <c r="G56" s="67" t="s">
        <v>472</v>
      </c>
      <c r="H56" s="12" t="s">
        <v>636</v>
      </c>
      <c r="AJ56" s="2">
        <f t="shared" si="1"/>
        <v>5</v>
      </c>
      <c r="AL56" s="2">
        <f t="shared" si="0"/>
        <v>3</v>
      </c>
    </row>
    <row r="57" spans="1:38" x14ac:dyDescent="0.3">
      <c r="A57" s="5" t="s">
        <v>1159</v>
      </c>
      <c r="B57" s="5"/>
      <c r="C57" s="5"/>
      <c r="D57" s="1"/>
      <c r="E57" s="1"/>
      <c r="F57" s="12"/>
      <c r="G57" s="12"/>
      <c r="H57" s="12"/>
      <c r="K57" s="1" t="s">
        <v>906</v>
      </c>
      <c r="AJ57" s="2">
        <f t="shared" si="1"/>
        <v>1</v>
      </c>
      <c r="AL57" s="2">
        <f t="shared" si="0"/>
        <v>1</v>
      </c>
    </row>
    <row r="58" spans="1:38" x14ac:dyDescent="0.3">
      <c r="A58" s="5" t="s">
        <v>1511</v>
      </c>
      <c r="B58" s="5"/>
      <c r="C58" s="5"/>
      <c r="D58" s="1"/>
      <c r="E58" s="1"/>
      <c r="F58" s="12"/>
      <c r="G58" s="12"/>
      <c r="H58" s="12"/>
      <c r="N58" s="53" t="s">
        <v>1512</v>
      </c>
      <c r="O58" s="53" t="s">
        <v>1719</v>
      </c>
      <c r="Q58" s="53" t="s">
        <v>2095</v>
      </c>
      <c r="R58" s="53" t="s">
        <v>2140</v>
      </c>
      <c r="S58" s="1" t="s">
        <v>906</v>
      </c>
      <c r="AJ58" s="2">
        <f t="shared" si="1"/>
        <v>5</v>
      </c>
      <c r="AL58" s="2">
        <f t="shared" si="0"/>
        <v>4</v>
      </c>
    </row>
    <row r="59" spans="1:38" x14ac:dyDescent="0.3">
      <c r="A59" s="5" t="s">
        <v>939</v>
      </c>
      <c r="B59" s="5"/>
      <c r="C59" s="5"/>
      <c r="D59" s="1"/>
      <c r="E59" s="1"/>
      <c r="F59" s="12"/>
      <c r="G59" s="12"/>
      <c r="H59" s="12"/>
      <c r="J59" s="53" t="s">
        <v>940</v>
      </c>
      <c r="L59" s="53" t="s">
        <v>1169</v>
      </c>
      <c r="M59" s="53" t="s">
        <v>110</v>
      </c>
      <c r="N59" s="53" t="s">
        <v>1100</v>
      </c>
      <c r="O59" s="53" t="s">
        <v>1720</v>
      </c>
      <c r="Q59" s="53" t="s">
        <v>2118</v>
      </c>
      <c r="R59" s="53" t="s">
        <v>2119</v>
      </c>
      <c r="S59" s="1" t="s">
        <v>899</v>
      </c>
      <c r="AJ59" s="2">
        <f t="shared" si="1"/>
        <v>8</v>
      </c>
      <c r="AL59" s="2">
        <f t="shared" si="0"/>
        <v>7</v>
      </c>
    </row>
    <row r="60" spans="1:38" x14ac:dyDescent="0.3">
      <c r="A60" s="5" t="s">
        <v>734</v>
      </c>
      <c r="B60" s="5"/>
      <c r="C60" s="5"/>
      <c r="D60" s="1"/>
      <c r="E60" s="1"/>
      <c r="F60" s="12"/>
      <c r="G60" s="12"/>
      <c r="H60" s="12"/>
      <c r="I60" s="53" t="s">
        <v>241</v>
      </c>
      <c r="L60" s="53" t="s">
        <v>927</v>
      </c>
      <c r="M60" s="1" t="s">
        <v>64</v>
      </c>
      <c r="AJ60" s="2">
        <f t="shared" si="1"/>
        <v>3</v>
      </c>
      <c r="AL60" s="2">
        <f t="shared" si="0"/>
        <v>3</v>
      </c>
    </row>
    <row r="61" spans="1:38" x14ac:dyDescent="0.3">
      <c r="A61" s="5" t="s">
        <v>631</v>
      </c>
      <c r="B61" s="5"/>
      <c r="C61" s="5"/>
      <c r="D61" s="1"/>
      <c r="E61" s="1"/>
      <c r="F61" s="12"/>
      <c r="G61" s="12"/>
      <c r="H61" s="12" t="s">
        <v>632</v>
      </c>
      <c r="AJ61" s="2">
        <f t="shared" si="1"/>
        <v>1</v>
      </c>
      <c r="AL61" s="2">
        <f t="shared" si="0"/>
        <v>1</v>
      </c>
    </row>
    <row r="62" spans="1:38" x14ac:dyDescent="0.3">
      <c r="A62" s="5" t="s">
        <v>465</v>
      </c>
      <c r="B62" s="5"/>
      <c r="C62" s="5"/>
      <c r="D62" s="1"/>
      <c r="E62" s="1"/>
      <c r="F62" s="12"/>
      <c r="G62" s="12" t="s">
        <v>466</v>
      </c>
      <c r="H62" s="12"/>
      <c r="AJ62" s="2">
        <f t="shared" si="1"/>
        <v>1</v>
      </c>
      <c r="AL62" s="2">
        <f t="shared" si="0"/>
        <v>1</v>
      </c>
    </row>
    <row r="63" spans="1:38" x14ac:dyDescent="0.3">
      <c r="A63" s="5" t="s">
        <v>467</v>
      </c>
      <c r="B63" s="5"/>
      <c r="C63" s="5"/>
      <c r="D63" s="1"/>
      <c r="E63" s="1"/>
      <c r="F63" s="12"/>
      <c r="G63" s="67" t="s">
        <v>469</v>
      </c>
      <c r="H63" s="67" t="s">
        <v>633</v>
      </c>
      <c r="I63" s="1" t="s">
        <v>101</v>
      </c>
      <c r="AJ63" s="2">
        <f t="shared" si="1"/>
        <v>3</v>
      </c>
      <c r="AL63" s="2">
        <f t="shared" si="0"/>
        <v>3</v>
      </c>
    </row>
    <row r="64" spans="1:38" x14ac:dyDescent="0.3">
      <c r="A64" s="5" t="s">
        <v>204</v>
      </c>
      <c r="B64" s="5"/>
      <c r="C64" s="5"/>
      <c r="D64" s="1"/>
      <c r="E64" s="1"/>
      <c r="F64" s="12" t="s">
        <v>205</v>
      </c>
      <c r="G64" s="12"/>
      <c r="H64" s="12"/>
      <c r="AJ64" s="2">
        <f t="shared" si="1"/>
        <v>1</v>
      </c>
      <c r="AL64" s="2">
        <f t="shared" si="0"/>
        <v>1</v>
      </c>
    </row>
    <row r="65" spans="1:38" x14ac:dyDescent="0.3">
      <c r="A65" s="5" t="s">
        <v>376</v>
      </c>
      <c r="B65" s="5"/>
      <c r="C65" s="5"/>
      <c r="D65" s="1"/>
      <c r="E65" s="67" t="s">
        <v>377</v>
      </c>
      <c r="F65" s="12"/>
      <c r="G65" s="12"/>
      <c r="H65" s="12"/>
      <c r="J65" s="1" t="s">
        <v>937</v>
      </c>
      <c r="AJ65" s="2">
        <f t="shared" si="1"/>
        <v>2</v>
      </c>
      <c r="AL65" s="2">
        <f t="shared" si="0"/>
        <v>1</v>
      </c>
    </row>
    <row r="66" spans="1:38" x14ac:dyDescent="0.3">
      <c r="A66" s="5" t="s">
        <v>3165</v>
      </c>
      <c r="B66" s="5"/>
      <c r="C66" s="5" t="s">
        <v>205</v>
      </c>
      <c r="D66" s="1"/>
      <c r="E66" s="12"/>
      <c r="F66" s="12"/>
      <c r="G66" s="12"/>
      <c r="H66" s="12"/>
      <c r="AJ66" s="2">
        <f t="shared" si="1"/>
        <v>1</v>
      </c>
      <c r="AL66" s="2">
        <f t="shared" si="0"/>
        <v>0</v>
      </c>
    </row>
    <row r="67" spans="1:38" x14ac:dyDescent="0.3">
      <c r="A67" s="5" t="s">
        <v>3163</v>
      </c>
      <c r="B67" s="5"/>
      <c r="C67" s="5" t="s">
        <v>3164</v>
      </c>
      <c r="D67" s="1"/>
      <c r="E67" s="12"/>
      <c r="F67" s="12"/>
      <c r="G67" s="12"/>
      <c r="H67" s="12"/>
      <c r="AJ67" s="2">
        <f t="shared" si="1"/>
        <v>1</v>
      </c>
      <c r="AL67" s="2">
        <f t="shared" si="0"/>
        <v>0</v>
      </c>
    </row>
    <row r="68" spans="1:38" x14ac:dyDescent="0.3">
      <c r="A68" s="5" t="s">
        <v>206</v>
      </c>
      <c r="B68" s="5"/>
      <c r="C68" s="76" t="s">
        <v>207</v>
      </c>
      <c r="D68" s="1"/>
      <c r="E68" s="1"/>
      <c r="F68" s="67" t="s">
        <v>207</v>
      </c>
      <c r="G68" s="67" t="s">
        <v>468</v>
      </c>
      <c r="H68" s="12" t="s">
        <v>637</v>
      </c>
      <c r="AJ68" s="2">
        <f t="shared" ref="AJ68:AJ132" si="2">COUNTA(B68:AH68)</f>
        <v>4</v>
      </c>
      <c r="AL68" s="2">
        <f t="shared" ref="AL68:AL132" si="3">COUNTA(F68:O68,R68:S68)</f>
        <v>3</v>
      </c>
    </row>
    <row r="69" spans="1:38" x14ac:dyDescent="0.3">
      <c r="A69" s="5" t="s">
        <v>378</v>
      </c>
      <c r="B69" s="5"/>
      <c r="C69" s="5"/>
      <c r="D69" s="1"/>
      <c r="E69" s="12" t="s">
        <v>379</v>
      </c>
      <c r="F69" s="12"/>
      <c r="G69" s="12"/>
      <c r="H69" s="12"/>
      <c r="AJ69" s="2">
        <f t="shared" si="2"/>
        <v>1</v>
      </c>
      <c r="AL69" s="2">
        <f t="shared" si="3"/>
        <v>0</v>
      </c>
    </row>
    <row r="70" spans="1:38" x14ac:dyDescent="0.3">
      <c r="A70" s="5" t="s">
        <v>947</v>
      </c>
      <c r="B70" s="5"/>
      <c r="C70" s="5"/>
      <c r="D70" s="1"/>
      <c r="E70" s="12"/>
      <c r="F70" s="12"/>
      <c r="G70" s="12"/>
      <c r="H70" s="12"/>
      <c r="J70" s="1" t="s">
        <v>948</v>
      </c>
      <c r="AJ70" s="2">
        <f t="shared" si="2"/>
        <v>1</v>
      </c>
      <c r="AL70" s="2">
        <f t="shared" si="3"/>
        <v>1</v>
      </c>
    </row>
    <row r="71" spans="1:38" x14ac:dyDescent="0.3">
      <c r="A71" s="5" t="s">
        <v>208</v>
      </c>
      <c r="B71" s="5"/>
      <c r="C71" s="5"/>
      <c r="D71" s="1"/>
      <c r="E71" s="1"/>
      <c r="F71" s="12" t="s">
        <v>209</v>
      </c>
      <c r="G71" s="12"/>
      <c r="H71" s="12"/>
      <c r="AJ71" s="2">
        <f t="shared" si="2"/>
        <v>1</v>
      </c>
      <c r="AL71" s="2">
        <f t="shared" si="3"/>
        <v>1</v>
      </c>
    </row>
    <row r="72" spans="1:38" x14ac:dyDescent="0.3">
      <c r="A72" s="5" t="s">
        <v>2148</v>
      </c>
      <c r="B72" s="1"/>
      <c r="C72" s="5"/>
      <c r="D72" s="1"/>
      <c r="E72" s="1"/>
      <c r="F72" s="12"/>
      <c r="G72" s="12"/>
      <c r="H72" s="12"/>
      <c r="Q72" s="53" t="s">
        <v>2150</v>
      </c>
      <c r="R72" s="1" t="s">
        <v>2149</v>
      </c>
      <c r="AJ72" s="2">
        <f t="shared" si="2"/>
        <v>2</v>
      </c>
      <c r="AL72" s="2">
        <f t="shared" si="3"/>
        <v>1</v>
      </c>
    </row>
    <row r="73" spans="1:38" x14ac:dyDescent="0.3">
      <c r="A73" s="5" t="s">
        <v>945</v>
      </c>
      <c r="B73" s="1"/>
      <c r="C73" s="5"/>
      <c r="D73" s="1"/>
      <c r="E73" s="1"/>
      <c r="F73" s="12"/>
      <c r="G73" s="12"/>
      <c r="H73" s="12"/>
      <c r="J73" s="1" t="s">
        <v>946</v>
      </c>
      <c r="AJ73" s="2">
        <f t="shared" si="2"/>
        <v>1</v>
      </c>
      <c r="AL73" s="2">
        <f t="shared" si="3"/>
        <v>1</v>
      </c>
    </row>
    <row r="74" spans="1:38" x14ac:dyDescent="0.3">
      <c r="A74" s="5" t="s">
        <v>473</v>
      </c>
      <c r="B74" s="1"/>
      <c r="C74" s="5"/>
      <c r="D74" s="1"/>
      <c r="E74" s="1"/>
      <c r="F74" s="12"/>
      <c r="G74" s="67" t="s">
        <v>474</v>
      </c>
      <c r="H74" s="12" t="s">
        <v>638</v>
      </c>
      <c r="AJ74" s="2">
        <f t="shared" si="2"/>
        <v>2</v>
      </c>
      <c r="AL74" s="2">
        <f t="shared" si="3"/>
        <v>2</v>
      </c>
    </row>
    <row r="75" spans="1:38" x14ac:dyDescent="0.3">
      <c r="A75" s="5" t="s">
        <v>210</v>
      </c>
      <c r="B75" s="1"/>
      <c r="C75" s="5"/>
      <c r="D75" s="1"/>
      <c r="E75" s="1"/>
      <c r="F75" s="12" t="s">
        <v>211</v>
      </c>
      <c r="G75" s="12"/>
      <c r="H75" s="12"/>
      <c r="AJ75" s="2">
        <f t="shared" si="2"/>
        <v>1</v>
      </c>
      <c r="AL75" s="2">
        <f t="shared" si="3"/>
        <v>1</v>
      </c>
    </row>
    <row r="76" spans="1:38" x14ac:dyDescent="0.3">
      <c r="A76" s="5" t="s">
        <v>380</v>
      </c>
      <c r="B76" s="1"/>
      <c r="C76" s="65" t="s">
        <v>211</v>
      </c>
      <c r="D76" s="1"/>
      <c r="E76" s="12" t="s">
        <v>381</v>
      </c>
      <c r="F76" s="12"/>
      <c r="G76" s="12"/>
      <c r="H76" s="12"/>
      <c r="AJ76" s="2">
        <f t="shared" si="2"/>
        <v>2</v>
      </c>
      <c r="AL76" s="2">
        <f t="shared" si="3"/>
        <v>0</v>
      </c>
    </row>
    <row r="77" spans="1:38" x14ac:dyDescent="0.3">
      <c r="A77" s="5" t="s">
        <v>212</v>
      </c>
      <c r="B77" s="1"/>
      <c r="C77" s="5"/>
      <c r="D77" s="1"/>
      <c r="E77" s="1"/>
      <c r="F77" s="67" t="s">
        <v>213</v>
      </c>
      <c r="G77" s="12" t="s">
        <v>470</v>
      </c>
      <c r="H77" s="12"/>
      <c r="AJ77" s="2">
        <f t="shared" si="2"/>
        <v>2</v>
      </c>
      <c r="AL77" s="2">
        <f t="shared" si="3"/>
        <v>2</v>
      </c>
    </row>
    <row r="78" spans="1:38" x14ac:dyDescent="0.3">
      <c r="A78" s="5" t="s">
        <v>214</v>
      </c>
      <c r="B78" s="1"/>
      <c r="C78" s="5"/>
      <c r="D78" s="1"/>
      <c r="E78" s="1"/>
      <c r="F78" s="67" t="s">
        <v>215</v>
      </c>
      <c r="G78" s="67" t="s">
        <v>471</v>
      </c>
      <c r="H78" s="12"/>
      <c r="L78" s="53" t="s">
        <v>921</v>
      </c>
      <c r="M78" s="1" t="s">
        <v>649</v>
      </c>
      <c r="AJ78" s="2">
        <f t="shared" si="2"/>
        <v>4</v>
      </c>
      <c r="AL78" s="2">
        <f t="shared" si="3"/>
        <v>4</v>
      </c>
    </row>
    <row r="79" spans="1:38" x14ac:dyDescent="0.3">
      <c r="A79" s="5" t="s">
        <v>476</v>
      </c>
      <c r="B79" s="1"/>
      <c r="C79" s="5"/>
      <c r="D79" s="1"/>
      <c r="E79" s="1"/>
      <c r="F79" s="12"/>
      <c r="G79" s="67" t="s">
        <v>477</v>
      </c>
      <c r="H79" s="67" t="s">
        <v>634</v>
      </c>
      <c r="J79" s="1" t="s">
        <v>941</v>
      </c>
      <c r="AJ79" s="2">
        <f t="shared" si="2"/>
        <v>3</v>
      </c>
      <c r="AL79" s="2">
        <f t="shared" si="3"/>
        <v>3</v>
      </c>
    </row>
    <row r="80" spans="1:38" x14ac:dyDescent="0.3">
      <c r="A80" s="5" t="s">
        <v>949</v>
      </c>
      <c r="B80" s="1"/>
      <c r="C80" s="5"/>
      <c r="D80" s="1"/>
      <c r="E80" s="1"/>
      <c r="F80" s="12"/>
      <c r="G80" s="12"/>
      <c r="H80" s="12"/>
      <c r="J80" s="1" t="s">
        <v>950</v>
      </c>
      <c r="AJ80" s="2">
        <f t="shared" si="2"/>
        <v>1</v>
      </c>
      <c r="AL80" s="2">
        <f t="shared" si="3"/>
        <v>1</v>
      </c>
    </row>
    <row r="81" spans="1:38" x14ac:dyDescent="0.3">
      <c r="A81" s="5" t="s">
        <v>91</v>
      </c>
      <c r="B81" s="5"/>
      <c r="C81" s="76" t="s">
        <v>92</v>
      </c>
      <c r="D81" s="53" t="s">
        <v>92</v>
      </c>
      <c r="E81" s="67" t="s">
        <v>383</v>
      </c>
      <c r="F81" s="67" t="s">
        <v>92</v>
      </c>
      <c r="G81" s="12" t="s">
        <v>478</v>
      </c>
      <c r="H81" s="12"/>
      <c r="AJ81" s="2">
        <f t="shared" si="2"/>
        <v>5</v>
      </c>
      <c r="AL81" s="2">
        <f t="shared" si="3"/>
        <v>2</v>
      </c>
    </row>
    <row r="82" spans="1:38" x14ac:dyDescent="0.3">
      <c r="A82" s="5" t="s">
        <v>93</v>
      </c>
      <c r="B82" s="1"/>
      <c r="C82" s="5"/>
      <c r="D82" s="1" t="s">
        <v>94</v>
      </c>
      <c r="E82" s="1"/>
      <c r="F82" s="67" t="s">
        <v>94</v>
      </c>
      <c r="G82" s="12" t="s">
        <v>479</v>
      </c>
      <c r="H82" s="12"/>
      <c r="AJ82" s="2">
        <f t="shared" si="2"/>
        <v>3</v>
      </c>
      <c r="AL82" s="2">
        <f t="shared" si="3"/>
        <v>2</v>
      </c>
    </row>
    <row r="83" spans="1:38" x14ac:dyDescent="0.3">
      <c r="A83" s="5" t="s">
        <v>216</v>
      </c>
      <c r="B83" s="1"/>
      <c r="C83" s="5" t="s">
        <v>217</v>
      </c>
      <c r="D83" s="1"/>
      <c r="E83" s="1"/>
      <c r="F83" s="12" t="s">
        <v>217</v>
      </c>
      <c r="G83" s="1"/>
      <c r="H83" s="12"/>
      <c r="AJ83" s="2">
        <f t="shared" si="2"/>
        <v>2</v>
      </c>
      <c r="AL83" s="2">
        <f t="shared" si="3"/>
        <v>1</v>
      </c>
    </row>
    <row r="84" spans="1:38" x14ac:dyDescent="0.3">
      <c r="A84" s="5" t="s">
        <v>218</v>
      </c>
      <c r="B84" s="1"/>
      <c r="C84" s="5"/>
      <c r="D84" s="1"/>
      <c r="E84" s="1"/>
      <c r="F84" s="12" t="s">
        <v>219</v>
      </c>
      <c r="G84" s="1"/>
      <c r="H84" s="12"/>
      <c r="AJ84" s="2">
        <f t="shared" si="2"/>
        <v>1</v>
      </c>
      <c r="AL84" s="2">
        <f t="shared" si="3"/>
        <v>1</v>
      </c>
    </row>
    <row r="85" spans="1:38" x14ac:dyDescent="0.3">
      <c r="A85" s="5" t="s">
        <v>220</v>
      </c>
      <c r="B85" s="1"/>
      <c r="C85" s="5"/>
      <c r="D85" s="1"/>
      <c r="E85" s="1"/>
      <c r="F85" s="67" t="s">
        <v>221</v>
      </c>
      <c r="G85" s="12" t="s">
        <v>486</v>
      </c>
      <c r="H85" s="12"/>
      <c r="AJ85" s="2">
        <f t="shared" si="2"/>
        <v>2</v>
      </c>
      <c r="AL85" s="2">
        <f t="shared" si="3"/>
        <v>2</v>
      </c>
    </row>
    <row r="86" spans="1:38" x14ac:dyDescent="0.3">
      <c r="A86" s="5" t="s">
        <v>480</v>
      </c>
      <c r="B86" s="1"/>
      <c r="C86" s="5"/>
      <c r="D86" s="1"/>
      <c r="E86" s="1"/>
      <c r="F86" s="12"/>
      <c r="G86" s="12" t="s">
        <v>481</v>
      </c>
      <c r="H86" s="12"/>
      <c r="AJ86" s="2">
        <f t="shared" si="2"/>
        <v>1</v>
      </c>
      <c r="AL86" s="2">
        <f t="shared" si="3"/>
        <v>1</v>
      </c>
    </row>
    <row r="87" spans="1:38" x14ac:dyDescent="0.3">
      <c r="A87" s="5" t="s">
        <v>482</v>
      </c>
      <c r="B87" s="1"/>
      <c r="C87" s="5"/>
      <c r="D87" s="1"/>
      <c r="E87" s="1"/>
      <c r="F87" s="12"/>
      <c r="G87" s="67" t="s">
        <v>483</v>
      </c>
      <c r="H87" s="12" t="s">
        <v>641</v>
      </c>
      <c r="AJ87" s="2">
        <f t="shared" si="2"/>
        <v>2</v>
      </c>
      <c r="AL87" s="2">
        <f t="shared" si="3"/>
        <v>2</v>
      </c>
    </row>
    <row r="88" spans="1:38" x14ac:dyDescent="0.3">
      <c r="A88" s="5" t="s">
        <v>484</v>
      </c>
      <c r="B88" s="1"/>
      <c r="C88" s="5"/>
      <c r="D88" s="1"/>
      <c r="E88" s="1"/>
      <c r="F88" s="12"/>
      <c r="G88" s="12" t="s">
        <v>485</v>
      </c>
      <c r="H88" s="12"/>
      <c r="AJ88" s="2">
        <f t="shared" si="2"/>
        <v>1</v>
      </c>
      <c r="AL88" s="2">
        <f t="shared" si="3"/>
        <v>1</v>
      </c>
    </row>
    <row r="89" spans="1:38" x14ac:dyDescent="0.3">
      <c r="A89" s="5" t="s">
        <v>639</v>
      </c>
      <c r="B89" s="1"/>
      <c r="C89" s="5"/>
      <c r="D89" s="1"/>
      <c r="E89" s="1"/>
      <c r="F89" s="12"/>
      <c r="G89" s="12"/>
      <c r="H89" s="12" t="s">
        <v>640</v>
      </c>
      <c r="AJ89" s="2">
        <f t="shared" si="2"/>
        <v>1</v>
      </c>
      <c r="AL89" s="2">
        <f t="shared" si="3"/>
        <v>1</v>
      </c>
    </row>
    <row r="90" spans="1:38" x14ac:dyDescent="0.3">
      <c r="A90" s="5" t="s">
        <v>642</v>
      </c>
      <c r="B90" s="1"/>
      <c r="C90" s="5"/>
      <c r="D90" s="1"/>
      <c r="E90" s="1"/>
      <c r="F90" s="12"/>
      <c r="G90" s="12"/>
      <c r="H90" s="12" t="s">
        <v>643</v>
      </c>
      <c r="AJ90" s="2">
        <f t="shared" si="2"/>
        <v>1</v>
      </c>
      <c r="AL90" s="2">
        <f t="shared" si="3"/>
        <v>1</v>
      </c>
    </row>
    <row r="91" spans="1:38" x14ac:dyDescent="0.3">
      <c r="A91" s="5" t="s">
        <v>1282</v>
      </c>
      <c r="B91" s="1"/>
      <c r="C91" s="5"/>
      <c r="D91" s="1"/>
      <c r="E91" s="1"/>
      <c r="F91" s="12"/>
      <c r="G91" s="12"/>
      <c r="H91" s="12"/>
      <c r="M91" s="1" t="s">
        <v>444</v>
      </c>
      <c r="AJ91" s="2">
        <f t="shared" si="2"/>
        <v>1</v>
      </c>
      <c r="AL91" s="2">
        <f t="shared" si="3"/>
        <v>1</v>
      </c>
    </row>
    <row r="92" spans="1:38" x14ac:dyDescent="0.3">
      <c r="A92" s="5" t="s">
        <v>1227</v>
      </c>
      <c r="B92" s="1"/>
      <c r="C92" s="5"/>
      <c r="D92" s="1"/>
      <c r="E92" s="1"/>
      <c r="F92" s="12"/>
      <c r="G92" s="12"/>
      <c r="H92" s="12"/>
      <c r="L92" s="54" t="s">
        <v>918</v>
      </c>
      <c r="M92" s="53" t="s">
        <v>63</v>
      </c>
      <c r="N92" s="1" t="s">
        <v>1096</v>
      </c>
      <c r="AJ92" s="2">
        <f t="shared" si="2"/>
        <v>3</v>
      </c>
      <c r="AL92" s="2">
        <f t="shared" si="3"/>
        <v>3</v>
      </c>
    </row>
    <row r="93" spans="1:38" x14ac:dyDescent="0.3">
      <c r="A93" s="89" t="s">
        <v>244</v>
      </c>
      <c r="B93" s="1"/>
      <c r="C93" s="5"/>
      <c r="D93" s="1"/>
      <c r="E93" s="1"/>
      <c r="F93" s="12" t="s">
        <v>245</v>
      </c>
      <c r="G93" s="12"/>
      <c r="H93" s="12"/>
      <c r="AJ93" s="2">
        <f t="shared" si="2"/>
        <v>1</v>
      </c>
      <c r="AL93" s="2">
        <f t="shared" si="3"/>
        <v>1</v>
      </c>
    </row>
    <row r="94" spans="1:38" x14ac:dyDescent="0.3">
      <c r="A94" s="5" t="s">
        <v>246</v>
      </c>
      <c r="B94" s="1"/>
      <c r="C94" s="5"/>
      <c r="D94" s="1"/>
      <c r="E94" s="1"/>
      <c r="F94" s="12" t="s">
        <v>247</v>
      </c>
      <c r="G94" s="1"/>
      <c r="AJ94" s="2">
        <f t="shared" si="2"/>
        <v>1</v>
      </c>
      <c r="AL94" s="2">
        <f t="shared" si="3"/>
        <v>1</v>
      </c>
    </row>
    <row r="95" spans="1:38" ht="43.2" x14ac:dyDescent="0.3">
      <c r="A95" s="5" t="s">
        <v>248</v>
      </c>
      <c r="B95" s="1"/>
      <c r="C95" s="5"/>
      <c r="D95" s="1"/>
      <c r="E95" s="1"/>
      <c r="F95" s="12" t="s">
        <v>249</v>
      </c>
      <c r="G95" s="1"/>
      <c r="AJ95" s="2">
        <f t="shared" si="2"/>
        <v>1</v>
      </c>
      <c r="AL95" s="2">
        <f t="shared" si="3"/>
        <v>1</v>
      </c>
    </row>
    <row r="96" spans="1:38" x14ac:dyDescent="0.3">
      <c r="A96" s="5" t="s">
        <v>250</v>
      </c>
      <c r="B96" s="1"/>
      <c r="C96" s="5"/>
      <c r="D96" s="1"/>
      <c r="E96" s="1"/>
      <c r="F96" s="12" t="s">
        <v>251</v>
      </c>
      <c r="G96" s="1"/>
      <c r="AJ96" s="2">
        <f t="shared" si="2"/>
        <v>1</v>
      </c>
      <c r="AL96" s="2">
        <f t="shared" si="3"/>
        <v>1</v>
      </c>
    </row>
    <row r="97" spans="1:38" ht="28.8" x14ac:dyDescent="0.3">
      <c r="A97" s="5" t="s">
        <v>252</v>
      </c>
      <c r="B97" s="1"/>
      <c r="C97" s="5"/>
      <c r="D97" s="1"/>
      <c r="E97" s="1"/>
      <c r="F97" s="12" t="s">
        <v>253</v>
      </c>
      <c r="G97" s="1"/>
      <c r="AJ97" s="2">
        <f t="shared" si="2"/>
        <v>1</v>
      </c>
      <c r="AL97" s="2">
        <f t="shared" si="3"/>
        <v>1</v>
      </c>
    </row>
    <row r="98" spans="1:38" x14ac:dyDescent="0.3">
      <c r="A98" s="5" t="s">
        <v>334</v>
      </c>
      <c r="B98" s="53" t="s">
        <v>3295</v>
      </c>
      <c r="C98" s="5"/>
      <c r="D98" s="1"/>
      <c r="E98" s="1"/>
      <c r="F98" s="1" t="s">
        <v>335</v>
      </c>
      <c r="G98" s="1"/>
      <c r="AJ98" s="2">
        <f t="shared" si="2"/>
        <v>2</v>
      </c>
      <c r="AL98" s="2">
        <f t="shared" si="3"/>
        <v>1</v>
      </c>
    </row>
    <row r="99" spans="1:38" x14ac:dyDescent="0.3">
      <c r="A99" s="5" t="s">
        <v>540</v>
      </c>
      <c r="B99" s="1"/>
      <c r="C99" s="5"/>
      <c r="D99" s="1"/>
      <c r="E99" s="1"/>
      <c r="F99" s="1"/>
      <c r="G99" s="12" t="s">
        <v>541</v>
      </c>
      <c r="AJ99" s="2">
        <f t="shared" si="2"/>
        <v>1</v>
      </c>
      <c r="AL99" s="2">
        <f t="shared" si="3"/>
        <v>1</v>
      </c>
    </row>
    <row r="100" spans="1:38" ht="28.8" x14ac:dyDescent="0.3">
      <c r="A100" s="5" t="s">
        <v>560</v>
      </c>
      <c r="B100" s="1"/>
      <c r="C100" s="5"/>
      <c r="D100" s="1"/>
      <c r="E100" s="1"/>
      <c r="F100" s="1"/>
      <c r="G100" s="10" t="s">
        <v>154</v>
      </c>
      <c r="AJ100" s="2">
        <f t="shared" si="2"/>
        <v>1</v>
      </c>
      <c r="AL100" s="2">
        <f t="shared" si="3"/>
        <v>1</v>
      </c>
    </row>
    <row r="101" spans="1:38" x14ac:dyDescent="0.3">
      <c r="A101" s="5" t="s">
        <v>561</v>
      </c>
      <c r="B101" s="1"/>
      <c r="C101" s="5"/>
      <c r="D101" s="1"/>
      <c r="E101" s="1"/>
      <c r="F101" s="1"/>
      <c r="G101" s="10" t="s">
        <v>156</v>
      </c>
      <c r="AJ101" s="2">
        <f t="shared" si="2"/>
        <v>1</v>
      </c>
      <c r="AL101" s="2">
        <f t="shared" si="3"/>
        <v>1</v>
      </c>
    </row>
    <row r="102" spans="1:38" x14ac:dyDescent="0.3">
      <c r="A102" s="5" t="s">
        <v>562</v>
      </c>
      <c r="B102" s="1"/>
      <c r="C102" s="5"/>
      <c r="D102" s="1"/>
      <c r="E102" s="1"/>
      <c r="F102" s="1"/>
      <c r="G102" s="10" t="s">
        <v>304</v>
      </c>
      <c r="AJ102" s="2">
        <f t="shared" si="2"/>
        <v>1</v>
      </c>
      <c r="AL102" s="2">
        <f t="shared" si="3"/>
        <v>1</v>
      </c>
    </row>
    <row r="103" spans="1:38" x14ac:dyDescent="0.3">
      <c r="A103" s="5" t="s">
        <v>563</v>
      </c>
      <c r="B103" s="1"/>
      <c r="C103" s="5"/>
      <c r="D103" s="1"/>
      <c r="E103" s="1"/>
      <c r="F103" s="1"/>
      <c r="G103" s="10" t="s">
        <v>566</v>
      </c>
      <c r="AJ103" s="2">
        <f t="shared" si="2"/>
        <v>1</v>
      </c>
      <c r="AL103" s="2">
        <f t="shared" si="3"/>
        <v>1</v>
      </c>
    </row>
    <row r="104" spans="1:38" ht="28.8" x14ac:dyDescent="0.3">
      <c r="A104" s="5" t="s">
        <v>564</v>
      </c>
      <c r="B104" s="1"/>
      <c r="C104" s="5"/>
      <c r="D104" s="1"/>
      <c r="E104" s="1"/>
      <c r="F104" s="1"/>
      <c r="G104" s="10" t="s">
        <v>160</v>
      </c>
      <c r="AJ104" s="2">
        <f t="shared" si="2"/>
        <v>1</v>
      </c>
      <c r="AL104" s="2">
        <f t="shared" si="3"/>
        <v>1</v>
      </c>
    </row>
    <row r="105" spans="1:38" x14ac:dyDescent="0.3">
      <c r="A105" s="5" t="s">
        <v>565</v>
      </c>
      <c r="B105" s="1"/>
      <c r="C105" s="5"/>
      <c r="D105" s="1"/>
      <c r="E105" s="1"/>
      <c r="F105" s="1"/>
      <c r="G105" s="10" t="s">
        <v>567</v>
      </c>
      <c r="AJ105" s="2">
        <f t="shared" si="2"/>
        <v>1</v>
      </c>
      <c r="AL105" s="2">
        <f t="shared" si="3"/>
        <v>1</v>
      </c>
    </row>
    <row r="106" spans="1:38" ht="57.6" x14ac:dyDescent="0.3">
      <c r="A106" s="5" t="s">
        <v>342</v>
      </c>
      <c r="B106" s="1"/>
      <c r="C106" s="5"/>
      <c r="D106" s="1"/>
      <c r="E106" s="1" t="s">
        <v>343</v>
      </c>
      <c r="F106" s="1"/>
      <c r="G106" s="1"/>
      <c r="AJ106" s="2">
        <f t="shared" si="2"/>
        <v>1</v>
      </c>
      <c r="AL106" s="2">
        <f t="shared" si="3"/>
        <v>0</v>
      </c>
    </row>
    <row r="107" spans="1:38" ht="28.8" x14ac:dyDescent="0.3">
      <c r="A107" s="5" t="s">
        <v>344</v>
      </c>
      <c r="B107" s="1"/>
      <c r="C107" s="5"/>
      <c r="D107" s="1"/>
      <c r="E107" s="1" t="s">
        <v>345</v>
      </c>
      <c r="F107" s="1"/>
      <c r="G107" s="1"/>
      <c r="AJ107" s="2">
        <f t="shared" si="2"/>
        <v>1</v>
      </c>
      <c r="AL107" s="2">
        <f t="shared" si="3"/>
        <v>0</v>
      </c>
    </row>
    <row r="108" spans="1:38" ht="28.8" x14ac:dyDescent="0.3">
      <c r="A108" s="5" t="s">
        <v>346</v>
      </c>
      <c r="B108" s="1"/>
      <c r="C108" s="5"/>
      <c r="D108" s="1"/>
      <c r="E108" s="1" t="s">
        <v>347</v>
      </c>
      <c r="F108" s="1"/>
      <c r="G108" s="1"/>
      <c r="AJ108" s="2">
        <f t="shared" si="2"/>
        <v>1</v>
      </c>
      <c r="AL108" s="2">
        <f t="shared" si="3"/>
        <v>0</v>
      </c>
    </row>
    <row r="109" spans="1:38" ht="28.8" x14ac:dyDescent="0.3">
      <c r="A109" s="5" t="s">
        <v>348</v>
      </c>
      <c r="B109" s="1"/>
      <c r="C109" s="5"/>
      <c r="D109" s="1"/>
      <c r="E109" s="1" t="s">
        <v>349</v>
      </c>
      <c r="F109" s="1"/>
      <c r="G109" s="1"/>
      <c r="AJ109" s="2">
        <f t="shared" si="2"/>
        <v>1</v>
      </c>
      <c r="AL109" s="2">
        <f t="shared" si="3"/>
        <v>0</v>
      </c>
    </row>
    <row r="110" spans="1:38" ht="28.8" x14ac:dyDescent="0.3">
      <c r="A110" s="5" t="s">
        <v>350</v>
      </c>
      <c r="B110" s="1"/>
      <c r="C110" s="5"/>
      <c r="D110" s="1"/>
      <c r="E110" s="1" t="s">
        <v>351</v>
      </c>
      <c r="F110" s="1"/>
      <c r="G110" s="1"/>
      <c r="AJ110" s="2">
        <f t="shared" si="2"/>
        <v>1</v>
      </c>
      <c r="AL110" s="2">
        <f t="shared" si="3"/>
        <v>0</v>
      </c>
    </row>
    <row r="111" spans="1:38" ht="28.8" x14ac:dyDescent="0.3">
      <c r="A111" s="5" t="s">
        <v>352</v>
      </c>
      <c r="B111" s="1"/>
      <c r="C111" s="5"/>
      <c r="D111" s="1"/>
      <c r="E111" s="1" t="s">
        <v>353</v>
      </c>
      <c r="F111" s="1"/>
      <c r="G111" s="1"/>
      <c r="AJ111" s="2">
        <f t="shared" si="2"/>
        <v>1</v>
      </c>
      <c r="AL111" s="2">
        <f t="shared" si="3"/>
        <v>0</v>
      </c>
    </row>
    <row r="112" spans="1:38" ht="28.8" x14ac:dyDescent="0.3">
      <c r="A112" s="5" t="s">
        <v>357</v>
      </c>
      <c r="B112" s="1"/>
      <c r="C112" s="5"/>
      <c r="D112" s="1"/>
      <c r="E112" s="1" t="s">
        <v>354</v>
      </c>
      <c r="F112" s="1"/>
      <c r="G112" s="1"/>
      <c r="AJ112" s="2">
        <f t="shared" si="2"/>
        <v>1</v>
      </c>
      <c r="AL112" s="2">
        <f t="shared" si="3"/>
        <v>0</v>
      </c>
    </row>
    <row r="113" spans="1:38" ht="28.8" x14ac:dyDescent="0.3">
      <c r="A113" s="5" t="s">
        <v>358</v>
      </c>
      <c r="B113" s="1"/>
      <c r="C113" s="5"/>
      <c r="D113" s="1"/>
      <c r="E113" s="1" t="s">
        <v>355</v>
      </c>
      <c r="F113" s="1"/>
      <c r="G113" s="1"/>
      <c r="AJ113" s="2">
        <f t="shared" si="2"/>
        <v>1</v>
      </c>
      <c r="AL113" s="2">
        <f t="shared" si="3"/>
        <v>0</v>
      </c>
    </row>
    <row r="114" spans="1:38" ht="28.8" x14ac:dyDescent="0.3">
      <c r="A114" s="5" t="s">
        <v>359</v>
      </c>
      <c r="B114" s="1"/>
      <c r="C114" s="5"/>
      <c r="D114" s="1"/>
      <c r="E114" s="1" t="s">
        <v>356</v>
      </c>
      <c r="F114" s="1"/>
      <c r="G114" s="1"/>
      <c r="AJ114" s="2">
        <f t="shared" si="2"/>
        <v>1</v>
      </c>
      <c r="AL114" s="2">
        <f t="shared" si="3"/>
        <v>0</v>
      </c>
    </row>
    <row r="115" spans="1:38" x14ac:dyDescent="0.3">
      <c r="A115" s="5" t="s">
        <v>1229</v>
      </c>
      <c r="B115" s="1"/>
      <c r="C115" s="5"/>
      <c r="D115" s="1"/>
      <c r="E115" s="1"/>
      <c r="F115" s="1"/>
      <c r="G115" s="1"/>
      <c r="L115" s="1" t="s">
        <v>1021</v>
      </c>
      <c r="AJ115" s="2">
        <f t="shared" si="2"/>
        <v>1</v>
      </c>
      <c r="AL115" s="2">
        <f t="shared" si="3"/>
        <v>1</v>
      </c>
    </row>
    <row r="116" spans="1:38" x14ac:dyDescent="0.3">
      <c r="A116" s="5" t="s">
        <v>1230</v>
      </c>
      <c r="B116" s="1"/>
      <c r="C116" s="5"/>
      <c r="D116" s="1"/>
      <c r="E116" s="1"/>
      <c r="F116" s="1"/>
      <c r="G116" s="1"/>
      <c r="L116" s="1" t="s">
        <v>1023</v>
      </c>
      <c r="AJ116" s="2">
        <f t="shared" si="2"/>
        <v>1</v>
      </c>
      <c r="AL116" s="2">
        <f t="shared" si="3"/>
        <v>1</v>
      </c>
    </row>
    <row r="117" spans="1:38" x14ac:dyDescent="0.3">
      <c r="A117" s="5" t="s">
        <v>1231</v>
      </c>
      <c r="B117" s="1"/>
      <c r="C117" s="5"/>
      <c r="D117" s="1"/>
      <c r="E117" s="1"/>
      <c r="F117" s="1"/>
      <c r="G117" s="1"/>
      <c r="L117" s="1" t="s">
        <v>1196</v>
      </c>
      <c r="AJ117" s="2">
        <f t="shared" si="2"/>
        <v>1</v>
      </c>
      <c r="AL117" s="2">
        <f t="shared" si="3"/>
        <v>1</v>
      </c>
    </row>
    <row r="118" spans="1:38" x14ac:dyDescent="0.3">
      <c r="A118" s="5" t="s">
        <v>1232</v>
      </c>
      <c r="B118" s="1"/>
      <c r="C118" s="5"/>
      <c r="D118" s="1"/>
      <c r="E118" s="1"/>
      <c r="F118" s="1"/>
      <c r="G118" s="1"/>
      <c r="L118" s="1" t="s">
        <v>1024</v>
      </c>
      <c r="AJ118" s="2">
        <f t="shared" si="2"/>
        <v>1</v>
      </c>
      <c r="AL118" s="2">
        <f t="shared" si="3"/>
        <v>1</v>
      </c>
    </row>
    <row r="119" spans="1:38" x14ac:dyDescent="0.3">
      <c r="A119" s="5" t="s">
        <v>1233</v>
      </c>
      <c r="B119" s="1"/>
      <c r="C119" s="5"/>
      <c r="D119" s="1"/>
      <c r="E119" s="1"/>
      <c r="F119" s="1"/>
      <c r="G119" s="1"/>
      <c r="L119" s="53" t="s">
        <v>1026</v>
      </c>
      <c r="M119" s="1" t="s">
        <v>1316</v>
      </c>
      <c r="AJ119" s="2">
        <f t="shared" si="2"/>
        <v>2</v>
      </c>
      <c r="AL119" s="2">
        <f t="shared" si="3"/>
        <v>2</v>
      </c>
    </row>
    <row r="120" spans="1:38" x14ac:dyDescent="0.3">
      <c r="A120" s="5" t="s">
        <v>1234</v>
      </c>
      <c r="B120" s="1"/>
      <c r="C120" s="5"/>
      <c r="D120" s="1"/>
      <c r="E120" s="1"/>
      <c r="F120" s="1"/>
      <c r="G120" s="1"/>
      <c r="L120" s="53" t="s">
        <v>1027</v>
      </c>
      <c r="M120" s="1" t="s">
        <v>1317</v>
      </c>
      <c r="AJ120" s="2">
        <f t="shared" si="2"/>
        <v>2</v>
      </c>
      <c r="AL120" s="2">
        <f t="shared" si="3"/>
        <v>2</v>
      </c>
    </row>
    <row r="121" spans="1:38" x14ac:dyDescent="0.3">
      <c r="A121" s="5" t="s">
        <v>1235</v>
      </c>
      <c r="B121" s="1"/>
      <c r="C121" s="5"/>
      <c r="D121" s="1"/>
      <c r="E121" s="1"/>
      <c r="F121" s="1"/>
      <c r="G121" s="1"/>
      <c r="L121" s="53" t="s">
        <v>1029</v>
      </c>
      <c r="M121" s="1" t="s">
        <v>1318</v>
      </c>
      <c r="AJ121" s="2">
        <f t="shared" si="2"/>
        <v>2</v>
      </c>
      <c r="AL121" s="2">
        <f t="shared" si="3"/>
        <v>2</v>
      </c>
    </row>
    <row r="122" spans="1:38" x14ac:dyDescent="0.3">
      <c r="A122" s="5" t="s">
        <v>1236</v>
      </c>
      <c r="B122" s="1"/>
      <c r="C122" s="5"/>
      <c r="D122" s="1"/>
      <c r="E122" s="1"/>
      <c r="F122" s="1"/>
      <c r="G122" s="1"/>
      <c r="L122" s="53" t="s">
        <v>1030</v>
      </c>
      <c r="M122" s="1" t="s">
        <v>1319</v>
      </c>
      <c r="AJ122" s="2">
        <f t="shared" si="2"/>
        <v>2</v>
      </c>
      <c r="AL122" s="2">
        <f t="shared" si="3"/>
        <v>2</v>
      </c>
    </row>
    <row r="123" spans="1:38" x14ac:dyDescent="0.3">
      <c r="A123" s="5" t="s">
        <v>1237</v>
      </c>
      <c r="B123" s="1"/>
      <c r="C123" s="5"/>
      <c r="D123" s="1"/>
      <c r="E123" s="1"/>
      <c r="F123" s="1"/>
      <c r="G123" s="1"/>
      <c r="L123" s="1" t="s">
        <v>1197</v>
      </c>
      <c r="AJ123" s="2">
        <f t="shared" si="2"/>
        <v>1</v>
      </c>
      <c r="AL123" s="2">
        <f t="shared" si="3"/>
        <v>1</v>
      </c>
    </row>
    <row r="124" spans="1:38" x14ac:dyDescent="0.3">
      <c r="A124" s="5" t="s">
        <v>1238</v>
      </c>
      <c r="B124" s="1"/>
      <c r="C124" s="5"/>
      <c r="D124" s="1"/>
      <c r="E124" s="1"/>
      <c r="F124" s="1"/>
      <c r="G124" s="1"/>
      <c r="L124" s="1" t="s">
        <v>1035</v>
      </c>
      <c r="AJ124" s="2">
        <f t="shared" si="2"/>
        <v>1</v>
      </c>
      <c r="AL124" s="2">
        <f t="shared" si="3"/>
        <v>1</v>
      </c>
    </row>
    <row r="125" spans="1:38" x14ac:dyDescent="0.3">
      <c r="A125" s="5" t="s">
        <v>1239</v>
      </c>
      <c r="B125" s="1"/>
      <c r="C125" s="5"/>
      <c r="D125" s="1"/>
      <c r="E125" s="1"/>
      <c r="F125" s="1"/>
      <c r="G125" s="1"/>
      <c r="L125" s="1" t="s">
        <v>1198</v>
      </c>
      <c r="AJ125" s="2">
        <f t="shared" si="2"/>
        <v>1</v>
      </c>
      <c r="AL125" s="2">
        <f t="shared" si="3"/>
        <v>1</v>
      </c>
    </row>
    <row r="126" spans="1:38" x14ac:dyDescent="0.3">
      <c r="A126" s="5" t="s">
        <v>1240</v>
      </c>
      <c r="B126" s="1"/>
      <c r="C126" s="5"/>
      <c r="D126" s="1"/>
      <c r="E126" s="1"/>
      <c r="F126" s="1"/>
      <c r="G126" s="1"/>
      <c r="L126" s="1" t="s">
        <v>1199</v>
      </c>
      <c r="AJ126" s="2">
        <f t="shared" si="2"/>
        <v>1</v>
      </c>
      <c r="AL126" s="2">
        <f t="shared" si="3"/>
        <v>1</v>
      </c>
    </row>
    <row r="127" spans="1:38" x14ac:dyDescent="0.3">
      <c r="A127" s="5" t="s">
        <v>1304</v>
      </c>
      <c r="B127" s="1"/>
      <c r="C127" s="5"/>
      <c r="D127" s="1"/>
      <c r="E127" s="1"/>
      <c r="F127" s="1"/>
      <c r="G127" s="1"/>
      <c r="M127" s="1" t="s">
        <v>1312</v>
      </c>
      <c r="AJ127" s="2">
        <f t="shared" si="2"/>
        <v>1</v>
      </c>
      <c r="AL127" s="2">
        <f t="shared" si="3"/>
        <v>1</v>
      </c>
    </row>
    <row r="128" spans="1:38" x14ac:dyDescent="0.3">
      <c r="A128" s="5" t="s">
        <v>1305</v>
      </c>
      <c r="B128" s="1"/>
      <c r="C128" s="5"/>
      <c r="D128" s="1"/>
      <c r="E128" s="1"/>
      <c r="F128" s="1"/>
      <c r="G128" s="1"/>
      <c r="M128" s="1" t="s">
        <v>1313</v>
      </c>
      <c r="AJ128" s="2">
        <f t="shared" si="2"/>
        <v>1</v>
      </c>
      <c r="AL128" s="2">
        <f t="shared" si="3"/>
        <v>1</v>
      </c>
    </row>
    <row r="129" spans="1:38" x14ac:dyDescent="0.3">
      <c r="A129" s="5" t="s">
        <v>1306</v>
      </c>
      <c r="B129" s="1"/>
      <c r="C129" s="5"/>
      <c r="D129" s="1"/>
      <c r="E129" s="1"/>
      <c r="F129" s="1"/>
      <c r="G129" s="1"/>
      <c r="M129" s="1" t="s">
        <v>1314</v>
      </c>
      <c r="AJ129" s="2">
        <f t="shared" si="2"/>
        <v>1</v>
      </c>
      <c r="AL129" s="2">
        <f t="shared" si="3"/>
        <v>1</v>
      </c>
    </row>
    <row r="130" spans="1:38" x14ac:dyDescent="0.3">
      <c r="A130" s="5" t="s">
        <v>1307</v>
      </c>
      <c r="B130" s="1"/>
      <c r="C130" s="5"/>
      <c r="D130" s="1"/>
      <c r="E130" s="1"/>
      <c r="F130" s="1"/>
      <c r="G130" s="1"/>
      <c r="M130" s="1" t="s">
        <v>1315</v>
      </c>
      <c r="AJ130" s="2">
        <f t="shared" si="2"/>
        <v>1</v>
      </c>
      <c r="AL130" s="2">
        <f t="shared" si="3"/>
        <v>1</v>
      </c>
    </row>
    <row r="131" spans="1:38" x14ac:dyDescent="0.3">
      <c r="A131" s="5" t="s">
        <v>1308</v>
      </c>
      <c r="B131" s="1"/>
      <c r="C131" s="5"/>
      <c r="D131" s="1"/>
      <c r="E131" s="1"/>
      <c r="F131" s="1"/>
      <c r="G131" s="1"/>
      <c r="M131" s="1" t="s">
        <v>1320</v>
      </c>
      <c r="AJ131" s="2">
        <f t="shared" si="2"/>
        <v>1</v>
      </c>
      <c r="AL131" s="2">
        <f t="shared" si="3"/>
        <v>1</v>
      </c>
    </row>
    <row r="132" spans="1:38" x14ac:dyDescent="0.3">
      <c r="A132" s="5" t="s">
        <v>1309</v>
      </c>
      <c r="B132" s="1"/>
      <c r="C132" s="5"/>
      <c r="D132" s="1"/>
      <c r="E132" s="1"/>
      <c r="F132" s="1"/>
      <c r="G132" s="1"/>
      <c r="M132" s="1" t="s">
        <v>1321</v>
      </c>
      <c r="AJ132" s="2">
        <f t="shared" si="2"/>
        <v>1</v>
      </c>
      <c r="AL132" s="2">
        <f t="shared" si="3"/>
        <v>1</v>
      </c>
    </row>
    <row r="133" spans="1:38" x14ac:dyDescent="0.3">
      <c r="A133" s="5" t="s">
        <v>1310</v>
      </c>
      <c r="B133" s="1"/>
      <c r="C133" s="5"/>
      <c r="D133" s="1"/>
      <c r="E133" s="1"/>
      <c r="F133" s="1"/>
      <c r="G133" s="1"/>
      <c r="M133" s="1" t="s">
        <v>1322</v>
      </c>
      <c r="AJ133" s="2">
        <f t="shared" ref="AJ133:AJ184" si="4">COUNTA(B133:AH133)</f>
        <v>1</v>
      </c>
      <c r="AL133" s="2">
        <f t="shared" ref="AL133:AL179" si="5">COUNTA(F133:O133,R133:S133)</f>
        <v>1</v>
      </c>
    </row>
    <row r="134" spans="1:38" x14ac:dyDescent="0.3">
      <c r="A134" s="5" t="s">
        <v>1311</v>
      </c>
      <c r="B134" s="1"/>
      <c r="C134" s="5"/>
      <c r="D134" s="1"/>
      <c r="E134" s="1"/>
      <c r="F134" s="1"/>
      <c r="G134" s="1"/>
      <c r="M134" s="1" t="s">
        <v>1323</v>
      </c>
      <c r="AJ134" s="2">
        <f t="shared" si="4"/>
        <v>1</v>
      </c>
      <c r="AL134" s="2">
        <f t="shared" si="5"/>
        <v>1</v>
      </c>
    </row>
    <row r="135" spans="1:38" x14ac:dyDescent="0.3">
      <c r="A135" s="5" t="s">
        <v>1659</v>
      </c>
      <c r="B135" s="1"/>
      <c r="C135" s="5"/>
      <c r="D135" s="1"/>
      <c r="E135" s="1"/>
      <c r="F135" s="1"/>
      <c r="G135" s="1"/>
      <c r="N135" s="1" t="s">
        <v>1663</v>
      </c>
      <c r="AJ135" s="2">
        <f t="shared" si="4"/>
        <v>1</v>
      </c>
      <c r="AL135" s="2">
        <f t="shared" si="5"/>
        <v>1</v>
      </c>
    </row>
    <row r="136" spans="1:38" x14ac:dyDescent="0.3">
      <c r="A136" s="5" t="s">
        <v>1660</v>
      </c>
      <c r="B136" s="1"/>
      <c r="C136" s="5"/>
      <c r="D136" s="1"/>
      <c r="E136" s="1"/>
      <c r="F136" s="1"/>
      <c r="G136" s="1"/>
      <c r="N136" s="1" t="s">
        <v>1664</v>
      </c>
      <c r="AJ136" s="2">
        <f t="shared" si="4"/>
        <v>1</v>
      </c>
      <c r="AL136" s="2">
        <f t="shared" si="5"/>
        <v>1</v>
      </c>
    </row>
    <row r="137" spans="1:38" x14ac:dyDescent="0.3">
      <c r="A137" s="5" t="s">
        <v>1661</v>
      </c>
      <c r="B137" s="1"/>
      <c r="C137" s="5"/>
      <c r="D137" s="1"/>
      <c r="E137" s="1"/>
      <c r="F137" s="1"/>
      <c r="G137" s="1"/>
      <c r="N137" s="1" t="s">
        <v>1665</v>
      </c>
      <c r="AJ137" s="2">
        <f t="shared" si="4"/>
        <v>1</v>
      </c>
      <c r="AL137" s="2">
        <f t="shared" si="5"/>
        <v>1</v>
      </c>
    </row>
    <row r="138" spans="1:38" x14ac:dyDescent="0.3">
      <c r="A138" s="5" t="s">
        <v>1662</v>
      </c>
      <c r="B138" s="1"/>
      <c r="C138" s="5"/>
      <c r="D138" s="1"/>
      <c r="E138" s="1"/>
      <c r="F138" s="1"/>
      <c r="G138" s="1"/>
      <c r="N138" s="1" t="s">
        <v>1666</v>
      </c>
      <c r="AJ138" s="2">
        <f t="shared" si="4"/>
        <v>1</v>
      </c>
      <c r="AL138" s="2">
        <f t="shared" si="5"/>
        <v>1</v>
      </c>
    </row>
    <row r="139" spans="1:38" x14ac:dyDescent="0.3">
      <c r="A139" s="5" t="s">
        <v>1660</v>
      </c>
      <c r="B139" s="1"/>
      <c r="C139" s="5"/>
      <c r="D139" s="1"/>
      <c r="E139" s="1"/>
      <c r="F139" s="1"/>
      <c r="G139" s="1"/>
      <c r="N139" s="1" t="s">
        <v>1667</v>
      </c>
      <c r="AJ139" s="2">
        <f t="shared" si="4"/>
        <v>1</v>
      </c>
      <c r="AL139" s="2">
        <f t="shared" si="5"/>
        <v>1</v>
      </c>
    </row>
    <row r="140" spans="1:38" x14ac:dyDescent="0.3">
      <c r="A140" s="5" t="s">
        <v>1661</v>
      </c>
      <c r="B140" s="1"/>
      <c r="C140" s="5"/>
      <c r="D140" s="1"/>
      <c r="E140" s="1"/>
      <c r="F140" s="1"/>
      <c r="G140" s="1"/>
      <c r="N140" s="1" t="s">
        <v>1668</v>
      </c>
      <c r="AJ140" s="2">
        <f t="shared" si="4"/>
        <v>1</v>
      </c>
      <c r="AL140" s="2">
        <f t="shared" si="5"/>
        <v>1</v>
      </c>
    </row>
    <row r="141" spans="1:38" ht="43.2" x14ac:dyDescent="0.3">
      <c r="A141" s="5" t="s">
        <v>2045</v>
      </c>
      <c r="B141" s="1"/>
      <c r="C141" s="5"/>
      <c r="D141" s="1"/>
      <c r="E141" s="1"/>
      <c r="F141" s="1"/>
      <c r="G141" s="1"/>
      <c r="Q141" s="54" t="s">
        <v>1197</v>
      </c>
      <c r="R141" s="1" t="s">
        <v>2046</v>
      </c>
      <c r="AJ141" s="2">
        <f t="shared" si="4"/>
        <v>2</v>
      </c>
      <c r="AL141" s="2">
        <f t="shared" si="5"/>
        <v>1</v>
      </c>
    </row>
    <row r="142" spans="1:38" ht="28.8" x14ac:dyDescent="0.3">
      <c r="A142" s="5" t="s">
        <v>2551</v>
      </c>
      <c r="B142" s="1"/>
      <c r="C142" s="5"/>
      <c r="D142" s="1"/>
      <c r="E142" s="1"/>
      <c r="F142" s="1"/>
      <c r="G142" s="1"/>
      <c r="V142" s="1" t="s">
        <v>524</v>
      </c>
      <c r="AJ142" s="2">
        <f t="shared" si="4"/>
        <v>1</v>
      </c>
      <c r="AL142" s="2">
        <f t="shared" si="5"/>
        <v>0</v>
      </c>
    </row>
    <row r="143" spans="1:38" ht="28.8" x14ac:dyDescent="0.3">
      <c r="A143" s="5" t="s">
        <v>2659</v>
      </c>
      <c r="B143" s="1"/>
      <c r="C143" s="5"/>
      <c r="D143" s="1"/>
      <c r="E143" s="1"/>
      <c r="F143" s="1"/>
      <c r="G143" s="1"/>
      <c r="AA143" s="1" t="s">
        <v>2660</v>
      </c>
      <c r="AJ143" s="2">
        <f t="shared" si="4"/>
        <v>1</v>
      </c>
      <c r="AL143" s="2">
        <f t="shared" si="5"/>
        <v>0</v>
      </c>
    </row>
    <row r="144" spans="1:38" ht="28.8" x14ac:dyDescent="0.3">
      <c r="A144" s="5" t="s">
        <v>2666</v>
      </c>
      <c r="B144" s="1"/>
      <c r="C144" s="5"/>
      <c r="D144" s="1"/>
      <c r="E144" s="1"/>
      <c r="F144" s="1"/>
      <c r="G144" s="1"/>
      <c r="AA144" s="1" t="s">
        <v>2661</v>
      </c>
      <c r="AJ144" s="2">
        <f t="shared" si="4"/>
        <v>1</v>
      </c>
      <c r="AL144" s="2">
        <f t="shared" si="5"/>
        <v>0</v>
      </c>
    </row>
    <row r="145" spans="1:38" ht="28.8" x14ac:dyDescent="0.3">
      <c r="A145" s="5" t="s">
        <v>2667</v>
      </c>
      <c r="B145" s="1"/>
      <c r="C145" s="5"/>
      <c r="D145" s="1"/>
      <c r="E145" s="1"/>
      <c r="F145" s="1"/>
      <c r="G145" s="1"/>
      <c r="AA145" s="1" t="s">
        <v>2662</v>
      </c>
      <c r="AJ145" s="2">
        <f t="shared" si="4"/>
        <v>1</v>
      </c>
      <c r="AL145" s="2">
        <f t="shared" si="5"/>
        <v>0</v>
      </c>
    </row>
    <row r="146" spans="1:38" ht="28.8" x14ac:dyDescent="0.3">
      <c r="A146" s="5" t="s">
        <v>2668</v>
      </c>
      <c r="B146" s="1"/>
      <c r="C146" s="5"/>
      <c r="D146" s="1"/>
      <c r="E146" s="1"/>
      <c r="F146" s="1"/>
      <c r="G146" s="1"/>
      <c r="AA146" s="1" t="s">
        <v>2663</v>
      </c>
      <c r="AJ146" s="2">
        <f t="shared" si="4"/>
        <v>1</v>
      </c>
      <c r="AL146" s="2">
        <f t="shared" si="5"/>
        <v>0</v>
      </c>
    </row>
    <row r="147" spans="1:38" ht="28.8" x14ac:dyDescent="0.3">
      <c r="A147" s="5" t="s">
        <v>2669</v>
      </c>
      <c r="B147" s="1"/>
      <c r="C147" s="5"/>
      <c r="D147" s="1"/>
      <c r="E147" s="1"/>
      <c r="F147" s="1"/>
      <c r="G147" s="1"/>
      <c r="AA147" s="1" t="s">
        <v>2664</v>
      </c>
      <c r="AJ147" s="2">
        <f t="shared" si="4"/>
        <v>1</v>
      </c>
      <c r="AL147" s="2">
        <f t="shared" si="5"/>
        <v>0</v>
      </c>
    </row>
    <row r="148" spans="1:38" ht="28.8" x14ac:dyDescent="0.3">
      <c r="A148" s="5" t="s">
        <v>2670</v>
      </c>
      <c r="B148" s="1"/>
      <c r="C148" s="5"/>
      <c r="D148" s="1"/>
      <c r="E148" s="1"/>
      <c r="F148" s="1"/>
      <c r="G148" s="1"/>
      <c r="AA148" s="1" t="s">
        <v>2665</v>
      </c>
      <c r="AJ148" s="2">
        <f t="shared" si="4"/>
        <v>1</v>
      </c>
      <c r="AL148" s="2">
        <f t="shared" si="5"/>
        <v>0</v>
      </c>
    </row>
    <row r="149" spans="1:38" ht="28.8" x14ac:dyDescent="0.3">
      <c r="A149" s="5" t="s">
        <v>2808</v>
      </c>
      <c r="B149" s="1"/>
      <c r="C149" s="5"/>
      <c r="D149" s="1"/>
      <c r="E149" s="1"/>
      <c r="F149" s="1"/>
      <c r="G149" s="1"/>
      <c r="AC149" s="1" t="s">
        <v>1992</v>
      </c>
      <c r="AJ149" s="2">
        <f t="shared" si="4"/>
        <v>1</v>
      </c>
      <c r="AL149" s="2">
        <f t="shared" si="5"/>
        <v>0</v>
      </c>
    </row>
    <row r="150" spans="1:38" ht="28.8" x14ac:dyDescent="0.3">
      <c r="A150" s="5" t="s">
        <v>2809</v>
      </c>
      <c r="B150" s="1"/>
      <c r="C150" s="5"/>
      <c r="D150" s="1"/>
      <c r="E150" s="1"/>
      <c r="F150" s="1"/>
      <c r="G150" s="1"/>
      <c r="AC150" s="1" t="s">
        <v>1993</v>
      </c>
      <c r="AJ150" s="2">
        <f t="shared" si="4"/>
        <v>1</v>
      </c>
      <c r="AL150" s="2">
        <f t="shared" si="5"/>
        <v>0</v>
      </c>
    </row>
    <row r="151" spans="1:38" ht="28.8" x14ac:dyDescent="0.3">
      <c r="A151" s="5" t="s">
        <v>2810</v>
      </c>
      <c r="B151" s="1"/>
      <c r="C151" s="5"/>
      <c r="D151" s="1"/>
      <c r="E151" s="1"/>
      <c r="F151" s="1"/>
      <c r="G151" s="1"/>
      <c r="AC151" s="1" t="s">
        <v>1984</v>
      </c>
      <c r="AJ151" s="2">
        <f t="shared" si="4"/>
        <v>1</v>
      </c>
      <c r="AL151" s="2">
        <f t="shared" si="5"/>
        <v>0</v>
      </c>
    </row>
    <row r="152" spans="1:38" ht="28.8" x14ac:dyDescent="0.3">
      <c r="A152" s="5" t="s">
        <v>2811</v>
      </c>
      <c r="B152" s="1"/>
      <c r="C152" s="5"/>
      <c r="D152" s="1"/>
      <c r="E152" s="1"/>
      <c r="F152" s="1"/>
      <c r="G152" s="1"/>
      <c r="AC152" s="1" t="s">
        <v>1994</v>
      </c>
      <c r="AJ152" s="2">
        <f t="shared" si="4"/>
        <v>1</v>
      </c>
      <c r="AL152" s="2">
        <f t="shared" si="5"/>
        <v>0</v>
      </c>
    </row>
    <row r="153" spans="1:38" ht="28.8" x14ac:dyDescent="0.3">
      <c r="A153" s="5" t="s">
        <v>2812</v>
      </c>
      <c r="B153" s="1"/>
      <c r="C153" s="5"/>
      <c r="D153" s="1"/>
      <c r="E153" s="1"/>
      <c r="F153" s="1"/>
      <c r="G153" s="1"/>
      <c r="AC153" s="1" t="s">
        <v>1995</v>
      </c>
      <c r="AJ153" s="2">
        <f t="shared" si="4"/>
        <v>1</v>
      </c>
      <c r="AL153" s="2">
        <f t="shared" si="5"/>
        <v>0</v>
      </c>
    </row>
    <row r="154" spans="1:38" ht="28.8" x14ac:dyDescent="0.3">
      <c r="A154" s="5" t="s">
        <v>2813</v>
      </c>
      <c r="B154" s="1"/>
      <c r="C154" s="5"/>
      <c r="D154" s="1"/>
      <c r="E154" s="1"/>
      <c r="F154" s="1"/>
      <c r="G154" s="1"/>
      <c r="AC154" s="1" t="s">
        <v>1987</v>
      </c>
      <c r="AJ154" s="2">
        <f t="shared" si="4"/>
        <v>1</v>
      </c>
      <c r="AL154" s="2">
        <f t="shared" si="5"/>
        <v>0</v>
      </c>
    </row>
    <row r="155" spans="1:38" ht="28.8" x14ac:dyDescent="0.3">
      <c r="A155" s="5" t="s">
        <v>2814</v>
      </c>
      <c r="B155" s="1"/>
      <c r="C155" s="5"/>
      <c r="D155" s="1"/>
      <c r="E155" s="1"/>
      <c r="F155" s="1"/>
      <c r="G155" s="1"/>
      <c r="AC155" s="1" t="s">
        <v>1996</v>
      </c>
      <c r="AJ155" s="2">
        <f t="shared" si="4"/>
        <v>1</v>
      </c>
      <c r="AL155" s="2">
        <f t="shared" si="5"/>
        <v>0</v>
      </c>
    </row>
    <row r="156" spans="1:38" ht="28.8" x14ac:dyDescent="0.3">
      <c r="A156" s="5" t="s">
        <v>2815</v>
      </c>
      <c r="B156" s="1"/>
      <c r="C156" s="5"/>
      <c r="D156" s="1"/>
      <c r="E156" s="1"/>
      <c r="F156" s="1"/>
      <c r="G156" s="1"/>
      <c r="AC156" s="1" t="s">
        <v>1985</v>
      </c>
      <c r="AJ156" s="2">
        <f t="shared" si="4"/>
        <v>1</v>
      </c>
      <c r="AL156" s="2">
        <f t="shared" si="5"/>
        <v>0</v>
      </c>
    </row>
    <row r="157" spans="1:38" x14ac:dyDescent="0.3">
      <c r="A157" s="5" t="s">
        <v>2856</v>
      </c>
      <c r="B157" s="1"/>
      <c r="C157" s="5"/>
      <c r="D157" s="1"/>
      <c r="E157" s="1"/>
      <c r="F157" s="1"/>
      <c r="G157" s="1"/>
      <c r="AD157" s="1" t="s">
        <v>1078</v>
      </c>
      <c r="AJ157" s="2">
        <f t="shared" si="4"/>
        <v>1</v>
      </c>
      <c r="AL157" s="2">
        <f t="shared" si="5"/>
        <v>0</v>
      </c>
    </row>
    <row r="158" spans="1:38" ht="28.8" x14ac:dyDescent="0.3">
      <c r="A158" s="5" t="s">
        <v>2875</v>
      </c>
      <c r="B158" s="1"/>
      <c r="C158" s="5"/>
      <c r="D158" s="1"/>
      <c r="E158" s="1"/>
      <c r="F158" s="1"/>
      <c r="G158" s="1"/>
      <c r="AD158" s="1" t="s">
        <v>1138</v>
      </c>
      <c r="AJ158" s="2">
        <f t="shared" si="4"/>
        <v>1</v>
      </c>
      <c r="AL158" s="2">
        <f t="shared" si="5"/>
        <v>0</v>
      </c>
    </row>
    <row r="159" spans="1:38" x14ac:dyDescent="0.3">
      <c r="A159" s="5" t="s">
        <v>2858</v>
      </c>
      <c r="B159" s="1"/>
      <c r="C159" s="5"/>
      <c r="D159" s="1"/>
      <c r="E159" s="1"/>
      <c r="F159" s="1"/>
      <c r="G159" s="1"/>
      <c r="AD159" s="1" t="s">
        <v>1080</v>
      </c>
      <c r="AJ159" s="2">
        <f t="shared" si="4"/>
        <v>1</v>
      </c>
      <c r="AL159" s="2">
        <f t="shared" si="5"/>
        <v>0</v>
      </c>
    </row>
    <row r="160" spans="1:38" ht="28.8" x14ac:dyDescent="0.3">
      <c r="A160" s="5" t="s">
        <v>2876</v>
      </c>
      <c r="B160" s="1"/>
      <c r="C160" s="5"/>
      <c r="D160" s="1"/>
      <c r="E160" s="1"/>
      <c r="F160" s="1"/>
      <c r="G160" s="1"/>
      <c r="AD160" s="1" t="s">
        <v>1141</v>
      </c>
      <c r="AJ160" s="2">
        <f t="shared" si="4"/>
        <v>1</v>
      </c>
      <c r="AL160" s="2">
        <f t="shared" si="5"/>
        <v>0</v>
      </c>
    </row>
    <row r="161" spans="1:38" ht="28.8" x14ac:dyDescent="0.3">
      <c r="A161" s="5" t="s">
        <v>2739</v>
      </c>
      <c r="B161" s="1"/>
      <c r="C161" s="5"/>
      <c r="D161" s="1"/>
      <c r="E161" s="1"/>
      <c r="F161" s="1"/>
      <c r="G161" s="1"/>
      <c r="AB161" s="53" t="s">
        <v>2161</v>
      </c>
      <c r="AD161" s="1" t="s">
        <v>1127</v>
      </c>
      <c r="AJ161" s="2">
        <f t="shared" si="4"/>
        <v>2</v>
      </c>
      <c r="AL161" s="2">
        <f t="shared" si="5"/>
        <v>0</v>
      </c>
    </row>
    <row r="162" spans="1:38" x14ac:dyDescent="0.3">
      <c r="A162" s="5" t="s">
        <v>2853</v>
      </c>
      <c r="B162" s="1"/>
      <c r="C162" s="5"/>
      <c r="D162" s="1"/>
      <c r="E162" s="1"/>
      <c r="F162" s="1"/>
      <c r="G162" s="1"/>
      <c r="AD162" s="1" t="s">
        <v>1083</v>
      </c>
      <c r="AJ162" s="2">
        <f t="shared" si="4"/>
        <v>1</v>
      </c>
      <c r="AL162" s="2">
        <f t="shared" si="5"/>
        <v>0</v>
      </c>
    </row>
    <row r="163" spans="1:38" x14ac:dyDescent="0.3">
      <c r="A163" s="5" t="s">
        <v>598</v>
      </c>
      <c r="B163" s="1"/>
      <c r="C163" s="5"/>
      <c r="D163" s="1"/>
      <c r="E163" s="1"/>
      <c r="F163" s="1"/>
      <c r="G163" s="1" t="s">
        <v>599</v>
      </c>
      <c r="AJ163" s="2">
        <f t="shared" si="4"/>
        <v>1</v>
      </c>
      <c r="AL163" s="2">
        <f t="shared" si="5"/>
        <v>1</v>
      </c>
    </row>
    <row r="164" spans="1:38" x14ac:dyDescent="0.3">
      <c r="A164" s="5" t="s">
        <v>600</v>
      </c>
      <c r="B164" s="1"/>
      <c r="C164" s="5"/>
      <c r="D164" s="1"/>
      <c r="E164" s="1"/>
      <c r="F164" s="1"/>
      <c r="G164" s="53" t="s">
        <v>601</v>
      </c>
      <c r="I164" s="53" t="s">
        <v>100</v>
      </c>
      <c r="J164" s="77" t="s">
        <v>936</v>
      </c>
      <c r="T164" s="53" t="s">
        <v>2073</v>
      </c>
      <c r="U164" s="53" t="s">
        <v>2493</v>
      </c>
      <c r="AD164" s="1" t="s">
        <v>2916</v>
      </c>
      <c r="AJ164" s="2">
        <f t="shared" si="4"/>
        <v>6</v>
      </c>
      <c r="AL164" s="2">
        <f t="shared" si="5"/>
        <v>3</v>
      </c>
    </row>
    <row r="165" spans="1:38" x14ac:dyDescent="0.3">
      <c r="A165" s="5" t="s">
        <v>602</v>
      </c>
      <c r="B165" s="1"/>
      <c r="C165" s="5"/>
      <c r="D165" s="1"/>
      <c r="E165" s="1"/>
      <c r="F165" s="1"/>
      <c r="G165" s="1" t="s">
        <v>603</v>
      </c>
      <c r="AJ165" s="2">
        <f t="shared" si="4"/>
        <v>1</v>
      </c>
      <c r="AL165" s="2">
        <f t="shared" si="5"/>
        <v>1</v>
      </c>
    </row>
    <row r="166" spans="1:38" x14ac:dyDescent="0.3">
      <c r="A166" s="5" t="s">
        <v>2919</v>
      </c>
      <c r="B166" s="1"/>
      <c r="C166" s="5"/>
      <c r="D166" s="1"/>
      <c r="E166" s="1"/>
      <c r="F166" s="1"/>
      <c r="G166" s="1"/>
      <c r="AD166" s="1" t="s">
        <v>2917</v>
      </c>
      <c r="AJ166" s="2">
        <f t="shared" si="4"/>
        <v>1</v>
      </c>
      <c r="AL166" s="2">
        <f t="shared" si="5"/>
        <v>0</v>
      </c>
    </row>
    <row r="167" spans="1:38" x14ac:dyDescent="0.3">
      <c r="A167" s="5" t="s">
        <v>2920</v>
      </c>
      <c r="B167" s="1"/>
      <c r="C167" s="5"/>
      <c r="D167" s="1"/>
      <c r="E167" s="1"/>
      <c r="F167" s="1"/>
      <c r="G167" s="1"/>
      <c r="AD167" s="1" t="s">
        <v>2918</v>
      </c>
      <c r="AJ167" s="2">
        <f t="shared" si="4"/>
        <v>1</v>
      </c>
      <c r="AL167" s="2">
        <f t="shared" si="5"/>
        <v>0</v>
      </c>
    </row>
    <row r="168" spans="1:38" x14ac:dyDescent="0.3">
      <c r="A168" s="5" t="s">
        <v>2930</v>
      </c>
      <c r="B168" s="1"/>
      <c r="C168" s="5"/>
      <c r="D168" s="1"/>
      <c r="E168" s="1"/>
      <c r="F168" s="1"/>
      <c r="G168" s="1"/>
      <c r="AD168" s="1" t="s">
        <v>2923</v>
      </c>
      <c r="AJ168" s="2">
        <f t="shared" si="4"/>
        <v>1</v>
      </c>
      <c r="AL168" s="2">
        <f t="shared" si="5"/>
        <v>0</v>
      </c>
    </row>
    <row r="169" spans="1:38" x14ac:dyDescent="0.3">
      <c r="A169" s="5" t="s">
        <v>2922</v>
      </c>
      <c r="B169" s="1"/>
      <c r="C169" s="5"/>
      <c r="D169" s="1"/>
      <c r="E169" s="1"/>
      <c r="F169" s="1"/>
      <c r="G169" s="1"/>
      <c r="AD169" s="1" t="s">
        <v>2924</v>
      </c>
      <c r="AJ169" s="2">
        <f t="shared" si="4"/>
        <v>1</v>
      </c>
      <c r="AL169" s="2">
        <f t="shared" si="5"/>
        <v>0</v>
      </c>
    </row>
    <row r="170" spans="1:38" x14ac:dyDescent="0.3">
      <c r="A170" s="5" t="s">
        <v>2921</v>
      </c>
      <c r="B170" s="1"/>
      <c r="C170" s="5"/>
      <c r="D170" s="1"/>
      <c r="E170" s="1"/>
      <c r="F170" s="1"/>
      <c r="G170" s="1"/>
      <c r="AD170" s="1" t="s">
        <v>2925</v>
      </c>
      <c r="AJ170" s="2">
        <f t="shared" si="4"/>
        <v>1</v>
      </c>
      <c r="AL170" s="2">
        <f t="shared" si="5"/>
        <v>0</v>
      </c>
    </row>
    <row r="171" spans="1:38" ht="28.8" x14ac:dyDescent="0.3">
      <c r="A171" s="5" t="s">
        <v>2926</v>
      </c>
      <c r="B171" s="1"/>
      <c r="C171" s="5"/>
      <c r="D171" s="1"/>
      <c r="E171" s="1"/>
      <c r="F171" s="1"/>
      <c r="G171" s="1"/>
      <c r="AD171" s="1" t="s">
        <v>2931</v>
      </c>
      <c r="AJ171" s="2">
        <f t="shared" si="4"/>
        <v>1</v>
      </c>
      <c r="AL171" s="2">
        <f t="shared" si="5"/>
        <v>0</v>
      </c>
    </row>
    <row r="172" spans="1:38" ht="28.8" x14ac:dyDescent="0.3">
      <c r="A172" s="5" t="s">
        <v>2927</v>
      </c>
      <c r="B172" s="1"/>
      <c r="C172" s="5"/>
      <c r="D172" s="1"/>
      <c r="E172" s="1"/>
      <c r="F172" s="1"/>
      <c r="G172" s="1"/>
      <c r="AD172" s="1" t="s">
        <v>2932</v>
      </c>
      <c r="AJ172" s="2">
        <f t="shared" si="4"/>
        <v>1</v>
      </c>
      <c r="AL172" s="2">
        <f t="shared" si="5"/>
        <v>0</v>
      </c>
    </row>
    <row r="173" spans="1:38" ht="28.8" x14ac:dyDescent="0.3">
      <c r="A173" s="5" t="s">
        <v>2928</v>
      </c>
      <c r="B173" s="1"/>
      <c r="C173" s="5"/>
      <c r="D173" s="1"/>
      <c r="E173" s="1"/>
      <c r="F173" s="1"/>
      <c r="G173" s="1"/>
      <c r="AD173" s="1" t="s">
        <v>2933</v>
      </c>
      <c r="AJ173" s="2">
        <f t="shared" si="4"/>
        <v>1</v>
      </c>
      <c r="AL173" s="2">
        <f t="shared" si="5"/>
        <v>0</v>
      </c>
    </row>
    <row r="174" spans="1:38" ht="28.8" x14ac:dyDescent="0.3">
      <c r="A174" s="5" t="s">
        <v>2929</v>
      </c>
      <c r="B174" s="1"/>
      <c r="C174" s="5"/>
      <c r="D174" s="1"/>
      <c r="E174" s="1"/>
      <c r="F174" s="1"/>
      <c r="G174" s="1"/>
      <c r="AD174" s="1" t="s">
        <v>2934</v>
      </c>
      <c r="AJ174" s="2">
        <f t="shared" si="4"/>
        <v>1</v>
      </c>
      <c r="AL174" s="2">
        <f t="shared" si="5"/>
        <v>0</v>
      </c>
    </row>
    <row r="175" spans="1:38" ht="28.8" x14ac:dyDescent="0.3">
      <c r="A175" s="5" t="s">
        <v>2970</v>
      </c>
      <c r="B175" s="1"/>
      <c r="C175" s="5"/>
      <c r="D175" s="1"/>
      <c r="E175" s="1"/>
      <c r="F175" s="1"/>
      <c r="G175" s="1"/>
      <c r="AE175" s="1" t="s">
        <v>974</v>
      </c>
      <c r="AJ175" s="2">
        <f t="shared" si="4"/>
        <v>1</v>
      </c>
      <c r="AL175" s="2">
        <f t="shared" si="5"/>
        <v>0</v>
      </c>
    </row>
    <row r="176" spans="1:38" ht="28.8" x14ac:dyDescent="0.3">
      <c r="A176" s="5" t="s">
        <v>2971</v>
      </c>
      <c r="B176" s="1"/>
      <c r="C176" s="5"/>
      <c r="D176" s="1"/>
      <c r="E176" s="1"/>
      <c r="F176" s="1"/>
      <c r="G176" s="1"/>
      <c r="AE176" s="1" t="s">
        <v>1252</v>
      </c>
      <c r="AJ176" s="2">
        <f t="shared" si="4"/>
        <v>1</v>
      </c>
      <c r="AL176" s="2">
        <f t="shared" si="5"/>
        <v>0</v>
      </c>
    </row>
    <row r="177" spans="1:38" ht="28.8" x14ac:dyDescent="0.3">
      <c r="A177" s="5" t="s">
        <v>2972</v>
      </c>
      <c r="B177" s="1"/>
      <c r="C177" s="5"/>
      <c r="D177" s="1"/>
      <c r="E177" s="1"/>
      <c r="F177" s="1"/>
      <c r="G177" s="1"/>
      <c r="AE177" s="1" t="s">
        <v>975</v>
      </c>
      <c r="AJ177" s="2">
        <f t="shared" si="4"/>
        <v>1</v>
      </c>
      <c r="AL177" s="2">
        <f t="shared" si="5"/>
        <v>0</v>
      </c>
    </row>
    <row r="178" spans="1:38" ht="28.8" x14ac:dyDescent="0.3">
      <c r="A178" s="5" t="s">
        <v>3029</v>
      </c>
      <c r="B178" s="1"/>
      <c r="C178" s="5"/>
      <c r="D178" s="1"/>
      <c r="E178" s="1"/>
      <c r="F178" s="1"/>
      <c r="G178" s="1"/>
      <c r="AG178" s="54" t="s">
        <v>988</v>
      </c>
      <c r="AH178" s="1" t="s">
        <v>995</v>
      </c>
      <c r="AJ178" s="2">
        <f t="shared" si="4"/>
        <v>2</v>
      </c>
      <c r="AL178" s="2">
        <f t="shared" si="5"/>
        <v>0</v>
      </c>
    </row>
    <row r="179" spans="1:38" x14ac:dyDescent="0.3">
      <c r="A179" s="5" t="s">
        <v>3030</v>
      </c>
      <c r="B179" s="1"/>
      <c r="C179" s="5"/>
      <c r="D179" s="1"/>
      <c r="E179" s="1"/>
      <c r="F179" s="1"/>
      <c r="G179" s="1"/>
      <c r="AG179" s="54" t="s">
        <v>993</v>
      </c>
      <c r="AH179" s="1" t="s">
        <v>999</v>
      </c>
      <c r="AJ179" s="2">
        <f t="shared" si="4"/>
        <v>2</v>
      </c>
      <c r="AL179" s="2">
        <f t="shared" si="5"/>
        <v>0</v>
      </c>
    </row>
    <row r="180" spans="1:38" x14ac:dyDescent="0.3">
      <c r="A180" s="48" t="s">
        <v>3297</v>
      </c>
      <c r="B180" s="1" t="s">
        <v>3298</v>
      </c>
      <c r="C180" s="5"/>
      <c r="D180" s="1"/>
      <c r="E180" s="1"/>
      <c r="F180" s="1"/>
      <c r="G180" s="1"/>
      <c r="AJ180" s="2">
        <f t="shared" si="4"/>
        <v>1</v>
      </c>
    </row>
    <row r="181" spans="1:38" x14ac:dyDescent="0.3">
      <c r="A181" s="48" t="s">
        <v>3296</v>
      </c>
      <c r="B181" s="1" t="s">
        <v>3299</v>
      </c>
      <c r="C181" s="5"/>
      <c r="D181" s="1"/>
      <c r="E181" s="1"/>
      <c r="F181" s="1"/>
      <c r="G181" s="1"/>
      <c r="AJ181" s="2">
        <f t="shared" si="4"/>
        <v>1</v>
      </c>
    </row>
    <row r="182" spans="1:38" x14ac:dyDescent="0.3">
      <c r="A182" s="48" t="s">
        <v>3301</v>
      </c>
      <c r="B182" s="1" t="s">
        <v>3300</v>
      </c>
      <c r="C182" s="5"/>
      <c r="D182" s="1"/>
      <c r="E182" s="1"/>
      <c r="F182" s="1"/>
      <c r="G182" s="1"/>
      <c r="AJ182" s="2">
        <f t="shared" si="4"/>
        <v>1</v>
      </c>
    </row>
    <row r="183" spans="1:38" x14ac:dyDescent="0.3">
      <c r="A183" s="49" t="s">
        <v>3302</v>
      </c>
      <c r="B183" s="1" t="s">
        <v>3303</v>
      </c>
      <c r="C183" s="5"/>
      <c r="D183" s="1"/>
      <c r="E183" s="1"/>
      <c r="F183" s="1"/>
      <c r="G183" s="1"/>
      <c r="AJ183" s="2">
        <f t="shared" si="4"/>
        <v>1</v>
      </c>
    </row>
    <row r="184" spans="1:38" x14ac:dyDescent="0.3">
      <c r="A184" s="48" t="s">
        <v>3304</v>
      </c>
      <c r="B184" s="1" t="s">
        <v>3305</v>
      </c>
      <c r="C184" s="5"/>
      <c r="D184" s="1"/>
      <c r="E184" s="1"/>
      <c r="F184" s="1"/>
      <c r="G184" s="1"/>
      <c r="AJ184" s="2">
        <f t="shared" si="4"/>
        <v>1</v>
      </c>
    </row>
    <row r="185" spans="1:38" x14ac:dyDescent="0.3">
      <c r="A185" s="5"/>
      <c r="B185" s="1"/>
      <c r="C185" s="5"/>
      <c r="D185" s="1"/>
      <c r="E185" s="1"/>
      <c r="F185" s="1"/>
      <c r="G185" s="1"/>
    </row>
    <row r="186" spans="1:38" x14ac:dyDescent="0.3">
      <c r="A186" s="5"/>
      <c r="B186" s="1"/>
      <c r="C186" s="5"/>
      <c r="D186" s="1"/>
      <c r="E186" s="1"/>
      <c r="F186" s="1"/>
      <c r="G186" s="1"/>
    </row>
    <row r="187" spans="1:38" x14ac:dyDescent="0.3">
      <c r="A187" s="5"/>
      <c r="B187" s="1"/>
      <c r="C187" s="5"/>
      <c r="D187" s="1"/>
      <c r="E187" s="1"/>
      <c r="F187" s="1"/>
      <c r="G187" s="1"/>
    </row>
    <row r="188" spans="1:38" x14ac:dyDescent="0.3">
      <c r="A188" s="5"/>
      <c r="B188" s="1"/>
      <c r="C188" s="5"/>
      <c r="D188" s="1"/>
      <c r="E188" s="1"/>
      <c r="F188" s="1"/>
      <c r="G188" s="1"/>
    </row>
    <row r="189" spans="1:38" x14ac:dyDescent="0.3">
      <c r="A189" s="5"/>
      <c r="B189" s="1"/>
      <c r="C189" s="5"/>
      <c r="D189" s="1"/>
      <c r="E189" s="1"/>
      <c r="F189" s="1"/>
      <c r="G189" s="1"/>
    </row>
    <row r="190" spans="1:38" x14ac:dyDescent="0.3">
      <c r="A190" s="5"/>
      <c r="B190" s="1"/>
      <c r="C190" s="5"/>
      <c r="D190" s="1"/>
      <c r="E190" s="1"/>
      <c r="F190" s="1"/>
      <c r="G190" s="1"/>
    </row>
    <row r="191" spans="1:38" x14ac:dyDescent="0.3">
      <c r="A191" s="5"/>
      <c r="B191" s="1"/>
      <c r="C191" s="5"/>
      <c r="D191" s="1"/>
      <c r="E191" s="1"/>
      <c r="F191" s="1"/>
      <c r="G191" s="1"/>
    </row>
    <row r="192" spans="1:38"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1"/>
      <c r="B269" s="1"/>
      <c r="C269" s="1"/>
      <c r="D269" s="1"/>
      <c r="E269" s="1"/>
      <c r="F269" s="1"/>
      <c r="G269" s="1"/>
    </row>
    <row r="270" spans="1:7" x14ac:dyDescent="0.3">
      <c r="A270" s="1"/>
      <c r="B270" s="1"/>
      <c r="C270" s="1"/>
      <c r="D270" s="1"/>
      <c r="E270" s="1"/>
      <c r="F270" s="1"/>
      <c r="G270" s="1"/>
    </row>
    <row r="271" spans="1:7" x14ac:dyDescent="0.3">
      <c r="A271" s="1"/>
      <c r="B271" s="1"/>
      <c r="C271" s="1"/>
      <c r="D271" s="1"/>
      <c r="E271" s="1"/>
      <c r="F271" s="1"/>
      <c r="G271" s="1"/>
    </row>
    <row r="272" spans="1:7" x14ac:dyDescent="0.3">
      <c r="A272" s="1"/>
      <c r="B272" s="1"/>
      <c r="C272" s="1"/>
      <c r="D272" s="1"/>
      <c r="E272" s="1"/>
      <c r="F272" s="1"/>
      <c r="G272" s="1"/>
    </row>
    <row r="273" spans="1:7" x14ac:dyDescent="0.3">
      <c r="A273" s="1"/>
      <c r="B273" s="1"/>
      <c r="C273" s="1"/>
      <c r="D273" s="1"/>
      <c r="E273" s="1"/>
      <c r="F273" s="1"/>
      <c r="G273" s="1"/>
    </row>
    <row r="274" spans="1:7" x14ac:dyDescent="0.3">
      <c r="A274" s="1"/>
      <c r="B274" s="1"/>
      <c r="C274" s="1"/>
      <c r="D274" s="1"/>
      <c r="E274" s="1"/>
      <c r="F274" s="1"/>
      <c r="G274" s="1"/>
    </row>
    <row r="275" spans="1:7" x14ac:dyDescent="0.3">
      <c r="A275" s="1"/>
      <c r="B275" s="1"/>
      <c r="C275" s="1"/>
      <c r="D275" s="1"/>
      <c r="E275" s="1"/>
      <c r="F275" s="1"/>
      <c r="G275" s="1"/>
    </row>
    <row r="276" spans="1:7" x14ac:dyDescent="0.3">
      <c r="B276" s="1"/>
    </row>
    <row r="277" spans="1:7" x14ac:dyDescent="0.3">
      <c r="B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row r="289" spans="2:2" x14ac:dyDescent="0.3">
      <c r="B289" s="1"/>
    </row>
    <row r="290" spans="2:2" x14ac:dyDescent="0.3">
      <c r="B290" s="1"/>
    </row>
  </sheetData>
  <autoFilter ref="A1:AH184" xr:uid="{9103D940-DE01-4376-B146-F57EB0E36F1C}"/>
  <phoneticPr fontId="1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8AF3-74D3-4327-AA3E-4DE821383E87}">
  <sheetPr codeName="Sheet7"/>
  <dimension ref="A1:AN337"/>
  <sheetViews>
    <sheetView rightToLeft="1" workbookViewId="0">
      <pane xSplit="1" ySplit="1" topLeftCell="M88"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8" customWidth="1"/>
    <col min="2" max="2" width="10" style="2" customWidth="1"/>
    <col min="3" max="3" width="12"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2" x14ac:dyDescent="0.3">
      <c r="A2" s="5" t="s">
        <v>753</v>
      </c>
      <c r="B2" s="6"/>
      <c r="C2" s="5"/>
      <c r="D2" s="1"/>
      <c r="E2" s="1"/>
      <c r="F2" s="1"/>
      <c r="G2" s="1"/>
      <c r="I2" s="70" t="s">
        <v>532</v>
      </c>
      <c r="J2" s="78" t="s">
        <v>991</v>
      </c>
      <c r="K2" s="54" t="s">
        <v>951</v>
      </c>
      <c r="L2" s="54" t="s">
        <v>954</v>
      </c>
      <c r="M2" s="54" t="s">
        <v>1393</v>
      </c>
      <c r="N2" s="50" t="s">
        <v>1564</v>
      </c>
      <c r="O2" s="56" t="s">
        <v>965</v>
      </c>
      <c r="P2" s="29"/>
      <c r="Q2" s="50" t="s">
        <v>2093</v>
      </c>
      <c r="R2" s="50" t="s">
        <v>2096</v>
      </c>
      <c r="S2" s="3" t="s">
        <v>877</v>
      </c>
      <c r="T2" s="3"/>
      <c r="U2" s="3"/>
      <c r="V2" s="3"/>
      <c r="W2" s="3"/>
      <c r="X2" s="3"/>
      <c r="Y2" s="3"/>
      <c r="Z2" s="3"/>
      <c r="AA2" s="3"/>
      <c r="AB2" s="3"/>
      <c r="AC2" s="3"/>
      <c r="AD2" s="3"/>
      <c r="AE2" s="3"/>
      <c r="AF2" s="3"/>
      <c r="AG2" s="3"/>
      <c r="AH2" s="3"/>
      <c r="AI2" s="3"/>
      <c r="AJ2" s="2">
        <f>COUNTA(B2:AH2)</f>
        <v>10</v>
      </c>
      <c r="AL2" s="2">
        <f>COUNTA(F2:O2,R2:S2)</f>
        <v>9</v>
      </c>
      <c r="AN2" s="2">
        <f>COUNTIF(AL2:AL235,"&gt;=2")</f>
        <v>40</v>
      </c>
    </row>
    <row r="3" spans="1:40" x14ac:dyDescent="0.3">
      <c r="A3" s="5" t="s">
        <v>754</v>
      </c>
      <c r="B3" s="6"/>
      <c r="C3" s="5"/>
      <c r="D3" s="1"/>
      <c r="E3" s="1"/>
      <c r="F3" s="1"/>
      <c r="G3" s="1"/>
      <c r="I3" s="70" t="s">
        <v>533</v>
      </c>
      <c r="J3" s="18" t="s">
        <v>992</v>
      </c>
      <c r="AJ3" s="2">
        <f t="shared" ref="AJ3:AJ66" si="0">COUNTA(B3:AH3)</f>
        <v>2</v>
      </c>
      <c r="AL3" s="2">
        <f t="shared" ref="AL3:AL66" si="1">COUNTA(F3:O3,R3:S3)</f>
        <v>2</v>
      </c>
    </row>
    <row r="4" spans="1:40" ht="43.2" x14ac:dyDescent="0.3">
      <c r="A4" s="5" t="s">
        <v>755</v>
      </c>
      <c r="B4" s="6"/>
      <c r="C4" s="5"/>
      <c r="D4" s="1"/>
      <c r="E4" s="1"/>
      <c r="F4" s="1"/>
      <c r="G4" s="1"/>
      <c r="I4" s="70" t="s">
        <v>127</v>
      </c>
      <c r="J4" s="78" t="s">
        <v>993</v>
      </c>
      <c r="K4" s="54" t="s">
        <v>952</v>
      </c>
      <c r="M4" s="54" t="s">
        <v>1394</v>
      </c>
      <c r="N4" s="53" t="s">
        <v>1565</v>
      </c>
      <c r="O4" s="54" t="s">
        <v>966</v>
      </c>
      <c r="Q4" s="53" t="s">
        <v>2097</v>
      </c>
      <c r="R4" s="53" t="s">
        <v>2098</v>
      </c>
      <c r="S4" s="1" t="s">
        <v>884</v>
      </c>
      <c r="AJ4" s="2">
        <f t="shared" si="0"/>
        <v>9</v>
      </c>
      <c r="AL4" s="2">
        <f t="shared" si="1"/>
        <v>8</v>
      </c>
    </row>
    <row r="5" spans="1:40" x14ac:dyDescent="0.3">
      <c r="A5" s="5" t="s">
        <v>754</v>
      </c>
      <c r="B5" s="5"/>
      <c r="C5" s="5"/>
      <c r="D5" s="1"/>
      <c r="E5" s="1"/>
      <c r="F5" s="1"/>
      <c r="G5" s="1"/>
      <c r="I5" s="70" t="s">
        <v>283</v>
      </c>
      <c r="J5" s="18" t="s">
        <v>994</v>
      </c>
      <c r="AJ5" s="2">
        <f t="shared" si="0"/>
        <v>2</v>
      </c>
      <c r="AL5" s="2">
        <f t="shared" si="1"/>
        <v>2</v>
      </c>
    </row>
    <row r="6" spans="1:40" ht="43.2" x14ac:dyDescent="0.3">
      <c r="A6" s="5" t="s">
        <v>756</v>
      </c>
      <c r="B6" s="6"/>
      <c r="C6" s="5"/>
      <c r="D6" s="1"/>
      <c r="E6" s="1"/>
      <c r="F6" s="1"/>
      <c r="G6" s="1"/>
      <c r="I6" s="70" t="s">
        <v>285</v>
      </c>
      <c r="J6" s="78" t="s">
        <v>995</v>
      </c>
      <c r="K6" s="54" t="s">
        <v>953</v>
      </c>
      <c r="L6" s="54" t="s">
        <v>956</v>
      </c>
      <c r="M6" s="54" t="s">
        <v>1395</v>
      </c>
      <c r="N6" s="53" t="s">
        <v>1566</v>
      </c>
      <c r="O6" s="54" t="s">
        <v>967</v>
      </c>
      <c r="Q6" s="53" t="s">
        <v>2105</v>
      </c>
      <c r="R6" s="1" t="s">
        <v>2106</v>
      </c>
      <c r="AJ6" s="2">
        <f t="shared" si="0"/>
        <v>9</v>
      </c>
      <c r="AL6" s="2">
        <f t="shared" si="1"/>
        <v>8</v>
      </c>
    </row>
    <row r="7" spans="1:40" x14ac:dyDescent="0.3">
      <c r="A7" s="5" t="s">
        <v>754</v>
      </c>
      <c r="B7" s="6"/>
      <c r="C7" s="5"/>
      <c r="D7" s="1"/>
      <c r="E7" s="1"/>
      <c r="F7" s="1"/>
      <c r="G7" s="1"/>
      <c r="I7" s="70" t="s">
        <v>287</v>
      </c>
      <c r="J7" s="18" t="s">
        <v>996</v>
      </c>
      <c r="AJ7" s="2">
        <f t="shared" si="0"/>
        <v>2</v>
      </c>
      <c r="AL7" s="2">
        <f t="shared" si="1"/>
        <v>2</v>
      </c>
    </row>
    <row r="8" spans="1:40" ht="28.8" x14ac:dyDescent="0.3">
      <c r="A8" s="5" t="s">
        <v>757</v>
      </c>
      <c r="B8" s="6"/>
      <c r="C8" s="5"/>
      <c r="D8" s="1"/>
      <c r="E8" s="1"/>
      <c r="F8" s="1"/>
      <c r="G8" s="1"/>
      <c r="I8" s="70" t="s">
        <v>59</v>
      </c>
      <c r="J8" s="78" t="s">
        <v>997</v>
      </c>
      <c r="K8" s="54" t="s">
        <v>954</v>
      </c>
      <c r="L8" s="54" t="s">
        <v>955</v>
      </c>
      <c r="M8" s="54" t="s">
        <v>1396</v>
      </c>
      <c r="N8" s="53" t="s">
        <v>1567</v>
      </c>
      <c r="O8" s="54" t="s">
        <v>968</v>
      </c>
      <c r="Q8" s="53" t="s">
        <v>2107</v>
      </c>
      <c r="R8" s="1" t="s">
        <v>2108</v>
      </c>
      <c r="AJ8" s="2">
        <f t="shared" si="0"/>
        <v>9</v>
      </c>
      <c r="AL8" s="2">
        <f t="shared" si="1"/>
        <v>8</v>
      </c>
    </row>
    <row r="9" spans="1:40" x14ac:dyDescent="0.3">
      <c r="A9" s="5" t="s">
        <v>754</v>
      </c>
      <c r="B9" s="6"/>
      <c r="C9" s="5"/>
      <c r="D9" s="1"/>
      <c r="E9" s="1"/>
      <c r="F9" s="1"/>
      <c r="G9" s="1"/>
      <c r="I9" s="70" t="s">
        <v>133</v>
      </c>
      <c r="J9" s="18" t="s">
        <v>998</v>
      </c>
      <c r="AJ9" s="2">
        <f t="shared" si="0"/>
        <v>2</v>
      </c>
      <c r="AL9" s="2">
        <f t="shared" si="1"/>
        <v>2</v>
      </c>
    </row>
    <row r="10" spans="1:40" ht="28.8" x14ac:dyDescent="0.3">
      <c r="A10" s="5" t="s">
        <v>758</v>
      </c>
      <c r="B10" s="6"/>
      <c r="C10" s="5"/>
      <c r="D10" s="1"/>
      <c r="E10" s="1"/>
      <c r="F10" s="1"/>
      <c r="G10" s="1"/>
      <c r="I10" s="70" t="s">
        <v>289</v>
      </c>
      <c r="J10" s="78" t="s">
        <v>999</v>
      </c>
      <c r="M10" s="54" t="s">
        <v>1392</v>
      </c>
      <c r="N10" s="53" t="s">
        <v>1563</v>
      </c>
      <c r="O10" s="54" t="s">
        <v>961</v>
      </c>
      <c r="Q10" s="53" t="s">
        <v>2085</v>
      </c>
      <c r="R10" s="53" t="s">
        <v>2086</v>
      </c>
      <c r="S10" s="53" t="s">
        <v>874</v>
      </c>
      <c r="T10" s="1" t="s">
        <v>997</v>
      </c>
      <c r="AJ10" s="2">
        <f t="shared" si="0"/>
        <v>9</v>
      </c>
      <c r="AL10" s="2">
        <f t="shared" si="1"/>
        <v>7</v>
      </c>
    </row>
    <row r="11" spans="1:40" x14ac:dyDescent="0.3">
      <c r="A11" s="5" t="s">
        <v>754</v>
      </c>
      <c r="B11" s="6"/>
      <c r="C11" s="5"/>
      <c r="D11" s="1"/>
      <c r="E11" s="1"/>
      <c r="F11" s="1"/>
      <c r="G11" s="1"/>
      <c r="I11" s="70" t="s">
        <v>290</v>
      </c>
      <c r="J11" s="18" t="s">
        <v>1000</v>
      </c>
      <c r="AJ11" s="2">
        <f t="shared" si="0"/>
        <v>2</v>
      </c>
      <c r="AL11" s="2">
        <f t="shared" si="1"/>
        <v>2</v>
      </c>
    </row>
    <row r="12" spans="1:40" ht="28.8" x14ac:dyDescent="0.3">
      <c r="A12" s="5" t="s">
        <v>759</v>
      </c>
      <c r="B12" s="1"/>
      <c r="C12" s="5"/>
      <c r="D12" s="1"/>
      <c r="E12" s="1"/>
      <c r="F12" s="1"/>
      <c r="G12" s="1"/>
      <c r="I12" s="70" t="s">
        <v>660</v>
      </c>
      <c r="J12" s="78" t="s">
        <v>1001</v>
      </c>
      <c r="K12" s="54" t="s">
        <v>956</v>
      </c>
      <c r="M12" s="54" t="s">
        <v>1401</v>
      </c>
      <c r="N12" s="53" t="s">
        <v>1570</v>
      </c>
      <c r="O12" s="1" t="s">
        <v>1713</v>
      </c>
      <c r="AJ12" s="2">
        <f t="shared" si="0"/>
        <v>6</v>
      </c>
      <c r="AL12" s="2">
        <f t="shared" si="1"/>
        <v>6</v>
      </c>
    </row>
    <row r="13" spans="1:40" x14ac:dyDescent="0.3">
      <c r="A13" s="5" t="s">
        <v>754</v>
      </c>
      <c r="B13" s="1"/>
      <c r="C13" s="5"/>
      <c r="D13" s="1"/>
      <c r="E13" s="1"/>
      <c r="F13" s="1"/>
      <c r="G13" s="1"/>
      <c r="I13" s="70" t="s">
        <v>539</v>
      </c>
      <c r="J13" s="18" t="s">
        <v>1002</v>
      </c>
      <c r="AJ13" s="2">
        <f t="shared" si="0"/>
        <v>2</v>
      </c>
      <c r="AL13" s="2">
        <f t="shared" si="1"/>
        <v>2</v>
      </c>
    </row>
    <row r="14" spans="1:40" ht="28.8" x14ac:dyDescent="0.3">
      <c r="A14" s="5" t="s">
        <v>760</v>
      </c>
      <c r="B14" s="1"/>
      <c r="C14" s="5"/>
      <c r="D14" s="1"/>
      <c r="E14" s="1"/>
      <c r="F14" s="1"/>
      <c r="G14" s="1"/>
      <c r="I14" s="70" t="s">
        <v>541</v>
      </c>
      <c r="J14" s="78" t="s">
        <v>1003</v>
      </c>
      <c r="K14" s="54" t="s">
        <v>957</v>
      </c>
      <c r="M14" s="54" t="s">
        <v>1402</v>
      </c>
      <c r="N14" s="1" t="s">
        <v>1574</v>
      </c>
      <c r="AJ14" s="2">
        <f t="shared" si="0"/>
        <v>5</v>
      </c>
      <c r="AL14" s="2">
        <f t="shared" si="1"/>
        <v>5</v>
      </c>
    </row>
    <row r="15" spans="1:40" x14ac:dyDescent="0.3">
      <c r="A15" s="5" t="s">
        <v>754</v>
      </c>
      <c r="B15" s="5"/>
      <c r="C15" s="5"/>
      <c r="D15" s="1"/>
      <c r="E15" s="1"/>
      <c r="F15" s="1"/>
      <c r="G15" s="1"/>
      <c r="I15" s="70" t="s">
        <v>543</v>
      </c>
      <c r="J15" s="18" t="s">
        <v>1004</v>
      </c>
      <c r="AJ15" s="2">
        <f t="shared" si="0"/>
        <v>2</v>
      </c>
      <c r="AL15" s="2">
        <f t="shared" si="1"/>
        <v>2</v>
      </c>
    </row>
    <row r="16" spans="1:40" ht="43.2" x14ac:dyDescent="0.3">
      <c r="A16" s="5" t="s">
        <v>1171</v>
      </c>
      <c r="B16" s="1"/>
      <c r="C16" s="5"/>
      <c r="D16" s="1"/>
      <c r="E16" s="1"/>
      <c r="F16" s="1"/>
      <c r="G16" s="1"/>
      <c r="K16" s="54" t="s">
        <v>955</v>
      </c>
      <c r="M16" s="54" t="s">
        <v>1400</v>
      </c>
      <c r="N16" s="1" t="s">
        <v>1569</v>
      </c>
      <c r="AJ16" s="2">
        <f t="shared" si="0"/>
        <v>3</v>
      </c>
      <c r="AL16" s="2">
        <f t="shared" si="1"/>
        <v>3</v>
      </c>
    </row>
    <row r="17" spans="1:38" ht="28.8" x14ac:dyDescent="0.3">
      <c r="A17" s="5" t="s">
        <v>1397</v>
      </c>
      <c r="B17" s="1"/>
      <c r="C17" s="5"/>
      <c r="D17" s="1"/>
      <c r="E17" s="1"/>
      <c r="F17" s="1"/>
      <c r="G17" s="1"/>
      <c r="L17" s="54" t="s">
        <v>957</v>
      </c>
      <c r="M17" s="1" t="s">
        <v>1403</v>
      </c>
      <c r="AJ17" s="2">
        <f t="shared" si="0"/>
        <v>2</v>
      </c>
      <c r="AL17" s="2">
        <f t="shared" si="1"/>
        <v>2</v>
      </c>
    </row>
    <row r="18" spans="1:38" ht="28.8" x14ac:dyDescent="0.3">
      <c r="A18" s="5" t="s">
        <v>1398</v>
      </c>
      <c r="B18" s="1"/>
      <c r="C18" s="5"/>
      <c r="D18" s="1"/>
      <c r="E18" s="1"/>
      <c r="F18" s="1"/>
      <c r="G18" s="1"/>
      <c r="M18" s="54" t="s">
        <v>1399</v>
      </c>
      <c r="N18" s="53" t="s">
        <v>1568</v>
      </c>
      <c r="O18" s="54" t="s">
        <v>962</v>
      </c>
      <c r="Q18" s="53" t="s">
        <v>2087</v>
      </c>
      <c r="R18" s="53" t="s">
        <v>2088</v>
      </c>
      <c r="S18" s="1" t="s">
        <v>875</v>
      </c>
      <c r="AJ18" s="2">
        <f t="shared" si="0"/>
        <v>6</v>
      </c>
      <c r="AL18" s="2">
        <f t="shared" si="1"/>
        <v>5</v>
      </c>
    </row>
    <row r="19" spans="1:38" ht="43.2" x14ac:dyDescent="0.3">
      <c r="A19" s="5" t="s">
        <v>1710</v>
      </c>
      <c r="B19" s="1"/>
      <c r="C19" s="5"/>
      <c r="D19" s="1"/>
      <c r="E19" s="1"/>
      <c r="F19" s="1"/>
      <c r="G19" s="1"/>
      <c r="O19" s="54" t="s">
        <v>964</v>
      </c>
      <c r="Q19" s="53" t="s">
        <v>2092</v>
      </c>
      <c r="R19" s="53" t="s">
        <v>2091</v>
      </c>
      <c r="S19" s="1" t="s">
        <v>876</v>
      </c>
      <c r="AJ19" s="2">
        <f t="shared" si="0"/>
        <v>4</v>
      </c>
      <c r="AL19" s="2">
        <f t="shared" si="1"/>
        <v>3</v>
      </c>
    </row>
    <row r="20" spans="1:38" ht="43.2" x14ac:dyDescent="0.3">
      <c r="A20" s="5" t="s">
        <v>1404</v>
      </c>
      <c r="B20" s="1"/>
      <c r="C20" s="5"/>
      <c r="D20" s="1"/>
      <c r="E20" s="1"/>
      <c r="F20" s="1"/>
      <c r="G20" s="1"/>
      <c r="M20" s="54" t="s">
        <v>1405</v>
      </c>
      <c r="N20" s="53" t="s">
        <v>1573</v>
      </c>
      <c r="O20" s="1" t="s">
        <v>1714</v>
      </c>
      <c r="AJ20" s="2">
        <f t="shared" si="0"/>
        <v>3</v>
      </c>
      <c r="AL20" s="2">
        <f t="shared" si="1"/>
        <v>3</v>
      </c>
    </row>
    <row r="21" spans="1:38" ht="28.8" x14ac:dyDescent="0.3">
      <c r="A21" s="5" t="s">
        <v>1571</v>
      </c>
      <c r="B21" s="1"/>
      <c r="C21" s="5"/>
      <c r="D21" s="1"/>
      <c r="E21" s="1"/>
      <c r="F21" s="1"/>
      <c r="G21" s="1"/>
      <c r="N21" s="1" t="s">
        <v>1572</v>
      </c>
      <c r="O21" s="54" t="s">
        <v>959</v>
      </c>
      <c r="Q21" s="53" t="s">
        <v>2079</v>
      </c>
      <c r="R21" s="53" t="s">
        <v>2080</v>
      </c>
      <c r="S21" s="53" t="s">
        <v>1676</v>
      </c>
      <c r="T21" s="1" t="s">
        <v>995</v>
      </c>
      <c r="AJ21" s="2">
        <f t="shared" si="0"/>
        <v>6</v>
      </c>
      <c r="AL21" s="2">
        <f t="shared" si="1"/>
        <v>4</v>
      </c>
    </row>
    <row r="22" spans="1:38" ht="28.8" x14ac:dyDescent="0.3">
      <c r="A22" s="5" t="s">
        <v>1708</v>
      </c>
      <c r="B22" s="1"/>
      <c r="C22" s="5"/>
      <c r="D22" s="1"/>
      <c r="E22" s="1"/>
      <c r="F22" s="1"/>
      <c r="G22" s="1"/>
      <c r="O22" s="1" t="s">
        <v>960</v>
      </c>
      <c r="AJ22" s="2">
        <f t="shared" si="0"/>
        <v>1</v>
      </c>
      <c r="AL22" s="2">
        <f t="shared" si="1"/>
        <v>1</v>
      </c>
    </row>
    <row r="23" spans="1:38" ht="28.8" x14ac:dyDescent="0.3">
      <c r="A23" s="5" t="s">
        <v>1709</v>
      </c>
      <c r="B23" s="1"/>
      <c r="C23" s="5"/>
      <c r="D23" s="1"/>
      <c r="E23" s="1"/>
      <c r="F23" s="1"/>
      <c r="G23" s="1"/>
      <c r="O23" s="54" t="s">
        <v>963</v>
      </c>
      <c r="Q23" s="53" t="s">
        <v>1206</v>
      </c>
      <c r="R23" s="53" t="s">
        <v>2089</v>
      </c>
      <c r="S23" s="53" t="s">
        <v>1678</v>
      </c>
      <c r="T23" s="1" t="s">
        <v>998</v>
      </c>
      <c r="AJ23" s="2">
        <f t="shared" si="0"/>
        <v>5</v>
      </c>
      <c r="AL23" s="2">
        <f t="shared" si="1"/>
        <v>3</v>
      </c>
    </row>
    <row r="24" spans="1:38" ht="28.8" x14ac:dyDescent="0.3">
      <c r="A24" s="5" t="s">
        <v>1711</v>
      </c>
      <c r="B24" s="1"/>
      <c r="C24" s="5"/>
      <c r="D24" s="1"/>
      <c r="E24" s="1"/>
      <c r="F24" s="1"/>
      <c r="G24" s="1"/>
      <c r="O24" s="1" t="s">
        <v>969</v>
      </c>
      <c r="AJ24" s="2">
        <f t="shared" si="0"/>
        <v>1</v>
      </c>
      <c r="AL24" s="2">
        <f t="shared" si="1"/>
        <v>1</v>
      </c>
    </row>
    <row r="25" spans="1:38" ht="28.8" x14ac:dyDescent="0.3">
      <c r="A25" s="5" t="s">
        <v>1712</v>
      </c>
      <c r="B25" s="1"/>
      <c r="C25" s="5"/>
      <c r="D25" s="1"/>
      <c r="E25" s="1"/>
      <c r="F25" s="1"/>
      <c r="G25" s="1"/>
      <c r="O25" s="1" t="s">
        <v>970</v>
      </c>
      <c r="AJ25" s="2">
        <f t="shared" si="0"/>
        <v>1</v>
      </c>
      <c r="AL25" s="2">
        <f t="shared" si="1"/>
        <v>1</v>
      </c>
    </row>
    <row r="26" spans="1:38" ht="43.2" x14ac:dyDescent="0.3">
      <c r="A26" s="5" t="s">
        <v>2090</v>
      </c>
      <c r="B26" s="5"/>
      <c r="C26" s="5"/>
      <c r="D26" s="1"/>
      <c r="E26" s="1"/>
      <c r="F26" s="1"/>
      <c r="G26" s="1"/>
      <c r="Q26" s="53" t="s">
        <v>2081</v>
      </c>
      <c r="R26" s="53" t="s">
        <v>2084</v>
      </c>
      <c r="S26" s="1" t="s">
        <v>1677</v>
      </c>
      <c r="AJ26" s="2">
        <f t="shared" si="0"/>
        <v>3</v>
      </c>
      <c r="AL26" s="2">
        <f t="shared" si="1"/>
        <v>2</v>
      </c>
    </row>
    <row r="27" spans="1:38" ht="28.8" x14ac:dyDescent="0.3">
      <c r="A27" s="5" t="s">
        <v>2082</v>
      </c>
      <c r="B27" s="5"/>
      <c r="C27" s="5"/>
      <c r="D27" s="1"/>
      <c r="E27" s="1"/>
      <c r="F27" s="1"/>
      <c r="G27" s="1"/>
      <c r="Q27" s="53" t="s">
        <v>2083</v>
      </c>
      <c r="R27" s="53" t="s">
        <v>2084</v>
      </c>
      <c r="S27" s="53" t="s">
        <v>873</v>
      </c>
      <c r="T27" s="1" t="s">
        <v>996</v>
      </c>
      <c r="AJ27" s="2">
        <f t="shared" si="0"/>
        <v>4</v>
      </c>
      <c r="AL27" s="2">
        <f t="shared" si="1"/>
        <v>2</v>
      </c>
    </row>
    <row r="28" spans="1:38" ht="28.8" x14ac:dyDescent="0.3">
      <c r="A28" s="5" t="s">
        <v>2099</v>
      </c>
      <c r="B28" s="5"/>
      <c r="C28" s="5"/>
      <c r="D28" s="1"/>
      <c r="E28" s="1"/>
      <c r="F28" s="1"/>
      <c r="G28" s="1"/>
      <c r="Q28" s="53" t="s">
        <v>2100</v>
      </c>
      <c r="R28" s="1" t="s">
        <v>2101</v>
      </c>
      <c r="AJ28" s="2">
        <f t="shared" si="0"/>
        <v>2</v>
      </c>
      <c r="AL28" s="2">
        <f t="shared" si="1"/>
        <v>1</v>
      </c>
    </row>
    <row r="29" spans="1:38" ht="43.2" x14ac:dyDescent="0.3">
      <c r="A29" s="5" t="s">
        <v>2102</v>
      </c>
      <c r="B29" s="5"/>
      <c r="C29" s="5"/>
      <c r="D29" s="1"/>
      <c r="E29" s="1"/>
      <c r="F29" s="1"/>
      <c r="G29" s="1"/>
      <c r="Q29" s="53" t="s">
        <v>2103</v>
      </c>
      <c r="R29" s="1" t="s">
        <v>2104</v>
      </c>
      <c r="AJ29" s="2">
        <f t="shared" si="0"/>
        <v>2</v>
      </c>
      <c r="AL29" s="2">
        <f t="shared" si="1"/>
        <v>1</v>
      </c>
    </row>
    <row r="30" spans="1:38" ht="43.2" x14ac:dyDescent="0.3">
      <c r="A30" s="5" t="s">
        <v>2109</v>
      </c>
      <c r="B30" s="5"/>
      <c r="C30" s="5"/>
      <c r="D30" s="1"/>
      <c r="E30" s="1"/>
      <c r="F30" s="1"/>
      <c r="G30" s="1"/>
      <c r="Q30" s="53" t="s">
        <v>2110</v>
      </c>
      <c r="R30" s="1" t="s">
        <v>2111</v>
      </c>
      <c r="AJ30" s="2">
        <f t="shared" si="0"/>
        <v>2</v>
      </c>
      <c r="AL30" s="2">
        <f t="shared" si="1"/>
        <v>1</v>
      </c>
    </row>
    <row r="31" spans="1:38" ht="28.8" x14ac:dyDescent="0.3">
      <c r="A31" s="5" t="s">
        <v>2112</v>
      </c>
      <c r="B31" s="5"/>
      <c r="C31" s="5"/>
      <c r="D31" s="1"/>
      <c r="E31" s="1"/>
      <c r="F31" s="1"/>
      <c r="G31" s="1"/>
      <c r="Q31" s="53" t="s">
        <v>2113</v>
      </c>
      <c r="R31" s="1" t="s">
        <v>2114</v>
      </c>
      <c r="AJ31" s="2">
        <f t="shared" si="0"/>
        <v>2</v>
      </c>
      <c r="AL31" s="2">
        <f t="shared" si="1"/>
        <v>1</v>
      </c>
    </row>
    <row r="32" spans="1:38" ht="43.2" x14ac:dyDescent="0.3">
      <c r="A32" s="5" t="s">
        <v>2283</v>
      </c>
      <c r="B32" s="5"/>
      <c r="C32" s="5"/>
      <c r="D32" s="1"/>
      <c r="E32" s="1"/>
      <c r="F32" s="1"/>
      <c r="G32" s="1"/>
      <c r="S32" s="1" t="s">
        <v>878</v>
      </c>
      <c r="AJ32" s="2">
        <f t="shared" si="0"/>
        <v>1</v>
      </c>
      <c r="AL32" s="2">
        <f t="shared" si="1"/>
        <v>1</v>
      </c>
    </row>
    <row r="33" spans="1:38" ht="43.2" x14ac:dyDescent="0.3">
      <c r="A33" s="5" t="s">
        <v>2284</v>
      </c>
      <c r="B33" s="5"/>
      <c r="C33" s="5"/>
      <c r="D33" s="1"/>
      <c r="E33" s="1"/>
      <c r="F33" s="1"/>
      <c r="G33" s="1"/>
      <c r="S33" s="1" t="s">
        <v>879</v>
      </c>
      <c r="AJ33" s="2">
        <f t="shared" si="0"/>
        <v>1</v>
      </c>
      <c r="AL33" s="2">
        <f t="shared" si="1"/>
        <v>1</v>
      </c>
    </row>
    <row r="34" spans="1:38" ht="43.2" x14ac:dyDescent="0.3">
      <c r="A34" s="5" t="s">
        <v>2285</v>
      </c>
      <c r="B34" s="5"/>
      <c r="C34" s="5"/>
      <c r="D34" s="1"/>
      <c r="E34" s="1"/>
      <c r="F34" s="1"/>
      <c r="G34" s="1"/>
      <c r="S34" s="1" t="s">
        <v>883</v>
      </c>
      <c r="AJ34" s="2">
        <f t="shared" si="0"/>
        <v>1</v>
      </c>
      <c r="AL34" s="2">
        <f t="shared" si="1"/>
        <v>1</v>
      </c>
    </row>
    <row r="35" spans="1:38" ht="28.8" x14ac:dyDescent="0.3">
      <c r="A35" s="5" t="s">
        <v>2313</v>
      </c>
      <c r="B35" s="5"/>
      <c r="C35" s="5"/>
      <c r="D35" s="1"/>
      <c r="E35" s="1"/>
      <c r="F35" s="1"/>
      <c r="G35" s="1"/>
      <c r="T35" s="1" t="s">
        <v>987</v>
      </c>
      <c r="AJ35" s="2">
        <f t="shared" si="0"/>
        <v>1</v>
      </c>
      <c r="AL35" s="2">
        <f t="shared" si="1"/>
        <v>0</v>
      </c>
    </row>
    <row r="36" spans="1:38" ht="28.8" x14ac:dyDescent="0.3">
      <c r="A36" s="5" t="s">
        <v>2314</v>
      </c>
      <c r="B36" s="5"/>
      <c r="C36" s="5"/>
      <c r="D36" s="1"/>
      <c r="E36" s="1"/>
      <c r="F36" s="1"/>
      <c r="G36" s="1"/>
      <c r="T36" s="1" t="s">
        <v>988</v>
      </c>
      <c r="AJ36" s="2">
        <f t="shared" si="0"/>
        <v>1</v>
      </c>
      <c r="AL36" s="2">
        <f t="shared" si="1"/>
        <v>0</v>
      </c>
    </row>
    <row r="37" spans="1:38" ht="28.8" x14ac:dyDescent="0.3">
      <c r="A37" s="5" t="s">
        <v>2315</v>
      </c>
      <c r="B37" s="5"/>
      <c r="C37" s="5"/>
      <c r="D37" s="1"/>
      <c r="E37" s="1"/>
      <c r="F37" s="1"/>
      <c r="G37" s="1"/>
      <c r="T37" s="1" t="s">
        <v>989</v>
      </c>
      <c r="AJ37" s="2">
        <f t="shared" si="0"/>
        <v>1</v>
      </c>
      <c r="AL37" s="2">
        <f t="shared" si="1"/>
        <v>0</v>
      </c>
    </row>
    <row r="38" spans="1:38" ht="28.8" x14ac:dyDescent="0.3">
      <c r="A38" s="5" t="s">
        <v>2316</v>
      </c>
      <c r="B38" s="5"/>
      <c r="C38" s="5"/>
      <c r="D38" s="1"/>
      <c r="E38" s="1"/>
      <c r="F38" s="1"/>
      <c r="G38" s="1"/>
      <c r="T38" s="1" t="s">
        <v>990</v>
      </c>
      <c r="AJ38" s="2">
        <f t="shared" si="0"/>
        <v>1</v>
      </c>
      <c r="AL38" s="2">
        <f t="shared" si="1"/>
        <v>0</v>
      </c>
    </row>
    <row r="39" spans="1:38" ht="28.8" x14ac:dyDescent="0.3">
      <c r="A39" s="5" t="s">
        <v>2317</v>
      </c>
      <c r="B39" s="5"/>
      <c r="C39" s="5"/>
      <c r="D39" s="1"/>
      <c r="E39" s="1"/>
      <c r="F39" s="1"/>
      <c r="G39" s="1"/>
      <c r="T39" s="1" t="s">
        <v>991</v>
      </c>
      <c r="AJ39" s="2">
        <f t="shared" si="0"/>
        <v>1</v>
      </c>
      <c r="AL39" s="2">
        <f t="shared" si="1"/>
        <v>0</v>
      </c>
    </row>
    <row r="40" spans="1:38" ht="43.2" x14ac:dyDescent="0.3">
      <c r="A40" s="5" t="s">
        <v>2318</v>
      </c>
      <c r="B40" s="5"/>
      <c r="C40" s="5"/>
      <c r="D40" s="1"/>
      <c r="E40" s="1"/>
      <c r="F40" s="1"/>
      <c r="G40" s="1"/>
      <c r="T40" s="1" t="s">
        <v>992</v>
      </c>
      <c r="AJ40" s="2">
        <f t="shared" si="0"/>
        <v>1</v>
      </c>
      <c r="AL40" s="2">
        <f t="shared" si="1"/>
        <v>0</v>
      </c>
    </row>
    <row r="41" spans="1:38" ht="28.8" x14ac:dyDescent="0.3">
      <c r="A41" s="5" t="s">
        <v>2319</v>
      </c>
      <c r="B41" s="5"/>
      <c r="C41" s="5"/>
      <c r="D41" s="1"/>
      <c r="E41" s="1"/>
      <c r="F41" s="1"/>
      <c r="G41" s="1"/>
      <c r="T41" s="1" t="s">
        <v>993</v>
      </c>
      <c r="AJ41" s="2">
        <f t="shared" si="0"/>
        <v>1</v>
      </c>
      <c r="AL41" s="2">
        <f t="shared" si="1"/>
        <v>0</v>
      </c>
    </row>
    <row r="42" spans="1:38" ht="28.8" x14ac:dyDescent="0.3">
      <c r="A42" s="5" t="s">
        <v>2320</v>
      </c>
      <c r="B42" s="5"/>
      <c r="C42" s="5"/>
      <c r="D42" s="1"/>
      <c r="E42" s="1"/>
      <c r="F42" s="1"/>
      <c r="G42" s="1"/>
      <c r="T42" s="1" t="s">
        <v>994</v>
      </c>
      <c r="AJ42" s="2">
        <f t="shared" si="0"/>
        <v>1</v>
      </c>
      <c r="AL42" s="2">
        <f t="shared" si="1"/>
        <v>0</v>
      </c>
    </row>
    <row r="43" spans="1:38" ht="28.8" x14ac:dyDescent="0.3">
      <c r="A43" s="5" t="s">
        <v>767</v>
      </c>
      <c r="B43" s="5"/>
      <c r="C43" s="5"/>
      <c r="D43" s="1"/>
      <c r="E43" s="1"/>
      <c r="F43" s="63" t="s">
        <v>241</v>
      </c>
      <c r="G43" s="63" t="s">
        <v>500</v>
      </c>
      <c r="H43" s="63" t="s">
        <v>502</v>
      </c>
      <c r="I43" s="54" t="s">
        <v>545</v>
      </c>
      <c r="J43" s="54" t="s">
        <v>1005</v>
      </c>
      <c r="K43" s="54" t="s">
        <v>958</v>
      </c>
      <c r="M43" s="54" t="s">
        <v>1406</v>
      </c>
      <c r="N43" s="54" t="s">
        <v>1578</v>
      </c>
      <c r="O43" s="1" t="s">
        <v>1728</v>
      </c>
      <c r="AJ43" s="2">
        <f t="shared" si="0"/>
        <v>9</v>
      </c>
      <c r="AL43" s="2">
        <f t="shared" si="1"/>
        <v>9</v>
      </c>
    </row>
    <row r="44" spans="1:38" x14ac:dyDescent="0.3">
      <c r="A44" s="5" t="s">
        <v>754</v>
      </c>
      <c r="B44" s="5"/>
      <c r="C44" s="5"/>
      <c r="D44" s="1"/>
      <c r="E44" s="1"/>
      <c r="F44" s="12"/>
      <c r="G44" s="12"/>
      <c r="H44" s="12"/>
      <c r="I44" s="54" t="s">
        <v>547</v>
      </c>
      <c r="J44" s="54" t="s">
        <v>1006</v>
      </c>
      <c r="M44" s="1" t="s">
        <v>1407</v>
      </c>
      <c r="AJ44" s="2">
        <f t="shared" si="0"/>
        <v>3</v>
      </c>
      <c r="AL44" s="2">
        <f t="shared" si="1"/>
        <v>3</v>
      </c>
    </row>
    <row r="45" spans="1:38" x14ac:dyDescent="0.3">
      <c r="A45" s="5" t="s">
        <v>761</v>
      </c>
      <c r="B45" s="5"/>
      <c r="C45" s="5"/>
      <c r="D45" s="1"/>
      <c r="E45" s="1"/>
      <c r="F45" s="63" t="s">
        <v>242</v>
      </c>
      <c r="G45" s="63" t="s">
        <v>501</v>
      </c>
      <c r="H45" s="12" t="s">
        <v>504</v>
      </c>
      <c r="AJ45" s="2">
        <f t="shared" si="0"/>
        <v>3</v>
      </c>
      <c r="AL45" s="2">
        <f t="shared" si="1"/>
        <v>3</v>
      </c>
    </row>
    <row r="46" spans="1:38" x14ac:dyDescent="0.3">
      <c r="A46" s="5" t="s">
        <v>762</v>
      </c>
      <c r="B46" s="5"/>
      <c r="C46" s="5"/>
      <c r="D46" s="1"/>
      <c r="E46" s="1"/>
      <c r="F46" s="63" t="s">
        <v>243</v>
      </c>
      <c r="G46" s="63" t="s">
        <v>502</v>
      </c>
      <c r="H46" s="12" t="s">
        <v>656</v>
      </c>
      <c r="AJ46" s="2">
        <f t="shared" si="0"/>
        <v>3</v>
      </c>
      <c r="AL46" s="2">
        <f t="shared" si="1"/>
        <v>3</v>
      </c>
    </row>
    <row r="47" spans="1:38" x14ac:dyDescent="0.3">
      <c r="A47" s="5" t="s">
        <v>763</v>
      </c>
      <c r="B47" s="5"/>
      <c r="C47" s="5"/>
      <c r="D47" s="1"/>
      <c r="E47" s="1"/>
      <c r="F47" s="12"/>
      <c r="G47" s="12"/>
      <c r="H47" s="12"/>
      <c r="I47" s="54" t="s">
        <v>549</v>
      </c>
      <c r="J47" s="54" t="s">
        <v>1006</v>
      </c>
      <c r="K47" s="54" t="s">
        <v>959</v>
      </c>
      <c r="L47" s="54" t="s">
        <v>950</v>
      </c>
      <c r="M47" s="54" t="s">
        <v>1411</v>
      </c>
      <c r="N47" s="54" t="s">
        <v>1582</v>
      </c>
      <c r="O47" s="1" t="s">
        <v>1730</v>
      </c>
      <c r="AJ47" s="2">
        <f t="shared" si="0"/>
        <v>7</v>
      </c>
      <c r="AL47" s="2">
        <f t="shared" si="1"/>
        <v>7</v>
      </c>
    </row>
    <row r="48" spans="1:38" x14ac:dyDescent="0.3">
      <c r="A48" s="5" t="s">
        <v>754</v>
      </c>
      <c r="B48" s="5"/>
      <c r="C48" s="5"/>
      <c r="D48" s="1"/>
      <c r="E48" s="1"/>
      <c r="F48" s="12"/>
      <c r="G48" s="12"/>
      <c r="H48" s="12"/>
      <c r="I48" s="54" t="s">
        <v>551</v>
      </c>
      <c r="J48" s="54" t="s">
        <v>1007</v>
      </c>
      <c r="M48" s="1" t="s">
        <v>1412</v>
      </c>
      <c r="AJ48" s="2">
        <f t="shared" si="0"/>
        <v>3</v>
      </c>
      <c r="AL48" s="2">
        <f t="shared" si="1"/>
        <v>3</v>
      </c>
    </row>
    <row r="49" spans="1:38" ht="28.8" x14ac:dyDescent="0.3">
      <c r="A49" s="5" t="s">
        <v>764</v>
      </c>
      <c r="B49" s="5"/>
      <c r="C49" s="5"/>
      <c r="D49" s="1"/>
      <c r="E49" s="1"/>
      <c r="F49" s="12"/>
      <c r="G49" s="12"/>
      <c r="H49" s="12"/>
      <c r="I49" s="54" t="s">
        <v>552</v>
      </c>
      <c r="J49" s="54" t="s">
        <v>1008</v>
      </c>
      <c r="K49" s="54" t="s">
        <v>960</v>
      </c>
      <c r="L49" s="54" t="s">
        <v>951</v>
      </c>
      <c r="M49" s="54" t="s">
        <v>1419</v>
      </c>
      <c r="N49" s="54" t="s">
        <v>1584</v>
      </c>
      <c r="O49" s="1" t="s">
        <v>1732</v>
      </c>
      <c r="AJ49" s="2">
        <f t="shared" si="0"/>
        <v>7</v>
      </c>
      <c r="AL49" s="2">
        <f t="shared" si="1"/>
        <v>7</v>
      </c>
    </row>
    <row r="50" spans="1:38" x14ac:dyDescent="0.3">
      <c r="A50" s="5" t="s">
        <v>754</v>
      </c>
      <c r="B50" s="5"/>
      <c r="C50" s="5"/>
      <c r="D50" s="1"/>
      <c r="E50" s="1"/>
      <c r="F50" s="12"/>
      <c r="G50" s="12"/>
      <c r="H50" s="12"/>
      <c r="I50" s="54" t="s">
        <v>553</v>
      </c>
      <c r="J50" s="54" t="s">
        <v>1009</v>
      </c>
      <c r="M50" s="1" t="s">
        <v>1420</v>
      </c>
      <c r="AJ50" s="2">
        <f t="shared" si="0"/>
        <v>3</v>
      </c>
      <c r="AL50" s="2">
        <f t="shared" si="1"/>
        <v>3</v>
      </c>
    </row>
    <row r="51" spans="1:38" x14ac:dyDescent="0.3">
      <c r="A51" s="5" t="s">
        <v>765</v>
      </c>
      <c r="B51" s="5"/>
      <c r="C51" s="5"/>
      <c r="D51" s="1"/>
      <c r="E51" s="1"/>
      <c r="F51" s="12"/>
      <c r="G51" s="12"/>
      <c r="H51" s="12"/>
      <c r="I51" s="54" t="s">
        <v>293</v>
      </c>
      <c r="J51" s="54" t="s">
        <v>1010</v>
      </c>
      <c r="K51" s="54" t="s">
        <v>961</v>
      </c>
      <c r="M51" s="54" t="s">
        <v>1424</v>
      </c>
      <c r="N51" s="54" t="s">
        <v>1587</v>
      </c>
      <c r="O51" s="1" t="s">
        <v>1734</v>
      </c>
      <c r="AJ51" s="2">
        <f t="shared" si="0"/>
        <v>6</v>
      </c>
      <c r="AL51" s="2">
        <f t="shared" si="1"/>
        <v>6</v>
      </c>
    </row>
    <row r="52" spans="1:38" x14ac:dyDescent="0.3">
      <c r="A52" s="5" t="s">
        <v>754</v>
      </c>
      <c r="B52" s="5"/>
      <c r="C52" s="5"/>
      <c r="D52" s="1"/>
      <c r="E52" s="1"/>
      <c r="F52" s="12"/>
      <c r="G52" s="12"/>
      <c r="H52" s="12"/>
      <c r="I52" s="54" t="s">
        <v>295</v>
      </c>
      <c r="J52" s="54" t="s">
        <v>1011</v>
      </c>
      <c r="M52" s="1" t="s">
        <v>1425</v>
      </c>
      <c r="AJ52" s="2">
        <f t="shared" si="0"/>
        <v>3</v>
      </c>
      <c r="AL52" s="2">
        <f t="shared" si="1"/>
        <v>3</v>
      </c>
    </row>
    <row r="53" spans="1:38" x14ac:dyDescent="0.3">
      <c r="A53" s="5" t="s">
        <v>766</v>
      </c>
      <c r="B53" s="5"/>
      <c r="C53" s="5"/>
      <c r="D53" s="1"/>
      <c r="E53" s="1"/>
      <c r="F53" s="12"/>
      <c r="G53" s="12"/>
      <c r="H53" s="12"/>
      <c r="I53" s="54" t="s">
        <v>296</v>
      </c>
      <c r="J53" s="54" t="s">
        <v>1012</v>
      </c>
      <c r="K53" s="54" t="s">
        <v>962</v>
      </c>
      <c r="L53" s="54" t="s">
        <v>953</v>
      </c>
      <c r="M53" s="1" t="s">
        <v>1428</v>
      </c>
      <c r="AJ53" s="2">
        <f t="shared" si="0"/>
        <v>5</v>
      </c>
      <c r="AL53" s="2">
        <f t="shared" si="1"/>
        <v>5</v>
      </c>
    </row>
    <row r="54" spans="1:38" x14ac:dyDescent="0.3">
      <c r="A54" s="5" t="s">
        <v>754</v>
      </c>
      <c r="B54" s="5"/>
      <c r="C54" s="5"/>
      <c r="D54" s="1"/>
      <c r="E54" s="1"/>
      <c r="F54" s="12"/>
      <c r="G54" s="12"/>
      <c r="H54" s="12"/>
      <c r="I54" s="54" t="s">
        <v>298</v>
      </c>
      <c r="J54" s="54" t="s">
        <v>1013</v>
      </c>
      <c r="M54" s="1" t="s">
        <v>1429</v>
      </c>
      <c r="AJ54" s="2">
        <f t="shared" si="0"/>
        <v>3</v>
      </c>
      <c r="AL54" s="2">
        <f t="shared" si="1"/>
        <v>3</v>
      </c>
    </row>
    <row r="55" spans="1:38" x14ac:dyDescent="0.3">
      <c r="A55" s="5" t="s">
        <v>1242</v>
      </c>
      <c r="B55" s="5"/>
      <c r="C55" s="5"/>
      <c r="D55" s="1"/>
      <c r="E55" s="1"/>
      <c r="F55" s="12"/>
      <c r="G55" s="12"/>
      <c r="H55" s="12"/>
      <c r="L55" s="54" t="s">
        <v>952</v>
      </c>
      <c r="M55" s="54" t="s">
        <v>1426</v>
      </c>
      <c r="N55" s="54" t="s">
        <v>1588</v>
      </c>
      <c r="O55" s="1" t="s">
        <v>1735</v>
      </c>
      <c r="AJ55" s="2">
        <f t="shared" si="0"/>
        <v>4</v>
      </c>
      <c r="AL55" s="2">
        <f t="shared" si="1"/>
        <v>4</v>
      </c>
    </row>
    <row r="56" spans="1:38" x14ac:dyDescent="0.3">
      <c r="A56" s="5" t="s">
        <v>754</v>
      </c>
      <c r="B56" s="5"/>
      <c r="C56" s="5"/>
      <c r="D56" s="1"/>
      <c r="E56" s="1"/>
      <c r="F56" s="12"/>
      <c r="G56" s="12"/>
      <c r="H56" s="12"/>
      <c r="M56" s="1" t="s">
        <v>1427</v>
      </c>
      <c r="AJ56" s="2">
        <f t="shared" si="0"/>
        <v>1</v>
      </c>
      <c r="AL56" s="2">
        <f t="shared" si="1"/>
        <v>1</v>
      </c>
    </row>
    <row r="57" spans="1:38" x14ac:dyDescent="0.3">
      <c r="A57" s="5" t="s">
        <v>1409</v>
      </c>
      <c r="B57" s="5"/>
      <c r="C57" s="5"/>
      <c r="D57" s="1"/>
      <c r="E57" s="1"/>
      <c r="F57" s="12"/>
      <c r="G57" s="12"/>
      <c r="H57" s="12"/>
      <c r="M57" s="54" t="s">
        <v>1408</v>
      </c>
      <c r="N57" s="1" t="s">
        <v>1585</v>
      </c>
      <c r="AJ57" s="2">
        <f t="shared" si="0"/>
        <v>2</v>
      </c>
      <c r="AL57" s="2">
        <f t="shared" si="1"/>
        <v>2</v>
      </c>
    </row>
    <row r="58" spans="1:38" x14ac:dyDescent="0.3">
      <c r="A58" s="5" t="s">
        <v>754</v>
      </c>
      <c r="B58" s="5"/>
      <c r="C58" s="5"/>
      <c r="D58" s="1"/>
      <c r="E58" s="1"/>
      <c r="F58" s="12"/>
      <c r="G58" s="12"/>
      <c r="H58" s="12"/>
      <c r="M58" s="1" t="s">
        <v>1410</v>
      </c>
      <c r="AJ58" s="2">
        <f t="shared" si="0"/>
        <v>1</v>
      </c>
      <c r="AL58" s="2">
        <f t="shared" si="1"/>
        <v>1</v>
      </c>
    </row>
    <row r="59" spans="1:38" x14ac:dyDescent="0.3">
      <c r="A59" s="5" t="s">
        <v>1413</v>
      </c>
      <c r="B59" s="5"/>
      <c r="C59" s="5"/>
      <c r="D59" s="1"/>
      <c r="E59" s="1"/>
      <c r="F59" s="12"/>
      <c r="G59" s="12"/>
      <c r="H59" s="12"/>
      <c r="M59" s="1" t="s">
        <v>1414</v>
      </c>
      <c r="AJ59" s="2">
        <f t="shared" si="0"/>
        <v>1</v>
      </c>
      <c r="AL59" s="2">
        <f t="shared" si="1"/>
        <v>1</v>
      </c>
    </row>
    <row r="60" spans="1:38" x14ac:dyDescent="0.3">
      <c r="A60" s="5" t="s">
        <v>754</v>
      </c>
      <c r="B60" s="5"/>
      <c r="C60" s="5"/>
      <c r="D60" s="1"/>
      <c r="E60" s="1"/>
      <c r="F60" s="12"/>
      <c r="G60" s="12"/>
      <c r="H60" s="12"/>
      <c r="M60" s="1" t="s">
        <v>1415</v>
      </c>
      <c r="AJ60" s="2">
        <f t="shared" si="0"/>
        <v>1</v>
      </c>
      <c r="AL60" s="2">
        <f t="shared" si="1"/>
        <v>1</v>
      </c>
    </row>
    <row r="61" spans="1:38" x14ac:dyDescent="0.3">
      <c r="A61" s="5" t="s">
        <v>1416</v>
      </c>
      <c r="B61" s="5"/>
      <c r="C61" s="5"/>
      <c r="D61" s="1"/>
      <c r="E61" s="1"/>
      <c r="F61" s="12"/>
      <c r="G61" s="12"/>
      <c r="H61" s="12"/>
      <c r="M61" s="54" t="s">
        <v>1417</v>
      </c>
      <c r="N61" s="54" t="s">
        <v>1583</v>
      </c>
      <c r="O61" s="1" t="s">
        <v>1731</v>
      </c>
      <c r="AJ61" s="2">
        <f t="shared" si="0"/>
        <v>3</v>
      </c>
      <c r="AL61" s="2">
        <f t="shared" si="1"/>
        <v>3</v>
      </c>
    </row>
    <row r="62" spans="1:38" x14ac:dyDescent="0.3">
      <c r="A62" s="5" t="s">
        <v>754</v>
      </c>
      <c r="B62" s="5"/>
      <c r="C62" s="5"/>
      <c r="D62" s="1"/>
      <c r="E62" s="1"/>
      <c r="F62" s="12"/>
      <c r="G62" s="12"/>
      <c r="H62" s="12"/>
      <c r="M62" s="1" t="s">
        <v>1418</v>
      </c>
      <c r="AJ62" s="2">
        <f t="shared" si="0"/>
        <v>1</v>
      </c>
      <c r="AL62" s="2">
        <f t="shared" si="1"/>
        <v>1</v>
      </c>
    </row>
    <row r="63" spans="1:38" x14ac:dyDescent="0.3">
      <c r="A63" s="5" t="s">
        <v>1421</v>
      </c>
      <c r="B63" s="5"/>
      <c r="C63" s="5"/>
      <c r="D63" s="1"/>
      <c r="E63" s="1"/>
      <c r="F63" s="12"/>
      <c r="G63" s="12"/>
      <c r="H63" s="12"/>
      <c r="M63" s="54" t="s">
        <v>1422</v>
      </c>
      <c r="N63" s="54" t="s">
        <v>1586</v>
      </c>
      <c r="O63" s="1" t="s">
        <v>1733</v>
      </c>
      <c r="AJ63" s="2">
        <f t="shared" si="0"/>
        <v>3</v>
      </c>
      <c r="AL63" s="2">
        <f t="shared" si="1"/>
        <v>3</v>
      </c>
    </row>
    <row r="64" spans="1:38" x14ac:dyDescent="0.3">
      <c r="A64" s="5" t="s">
        <v>754</v>
      </c>
      <c r="B64" s="5"/>
      <c r="C64" s="5"/>
      <c r="D64" s="1"/>
      <c r="E64" s="1"/>
      <c r="F64" s="12"/>
      <c r="G64" s="12"/>
      <c r="H64" s="12"/>
      <c r="M64" s="1" t="s">
        <v>1423</v>
      </c>
      <c r="AJ64" s="2">
        <f t="shared" si="0"/>
        <v>1</v>
      </c>
      <c r="AL64" s="2">
        <f t="shared" si="1"/>
        <v>1</v>
      </c>
    </row>
    <row r="65" spans="1:38" x14ac:dyDescent="0.3">
      <c r="A65" s="5" t="s">
        <v>1579</v>
      </c>
      <c r="B65" s="5"/>
      <c r="C65" s="5"/>
      <c r="D65" s="1"/>
      <c r="E65" s="1"/>
      <c r="F65" s="12"/>
      <c r="G65" s="12"/>
      <c r="H65" s="12"/>
      <c r="M65" s="1" t="s">
        <v>1430</v>
      </c>
      <c r="AJ65" s="2">
        <f t="shared" si="0"/>
        <v>1</v>
      </c>
      <c r="AL65" s="2">
        <f t="shared" si="1"/>
        <v>1</v>
      </c>
    </row>
    <row r="66" spans="1:38" x14ac:dyDescent="0.3">
      <c r="A66" s="5" t="s">
        <v>754</v>
      </c>
      <c r="B66" s="5"/>
      <c r="C66" s="5"/>
      <c r="D66" s="1"/>
      <c r="E66" s="1"/>
      <c r="F66" s="12"/>
      <c r="G66" s="12"/>
      <c r="H66" s="12"/>
      <c r="M66" s="1" t="s">
        <v>1431</v>
      </c>
      <c r="AJ66" s="2">
        <f t="shared" si="0"/>
        <v>1</v>
      </c>
      <c r="AL66" s="2">
        <f t="shared" si="1"/>
        <v>1</v>
      </c>
    </row>
    <row r="67" spans="1:38" x14ac:dyDescent="0.3">
      <c r="A67" s="5" t="s">
        <v>1580</v>
      </c>
      <c r="B67" s="5"/>
      <c r="C67" s="5"/>
      <c r="D67" s="1"/>
      <c r="E67" s="1"/>
      <c r="F67" s="1"/>
      <c r="G67" s="1"/>
      <c r="N67" s="54" t="s">
        <v>1581</v>
      </c>
      <c r="O67" s="1" t="s">
        <v>1729</v>
      </c>
      <c r="AJ67" s="2">
        <f t="shared" ref="AJ67:AJ130" si="2">COUNTA(B67:AH67)</f>
        <v>2</v>
      </c>
      <c r="AL67" s="2">
        <f t="shared" ref="AL67:AL130" si="3">COUNTA(F67:O67,R67:S67)</f>
        <v>2</v>
      </c>
    </row>
    <row r="68" spans="1:38" ht="43.2" x14ac:dyDescent="0.3">
      <c r="A68" s="5" t="s">
        <v>2252</v>
      </c>
      <c r="B68" s="5"/>
      <c r="C68" s="5"/>
      <c r="D68" s="1"/>
      <c r="E68" s="1"/>
      <c r="F68" s="1"/>
      <c r="G68" s="1"/>
      <c r="S68" s="53" t="s">
        <v>63</v>
      </c>
      <c r="U68" s="1" t="s">
        <v>935</v>
      </c>
      <c r="AJ68" s="2">
        <f t="shared" si="2"/>
        <v>2</v>
      </c>
      <c r="AL68" s="2">
        <f t="shared" si="3"/>
        <v>1</v>
      </c>
    </row>
    <row r="69" spans="1:38" ht="43.2" x14ac:dyDescent="0.3">
      <c r="A69" s="5" t="s">
        <v>2253</v>
      </c>
      <c r="B69" s="5"/>
      <c r="C69" s="5"/>
      <c r="D69" s="1"/>
      <c r="E69" s="1"/>
      <c r="F69" s="1"/>
      <c r="G69" s="1"/>
      <c r="S69" s="53" t="s">
        <v>64</v>
      </c>
      <c r="U69" s="53" t="s">
        <v>932</v>
      </c>
      <c r="AE69" s="1" t="s">
        <v>17</v>
      </c>
      <c r="AJ69" s="2">
        <f t="shared" si="2"/>
        <v>3</v>
      </c>
      <c r="AL69" s="2">
        <f t="shared" si="3"/>
        <v>1</v>
      </c>
    </row>
    <row r="70" spans="1:38" ht="43.2" x14ac:dyDescent="0.3">
      <c r="A70" s="5" t="s">
        <v>2254</v>
      </c>
      <c r="B70" s="5"/>
      <c r="C70" s="5"/>
      <c r="D70" s="1"/>
      <c r="E70" s="1"/>
      <c r="F70" s="1"/>
      <c r="G70" s="1"/>
      <c r="S70" s="53" t="s">
        <v>444</v>
      </c>
      <c r="U70" s="53" t="s">
        <v>933</v>
      </c>
      <c r="AE70" s="1" t="s">
        <v>192</v>
      </c>
      <c r="AJ70" s="2">
        <f t="shared" si="2"/>
        <v>3</v>
      </c>
      <c r="AL70" s="2">
        <f t="shared" si="3"/>
        <v>1</v>
      </c>
    </row>
    <row r="71" spans="1:38" ht="43.2" x14ac:dyDescent="0.3">
      <c r="A71" s="5" t="s">
        <v>2255</v>
      </c>
      <c r="B71" s="1"/>
      <c r="C71" s="5"/>
      <c r="D71" s="1"/>
      <c r="E71" s="1"/>
      <c r="F71" s="1"/>
      <c r="G71" s="1"/>
      <c r="S71" s="53" t="s">
        <v>82</v>
      </c>
      <c r="U71" s="53" t="s">
        <v>936</v>
      </c>
      <c r="AE71" s="1" t="s">
        <v>194</v>
      </c>
      <c r="AJ71" s="2">
        <f t="shared" si="2"/>
        <v>3</v>
      </c>
      <c r="AL71" s="2">
        <f t="shared" si="3"/>
        <v>1</v>
      </c>
    </row>
    <row r="72" spans="1:38" ht="43.2" x14ac:dyDescent="0.3">
      <c r="A72" s="5" t="s">
        <v>2256</v>
      </c>
      <c r="B72" s="1"/>
      <c r="C72" s="5"/>
      <c r="D72" s="1"/>
      <c r="E72" s="1"/>
      <c r="F72" s="1"/>
      <c r="G72" s="1"/>
      <c r="S72" s="53" t="s">
        <v>110</v>
      </c>
      <c r="U72" s="53" t="s">
        <v>1170</v>
      </c>
      <c r="AE72" s="1" t="s">
        <v>44</v>
      </c>
      <c r="AJ72" s="2">
        <f t="shared" si="2"/>
        <v>3</v>
      </c>
      <c r="AL72" s="2">
        <f t="shared" si="3"/>
        <v>1</v>
      </c>
    </row>
    <row r="73" spans="1:38" ht="43.2" x14ac:dyDescent="0.3">
      <c r="A73" s="5" t="s">
        <v>2257</v>
      </c>
      <c r="B73" s="1"/>
      <c r="C73" s="5"/>
      <c r="D73" s="1"/>
      <c r="E73" s="1"/>
      <c r="F73" s="1"/>
      <c r="G73" s="1"/>
      <c r="S73" s="53" t="s">
        <v>649</v>
      </c>
      <c r="U73" s="1" t="s">
        <v>937</v>
      </c>
      <c r="AJ73" s="2">
        <f t="shared" si="2"/>
        <v>2</v>
      </c>
      <c r="AL73" s="2">
        <f t="shared" si="3"/>
        <v>1</v>
      </c>
    </row>
    <row r="74" spans="1:38" ht="43.2" x14ac:dyDescent="0.3">
      <c r="A74" s="5" t="s">
        <v>2258</v>
      </c>
      <c r="B74" s="1"/>
      <c r="C74" s="5"/>
      <c r="D74" s="1"/>
      <c r="E74" s="1"/>
      <c r="F74" s="1"/>
      <c r="G74" s="1"/>
      <c r="S74" s="53" t="s">
        <v>222</v>
      </c>
      <c r="U74" s="1" t="s">
        <v>938</v>
      </c>
      <c r="AJ74" s="2">
        <f t="shared" si="2"/>
        <v>2</v>
      </c>
      <c r="AL74" s="2">
        <f t="shared" si="3"/>
        <v>1</v>
      </c>
    </row>
    <row r="75" spans="1:38" ht="43.2" x14ac:dyDescent="0.3">
      <c r="A75" s="5" t="s">
        <v>2259</v>
      </c>
      <c r="B75" s="1"/>
      <c r="C75" s="5"/>
      <c r="D75" s="1"/>
      <c r="E75" s="1"/>
      <c r="F75" s="1"/>
      <c r="G75" s="1"/>
      <c r="S75" s="53" t="s">
        <v>224</v>
      </c>
      <c r="U75" s="53" t="s">
        <v>940</v>
      </c>
      <c r="AE75" s="1" t="s">
        <v>33</v>
      </c>
      <c r="AJ75" s="2">
        <f t="shared" si="2"/>
        <v>3</v>
      </c>
      <c r="AL75" s="2">
        <f t="shared" si="3"/>
        <v>1</v>
      </c>
    </row>
    <row r="76" spans="1:38" ht="43.2" x14ac:dyDescent="0.3">
      <c r="A76" s="5" t="s">
        <v>2260</v>
      </c>
      <c r="B76" s="1"/>
      <c r="C76" s="5"/>
      <c r="D76" s="1"/>
      <c r="E76" s="1"/>
      <c r="F76" s="1"/>
      <c r="G76" s="1"/>
      <c r="S76" s="1" t="s">
        <v>226</v>
      </c>
      <c r="AJ76" s="2">
        <f t="shared" si="2"/>
        <v>1</v>
      </c>
      <c r="AL76" s="2">
        <f t="shared" si="3"/>
        <v>1</v>
      </c>
    </row>
    <row r="77" spans="1:38" x14ac:dyDescent="0.3">
      <c r="A77" s="5" t="s">
        <v>2261</v>
      </c>
      <c r="B77" s="1"/>
      <c r="C77" s="5"/>
      <c r="D77" s="1"/>
      <c r="E77" s="1"/>
      <c r="F77" s="1"/>
      <c r="G77" s="1"/>
      <c r="S77" s="53" t="s">
        <v>230</v>
      </c>
      <c r="U77" s="53" t="s">
        <v>950</v>
      </c>
      <c r="AE77" s="1" t="s">
        <v>243</v>
      </c>
      <c r="AJ77" s="2">
        <f t="shared" si="2"/>
        <v>3</v>
      </c>
      <c r="AL77" s="2">
        <f t="shared" si="3"/>
        <v>1</v>
      </c>
    </row>
    <row r="78" spans="1:38" x14ac:dyDescent="0.3">
      <c r="A78" s="5" t="s">
        <v>2262</v>
      </c>
      <c r="B78" s="1"/>
      <c r="C78" s="5"/>
      <c r="D78" s="1"/>
      <c r="E78" s="1"/>
      <c r="F78" s="1"/>
      <c r="G78" s="1"/>
      <c r="S78" s="53" t="s">
        <v>232</v>
      </c>
      <c r="U78" s="53" t="s">
        <v>943</v>
      </c>
      <c r="AE78" s="1" t="s">
        <v>242</v>
      </c>
      <c r="AJ78" s="2">
        <f t="shared" si="2"/>
        <v>3</v>
      </c>
      <c r="AL78" s="2">
        <f t="shared" si="3"/>
        <v>1</v>
      </c>
    </row>
    <row r="79" spans="1:38" x14ac:dyDescent="0.3">
      <c r="A79" s="5" t="s">
        <v>2263</v>
      </c>
      <c r="B79" s="1"/>
      <c r="C79" s="5"/>
      <c r="D79" s="1"/>
      <c r="E79" s="1"/>
      <c r="F79" s="1"/>
      <c r="G79" s="1"/>
      <c r="S79" s="53" t="s">
        <v>234</v>
      </c>
      <c r="U79" s="53" t="s">
        <v>944</v>
      </c>
      <c r="AE79" s="1" t="s">
        <v>104</v>
      </c>
      <c r="AJ79" s="2">
        <f t="shared" si="2"/>
        <v>3</v>
      </c>
      <c r="AL79" s="2">
        <f t="shared" si="3"/>
        <v>1</v>
      </c>
    </row>
    <row r="80" spans="1:38" ht="28.8" x14ac:dyDescent="0.3">
      <c r="A80" s="5" t="s">
        <v>2264</v>
      </c>
      <c r="B80" s="5"/>
      <c r="C80" s="5"/>
      <c r="D80" s="1"/>
      <c r="E80" s="1"/>
      <c r="F80" s="1"/>
      <c r="G80" s="1"/>
      <c r="S80" s="53" t="s">
        <v>238</v>
      </c>
      <c r="U80" s="53" t="s">
        <v>946</v>
      </c>
      <c r="AE80" s="1" t="s">
        <v>490</v>
      </c>
      <c r="AJ80" s="2">
        <f t="shared" si="2"/>
        <v>3</v>
      </c>
      <c r="AL80" s="2">
        <f t="shared" si="3"/>
        <v>1</v>
      </c>
    </row>
    <row r="81" spans="1:38" ht="28.8" x14ac:dyDescent="0.3">
      <c r="A81" s="5" t="s">
        <v>2265</v>
      </c>
      <c r="B81" s="1"/>
      <c r="C81" s="5"/>
      <c r="D81" s="1"/>
      <c r="E81" s="1"/>
      <c r="F81" s="1"/>
      <c r="G81" s="1"/>
      <c r="S81" s="53" t="s">
        <v>239</v>
      </c>
      <c r="U81" s="53" t="s">
        <v>948</v>
      </c>
      <c r="AE81" s="1" t="s">
        <v>2301</v>
      </c>
      <c r="AJ81" s="2">
        <f t="shared" si="2"/>
        <v>3</v>
      </c>
      <c r="AL81" s="2">
        <f t="shared" si="3"/>
        <v>1</v>
      </c>
    </row>
    <row r="82" spans="1:38" ht="28.8" x14ac:dyDescent="0.3">
      <c r="A82" s="5" t="s">
        <v>2266</v>
      </c>
      <c r="B82" s="1"/>
      <c r="C82" s="5"/>
      <c r="D82" s="1"/>
      <c r="E82" s="1"/>
      <c r="F82" s="1"/>
      <c r="G82" s="1"/>
      <c r="S82" s="53" t="s">
        <v>240</v>
      </c>
      <c r="U82" s="53" t="s">
        <v>951</v>
      </c>
      <c r="AE82" s="1" t="s">
        <v>1964</v>
      </c>
      <c r="AJ82" s="2">
        <f t="shared" si="2"/>
        <v>3</v>
      </c>
      <c r="AL82" s="2">
        <f t="shared" si="3"/>
        <v>1</v>
      </c>
    </row>
    <row r="83" spans="1:38" ht="28.8" x14ac:dyDescent="0.3">
      <c r="A83" s="5" t="s">
        <v>2267</v>
      </c>
      <c r="B83" s="1"/>
      <c r="C83" s="5"/>
      <c r="D83" s="1"/>
      <c r="E83" s="1"/>
      <c r="F83" s="1"/>
      <c r="G83" s="1"/>
      <c r="S83" s="53" t="s">
        <v>96</v>
      </c>
      <c r="U83" s="1" t="s">
        <v>952</v>
      </c>
      <c r="AJ83" s="2">
        <f t="shared" si="2"/>
        <v>2</v>
      </c>
      <c r="AL83" s="2">
        <f t="shared" si="3"/>
        <v>1</v>
      </c>
    </row>
    <row r="84" spans="1:38" x14ac:dyDescent="0.3">
      <c r="A84" s="5" t="s">
        <v>2268</v>
      </c>
      <c r="B84" s="1"/>
      <c r="C84" s="5"/>
      <c r="D84" s="1"/>
      <c r="E84" s="1"/>
      <c r="F84" s="1"/>
      <c r="G84" s="1"/>
      <c r="S84" s="53" t="s">
        <v>97</v>
      </c>
      <c r="U84" s="53" t="s">
        <v>953</v>
      </c>
      <c r="AE84" s="1" t="s">
        <v>1966</v>
      </c>
      <c r="AJ84" s="2">
        <f t="shared" si="2"/>
        <v>3</v>
      </c>
      <c r="AL84" s="2">
        <f t="shared" si="3"/>
        <v>1</v>
      </c>
    </row>
    <row r="85" spans="1:38" ht="28.8" x14ac:dyDescent="0.3">
      <c r="A85" s="5" t="s">
        <v>2269</v>
      </c>
      <c r="B85" s="1"/>
      <c r="C85" s="5"/>
      <c r="D85" s="1"/>
      <c r="E85" s="1"/>
      <c r="F85" s="1"/>
      <c r="G85" s="1"/>
      <c r="S85" s="53" t="s">
        <v>58</v>
      </c>
      <c r="U85" s="53" t="s">
        <v>954</v>
      </c>
      <c r="AE85" s="1" t="s">
        <v>971</v>
      </c>
      <c r="AJ85" s="2">
        <f t="shared" si="2"/>
        <v>3</v>
      </c>
      <c r="AL85" s="2">
        <f t="shared" si="3"/>
        <v>1</v>
      </c>
    </row>
    <row r="86" spans="1:38" ht="28.8" x14ac:dyDescent="0.3">
      <c r="A86" s="5" t="s">
        <v>2270</v>
      </c>
      <c r="B86" s="1"/>
      <c r="C86" s="5"/>
      <c r="D86" s="1"/>
      <c r="E86" s="1"/>
      <c r="F86" s="1"/>
      <c r="G86" s="1"/>
      <c r="S86" s="53" t="s">
        <v>98</v>
      </c>
      <c r="U86" s="1" t="s">
        <v>955</v>
      </c>
      <c r="AJ86" s="2">
        <f t="shared" si="2"/>
        <v>2</v>
      </c>
      <c r="AL86" s="2">
        <f t="shared" si="3"/>
        <v>1</v>
      </c>
    </row>
    <row r="87" spans="1:38" x14ac:dyDescent="0.3">
      <c r="A87" s="5" t="s">
        <v>2271</v>
      </c>
      <c r="B87" s="1"/>
      <c r="C87" s="5"/>
      <c r="D87" s="1"/>
      <c r="E87" s="1"/>
      <c r="F87" s="1"/>
      <c r="G87" s="1"/>
      <c r="S87" s="1" t="s">
        <v>99</v>
      </c>
      <c r="AJ87" s="2">
        <f t="shared" si="2"/>
        <v>1</v>
      </c>
      <c r="AL87" s="2">
        <f t="shared" si="3"/>
        <v>1</v>
      </c>
    </row>
    <row r="88" spans="1:38" x14ac:dyDescent="0.3">
      <c r="A88" s="5" t="s">
        <v>2272</v>
      </c>
      <c r="B88" s="1"/>
      <c r="C88" s="5"/>
      <c r="D88" s="1"/>
      <c r="E88" s="1"/>
      <c r="F88" s="1"/>
      <c r="G88" s="1"/>
      <c r="S88" s="53" t="s">
        <v>101</v>
      </c>
      <c r="U88" s="53" t="s">
        <v>961</v>
      </c>
      <c r="AE88" s="1" t="s">
        <v>232</v>
      </c>
      <c r="AJ88" s="2">
        <f t="shared" si="2"/>
        <v>3</v>
      </c>
      <c r="AL88" s="2">
        <f t="shared" si="3"/>
        <v>1</v>
      </c>
    </row>
    <row r="89" spans="1:38" x14ac:dyDescent="0.3">
      <c r="A89" s="5" t="s">
        <v>2273</v>
      </c>
      <c r="B89" s="1"/>
      <c r="C89" s="5"/>
      <c r="D89" s="1"/>
      <c r="E89" s="1"/>
      <c r="F89" s="1"/>
      <c r="G89" s="1"/>
      <c r="S89" s="53" t="s">
        <v>241</v>
      </c>
      <c r="U89" s="53" t="s">
        <v>957</v>
      </c>
      <c r="AE89" s="1" t="s">
        <v>230</v>
      </c>
      <c r="AJ89" s="2">
        <f t="shared" si="2"/>
        <v>3</v>
      </c>
      <c r="AL89" s="2">
        <f t="shared" si="3"/>
        <v>1</v>
      </c>
    </row>
    <row r="90" spans="1:38" x14ac:dyDescent="0.3">
      <c r="A90" s="5" t="s">
        <v>2274</v>
      </c>
      <c r="B90" s="1"/>
      <c r="C90" s="5"/>
      <c r="D90" s="1"/>
      <c r="E90" s="1"/>
      <c r="F90" s="1"/>
      <c r="G90" s="1"/>
      <c r="S90" s="53" t="s">
        <v>242</v>
      </c>
      <c r="U90" s="53" t="s">
        <v>958</v>
      </c>
      <c r="AE90" s="1" t="s">
        <v>234</v>
      </c>
      <c r="AJ90" s="2">
        <f t="shared" si="2"/>
        <v>3</v>
      </c>
      <c r="AL90" s="2">
        <f t="shared" si="3"/>
        <v>1</v>
      </c>
    </row>
    <row r="91" spans="1:38" ht="28.8" x14ac:dyDescent="0.3">
      <c r="A91" s="5" t="s">
        <v>2275</v>
      </c>
      <c r="B91" s="1"/>
      <c r="C91" s="5"/>
      <c r="D91" s="1"/>
      <c r="E91" s="1"/>
      <c r="F91" s="1"/>
      <c r="G91" s="1"/>
      <c r="S91" s="53" t="s">
        <v>243</v>
      </c>
      <c r="U91" s="53" t="s">
        <v>959</v>
      </c>
      <c r="AE91" s="1" t="s">
        <v>238</v>
      </c>
      <c r="AJ91" s="2">
        <f t="shared" si="2"/>
        <v>3</v>
      </c>
      <c r="AL91" s="2">
        <f t="shared" si="3"/>
        <v>1</v>
      </c>
    </row>
    <row r="92" spans="1:38" ht="28.8" x14ac:dyDescent="0.3">
      <c r="A92" s="5" t="s">
        <v>2276</v>
      </c>
      <c r="B92" s="1"/>
      <c r="C92" s="5"/>
      <c r="D92" s="1"/>
      <c r="E92" s="1"/>
      <c r="F92" s="1"/>
      <c r="G92" s="1"/>
      <c r="S92" s="53" t="s">
        <v>104</v>
      </c>
      <c r="U92" s="53" t="s">
        <v>960</v>
      </c>
      <c r="AE92" s="1" t="s">
        <v>240</v>
      </c>
      <c r="AJ92" s="2">
        <f t="shared" si="2"/>
        <v>3</v>
      </c>
      <c r="AL92" s="2">
        <f t="shared" si="3"/>
        <v>1</v>
      </c>
    </row>
    <row r="93" spans="1:38" ht="28.8" x14ac:dyDescent="0.3">
      <c r="A93" s="5" t="s">
        <v>2277</v>
      </c>
      <c r="B93" s="1"/>
      <c r="C93" s="5"/>
      <c r="D93" s="1"/>
      <c r="E93" s="1"/>
      <c r="F93" s="1"/>
      <c r="G93" s="1"/>
      <c r="S93" s="53" t="s">
        <v>490</v>
      </c>
      <c r="U93" s="53" t="s">
        <v>962</v>
      </c>
      <c r="AE93" s="1" t="s">
        <v>239</v>
      </c>
      <c r="AJ93" s="2">
        <f t="shared" si="2"/>
        <v>3</v>
      </c>
      <c r="AL93" s="2">
        <f t="shared" si="3"/>
        <v>1</v>
      </c>
    </row>
    <row r="94" spans="1:38" ht="28.8" x14ac:dyDescent="0.3">
      <c r="A94" s="5" t="s">
        <v>2278</v>
      </c>
      <c r="B94" s="1"/>
      <c r="C94" s="5"/>
      <c r="D94" s="1"/>
      <c r="E94" s="1"/>
      <c r="F94" s="1"/>
      <c r="G94" s="1"/>
      <c r="S94" s="53" t="s">
        <v>245</v>
      </c>
      <c r="U94" s="1" t="s">
        <v>963</v>
      </c>
      <c r="AJ94" s="2">
        <f t="shared" si="2"/>
        <v>2</v>
      </c>
      <c r="AL94" s="2">
        <f t="shared" si="3"/>
        <v>1</v>
      </c>
    </row>
    <row r="95" spans="1:38" x14ac:dyDescent="0.3">
      <c r="A95" s="5" t="s">
        <v>2279</v>
      </c>
      <c r="B95" s="1"/>
      <c r="C95" s="5"/>
      <c r="D95" s="1"/>
      <c r="E95" s="1"/>
      <c r="F95" s="1"/>
      <c r="G95" s="1"/>
      <c r="S95" s="53" t="s">
        <v>247</v>
      </c>
      <c r="U95" s="53" t="s">
        <v>964</v>
      </c>
      <c r="AE95" s="1" t="s">
        <v>96</v>
      </c>
      <c r="AJ95" s="2">
        <f t="shared" si="2"/>
        <v>3</v>
      </c>
      <c r="AL95" s="2">
        <f t="shared" si="3"/>
        <v>1</v>
      </c>
    </row>
    <row r="96" spans="1:38" ht="28.8" x14ac:dyDescent="0.3">
      <c r="A96" s="5" t="s">
        <v>2280</v>
      </c>
      <c r="B96" s="1"/>
      <c r="C96" s="5"/>
      <c r="D96" s="1"/>
      <c r="E96" s="1"/>
      <c r="F96" s="1"/>
      <c r="G96" s="1"/>
      <c r="S96" s="53" t="s">
        <v>249</v>
      </c>
      <c r="U96" s="53" t="s">
        <v>965</v>
      </c>
      <c r="AE96" s="1" t="s">
        <v>97</v>
      </c>
      <c r="AJ96" s="2">
        <f t="shared" si="2"/>
        <v>3</v>
      </c>
      <c r="AL96" s="2">
        <f t="shared" si="3"/>
        <v>1</v>
      </c>
    </row>
    <row r="97" spans="1:38" ht="28.8" x14ac:dyDescent="0.3">
      <c r="A97" s="5" t="s">
        <v>2281</v>
      </c>
      <c r="B97" s="1"/>
      <c r="C97" s="5"/>
      <c r="D97" s="1"/>
      <c r="E97" s="1"/>
      <c r="F97" s="1"/>
      <c r="G97" s="1"/>
      <c r="S97" s="53" t="s">
        <v>251</v>
      </c>
      <c r="U97" s="1" t="s">
        <v>966</v>
      </c>
      <c r="AJ97" s="2">
        <f t="shared" si="2"/>
        <v>2</v>
      </c>
      <c r="AL97" s="2">
        <f t="shared" si="3"/>
        <v>1</v>
      </c>
    </row>
    <row r="98" spans="1:38" x14ac:dyDescent="0.3">
      <c r="A98" s="5" t="s">
        <v>2282</v>
      </c>
      <c r="B98" s="1"/>
      <c r="C98" s="5"/>
      <c r="D98" s="1"/>
      <c r="E98" s="1"/>
      <c r="F98" s="1"/>
      <c r="G98" s="1"/>
      <c r="S98" s="1" t="s">
        <v>1674</v>
      </c>
      <c r="AJ98" s="2">
        <f t="shared" si="2"/>
        <v>1</v>
      </c>
      <c r="AL98" s="2">
        <f t="shared" si="3"/>
        <v>1</v>
      </c>
    </row>
    <row r="99" spans="1:38" ht="28.8" x14ac:dyDescent="0.3">
      <c r="A99" s="5" t="s">
        <v>2357</v>
      </c>
      <c r="B99" s="1"/>
      <c r="C99" s="5"/>
      <c r="D99" s="1"/>
      <c r="E99" s="1"/>
      <c r="F99" s="1"/>
      <c r="G99" s="1"/>
      <c r="T99" s="1" t="s">
        <v>2115</v>
      </c>
      <c r="AJ99" s="2">
        <f t="shared" si="2"/>
        <v>1</v>
      </c>
      <c r="AL99" s="2">
        <f t="shared" si="3"/>
        <v>0</v>
      </c>
    </row>
    <row r="100" spans="1:38" ht="28.8" x14ac:dyDescent="0.3">
      <c r="A100" s="5" t="s">
        <v>2358</v>
      </c>
      <c r="B100" s="1"/>
      <c r="C100" s="5"/>
      <c r="D100" s="1"/>
      <c r="E100" s="1"/>
      <c r="F100" s="1"/>
      <c r="G100" s="1"/>
      <c r="T100" s="1" t="s">
        <v>2094</v>
      </c>
      <c r="AJ100" s="2">
        <f t="shared" si="2"/>
        <v>1</v>
      </c>
      <c r="AL100" s="2">
        <f t="shared" si="3"/>
        <v>0</v>
      </c>
    </row>
    <row r="101" spans="1:38" ht="28.8" x14ac:dyDescent="0.3">
      <c r="A101" s="5" t="s">
        <v>2367</v>
      </c>
      <c r="B101" s="1"/>
      <c r="C101" s="5"/>
      <c r="D101" s="1"/>
      <c r="E101" s="1"/>
      <c r="F101" s="1"/>
      <c r="G101" s="1"/>
      <c r="T101" s="1" t="s">
        <v>2118</v>
      </c>
      <c r="AJ101" s="2">
        <f t="shared" si="2"/>
        <v>1</v>
      </c>
      <c r="AL101" s="2">
        <f t="shared" si="3"/>
        <v>0</v>
      </c>
    </row>
    <row r="102" spans="1:38" ht="43.2" x14ac:dyDescent="0.3">
      <c r="A102" s="5" t="s">
        <v>2359</v>
      </c>
      <c r="B102" s="1"/>
      <c r="C102" s="5"/>
      <c r="D102" s="1"/>
      <c r="E102" s="1"/>
      <c r="F102" s="1"/>
      <c r="G102" s="1"/>
      <c r="T102" s="1" t="s">
        <v>2120</v>
      </c>
      <c r="AJ102" s="2">
        <f t="shared" si="2"/>
        <v>1</v>
      </c>
      <c r="AL102" s="2">
        <f t="shared" si="3"/>
        <v>0</v>
      </c>
    </row>
    <row r="103" spans="1:38" ht="43.2" x14ac:dyDescent="0.3">
      <c r="A103" s="5" t="s">
        <v>2360</v>
      </c>
      <c r="B103" s="1"/>
      <c r="C103" s="5"/>
      <c r="D103" s="1"/>
      <c r="E103" s="1"/>
      <c r="F103" s="1"/>
      <c r="G103" s="1"/>
      <c r="T103" s="1" t="s">
        <v>2122</v>
      </c>
      <c r="AJ103" s="2">
        <f t="shared" si="2"/>
        <v>1</v>
      </c>
      <c r="AL103" s="2">
        <f t="shared" si="3"/>
        <v>0</v>
      </c>
    </row>
    <row r="104" spans="1:38" ht="43.2" x14ac:dyDescent="0.3">
      <c r="A104" s="5" t="s">
        <v>2361</v>
      </c>
      <c r="B104" s="1"/>
      <c r="C104" s="5"/>
      <c r="D104" s="1"/>
      <c r="E104" s="1"/>
      <c r="F104" s="1"/>
      <c r="G104" s="1"/>
      <c r="T104" s="1" t="s">
        <v>2124</v>
      </c>
      <c r="AJ104" s="2">
        <f t="shared" si="2"/>
        <v>1</v>
      </c>
      <c r="AL104" s="2">
        <f t="shared" si="3"/>
        <v>0</v>
      </c>
    </row>
    <row r="105" spans="1:38" ht="28.8" x14ac:dyDescent="0.3">
      <c r="A105" s="5" t="s">
        <v>2362</v>
      </c>
      <c r="B105" s="1"/>
      <c r="C105" s="5"/>
      <c r="D105" s="1"/>
      <c r="E105" s="1"/>
      <c r="F105" s="1"/>
      <c r="G105" s="1"/>
      <c r="T105" s="1" t="s">
        <v>2126</v>
      </c>
      <c r="AJ105" s="2">
        <f t="shared" si="2"/>
        <v>1</v>
      </c>
      <c r="AL105" s="2">
        <f t="shared" si="3"/>
        <v>0</v>
      </c>
    </row>
    <row r="106" spans="1:38" ht="43.2" x14ac:dyDescent="0.3">
      <c r="A106" s="5" t="s">
        <v>2363</v>
      </c>
      <c r="B106" s="1"/>
      <c r="C106" s="5"/>
      <c r="D106" s="1"/>
      <c r="E106" s="1"/>
      <c r="F106" s="1"/>
      <c r="G106" s="1"/>
      <c r="T106" s="1" t="s">
        <v>2129</v>
      </c>
      <c r="AJ106" s="2">
        <f t="shared" si="2"/>
        <v>1</v>
      </c>
      <c r="AL106" s="2">
        <f t="shared" si="3"/>
        <v>0</v>
      </c>
    </row>
    <row r="107" spans="1:38" ht="43.2" x14ac:dyDescent="0.3">
      <c r="A107" s="5" t="s">
        <v>2364</v>
      </c>
      <c r="B107" s="1"/>
      <c r="C107" s="5"/>
      <c r="D107" s="1"/>
      <c r="E107" s="1"/>
      <c r="F107" s="1"/>
      <c r="G107" s="1"/>
      <c r="T107" s="1" t="s">
        <v>2132</v>
      </c>
      <c r="AJ107" s="2">
        <f t="shared" si="2"/>
        <v>1</v>
      </c>
      <c r="AL107" s="2">
        <f t="shared" si="3"/>
        <v>0</v>
      </c>
    </row>
    <row r="108" spans="1:38" ht="28.8" x14ac:dyDescent="0.3">
      <c r="A108" s="5" t="s">
        <v>2365</v>
      </c>
      <c r="B108" s="1"/>
      <c r="C108" s="5"/>
      <c r="D108" s="1"/>
      <c r="E108" s="1"/>
      <c r="F108" s="1"/>
      <c r="G108" s="1"/>
      <c r="T108" s="1" t="s">
        <v>2135</v>
      </c>
      <c r="AJ108" s="2">
        <f t="shared" si="2"/>
        <v>1</v>
      </c>
      <c r="AL108" s="2">
        <f t="shared" si="3"/>
        <v>0</v>
      </c>
    </row>
    <row r="109" spans="1:38" ht="28.8" x14ac:dyDescent="0.3">
      <c r="A109" s="5" t="s">
        <v>2366</v>
      </c>
      <c r="B109" s="1"/>
      <c r="C109" s="5"/>
      <c r="D109" s="1"/>
      <c r="E109" s="1"/>
      <c r="F109" s="1"/>
      <c r="G109" s="1"/>
      <c r="T109" s="1" t="s">
        <v>2138</v>
      </c>
      <c r="AJ109" s="2">
        <f t="shared" si="2"/>
        <v>1</v>
      </c>
      <c r="AL109" s="2">
        <f t="shared" si="3"/>
        <v>0</v>
      </c>
    </row>
    <row r="110" spans="1:38" ht="28.8" x14ac:dyDescent="0.3">
      <c r="A110" s="5" t="s">
        <v>2368</v>
      </c>
      <c r="B110" s="1"/>
      <c r="C110" s="5"/>
      <c r="D110" s="1"/>
      <c r="E110" s="1"/>
      <c r="F110" s="1"/>
      <c r="G110" s="1"/>
      <c r="T110" s="1" t="s">
        <v>2095</v>
      </c>
      <c r="AJ110" s="2">
        <f t="shared" si="2"/>
        <v>1</v>
      </c>
      <c r="AL110" s="2">
        <f t="shared" si="3"/>
        <v>0</v>
      </c>
    </row>
    <row r="111" spans="1:38" ht="28.8" x14ac:dyDescent="0.3">
      <c r="A111" s="5" t="s">
        <v>2379</v>
      </c>
      <c r="B111" s="1"/>
      <c r="C111" s="5"/>
      <c r="D111" s="1"/>
      <c r="E111" s="1"/>
      <c r="F111" s="1"/>
      <c r="G111" s="1"/>
      <c r="T111" s="1" t="s">
        <v>2151</v>
      </c>
      <c r="AJ111" s="2">
        <f t="shared" si="2"/>
        <v>1</v>
      </c>
      <c r="AL111" s="2">
        <f t="shared" si="3"/>
        <v>0</v>
      </c>
    </row>
    <row r="112" spans="1:38" ht="28.8" x14ac:dyDescent="0.3">
      <c r="A112" s="5" t="s">
        <v>2380</v>
      </c>
      <c r="B112" s="1"/>
      <c r="C112" s="5"/>
      <c r="D112" s="1"/>
      <c r="E112" s="1"/>
      <c r="F112" s="1"/>
      <c r="G112" s="1"/>
      <c r="T112" s="1" t="s">
        <v>2370</v>
      </c>
      <c r="AJ112" s="2">
        <f t="shared" si="2"/>
        <v>1</v>
      </c>
      <c r="AL112" s="2">
        <f t="shared" si="3"/>
        <v>0</v>
      </c>
    </row>
    <row r="113" spans="1:38" ht="28.8" x14ac:dyDescent="0.3">
      <c r="A113" s="5" t="s">
        <v>2386</v>
      </c>
      <c r="B113" s="1"/>
      <c r="C113" s="5"/>
      <c r="D113" s="1"/>
      <c r="E113" s="1"/>
      <c r="F113" s="1"/>
      <c r="G113" s="1"/>
      <c r="T113" s="1" t="s">
        <v>2371</v>
      </c>
      <c r="AJ113" s="2">
        <f t="shared" si="2"/>
        <v>1</v>
      </c>
      <c r="AL113" s="2">
        <f t="shared" si="3"/>
        <v>0</v>
      </c>
    </row>
    <row r="114" spans="1:38" ht="43.2" x14ac:dyDescent="0.3">
      <c r="A114" s="5" t="s">
        <v>2381</v>
      </c>
      <c r="B114" s="1"/>
      <c r="C114" s="5"/>
      <c r="D114" s="1"/>
      <c r="E114" s="1"/>
      <c r="F114" s="1"/>
      <c r="G114" s="1"/>
      <c r="T114" s="1" t="s">
        <v>2372</v>
      </c>
      <c r="AJ114" s="2">
        <f t="shared" si="2"/>
        <v>1</v>
      </c>
      <c r="AL114" s="2">
        <f t="shared" si="3"/>
        <v>0</v>
      </c>
    </row>
    <row r="115" spans="1:38" ht="43.2" x14ac:dyDescent="0.3">
      <c r="A115" s="5" t="s">
        <v>2382</v>
      </c>
      <c r="B115" s="1"/>
      <c r="C115" s="5"/>
      <c r="D115" s="1"/>
      <c r="E115" s="1"/>
      <c r="F115" s="1"/>
      <c r="G115" s="1"/>
      <c r="T115" s="1" t="s">
        <v>2373</v>
      </c>
      <c r="AJ115" s="2">
        <f t="shared" si="2"/>
        <v>1</v>
      </c>
      <c r="AL115" s="2">
        <f t="shared" si="3"/>
        <v>0</v>
      </c>
    </row>
    <row r="116" spans="1:38" ht="28.8" x14ac:dyDescent="0.3">
      <c r="A116" s="5" t="s">
        <v>2383</v>
      </c>
      <c r="B116" s="1"/>
      <c r="C116" s="5"/>
      <c r="D116" s="1"/>
      <c r="E116" s="1"/>
      <c r="F116" s="1"/>
      <c r="G116" s="1"/>
      <c r="T116" s="1" t="s">
        <v>2374</v>
      </c>
      <c r="AJ116" s="2">
        <f t="shared" si="2"/>
        <v>1</v>
      </c>
      <c r="AL116" s="2">
        <f t="shared" si="3"/>
        <v>0</v>
      </c>
    </row>
    <row r="117" spans="1:38" ht="28.8" x14ac:dyDescent="0.3">
      <c r="A117" s="5" t="s">
        <v>2384</v>
      </c>
      <c r="B117" s="1"/>
      <c r="C117" s="5"/>
      <c r="D117" s="1"/>
      <c r="E117" s="1"/>
      <c r="F117" s="1"/>
      <c r="G117" s="1"/>
      <c r="T117" s="1" t="s">
        <v>2375</v>
      </c>
      <c r="AJ117" s="2">
        <f t="shared" si="2"/>
        <v>1</v>
      </c>
      <c r="AL117" s="2">
        <f t="shared" si="3"/>
        <v>0</v>
      </c>
    </row>
    <row r="118" spans="1:38" ht="43.2" x14ac:dyDescent="0.3">
      <c r="A118" s="5" t="s">
        <v>2385</v>
      </c>
      <c r="B118" s="1"/>
      <c r="C118" s="5"/>
      <c r="D118" s="1"/>
      <c r="E118" s="1"/>
      <c r="F118" s="1"/>
      <c r="G118" s="1"/>
      <c r="T118" s="1" t="s">
        <v>2376</v>
      </c>
      <c r="AJ118" s="2">
        <f t="shared" si="2"/>
        <v>1</v>
      </c>
      <c r="AL118" s="2">
        <f t="shared" si="3"/>
        <v>0</v>
      </c>
    </row>
    <row r="119" spans="1:38" ht="28.8" x14ac:dyDescent="0.3">
      <c r="A119" s="5" t="s">
        <v>2387</v>
      </c>
      <c r="B119" s="1"/>
      <c r="C119" s="5"/>
      <c r="D119" s="1"/>
      <c r="E119" s="1"/>
      <c r="F119" s="1"/>
      <c r="G119" s="1"/>
      <c r="T119" s="1" t="s">
        <v>2377</v>
      </c>
      <c r="AJ119" s="2">
        <f t="shared" si="2"/>
        <v>1</v>
      </c>
      <c r="AL119" s="2">
        <f t="shared" si="3"/>
        <v>0</v>
      </c>
    </row>
    <row r="120" spans="1:38" ht="28.8" x14ac:dyDescent="0.3">
      <c r="A120" s="5" t="s">
        <v>2432</v>
      </c>
      <c r="B120" s="1"/>
      <c r="C120" s="5"/>
      <c r="D120" s="1"/>
      <c r="E120" s="1"/>
      <c r="F120" s="1"/>
      <c r="G120" s="1"/>
      <c r="T120" s="1" t="s">
        <v>2378</v>
      </c>
      <c r="AJ120" s="2">
        <f t="shared" si="2"/>
        <v>1</v>
      </c>
      <c r="AL120" s="2">
        <f t="shared" si="3"/>
        <v>0</v>
      </c>
    </row>
    <row r="121" spans="1:38" ht="28.8" x14ac:dyDescent="0.3">
      <c r="A121" s="5" t="s">
        <v>2433</v>
      </c>
      <c r="B121" s="1"/>
      <c r="C121" s="5"/>
      <c r="D121" s="1"/>
      <c r="E121" s="1"/>
      <c r="F121" s="1"/>
      <c r="G121" s="1"/>
      <c r="U121" s="54" t="s">
        <v>908</v>
      </c>
      <c r="V121" s="53" t="s">
        <v>440</v>
      </c>
      <c r="Z121" s="1" t="s">
        <v>437</v>
      </c>
      <c r="AJ121" s="2">
        <f t="shared" si="2"/>
        <v>3</v>
      </c>
      <c r="AL121" s="2">
        <f t="shared" si="3"/>
        <v>0</v>
      </c>
    </row>
    <row r="122" spans="1:38" ht="28.8" x14ac:dyDescent="0.3">
      <c r="A122" s="5" t="s">
        <v>2434</v>
      </c>
      <c r="B122" s="1"/>
      <c r="C122" s="5"/>
      <c r="D122" s="1"/>
      <c r="E122" s="1"/>
      <c r="F122" s="1"/>
      <c r="G122" s="1"/>
      <c r="U122" s="1" t="s">
        <v>909</v>
      </c>
      <c r="AJ122" s="2">
        <f t="shared" si="2"/>
        <v>1</v>
      </c>
      <c r="AL122" s="2">
        <f t="shared" si="3"/>
        <v>0</v>
      </c>
    </row>
    <row r="123" spans="1:38" ht="28.8" x14ac:dyDescent="0.3">
      <c r="A123" s="5" t="s">
        <v>2435</v>
      </c>
      <c r="B123" s="1"/>
      <c r="C123" s="5"/>
      <c r="D123" s="1"/>
      <c r="E123" s="1"/>
      <c r="F123" s="1"/>
      <c r="G123" s="1"/>
      <c r="U123" s="1" t="s">
        <v>910</v>
      </c>
      <c r="AJ123" s="2">
        <f t="shared" si="2"/>
        <v>1</v>
      </c>
      <c r="AL123" s="2">
        <f t="shared" si="3"/>
        <v>0</v>
      </c>
    </row>
    <row r="124" spans="1:38" ht="28.8" x14ac:dyDescent="0.3">
      <c r="A124" s="5" t="s">
        <v>2436</v>
      </c>
      <c r="B124" s="1"/>
      <c r="C124" s="5"/>
      <c r="D124" s="1"/>
      <c r="E124" s="1"/>
      <c r="F124" s="1"/>
      <c r="G124" s="1"/>
      <c r="U124" s="1" t="s">
        <v>911</v>
      </c>
      <c r="AJ124" s="2">
        <f t="shared" si="2"/>
        <v>1</v>
      </c>
      <c r="AL124" s="2">
        <f t="shared" si="3"/>
        <v>0</v>
      </c>
    </row>
    <row r="125" spans="1:38" ht="28.8" x14ac:dyDescent="0.3">
      <c r="A125" s="5" t="s">
        <v>2437</v>
      </c>
      <c r="B125" s="1"/>
      <c r="C125" s="5"/>
      <c r="D125" s="1"/>
      <c r="E125" s="1"/>
      <c r="F125" s="1"/>
      <c r="G125" s="1"/>
      <c r="U125" s="1" t="s">
        <v>912</v>
      </c>
      <c r="AJ125" s="2">
        <f t="shared" si="2"/>
        <v>1</v>
      </c>
      <c r="AL125" s="2">
        <f t="shared" si="3"/>
        <v>0</v>
      </c>
    </row>
    <row r="126" spans="1:38" ht="43.2" x14ac:dyDescent="0.3">
      <c r="A126" s="5" t="s">
        <v>2438</v>
      </c>
      <c r="B126" s="1"/>
      <c r="C126" s="5"/>
      <c r="D126" s="1"/>
      <c r="E126" s="1"/>
      <c r="F126" s="1"/>
      <c r="G126" s="1"/>
      <c r="U126" s="1" t="s">
        <v>913</v>
      </c>
      <c r="AJ126" s="2">
        <f t="shared" si="2"/>
        <v>1</v>
      </c>
      <c r="AL126" s="2">
        <f t="shared" si="3"/>
        <v>0</v>
      </c>
    </row>
    <row r="127" spans="1:38" ht="43.2" x14ac:dyDescent="0.3">
      <c r="A127" s="5" t="s">
        <v>2439</v>
      </c>
      <c r="B127" s="1"/>
      <c r="C127" s="5"/>
      <c r="D127" s="1"/>
      <c r="E127" s="1"/>
      <c r="F127" s="1"/>
      <c r="G127" s="1"/>
      <c r="U127" s="53" t="s">
        <v>914</v>
      </c>
      <c r="V127" s="1" t="s">
        <v>442</v>
      </c>
      <c r="Z127" s="53" t="s">
        <v>442</v>
      </c>
      <c r="AA127" s="1" t="s">
        <v>2644</v>
      </c>
      <c r="AJ127" s="2">
        <f t="shared" si="2"/>
        <v>4</v>
      </c>
      <c r="AL127" s="2">
        <f t="shared" si="3"/>
        <v>0</v>
      </c>
    </row>
    <row r="128" spans="1:38" ht="43.2" x14ac:dyDescent="0.3">
      <c r="A128" s="5" t="s">
        <v>2520</v>
      </c>
      <c r="B128" s="1"/>
      <c r="C128" s="5"/>
      <c r="D128" s="1"/>
      <c r="E128" s="1"/>
      <c r="F128" s="1"/>
      <c r="G128" s="1"/>
      <c r="V128" s="1" t="s">
        <v>437</v>
      </c>
      <c r="AJ128" s="2">
        <f t="shared" si="2"/>
        <v>1</v>
      </c>
      <c r="AL128" s="2">
        <f t="shared" si="3"/>
        <v>0</v>
      </c>
    </row>
    <row r="129" spans="1:38" ht="28.8" x14ac:dyDescent="0.3">
      <c r="A129" s="5" t="s">
        <v>2521</v>
      </c>
      <c r="B129" s="1"/>
      <c r="C129" s="5"/>
      <c r="D129" s="1"/>
      <c r="E129" s="1"/>
      <c r="F129" s="1"/>
      <c r="G129" s="1"/>
      <c r="V129" s="1" t="s">
        <v>441</v>
      </c>
      <c r="Z129" s="1" t="s">
        <v>441</v>
      </c>
      <c r="AJ129" s="2">
        <f t="shared" si="2"/>
        <v>2</v>
      </c>
      <c r="AL129" s="2">
        <f t="shared" si="3"/>
        <v>0</v>
      </c>
    </row>
    <row r="130" spans="1:38" ht="43.2" x14ac:dyDescent="0.3">
      <c r="A130" s="5" t="s">
        <v>2522</v>
      </c>
      <c r="B130" s="1"/>
      <c r="C130" s="5"/>
      <c r="D130" s="1"/>
      <c r="E130" s="1"/>
      <c r="F130" s="1"/>
      <c r="G130" s="1"/>
      <c r="V130" s="1" t="s">
        <v>443</v>
      </c>
      <c r="Z130" s="1" t="s">
        <v>443</v>
      </c>
      <c r="AJ130" s="2">
        <f t="shared" si="2"/>
        <v>2</v>
      </c>
      <c r="AL130" s="2">
        <f t="shared" si="3"/>
        <v>0</v>
      </c>
    </row>
    <row r="131" spans="1:38" ht="43.2" x14ac:dyDescent="0.3">
      <c r="A131" s="5" t="s">
        <v>2523</v>
      </c>
      <c r="B131" s="1"/>
      <c r="C131" s="5"/>
      <c r="D131" s="1"/>
      <c r="E131" s="1"/>
      <c r="F131" s="1"/>
      <c r="G131" s="1"/>
      <c r="V131" s="53" t="s">
        <v>57</v>
      </c>
      <c r="Z131" s="53" t="s">
        <v>63</v>
      </c>
      <c r="AA131" s="1" t="s">
        <v>2641</v>
      </c>
      <c r="AJ131" s="2">
        <f t="shared" ref="AJ131:AJ194" si="4">COUNTA(B131:AH131)</f>
        <v>3</v>
      </c>
      <c r="AL131" s="2">
        <f t="shared" ref="AL131:AL194" si="5">COUNTA(F131:O131,R131:S131)</f>
        <v>0</v>
      </c>
    </row>
    <row r="132" spans="1:38" ht="28.8" x14ac:dyDescent="0.3">
      <c r="A132" s="5" t="s">
        <v>2524</v>
      </c>
      <c r="B132" s="1"/>
      <c r="C132" s="5"/>
      <c r="D132" s="1"/>
      <c r="E132" s="1"/>
      <c r="F132" s="1"/>
      <c r="G132" s="1"/>
      <c r="V132" s="53" t="s">
        <v>62</v>
      </c>
      <c r="Z132" s="1" t="s">
        <v>64</v>
      </c>
      <c r="AJ132" s="2">
        <f t="shared" si="4"/>
        <v>2</v>
      </c>
      <c r="AL132" s="2">
        <f t="shared" si="5"/>
        <v>0</v>
      </c>
    </row>
    <row r="133" spans="1:38" ht="43.2" x14ac:dyDescent="0.3">
      <c r="A133" s="5" t="s">
        <v>2525</v>
      </c>
      <c r="B133" s="1"/>
      <c r="C133" s="5"/>
      <c r="D133" s="1"/>
      <c r="E133" s="1"/>
      <c r="F133" s="1"/>
      <c r="G133" s="1"/>
      <c r="V133" s="1" t="s">
        <v>63</v>
      </c>
      <c r="AJ133" s="2">
        <f t="shared" si="4"/>
        <v>1</v>
      </c>
      <c r="AL133" s="2">
        <f t="shared" si="5"/>
        <v>0</v>
      </c>
    </row>
    <row r="134" spans="1:38" ht="43.2" x14ac:dyDescent="0.3">
      <c r="A134" s="5" t="s">
        <v>2526</v>
      </c>
      <c r="B134" s="1"/>
      <c r="C134" s="5"/>
      <c r="D134" s="1"/>
      <c r="E134" s="1"/>
      <c r="F134" s="1"/>
      <c r="G134" s="1"/>
      <c r="V134" s="53" t="s">
        <v>64</v>
      </c>
      <c r="Z134" s="53" t="s">
        <v>82</v>
      </c>
      <c r="AA134" s="1" t="s">
        <v>2645</v>
      </c>
      <c r="AJ134" s="2">
        <f t="shared" si="4"/>
        <v>3</v>
      </c>
      <c r="AL134" s="2">
        <f t="shared" si="5"/>
        <v>0</v>
      </c>
    </row>
    <row r="135" spans="1:38" ht="43.2" x14ac:dyDescent="0.3">
      <c r="A135" s="5" t="s">
        <v>2527</v>
      </c>
      <c r="B135" s="1"/>
      <c r="C135" s="5"/>
      <c r="D135" s="1"/>
      <c r="E135" s="1"/>
      <c r="F135" s="1"/>
      <c r="G135" s="1"/>
      <c r="V135" s="1" t="s">
        <v>444</v>
      </c>
      <c r="AJ135" s="2">
        <f t="shared" si="4"/>
        <v>1</v>
      </c>
      <c r="AL135" s="2">
        <f t="shared" si="5"/>
        <v>0</v>
      </c>
    </row>
    <row r="136" spans="1:38" ht="43.2" x14ac:dyDescent="0.3">
      <c r="A136" s="5" t="s">
        <v>2597</v>
      </c>
      <c r="B136" s="1"/>
      <c r="C136" s="5"/>
      <c r="D136" s="1"/>
      <c r="E136" s="1"/>
      <c r="F136" s="1"/>
      <c r="G136" s="1"/>
      <c r="Z136" s="1" t="s">
        <v>433</v>
      </c>
      <c r="AJ136" s="2">
        <f t="shared" si="4"/>
        <v>1</v>
      </c>
      <c r="AL136" s="2">
        <f t="shared" si="5"/>
        <v>0</v>
      </c>
    </row>
    <row r="137" spans="1:38" ht="28.8" x14ac:dyDescent="0.3">
      <c r="A137" s="5" t="s">
        <v>2598</v>
      </c>
      <c r="B137" s="1"/>
      <c r="C137" s="5"/>
      <c r="D137" s="1"/>
      <c r="E137" s="1"/>
      <c r="F137" s="1"/>
      <c r="G137" s="1"/>
      <c r="Z137" s="1" t="s">
        <v>440</v>
      </c>
      <c r="AJ137" s="2">
        <f t="shared" si="4"/>
        <v>1</v>
      </c>
      <c r="AL137" s="2">
        <f t="shared" si="5"/>
        <v>0</v>
      </c>
    </row>
    <row r="138" spans="1:38" ht="43.2" x14ac:dyDescent="0.3">
      <c r="A138" s="5" t="s">
        <v>2599</v>
      </c>
      <c r="B138" s="1"/>
      <c r="C138" s="5"/>
      <c r="D138" s="1"/>
      <c r="E138" s="1"/>
      <c r="F138" s="1"/>
      <c r="G138" s="1"/>
      <c r="Z138" s="1" t="s">
        <v>57</v>
      </c>
      <c r="AJ138" s="2">
        <f t="shared" si="4"/>
        <v>1</v>
      </c>
      <c r="AL138" s="2">
        <f t="shared" si="5"/>
        <v>0</v>
      </c>
    </row>
    <row r="139" spans="1:38" ht="28.8" x14ac:dyDescent="0.3">
      <c r="A139" s="5" t="s">
        <v>2600</v>
      </c>
      <c r="B139" s="1"/>
      <c r="C139" s="5"/>
      <c r="D139" s="1"/>
      <c r="E139" s="1"/>
      <c r="F139" s="1"/>
      <c r="G139" s="1"/>
      <c r="Z139" s="1" t="s">
        <v>62</v>
      </c>
      <c r="AJ139" s="2">
        <f t="shared" si="4"/>
        <v>1</v>
      </c>
      <c r="AL139" s="2">
        <f t="shared" si="5"/>
        <v>0</v>
      </c>
    </row>
    <row r="140" spans="1:38" ht="43.2" x14ac:dyDescent="0.3">
      <c r="A140" s="5" t="s">
        <v>2601</v>
      </c>
      <c r="B140" s="1"/>
      <c r="C140" s="5"/>
      <c r="D140" s="1"/>
      <c r="E140" s="1"/>
      <c r="F140" s="1"/>
      <c r="G140" s="1"/>
      <c r="Z140" s="1" t="s">
        <v>444</v>
      </c>
      <c r="AJ140" s="2">
        <f t="shared" si="4"/>
        <v>1</v>
      </c>
      <c r="AL140" s="2">
        <f t="shared" si="5"/>
        <v>0</v>
      </c>
    </row>
    <row r="141" spans="1:38" ht="43.2" x14ac:dyDescent="0.3">
      <c r="A141" s="5" t="s">
        <v>2602</v>
      </c>
      <c r="B141" s="1"/>
      <c r="C141" s="5"/>
      <c r="D141" s="1"/>
      <c r="E141" s="1"/>
      <c r="F141" s="1"/>
      <c r="G141" s="1"/>
      <c r="Z141" s="1" t="s">
        <v>110</v>
      </c>
      <c r="AJ141" s="2">
        <f t="shared" si="4"/>
        <v>1</v>
      </c>
      <c r="AL141" s="2">
        <f t="shared" si="5"/>
        <v>0</v>
      </c>
    </row>
    <row r="142" spans="1:38" ht="43.2" x14ac:dyDescent="0.3">
      <c r="A142" s="5" t="s">
        <v>2603</v>
      </c>
      <c r="B142" s="1"/>
      <c r="C142" s="5"/>
      <c r="D142" s="1"/>
      <c r="E142" s="1"/>
      <c r="F142" s="1"/>
      <c r="G142" s="1"/>
      <c r="Z142" s="1" t="s">
        <v>649</v>
      </c>
      <c r="AJ142" s="2">
        <f t="shared" si="4"/>
        <v>1</v>
      </c>
      <c r="AL142" s="2">
        <f t="shared" si="5"/>
        <v>0</v>
      </c>
    </row>
    <row r="143" spans="1:38" ht="28.8" x14ac:dyDescent="0.3">
      <c r="A143" s="5" t="s">
        <v>2637</v>
      </c>
      <c r="B143" s="1"/>
      <c r="C143" s="5"/>
      <c r="D143" s="1"/>
      <c r="E143" s="1"/>
      <c r="F143" s="1"/>
      <c r="G143" s="1"/>
      <c r="AA143" s="1" t="s">
        <v>2638</v>
      </c>
      <c r="AJ143" s="2">
        <f t="shared" si="4"/>
        <v>1</v>
      </c>
      <c r="AL143" s="2">
        <f t="shared" si="5"/>
        <v>0</v>
      </c>
    </row>
    <row r="144" spans="1:38" ht="28.8" x14ac:dyDescent="0.3">
      <c r="A144" s="5" t="s">
        <v>2639</v>
      </c>
      <c r="B144" s="1"/>
      <c r="C144" s="5"/>
      <c r="D144" s="1"/>
      <c r="E144" s="1"/>
      <c r="F144" s="1"/>
      <c r="G144" s="1"/>
      <c r="AA144" s="1" t="s">
        <v>2640</v>
      </c>
      <c r="AJ144" s="2">
        <f t="shared" si="4"/>
        <v>1</v>
      </c>
      <c r="AL144" s="2">
        <f t="shared" si="5"/>
        <v>0</v>
      </c>
    </row>
    <row r="145" spans="1:38" ht="28.8" x14ac:dyDescent="0.3">
      <c r="A145" s="5" t="s">
        <v>2642</v>
      </c>
      <c r="B145" s="1"/>
      <c r="C145" s="5"/>
      <c r="D145" s="1"/>
      <c r="E145" s="1"/>
      <c r="F145" s="1"/>
      <c r="G145" s="1"/>
      <c r="AA145" s="1" t="s">
        <v>2643</v>
      </c>
      <c r="AJ145" s="2">
        <f t="shared" si="4"/>
        <v>1</v>
      </c>
      <c r="AL145" s="2">
        <f t="shared" si="5"/>
        <v>0</v>
      </c>
    </row>
    <row r="146" spans="1:38" ht="28.8" x14ac:dyDescent="0.3">
      <c r="A146" s="5" t="s">
        <v>2646</v>
      </c>
      <c r="B146" s="1"/>
      <c r="C146" s="5"/>
      <c r="D146" s="1"/>
      <c r="E146" s="1"/>
      <c r="F146" s="1"/>
      <c r="G146" s="1"/>
      <c r="AA146" s="1" t="s">
        <v>2647</v>
      </c>
      <c r="AJ146" s="2">
        <f t="shared" si="4"/>
        <v>1</v>
      </c>
      <c r="AL146" s="2">
        <f t="shared" si="5"/>
        <v>0</v>
      </c>
    </row>
    <row r="147" spans="1:38" ht="28.8" x14ac:dyDescent="0.3">
      <c r="A147" s="5" t="s">
        <v>2648</v>
      </c>
      <c r="B147" s="1"/>
      <c r="C147" s="5"/>
      <c r="D147" s="1"/>
      <c r="E147" s="1"/>
      <c r="F147" s="1"/>
      <c r="G147" s="1"/>
      <c r="AA147" s="1" t="s">
        <v>2649</v>
      </c>
      <c r="AJ147" s="2">
        <f t="shared" si="4"/>
        <v>1</v>
      </c>
      <c r="AL147" s="2">
        <f t="shared" si="5"/>
        <v>0</v>
      </c>
    </row>
    <row r="148" spans="1:38" ht="28.8" x14ac:dyDescent="0.3">
      <c r="A148" s="5" t="s">
        <v>2440</v>
      </c>
      <c r="B148" s="1"/>
      <c r="C148" s="5"/>
      <c r="D148" s="1"/>
      <c r="E148" s="1"/>
      <c r="F148" s="1"/>
      <c r="G148" s="1"/>
      <c r="U148" s="53" t="s">
        <v>917</v>
      </c>
      <c r="V148" s="53" t="s">
        <v>649</v>
      </c>
      <c r="Z148" s="1" t="s">
        <v>226</v>
      </c>
      <c r="AJ148" s="2">
        <f t="shared" si="4"/>
        <v>3</v>
      </c>
      <c r="AL148" s="2">
        <f t="shared" si="5"/>
        <v>0</v>
      </c>
    </row>
    <row r="149" spans="1:38" ht="28.8" x14ac:dyDescent="0.3">
      <c r="A149" s="5" t="s">
        <v>2441</v>
      </c>
      <c r="B149" s="1"/>
      <c r="C149" s="5"/>
      <c r="D149" s="1"/>
      <c r="E149" s="1"/>
      <c r="F149" s="1"/>
      <c r="G149" s="1"/>
      <c r="U149" s="1" t="s">
        <v>916</v>
      </c>
      <c r="AJ149" s="2">
        <f t="shared" si="4"/>
        <v>1</v>
      </c>
      <c r="AL149" s="2">
        <f t="shared" si="5"/>
        <v>0</v>
      </c>
    </row>
    <row r="150" spans="1:38" ht="28.8" x14ac:dyDescent="0.3">
      <c r="A150" s="5" t="s">
        <v>2442</v>
      </c>
      <c r="B150" s="1"/>
      <c r="C150" s="5"/>
      <c r="D150" s="1"/>
      <c r="E150" s="1"/>
      <c r="F150" s="1"/>
      <c r="G150" s="1"/>
      <c r="U150" s="1" t="s">
        <v>918</v>
      </c>
      <c r="AJ150" s="2">
        <f t="shared" si="4"/>
        <v>1</v>
      </c>
      <c r="AL150" s="2">
        <f t="shared" si="5"/>
        <v>0</v>
      </c>
    </row>
    <row r="151" spans="1:38" ht="28.8" x14ac:dyDescent="0.3">
      <c r="A151" s="5" t="s">
        <v>2443</v>
      </c>
      <c r="B151" s="1"/>
      <c r="C151" s="5"/>
      <c r="D151" s="1"/>
      <c r="E151" s="1"/>
      <c r="F151" s="1"/>
      <c r="G151" s="1"/>
      <c r="U151" s="1" t="s">
        <v>919</v>
      </c>
      <c r="AJ151" s="2">
        <f t="shared" si="4"/>
        <v>1</v>
      </c>
      <c r="AL151" s="2">
        <f t="shared" si="5"/>
        <v>0</v>
      </c>
    </row>
    <row r="152" spans="1:38" ht="28.8" x14ac:dyDescent="0.3">
      <c r="A152" s="5" t="s">
        <v>2444</v>
      </c>
      <c r="B152" s="1"/>
      <c r="C152" s="5"/>
      <c r="D152" s="1"/>
      <c r="E152" s="1"/>
      <c r="F152" s="1"/>
      <c r="G152" s="1"/>
      <c r="U152" s="1" t="s">
        <v>920</v>
      </c>
      <c r="AJ152" s="2">
        <f t="shared" si="4"/>
        <v>1</v>
      </c>
      <c r="AL152" s="2">
        <f t="shared" si="5"/>
        <v>0</v>
      </c>
    </row>
    <row r="153" spans="1:38" ht="43.2" x14ac:dyDescent="0.3">
      <c r="A153" s="5" t="s">
        <v>2445</v>
      </c>
      <c r="B153" s="1"/>
      <c r="C153" s="5"/>
      <c r="D153" s="1"/>
      <c r="E153" s="1"/>
      <c r="F153" s="1"/>
      <c r="G153" s="1"/>
      <c r="U153" s="1" t="s">
        <v>1169</v>
      </c>
      <c r="AJ153" s="2">
        <f t="shared" si="4"/>
        <v>1</v>
      </c>
      <c r="AL153" s="2">
        <f t="shared" si="5"/>
        <v>0</v>
      </c>
    </row>
    <row r="154" spans="1:38" ht="43.2" x14ac:dyDescent="0.3">
      <c r="A154" s="5" t="s">
        <v>2446</v>
      </c>
      <c r="B154" s="1"/>
      <c r="C154" s="5"/>
      <c r="D154" s="1"/>
      <c r="E154" s="1"/>
      <c r="F154" s="1"/>
      <c r="G154" s="1"/>
      <c r="U154" s="1" t="s">
        <v>921</v>
      </c>
      <c r="AJ154" s="2">
        <f t="shared" si="4"/>
        <v>1</v>
      </c>
      <c r="AL154" s="2">
        <f t="shared" si="5"/>
        <v>0</v>
      </c>
    </row>
    <row r="155" spans="1:38" ht="28.8" x14ac:dyDescent="0.3">
      <c r="A155" s="5" t="s">
        <v>2528</v>
      </c>
      <c r="B155" s="1"/>
      <c r="C155" s="5"/>
      <c r="D155" s="1"/>
      <c r="E155" s="1"/>
      <c r="F155" s="1"/>
      <c r="G155" s="1"/>
      <c r="V155" s="53" t="s">
        <v>110</v>
      </c>
      <c r="Z155" s="53" t="s">
        <v>224</v>
      </c>
      <c r="AA155" s="1" t="s">
        <v>2650</v>
      </c>
      <c r="AJ155" s="2">
        <f t="shared" si="4"/>
        <v>3</v>
      </c>
      <c r="AL155" s="2">
        <f t="shared" si="5"/>
        <v>0</v>
      </c>
    </row>
    <row r="156" spans="1:38" ht="43.2" x14ac:dyDescent="0.3">
      <c r="A156" s="5" t="s">
        <v>2529</v>
      </c>
      <c r="B156" s="1"/>
      <c r="C156" s="5"/>
      <c r="D156" s="1"/>
      <c r="E156" s="1"/>
      <c r="F156" s="1"/>
      <c r="G156" s="1"/>
      <c r="V156" s="1" t="s">
        <v>222</v>
      </c>
      <c r="AJ156" s="2">
        <f t="shared" si="4"/>
        <v>1</v>
      </c>
      <c r="AL156" s="2">
        <f t="shared" si="5"/>
        <v>0</v>
      </c>
    </row>
    <row r="157" spans="1:38" ht="28.8" x14ac:dyDescent="0.3">
      <c r="A157" s="5" t="s">
        <v>2530</v>
      </c>
      <c r="B157" s="1"/>
      <c r="C157" s="5"/>
      <c r="D157" s="1"/>
      <c r="E157" s="1"/>
      <c r="F157" s="1"/>
      <c r="G157" s="1"/>
      <c r="V157" s="53" t="s">
        <v>224</v>
      </c>
      <c r="Z157" s="53" t="s">
        <v>230</v>
      </c>
      <c r="AA157" s="1" t="s">
        <v>2652</v>
      </c>
      <c r="AJ157" s="2">
        <f t="shared" si="4"/>
        <v>3</v>
      </c>
      <c r="AL157" s="2">
        <f t="shared" si="5"/>
        <v>0</v>
      </c>
    </row>
    <row r="158" spans="1:38" ht="43.2" x14ac:dyDescent="0.3">
      <c r="A158" s="5" t="s">
        <v>2531</v>
      </c>
      <c r="B158" s="1"/>
      <c r="C158" s="5"/>
      <c r="D158" s="1"/>
      <c r="E158" s="1"/>
      <c r="F158" s="1"/>
      <c r="G158" s="1"/>
      <c r="V158" s="53" t="s">
        <v>226</v>
      </c>
      <c r="Z158" s="53" t="s">
        <v>234</v>
      </c>
      <c r="AA158" s="1" t="s">
        <v>2654</v>
      </c>
      <c r="AJ158" s="2">
        <f t="shared" si="4"/>
        <v>3</v>
      </c>
      <c r="AL158" s="2">
        <f t="shared" si="5"/>
        <v>0</v>
      </c>
    </row>
    <row r="159" spans="1:38" ht="28.8" x14ac:dyDescent="0.3">
      <c r="A159" s="5" t="s">
        <v>2532</v>
      </c>
      <c r="B159" s="1"/>
      <c r="C159" s="5"/>
      <c r="D159" s="1"/>
      <c r="E159" s="1"/>
      <c r="F159" s="1"/>
      <c r="G159" s="1"/>
      <c r="V159" s="53" t="s">
        <v>228</v>
      </c>
      <c r="Z159" s="1" t="s">
        <v>240</v>
      </c>
      <c r="AJ159" s="2">
        <f t="shared" si="4"/>
        <v>2</v>
      </c>
      <c r="AL159" s="2">
        <f t="shared" si="5"/>
        <v>0</v>
      </c>
    </row>
    <row r="160" spans="1:38" ht="28.8" x14ac:dyDescent="0.3">
      <c r="A160" s="5" t="s">
        <v>2533</v>
      </c>
      <c r="B160" s="1"/>
      <c r="C160" s="5"/>
      <c r="D160" s="1"/>
      <c r="E160" s="1"/>
      <c r="F160" s="1"/>
      <c r="G160" s="1"/>
      <c r="V160" s="53" t="s">
        <v>230</v>
      </c>
      <c r="Z160" s="53" t="s">
        <v>96</v>
      </c>
      <c r="AA160" s="1" t="s">
        <v>2651</v>
      </c>
      <c r="AJ160" s="2">
        <f t="shared" si="4"/>
        <v>3</v>
      </c>
      <c r="AL160" s="2">
        <f t="shared" si="5"/>
        <v>0</v>
      </c>
    </row>
    <row r="161" spans="1:38" ht="43.2" x14ac:dyDescent="0.3">
      <c r="A161" s="5" t="s">
        <v>2534</v>
      </c>
      <c r="B161" s="1"/>
      <c r="C161" s="5"/>
      <c r="D161" s="1"/>
      <c r="E161" s="1"/>
      <c r="F161" s="1"/>
      <c r="G161" s="1"/>
      <c r="V161" s="1" t="s">
        <v>232</v>
      </c>
      <c r="AJ161" s="2">
        <f t="shared" si="4"/>
        <v>1</v>
      </c>
      <c r="AL161" s="2">
        <f t="shared" si="5"/>
        <v>0</v>
      </c>
    </row>
    <row r="162" spans="1:38" ht="43.2" x14ac:dyDescent="0.3">
      <c r="A162" s="5" t="s">
        <v>2535</v>
      </c>
      <c r="B162" s="1"/>
      <c r="C162" s="5"/>
      <c r="D162" s="1"/>
      <c r="E162" s="1"/>
      <c r="F162" s="1"/>
      <c r="G162" s="1"/>
      <c r="V162" s="1" t="s">
        <v>234</v>
      </c>
      <c r="AJ162" s="2">
        <f t="shared" si="4"/>
        <v>1</v>
      </c>
      <c r="AL162" s="2">
        <f t="shared" si="5"/>
        <v>0</v>
      </c>
    </row>
    <row r="163" spans="1:38" ht="43.2" x14ac:dyDescent="0.3">
      <c r="A163" s="5" t="s">
        <v>2536</v>
      </c>
      <c r="B163" s="1"/>
      <c r="C163" s="5"/>
      <c r="D163" s="1"/>
      <c r="E163" s="1"/>
      <c r="F163" s="1"/>
      <c r="G163" s="1"/>
      <c r="V163" s="1" t="s">
        <v>238</v>
      </c>
      <c r="AJ163" s="2">
        <f t="shared" si="4"/>
        <v>1</v>
      </c>
      <c r="AL163" s="2">
        <f t="shared" si="5"/>
        <v>0</v>
      </c>
    </row>
    <row r="164" spans="1:38" ht="28.8" x14ac:dyDescent="0.3">
      <c r="A164" s="5" t="s">
        <v>2604</v>
      </c>
      <c r="B164" s="1"/>
      <c r="C164" s="5"/>
      <c r="D164" s="1"/>
      <c r="E164" s="1"/>
      <c r="F164" s="1"/>
      <c r="G164" s="1"/>
      <c r="Z164" s="1" t="s">
        <v>228</v>
      </c>
      <c r="AJ164" s="2">
        <f t="shared" si="4"/>
        <v>1</v>
      </c>
      <c r="AL164" s="2">
        <f t="shared" si="5"/>
        <v>0</v>
      </c>
    </row>
    <row r="165" spans="1:38" ht="43.2" x14ac:dyDescent="0.3">
      <c r="A165" s="5" t="s">
        <v>2605</v>
      </c>
      <c r="B165" s="1"/>
      <c r="C165" s="5"/>
      <c r="D165" s="1"/>
      <c r="E165" s="1"/>
      <c r="F165" s="1"/>
      <c r="G165" s="1"/>
      <c r="Z165" s="1" t="s">
        <v>232</v>
      </c>
      <c r="AJ165" s="2">
        <f t="shared" si="4"/>
        <v>1</v>
      </c>
      <c r="AL165" s="2">
        <f t="shared" si="5"/>
        <v>0</v>
      </c>
    </row>
    <row r="166" spans="1:38" ht="43.2" x14ac:dyDescent="0.3">
      <c r="A166" s="5" t="s">
        <v>2606</v>
      </c>
      <c r="B166" s="1"/>
      <c r="C166" s="5"/>
      <c r="D166" s="1"/>
      <c r="E166" s="1"/>
      <c r="F166" s="1"/>
      <c r="G166" s="1"/>
      <c r="Z166" s="1" t="s">
        <v>238</v>
      </c>
      <c r="AJ166" s="2">
        <f t="shared" si="4"/>
        <v>1</v>
      </c>
      <c r="AL166" s="2">
        <f t="shared" si="5"/>
        <v>0</v>
      </c>
    </row>
    <row r="167" spans="1:38" ht="28.8" x14ac:dyDescent="0.3">
      <c r="A167" s="5" t="s">
        <v>2607</v>
      </c>
      <c r="B167" s="1"/>
      <c r="C167" s="5"/>
      <c r="D167" s="1"/>
      <c r="E167" s="1"/>
      <c r="F167" s="1"/>
      <c r="G167" s="1"/>
      <c r="Z167" s="1" t="s">
        <v>239</v>
      </c>
      <c r="AJ167" s="2">
        <f t="shared" si="4"/>
        <v>1</v>
      </c>
      <c r="AL167" s="2">
        <f t="shared" si="5"/>
        <v>0</v>
      </c>
    </row>
    <row r="168" spans="1:38" ht="28.8" x14ac:dyDescent="0.3">
      <c r="A168" s="5" t="s">
        <v>2608</v>
      </c>
      <c r="B168" s="1"/>
      <c r="C168" s="5"/>
      <c r="D168" s="1"/>
      <c r="E168" s="1"/>
      <c r="F168" s="1"/>
      <c r="G168" s="1"/>
      <c r="Z168" s="53" t="s">
        <v>97</v>
      </c>
      <c r="AA168" s="1" t="s">
        <v>2653</v>
      </c>
      <c r="AJ168" s="2">
        <f t="shared" si="4"/>
        <v>2</v>
      </c>
      <c r="AL168" s="2">
        <f t="shared" si="5"/>
        <v>0</v>
      </c>
    </row>
    <row r="169" spans="1:38" ht="43.2" x14ac:dyDescent="0.3">
      <c r="A169" s="5" t="s">
        <v>2609</v>
      </c>
      <c r="B169" s="1"/>
      <c r="C169" s="5"/>
      <c r="D169" s="1"/>
      <c r="E169" s="1"/>
      <c r="F169" s="1"/>
      <c r="G169" s="1"/>
      <c r="Z169" s="1" t="s">
        <v>58</v>
      </c>
      <c r="AJ169" s="2">
        <f t="shared" si="4"/>
        <v>1</v>
      </c>
      <c r="AL169" s="2">
        <f t="shared" si="5"/>
        <v>0</v>
      </c>
    </row>
    <row r="170" spans="1:38" ht="28.8" x14ac:dyDescent="0.3">
      <c r="A170" s="5" t="s">
        <v>2610</v>
      </c>
      <c r="B170" s="1"/>
      <c r="C170" s="5"/>
      <c r="D170" s="1"/>
      <c r="E170" s="1"/>
      <c r="F170" s="1"/>
      <c r="G170" s="1"/>
      <c r="Z170" s="1" t="s">
        <v>98</v>
      </c>
      <c r="AJ170" s="2">
        <f t="shared" si="4"/>
        <v>1</v>
      </c>
      <c r="AL170" s="2">
        <f t="shared" si="5"/>
        <v>0</v>
      </c>
    </row>
    <row r="171" spans="1:38" ht="43.2" x14ac:dyDescent="0.3">
      <c r="A171" s="5" t="s">
        <v>2611</v>
      </c>
      <c r="B171" s="1"/>
      <c r="C171" s="5"/>
      <c r="D171" s="1"/>
      <c r="E171" s="1"/>
      <c r="F171" s="1"/>
      <c r="G171" s="1"/>
      <c r="Z171" s="1" t="s">
        <v>99</v>
      </c>
      <c r="AJ171" s="2">
        <f t="shared" si="4"/>
        <v>1</v>
      </c>
      <c r="AL171" s="2">
        <f t="shared" si="5"/>
        <v>0</v>
      </c>
    </row>
    <row r="172" spans="1:38" ht="43.2" x14ac:dyDescent="0.3">
      <c r="A172" s="5" t="s">
        <v>2612</v>
      </c>
      <c r="B172" s="1"/>
      <c r="C172" s="5"/>
      <c r="D172" s="1"/>
      <c r="E172" s="1"/>
      <c r="F172" s="1"/>
      <c r="G172" s="1"/>
      <c r="Z172" s="1" t="s">
        <v>100</v>
      </c>
      <c r="AJ172" s="2">
        <f t="shared" si="4"/>
        <v>1</v>
      </c>
      <c r="AL172" s="2">
        <f t="shared" si="5"/>
        <v>0</v>
      </c>
    </row>
    <row r="173" spans="1:38" ht="28.8" x14ac:dyDescent="0.3">
      <c r="A173" s="5" t="s">
        <v>2655</v>
      </c>
      <c r="B173" s="1"/>
      <c r="C173" s="5"/>
      <c r="D173" s="1"/>
      <c r="E173" s="1"/>
      <c r="F173" s="1"/>
      <c r="G173" s="1"/>
      <c r="AA173" s="1" t="s">
        <v>2656</v>
      </c>
      <c r="AJ173" s="2">
        <f t="shared" si="4"/>
        <v>1</v>
      </c>
      <c r="AL173" s="2">
        <f t="shared" si="5"/>
        <v>0</v>
      </c>
    </row>
    <row r="174" spans="1:38" ht="28.8" x14ac:dyDescent="0.3">
      <c r="A174" s="5" t="s">
        <v>2657</v>
      </c>
      <c r="B174" s="1"/>
      <c r="C174" s="5"/>
      <c r="D174" s="1"/>
      <c r="E174" s="1"/>
      <c r="F174" s="1"/>
      <c r="G174" s="1"/>
      <c r="AA174" s="1" t="s">
        <v>2658</v>
      </c>
      <c r="AJ174" s="2">
        <f t="shared" si="4"/>
        <v>1</v>
      </c>
      <c r="AL174" s="2">
        <f t="shared" si="5"/>
        <v>0</v>
      </c>
    </row>
    <row r="175" spans="1:38" ht="28.8" x14ac:dyDescent="0.3">
      <c r="A175" s="5" t="s">
        <v>2447</v>
      </c>
      <c r="B175" s="1"/>
      <c r="C175" s="5"/>
      <c r="D175" s="1"/>
      <c r="E175" s="1"/>
      <c r="F175" s="1"/>
      <c r="G175" s="1"/>
      <c r="U175" s="53" t="s">
        <v>923</v>
      </c>
      <c r="V175" s="1" t="s">
        <v>240</v>
      </c>
      <c r="AJ175" s="2">
        <f t="shared" si="4"/>
        <v>2</v>
      </c>
      <c r="AL175" s="2">
        <f t="shared" si="5"/>
        <v>0</v>
      </c>
    </row>
    <row r="176" spans="1:38" ht="43.2" x14ac:dyDescent="0.3">
      <c r="A176" s="5" t="s">
        <v>2448</v>
      </c>
      <c r="B176" s="1"/>
      <c r="C176" s="5"/>
      <c r="D176" s="1"/>
      <c r="E176" s="1"/>
      <c r="F176" s="1"/>
      <c r="G176" s="1"/>
      <c r="U176" s="1" t="s">
        <v>924</v>
      </c>
      <c r="AJ176" s="2">
        <f t="shared" si="4"/>
        <v>1</v>
      </c>
      <c r="AL176" s="2">
        <f t="shared" si="5"/>
        <v>0</v>
      </c>
    </row>
    <row r="177" spans="1:38" ht="28.8" x14ac:dyDescent="0.3">
      <c r="A177" s="5" t="s">
        <v>2449</v>
      </c>
      <c r="B177" s="1"/>
      <c r="C177" s="5"/>
      <c r="D177" s="1"/>
      <c r="E177" s="1"/>
      <c r="F177" s="1"/>
      <c r="G177" s="1"/>
      <c r="U177" s="1" t="s">
        <v>925</v>
      </c>
      <c r="AJ177" s="2">
        <f t="shared" si="4"/>
        <v>1</v>
      </c>
      <c r="AL177" s="2">
        <f t="shared" si="5"/>
        <v>0</v>
      </c>
    </row>
    <row r="178" spans="1:38" ht="43.2" x14ac:dyDescent="0.3">
      <c r="A178" s="5" t="s">
        <v>2450</v>
      </c>
      <c r="B178" s="1"/>
      <c r="C178" s="5"/>
      <c r="D178" s="1"/>
      <c r="E178" s="1"/>
      <c r="F178" s="1"/>
      <c r="G178" s="1"/>
      <c r="U178" s="1" t="s">
        <v>926</v>
      </c>
      <c r="AJ178" s="2">
        <f t="shared" si="4"/>
        <v>1</v>
      </c>
      <c r="AL178" s="2">
        <f t="shared" si="5"/>
        <v>0</v>
      </c>
    </row>
    <row r="179" spans="1:38" ht="28.8" x14ac:dyDescent="0.3">
      <c r="A179" s="5" t="s">
        <v>2451</v>
      </c>
      <c r="B179" s="1"/>
      <c r="C179" s="5"/>
      <c r="D179" s="1"/>
      <c r="E179" s="1"/>
      <c r="F179" s="1"/>
      <c r="G179" s="1"/>
      <c r="U179" s="1" t="s">
        <v>927</v>
      </c>
      <c r="AJ179" s="2">
        <f t="shared" si="4"/>
        <v>1</v>
      </c>
      <c r="AL179" s="2">
        <f t="shared" si="5"/>
        <v>0</v>
      </c>
    </row>
    <row r="180" spans="1:38" ht="43.2" x14ac:dyDescent="0.3">
      <c r="A180" s="5" t="s">
        <v>2452</v>
      </c>
      <c r="B180" s="1"/>
      <c r="C180" s="5"/>
      <c r="D180" s="1"/>
      <c r="E180" s="1"/>
      <c r="F180" s="1"/>
      <c r="G180" s="1"/>
      <c r="U180" s="1" t="s">
        <v>928</v>
      </c>
      <c r="AJ180" s="2">
        <f t="shared" si="4"/>
        <v>1</v>
      </c>
      <c r="AL180" s="2">
        <f t="shared" si="5"/>
        <v>0</v>
      </c>
    </row>
    <row r="181" spans="1:38" ht="43.2" x14ac:dyDescent="0.3">
      <c r="A181" s="5" t="s">
        <v>2453</v>
      </c>
      <c r="B181" s="1"/>
      <c r="C181" s="5"/>
      <c r="D181" s="1"/>
      <c r="E181" s="1"/>
      <c r="F181" s="1"/>
      <c r="G181" s="1"/>
      <c r="U181" s="1" t="s">
        <v>929</v>
      </c>
      <c r="AJ181" s="2">
        <f t="shared" si="4"/>
        <v>1</v>
      </c>
      <c r="AL181" s="2">
        <f t="shared" si="5"/>
        <v>0</v>
      </c>
    </row>
    <row r="182" spans="1:38" ht="43.2" x14ac:dyDescent="0.3">
      <c r="A182" s="5" t="s">
        <v>2537</v>
      </c>
      <c r="B182" s="1"/>
      <c r="C182" s="5"/>
      <c r="D182" s="1"/>
      <c r="E182" s="1"/>
      <c r="F182" s="1"/>
      <c r="G182" s="1"/>
      <c r="V182" s="1" t="s">
        <v>96</v>
      </c>
      <c r="AJ182" s="2">
        <f t="shared" si="4"/>
        <v>1</v>
      </c>
      <c r="AL182" s="2">
        <f t="shared" si="5"/>
        <v>0</v>
      </c>
    </row>
    <row r="183" spans="1:38" ht="43.2" x14ac:dyDescent="0.3">
      <c r="A183" s="5" t="s">
        <v>2538</v>
      </c>
      <c r="B183" s="1"/>
      <c r="C183" s="5"/>
      <c r="D183" s="1"/>
      <c r="E183" s="1"/>
      <c r="F183" s="1"/>
      <c r="G183" s="1"/>
      <c r="V183" s="1" t="s">
        <v>97</v>
      </c>
      <c r="AJ183" s="2">
        <f t="shared" si="4"/>
        <v>1</v>
      </c>
      <c r="AL183" s="2">
        <f t="shared" si="5"/>
        <v>0</v>
      </c>
    </row>
    <row r="184" spans="1:38" ht="28.8" x14ac:dyDescent="0.3">
      <c r="A184" s="5" t="s">
        <v>2539</v>
      </c>
      <c r="B184" s="1"/>
      <c r="C184" s="5"/>
      <c r="D184" s="1"/>
      <c r="E184" s="1"/>
      <c r="F184" s="1"/>
      <c r="G184" s="1"/>
      <c r="V184" s="1" t="s">
        <v>58</v>
      </c>
      <c r="AJ184" s="2">
        <f t="shared" si="4"/>
        <v>1</v>
      </c>
      <c r="AL184" s="2">
        <f t="shared" si="5"/>
        <v>0</v>
      </c>
    </row>
    <row r="185" spans="1:38" ht="43.2" x14ac:dyDescent="0.3">
      <c r="A185" s="5" t="s">
        <v>2540</v>
      </c>
      <c r="B185" s="1"/>
      <c r="C185" s="5"/>
      <c r="D185" s="1"/>
      <c r="E185" s="1"/>
      <c r="F185" s="1"/>
      <c r="G185" s="1"/>
      <c r="V185" s="1" t="s">
        <v>98</v>
      </c>
      <c r="AJ185" s="2">
        <f t="shared" si="4"/>
        <v>1</v>
      </c>
      <c r="AL185" s="2">
        <f t="shared" si="5"/>
        <v>0</v>
      </c>
    </row>
    <row r="186" spans="1:38" ht="43.2" x14ac:dyDescent="0.3">
      <c r="A186" s="5" t="s">
        <v>2541</v>
      </c>
      <c r="B186" s="1"/>
      <c r="C186" s="5"/>
      <c r="D186" s="1"/>
      <c r="E186" s="1"/>
      <c r="F186" s="1"/>
      <c r="G186" s="1"/>
      <c r="V186" s="1" t="s">
        <v>99</v>
      </c>
      <c r="AJ186" s="2">
        <f t="shared" si="4"/>
        <v>1</v>
      </c>
      <c r="AL186" s="2">
        <f t="shared" si="5"/>
        <v>0</v>
      </c>
    </row>
    <row r="187" spans="1:38" ht="43.2" x14ac:dyDescent="0.3">
      <c r="A187" s="5" t="s">
        <v>2542</v>
      </c>
      <c r="B187" s="1"/>
      <c r="C187" s="5"/>
      <c r="D187" s="1"/>
      <c r="E187" s="1"/>
      <c r="F187" s="1"/>
      <c r="G187" s="1"/>
      <c r="V187" s="1" t="s">
        <v>100</v>
      </c>
      <c r="AJ187" s="2">
        <f t="shared" si="4"/>
        <v>1</v>
      </c>
      <c r="AL187" s="2">
        <f t="shared" si="5"/>
        <v>0</v>
      </c>
    </row>
    <row r="188" spans="1:38" ht="43.2" x14ac:dyDescent="0.3">
      <c r="A188" s="5" t="s">
        <v>2543</v>
      </c>
      <c r="B188" s="1"/>
      <c r="C188" s="5"/>
      <c r="D188" s="1"/>
      <c r="E188" s="1"/>
      <c r="F188" s="1"/>
      <c r="G188" s="1"/>
      <c r="V188" s="1" t="s">
        <v>101</v>
      </c>
      <c r="AJ188" s="2">
        <f t="shared" si="4"/>
        <v>1</v>
      </c>
      <c r="AL188" s="2">
        <f t="shared" si="5"/>
        <v>0</v>
      </c>
    </row>
    <row r="189" spans="1:38" ht="43.2" x14ac:dyDescent="0.3">
      <c r="A189" s="5" t="s">
        <v>2614</v>
      </c>
      <c r="B189" s="1"/>
      <c r="C189" s="5"/>
      <c r="D189" s="1"/>
      <c r="E189" s="1"/>
      <c r="F189" s="1"/>
      <c r="G189" s="1"/>
      <c r="Z189" s="1" t="s">
        <v>241</v>
      </c>
      <c r="AJ189" s="2">
        <f t="shared" si="4"/>
        <v>1</v>
      </c>
      <c r="AL189" s="2">
        <f t="shared" si="5"/>
        <v>0</v>
      </c>
    </row>
    <row r="190" spans="1:38" ht="28.8" x14ac:dyDescent="0.3">
      <c r="A190" s="5" t="s">
        <v>2613</v>
      </c>
      <c r="B190" s="1"/>
      <c r="C190" s="5"/>
      <c r="D190" s="1"/>
      <c r="E190" s="1"/>
      <c r="F190" s="1"/>
      <c r="G190" s="1"/>
      <c r="Z190" s="1" t="s">
        <v>242</v>
      </c>
      <c r="AJ190" s="2">
        <f t="shared" si="4"/>
        <v>1</v>
      </c>
      <c r="AL190" s="2">
        <f t="shared" si="5"/>
        <v>0</v>
      </c>
    </row>
    <row r="191" spans="1:38" ht="28.8" x14ac:dyDescent="0.3">
      <c r="A191" s="5" t="s">
        <v>2615</v>
      </c>
      <c r="B191" s="1"/>
      <c r="C191" s="5"/>
      <c r="D191" s="1"/>
      <c r="E191" s="1"/>
      <c r="F191" s="1"/>
      <c r="G191" s="1"/>
      <c r="Z191" s="1" t="s">
        <v>243</v>
      </c>
      <c r="AJ191" s="2">
        <f t="shared" si="4"/>
        <v>1</v>
      </c>
      <c r="AL191" s="2">
        <f t="shared" si="5"/>
        <v>0</v>
      </c>
    </row>
    <row r="192" spans="1:38" ht="43.2" x14ac:dyDescent="0.3">
      <c r="A192" s="5" t="s">
        <v>2616</v>
      </c>
      <c r="B192" s="1"/>
      <c r="C192" s="5"/>
      <c r="D192" s="1"/>
      <c r="E192" s="1"/>
      <c r="F192" s="1"/>
      <c r="G192" s="1"/>
      <c r="Z192" s="1" t="s">
        <v>490</v>
      </c>
      <c r="AJ192" s="2">
        <f t="shared" si="4"/>
        <v>1</v>
      </c>
      <c r="AL192" s="2">
        <f t="shared" si="5"/>
        <v>0</v>
      </c>
    </row>
    <row r="193" spans="1:38" ht="43.2" x14ac:dyDescent="0.3">
      <c r="A193" s="5" t="s">
        <v>2617</v>
      </c>
      <c r="B193" s="1"/>
      <c r="C193" s="5"/>
      <c r="D193" s="1"/>
      <c r="E193" s="1"/>
      <c r="F193" s="1"/>
      <c r="G193" s="1"/>
      <c r="Z193" s="1" t="s">
        <v>245</v>
      </c>
      <c r="AJ193" s="2">
        <f t="shared" si="4"/>
        <v>1</v>
      </c>
      <c r="AL193" s="2">
        <f t="shared" si="5"/>
        <v>0</v>
      </c>
    </row>
    <row r="194" spans="1:38" ht="43.2" x14ac:dyDescent="0.3">
      <c r="A194" s="5" t="s">
        <v>2618</v>
      </c>
      <c r="B194" s="1"/>
      <c r="C194" s="5"/>
      <c r="D194" s="1"/>
      <c r="E194" s="1"/>
      <c r="F194" s="1"/>
      <c r="G194" s="1"/>
      <c r="Z194" s="1" t="s">
        <v>247</v>
      </c>
      <c r="AJ194" s="2">
        <f t="shared" si="4"/>
        <v>1</v>
      </c>
      <c r="AL194" s="2">
        <f t="shared" si="5"/>
        <v>0</v>
      </c>
    </row>
    <row r="195" spans="1:38" ht="43.2" x14ac:dyDescent="0.3">
      <c r="A195" s="5" t="s">
        <v>2619</v>
      </c>
      <c r="B195" s="1"/>
      <c r="C195" s="5"/>
      <c r="D195" s="1"/>
      <c r="E195" s="1"/>
      <c r="F195" s="1"/>
      <c r="G195" s="1"/>
      <c r="Z195" s="1" t="s">
        <v>249</v>
      </c>
      <c r="AJ195" s="2">
        <f t="shared" ref="AJ195:AJ235" si="6">COUNTA(B195:AH195)</f>
        <v>1</v>
      </c>
      <c r="AL195" s="2">
        <f t="shared" ref="AL195:AL235" si="7">COUNTA(F195:O195,R195:S195)</f>
        <v>0</v>
      </c>
    </row>
    <row r="196" spans="1:38" ht="28.8" x14ac:dyDescent="0.3">
      <c r="A196" s="5" t="s">
        <v>2620</v>
      </c>
      <c r="B196" s="1"/>
      <c r="C196" s="5"/>
      <c r="D196" s="1"/>
      <c r="E196" s="1"/>
      <c r="F196" s="1"/>
      <c r="G196" s="1"/>
      <c r="Z196" s="1" t="s">
        <v>251</v>
      </c>
      <c r="AJ196" s="2">
        <f t="shared" si="6"/>
        <v>1</v>
      </c>
      <c r="AL196" s="2">
        <f t="shared" si="7"/>
        <v>0</v>
      </c>
    </row>
    <row r="197" spans="1:38" ht="28.8" x14ac:dyDescent="0.3">
      <c r="A197" s="5" t="s">
        <v>2621</v>
      </c>
      <c r="B197" s="1"/>
      <c r="C197" s="5"/>
      <c r="D197" s="1"/>
      <c r="E197" s="1"/>
      <c r="F197" s="1"/>
      <c r="G197" s="1"/>
      <c r="Z197" s="1" t="s">
        <v>253</v>
      </c>
      <c r="AJ197" s="2">
        <f t="shared" si="6"/>
        <v>1</v>
      </c>
      <c r="AL197" s="2">
        <f t="shared" si="7"/>
        <v>0</v>
      </c>
    </row>
    <row r="198" spans="1:38" ht="28.8" x14ac:dyDescent="0.3">
      <c r="A198" s="5" t="s">
        <v>2622</v>
      </c>
      <c r="B198" s="1"/>
      <c r="C198" s="5"/>
      <c r="D198" s="1"/>
      <c r="E198" s="1"/>
      <c r="F198" s="1"/>
      <c r="G198" s="1"/>
      <c r="Z198" s="1" t="s">
        <v>497</v>
      </c>
      <c r="AJ198" s="2">
        <f t="shared" si="6"/>
        <v>1</v>
      </c>
      <c r="AL198" s="2">
        <f t="shared" si="7"/>
        <v>0</v>
      </c>
    </row>
    <row r="199" spans="1:38" ht="28.8" x14ac:dyDescent="0.3">
      <c r="A199" s="5" t="s">
        <v>2623</v>
      </c>
      <c r="B199" s="1"/>
      <c r="C199" s="5"/>
      <c r="D199" s="1"/>
      <c r="E199" s="1"/>
      <c r="F199" s="1"/>
      <c r="G199" s="1"/>
      <c r="Z199" s="1" t="s">
        <v>499</v>
      </c>
      <c r="AJ199" s="2">
        <f t="shared" si="6"/>
        <v>1</v>
      </c>
      <c r="AL199" s="2">
        <f t="shared" si="7"/>
        <v>0</v>
      </c>
    </row>
    <row r="200" spans="1:38" ht="28.8" x14ac:dyDescent="0.3">
      <c r="A200" s="5" t="s">
        <v>2624</v>
      </c>
      <c r="B200" s="1"/>
      <c r="C200" s="5"/>
      <c r="D200" s="1"/>
      <c r="E200" s="1"/>
      <c r="F200" s="1"/>
      <c r="G200" s="1"/>
      <c r="Z200" s="1" t="s">
        <v>500</v>
      </c>
      <c r="AJ200" s="2">
        <f t="shared" si="6"/>
        <v>1</v>
      </c>
      <c r="AL200" s="2">
        <f t="shared" si="7"/>
        <v>0</v>
      </c>
    </row>
    <row r="201" spans="1:38" ht="43.2" x14ac:dyDescent="0.3">
      <c r="A201" s="5" t="s">
        <v>2625</v>
      </c>
      <c r="B201" s="1"/>
      <c r="C201" s="5"/>
      <c r="D201" s="1"/>
      <c r="E201" s="1"/>
      <c r="F201" s="1"/>
      <c r="G201" s="1"/>
      <c r="Z201" s="1" t="s">
        <v>501</v>
      </c>
      <c r="AJ201" s="2">
        <f t="shared" si="6"/>
        <v>1</v>
      </c>
      <c r="AL201" s="2">
        <f t="shared" si="7"/>
        <v>0</v>
      </c>
    </row>
    <row r="202" spans="1:38" ht="43.2" x14ac:dyDescent="0.3">
      <c r="A202" s="5" t="s">
        <v>2626</v>
      </c>
      <c r="B202" s="1"/>
      <c r="C202" s="5"/>
      <c r="D202" s="1"/>
      <c r="E202" s="1"/>
      <c r="F202" s="1"/>
      <c r="G202" s="1"/>
      <c r="Z202" s="1" t="s">
        <v>502</v>
      </c>
      <c r="AJ202" s="2">
        <f t="shared" si="6"/>
        <v>1</v>
      </c>
      <c r="AL202" s="2">
        <f t="shared" si="7"/>
        <v>0</v>
      </c>
    </row>
    <row r="203" spans="1:38" ht="43.2" x14ac:dyDescent="0.3">
      <c r="A203" s="5" t="s">
        <v>2627</v>
      </c>
      <c r="B203" s="1"/>
      <c r="C203" s="5"/>
      <c r="D203" s="1"/>
      <c r="E203" s="1"/>
      <c r="F203" s="1"/>
      <c r="G203" s="1"/>
      <c r="Z203" s="1" t="s">
        <v>503</v>
      </c>
      <c r="AJ203" s="2">
        <f t="shared" si="6"/>
        <v>1</v>
      </c>
      <c r="AL203" s="2">
        <f t="shared" si="7"/>
        <v>0</v>
      </c>
    </row>
    <row r="204" spans="1:38" ht="43.2" x14ac:dyDescent="0.3">
      <c r="A204" s="5" t="s">
        <v>2628</v>
      </c>
      <c r="B204" s="1"/>
      <c r="C204" s="5"/>
      <c r="D204" s="1"/>
      <c r="E204" s="1"/>
      <c r="F204" s="1"/>
      <c r="G204" s="1"/>
      <c r="Z204" s="1" t="s">
        <v>504</v>
      </c>
      <c r="AJ204" s="2">
        <f t="shared" si="6"/>
        <v>1</v>
      </c>
      <c r="AL204" s="2">
        <f t="shared" si="7"/>
        <v>0</v>
      </c>
    </row>
    <row r="205" spans="1:38" ht="28.8" x14ac:dyDescent="0.3">
      <c r="A205" s="5" t="s">
        <v>2323</v>
      </c>
      <c r="B205" s="1"/>
      <c r="C205" s="5"/>
      <c r="D205" s="1"/>
      <c r="E205" s="1"/>
      <c r="F205" s="1"/>
      <c r="G205" s="1"/>
      <c r="T205" s="1" t="s">
        <v>1002</v>
      </c>
      <c r="AJ205" s="2">
        <f t="shared" si="6"/>
        <v>1</v>
      </c>
      <c r="AL205" s="2">
        <f t="shared" si="7"/>
        <v>0</v>
      </c>
    </row>
    <row r="206" spans="1:38" ht="28.8" x14ac:dyDescent="0.3">
      <c r="A206" s="5" t="s">
        <v>2324</v>
      </c>
      <c r="B206" s="1"/>
      <c r="C206" s="5"/>
      <c r="D206" s="1"/>
      <c r="E206" s="1"/>
      <c r="F206" s="1"/>
      <c r="G206" s="1"/>
      <c r="T206" s="1" t="s">
        <v>1003</v>
      </c>
      <c r="AJ206" s="2">
        <f t="shared" si="6"/>
        <v>1</v>
      </c>
      <c r="AL206" s="2">
        <f t="shared" si="7"/>
        <v>0</v>
      </c>
    </row>
    <row r="207" spans="1:38" ht="28.8" x14ac:dyDescent="0.3">
      <c r="A207" s="5" t="s">
        <v>2325</v>
      </c>
      <c r="B207" s="1"/>
      <c r="C207" s="5"/>
      <c r="D207" s="1"/>
      <c r="E207" s="1"/>
      <c r="F207" s="1"/>
      <c r="G207" s="1"/>
      <c r="T207" s="1" t="s">
        <v>1004</v>
      </c>
      <c r="AJ207" s="2">
        <f t="shared" si="6"/>
        <v>1</v>
      </c>
      <c r="AL207" s="2">
        <f t="shared" si="7"/>
        <v>0</v>
      </c>
    </row>
    <row r="208" spans="1:38" ht="28.8" x14ac:dyDescent="0.3">
      <c r="A208" s="5" t="s">
        <v>2326</v>
      </c>
      <c r="B208" s="1"/>
      <c r="C208" s="5"/>
      <c r="D208" s="1"/>
      <c r="E208" s="1"/>
      <c r="F208" s="1"/>
      <c r="G208" s="1"/>
      <c r="T208" s="1" t="s">
        <v>1190</v>
      </c>
      <c r="AJ208" s="2">
        <f t="shared" si="6"/>
        <v>1</v>
      </c>
      <c r="AL208" s="2">
        <f t="shared" si="7"/>
        <v>0</v>
      </c>
    </row>
    <row r="209" spans="1:38" ht="28.8" x14ac:dyDescent="0.3">
      <c r="A209" s="5" t="s">
        <v>2327</v>
      </c>
      <c r="B209" s="1"/>
      <c r="C209" s="5"/>
      <c r="D209" s="1"/>
      <c r="E209" s="1"/>
      <c r="F209" s="1"/>
      <c r="G209" s="1"/>
      <c r="T209" s="1" t="s">
        <v>1005</v>
      </c>
      <c r="AJ209" s="2">
        <f t="shared" si="6"/>
        <v>1</v>
      </c>
      <c r="AL209" s="2">
        <f t="shared" si="7"/>
        <v>0</v>
      </c>
    </row>
    <row r="210" spans="1:38" ht="28.8" x14ac:dyDescent="0.3">
      <c r="A210" s="5" t="s">
        <v>2328</v>
      </c>
      <c r="B210" s="1"/>
      <c r="C210" s="5"/>
      <c r="D210" s="1"/>
      <c r="E210" s="1"/>
      <c r="F210" s="1"/>
      <c r="G210" s="1"/>
      <c r="T210" s="1" t="s">
        <v>1006</v>
      </c>
      <c r="AJ210" s="2">
        <f t="shared" si="6"/>
        <v>1</v>
      </c>
      <c r="AL210" s="2">
        <f t="shared" si="7"/>
        <v>0</v>
      </c>
    </row>
    <row r="211" spans="1:38" ht="28.8" x14ac:dyDescent="0.3">
      <c r="A211" s="5" t="s">
        <v>2329</v>
      </c>
      <c r="B211" s="1"/>
      <c r="C211" s="5"/>
      <c r="D211" s="1"/>
      <c r="E211" s="1"/>
      <c r="F211" s="1"/>
      <c r="G211" s="1"/>
      <c r="T211" s="1" t="s">
        <v>1007</v>
      </c>
      <c r="AJ211" s="2">
        <f t="shared" si="6"/>
        <v>1</v>
      </c>
      <c r="AL211" s="2">
        <f t="shared" si="7"/>
        <v>0</v>
      </c>
    </row>
    <row r="212" spans="1:38" ht="43.2" x14ac:dyDescent="0.3">
      <c r="A212" s="5" t="s">
        <v>2330</v>
      </c>
      <c r="B212" s="1"/>
      <c r="C212" s="5"/>
      <c r="D212" s="1"/>
      <c r="E212" s="1"/>
      <c r="F212" s="1"/>
      <c r="G212" s="1"/>
      <c r="T212" s="1" t="s">
        <v>1008</v>
      </c>
      <c r="AJ212" s="2">
        <f t="shared" si="6"/>
        <v>1</v>
      </c>
      <c r="AL212" s="2">
        <f t="shared" si="7"/>
        <v>0</v>
      </c>
    </row>
    <row r="213" spans="1:38" ht="28.8" x14ac:dyDescent="0.3">
      <c r="A213" s="5" t="s">
        <v>2331</v>
      </c>
      <c r="B213" s="1"/>
      <c r="C213" s="5"/>
      <c r="D213" s="1"/>
      <c r="E213" s="1"/>
      <c r="F213" s="1"/>
      <c r="G213" s="1"/>
      <c r="T213" s="1" t="s">
        <v>1009</v>
      </c>
      <c r="AJ213" s="2">
        <f t="shared" si="6"/>
        <v>1</v>
      </c>
      <c r="AL213" s="2">
        <f t="shared" si="7"/>
        <v>0</v>
      </c>
    </row>
    <row r="214" spans="1:38" ht="28.8" x14ac:dyDescent="0.3">
      <c r="A214" s="5" t="s">
        <v>2332</v>
      </c>
      <c r="B214" s="1"/>
      <c r="C214" s="5"/>
      <c r="D214" s="1"/>
      <c r="E214" s="1"/>
      <c r="F214" s="1"/>
      <c r="G214" s="1"/>
      <c r="T214" s="1" t="s">
        <v>1010</v>
      </c>
      <c r="AJ214" s="2">
        <f t="shared" si="6"/>
        <v>1</v>
      </c>
      <c r="AL214" s="2">
        <f t="shared" si="7"/>
        <v>0</v>
      </c>
    </row>
    <row r="215" spans="1:38" ht="28.8" x14ac:dyDescent="0.3">
      <c r="A215" s="5" t="s">
        <v>2454</v>
      </c>
      <c r="B215" s="1"/>
      <c r="C215" s="5"/>
      <c r="D215" s="1"/>
      <c r="E215" s="1"/>
      <c r="F215" s="1"/>
      <c r="G215" s="1"/>
      <c r="U215" s="54" t="s">
        <v>968</v>
      </c>
      <c r="V215" s="1" t="s">
        <v>499</v>
      </c>
      <c r="AJ215" s="2">
        <f t="shared" si="6"/>
        <v>2</v>
      </c>
      <c r="AL215" s="2">
        <f t="shared" si="7"/>
        <v>0</v>
      </c>
    </row>
    <row r="216" spans="1:38" ht="28.8" x14ac:dyDescent="0.3">
      <c r="A216" s="5" t="s">
        <v>2455</v>
      </c>
      <c r="B216" s="1"/>
      <c r="C216" s="5"/>
      <c r="D216" s="1"/>
      <c r="E216" s="1"/>
      <c r="F216" s="1"/>
      <c r="G216" s="1"/>
      <c r="U216" s="54" t="s">
        <v>969</v>
      </c>
      <c r="V216" s="1" t="s">
        <v>500</v>
      </c>
      <c r="AJ216" s="2">
        <f t="shared" si="6"/>
        <v>2</v>
      </c>
      <c r="AL216" s="2">
        <f t="shared" si="7"/>
        <v>0</v>
      </c>
    </row>
    <row r="217" spans="1:38" ht="28.8" x14ac:dyDescent="0.3">
      <c r="A217" s="5" t="s">
        <v>2456</v>
      </c>
      <c r="B217" s="1"/>
      <c r="C217" s="5"/>
      <c r="D217" s="1"/>
      <c r="E217" s="1"/>
      <c r="F217" s="1"/>
      <c r="G217" s="1"/>
      <c r="U217" s="54" t="s">
        <v>970</v>
      </c>
      <c r="V217" s="1" t="s">
        <v>501</v>
      </c>
      <c r="AJ217" s="2">
        <f t="shared" si="6"/>
        <v>2</v>
      </c>
      <c r="AL217" s="2">
        <f t="shared" si="7"/>
        <v>0</v>
      </c>
    </row>
    <row r="218" spans="1:38" ht="28.8" x14ac:dyDescent="0.3">
      <c r="A218" s="5" t="s">
        <v>2457</v>
      </c>
      <c r="B218" s="1"/>
      <c r="C218" s="5"/>
      <c r="D218" s="1"/>
      <c r="E218" s="1"/>
      <c r="F218" s="1"/>
      <c r="G218" s="1"/>
      <c r="U218" s="54" t="s">
        <v>1713</v>
      </c>
      <c r="V218" s="1" t="s">
        <v>502</v>
      </c>
      <c r="AJ218" s="2">
        <f t="shared" si="6"/>
        <v>2</v>
      </c>
      <c r="AL218" s="2">
        <f t="shared" si="7"/>
        <v>0</v>
      </c>
    </row>
    <row r="219" spans="1:38" ht="28.8" x14ac:dyDescent="0.3">
      <c r="A219" s="5" t="s">
        <v>2458</v>
      </c>
      <c r="B219" s="1"/>
      <c r="C219" s="5"/>
      <c r="D219" s="1"/>
      <c r="E219" s="1"/>
      <c r="F219" s="1"/>
      <c r="G219" s="1"/>
      <c r="U219" s="54" t="s">
        <v>1714</v>
      </c>
      <c r="V219" s="1" t="s">
        <v>503</v>
      </c>
      <c r="AJ219" s="2">
        <f t="shared" si="6"/>
        <v>2</v>
      </c>
      <c r="AL219" s="2">
        <f t="shared" si="7"/>
        <v>0</v>
      </c>
    </row>
    <row r="220" spans="1:38" ht="28.8" x14ac:dyDescent="0.3">
      <c r="A220" s="5" t="s">
        <v>2459</v>
      </c>
      <c r="B220" s="1"/>
      <c r="C220" s="5"/>
      <c r="D220" s="1"/>
      <c r="E220" s="1"/>
      <c r="F220" s="1"/>
      <c r="G220" s="1"/>
      <c r="U220" s="54" t="s">
        <v>1716</v>
      </c>
      <c r="V220" s="1" t="s">
        <v>245</v>
      </c>
      <c r="AJ220" s="2">
        <f t="shared" si="6"/>
        <v>2</v>
      </c>
      <c r="AL220" s="2">
        <f t="shared" si="7"/>
        <v>0</v>
      </c>
    </row>
    <row r="221" spans="1:38" ht="28.8" x14ac:dyDescent="0.3">
      <c r="A221" s="5" t="s">
        <v>2460</v>
      </c>
      <c r="B221" s="1"/>
      <c r="C221" s="5"/>
      <c r="D221" s="1"/>
      <c r="E221" s="1"/>
      <c r="F221" s="1"/>
      <c r="G221" s="1"/>
      <c r="U221" s="54" t="s">
        <v>1715</v>
      </c>
      <c r="V221" s="1" t="s">
        <v>247</v>
      </c>
      <c r="AJ221" s="2">
        <f t="shared" si="6"/>
        <v>2</v>
      </c>
      <c r="AL221" s="2">
        <f t="shared" si="7"/>
        <v>0</v>
      </c>
    </row>
    <row r="222" spans="1:38" ht="28.8" x14ac:dyDescent="0.3">
      <c r="A222" s="5" t="s">
        <v>2461</v>
      </c>
      <c r="B222" s="1"/>
      <c r="C222" s="5"/>
      <c r="D222" s="1"/>
      <c r="E222" s="1"/>
      <c r="F222" s="1"/>
      <c r="G222" s="1"/>
      <c r="U222" s="54" t="s">
        <v>1718</v>
      </c>
      <c r="V222" s="1" t="s">
        <v>249</v>
      </c>
      <c r="AJ222" s="2">
        <f t="shared" si="6"/>
        <v>2</v>
      </c>
      <c r="AL222" s="2">
        <f t="shared" si="7"/>
        <v>0</v>
      </c>
    </row>
    <row r="223" spans="1:38" ht="28.8" x14ac:dyDescent="0.3">
      <c r="A223" s="5" t="s">
        <v>2462</v>
      </c>
      <c r="B223" s="1"/>
      <c r="C223" s="5"/>
      <c r="D223" s="1"/>
      <c r="E223" s="1"/>
      <c r="F223" s="1"/>
      <c r="G223" s="1"/>
      <c r="U223" s="54" t="s">
        <v>1719</v>
      </c>
      <c r="V223" s="1" t="s">
        <v>251</v>
      </c>
      <c r="AJ223" s="2">
        <f t="shared" si="6"/>
        <v>2</v>
      </c>
      <c r="AL223" s="2">
        <f t="shared" si="7"/>
        <v>0</v>
      </c>
    </row>
    <row r="224" spans="1:38" ht="28.8" x14ac:dyDescent="0.3">
      <c r="A224" s="5" t="s">
        <v>2463</v>
      </c>
      <c r="B224" s="1"/>
      <c r="C224" s="5"/>
      <c r="D224" s="1"/>
      <c r="E224" s="1"/>
      <c r="F224" s="1"/>
      <c r="G224" s="1"/>
      <c r="U224" s="54" t="s">
        <v>1720</v>
      </c>
      <c r="V224" s="1" t="s">
        <v>253</v>
      </c>
      <c r="AJ224" s="2">
        <f t="shared" si="6"/>
        <v>2</v>
      </c>
      <c r="AL224" s="2">
        <f t="shared" si="7"/>
        <v>0</v>
      </c>
    </row>
    <row r="225" spans="1:38" ht="28.8" x14ac:dyDescent="0.3">
      <c r="A225" s="5" t="s">
        <v>2464</v>
      </c>
      <c r="B225" s="1"/>
      <c r="C225" s="5"/>
      <c r="D225" s="1"/>
      <c r="E225" s="1"/>
      <c r="F225" s="1"/>
      <c r="G225" s="1"/>
      <c r="U225" s="1" t="s">
        <v>1721</v>
      </c>
      <c r="AJ225" s="2">
        <f t="shared" si="6"/>
        <v>1</v>
      </c>
      <c r="AL225" s="2">
        <f t="shared" si="7"/>
        <v>0</v>
      </c>
    </row>
    <row r="226" spans="1:38" ht="28.8" x14ac:dyDescent="0.3">
      <c r="A226" s="5" t="s">
        <v>2465</v>
      </c>
      <c r="B226" s="1"/>
      <c r="C226" s="5"/>
      <c r="D226" s="1"/>
      <c r="E226" s="1"/>
      <c r="F226" s="1"/>
      <c r="G226" s="1"/>
      <c r="U226" s="1" t="s">
        <v>1722</v>
      </c>
      <c r="AJ226" s="2">
        <f t="shared" si="6"/>
        <v>1</v>
      </c>
      <c r="AL226" s="2">
        <f t="shared" si="7"/>
        <v>0</v>
      </c>
    </row>
    <row r="227" spans="1:38" ht="28.8" x14ac:dyDescent="0.3">
      <c r="A227" s="5" t="s">
        <v>2466</v>
      </c>
      <c r="B227" s="1"/>
      <c r="C227" s="5"/>
      <c r="D227" s="1"/>
      <c r="E227" s="1"/>
      <c r="F227" s="1"/>
      <c r="G227" s="1"/>
      <c r="U227" s="1" t="s">
        <v>1725</v>
      </c>
      <c r="AJ227" s="2">
        <f t="shared" si="6"/>
        <v>1</v>
      </c>
      <c r="AL227" s="2">
        <f t="shared" si="7"/>
        <v>0</v>
      </c>
    </row>
    <row r="228" spans="1:38" ht="28.8" x14ac:dyDescent="0.3">
      <c r="A228" s="5" t="s">
        <v>2467</v>
      </c>
      <c r="B228" s="1"/>
      <c r="C228" s="5"/>
      <c r="D228" s="1"/>
      <c r="E228" s="1"/>
      <c r="F228" s="1"/>
      <c r="G228" s="1"/>
      <c r="U228" s="54" t="s">
        <v>1727</v>
      </c>
      <c r="V228" s="1" t="s">
        <v>656</v>
      </c>
      <c r="AJ228" s="2">
        <f t="shared" si="6"/>
        <v>2</v>
      </c>
      <c r="AL228" s="2">
        <f t="shared" si="7"/>
        <v>0</v>
      </c>
    </row>
    <row r="229" spans="1:38" ht="28.8" x14ac:dyDescent="0.3">
      <c r="A229" s="5" t="s">
        <v>2468</v>
      </c>
      <c r="B229" s="1"/>
      <c r="C229" s="5"/>
      <c r="D229" s="1"/>
      <c r="E229" s="1"/>
      <c r="F229" s="1"/>
      <c r="G229" s="1"/>
      <c r="U229" s="54" t="s">
        <v>1953</v>
      </c>
      <c r="V229" s="1" t="s">
        <v>506</v>
      </c>
      <c r="AJ229" s="2">
        <f t="shared" si="6"/>
        <v>2</v>
      </c>
      <c r="AL229" s="2">
        <f t="shared" si="7"/>
        <v>0</v>
      </c>
    </row>
    <row r="230" spans="1:38" ht="28.8" x14ac:dyDescent="0.3">
      <c r="A230" s="5" t="s">
        <v>2469</v>
      </c>
      <c r="B230" s="1"/>
      <c r="C230" s="5"/>
      <c r="D230" s="1"/>
      <c r="E230" s="1"/>
      <c r="F230" s="1"/>
      <c r="G230" s="1"/>
      <c r="U230" s="54" t="s">
        <v>1728</v>
      </c>
      <c r="V230" s="1" t="s">
        <v>508</v>
      </c>
      <c r="AJ230" s="2">
        <f t="shared" si="6"/>
        <v>2</v>
      </c>
      <c r="AL230" s="2">
        <f t="shared" si="7"/>
        <v>0</v>
      </c>
    </row>
    <row r="231" spans="1:38" ht="28.8" x14ac:dyDescent="0.3">
      <c r="A231" s="5" t="s">
        <v>2470</v>
      </c>
      <c r="B231" s="1"/>
      <c r="C231" s="5"/>
      <c r="D231" s="1"/>
      <c r="E231" s="1"/>
      <c r="F231" s="1"/>
      <c r="G231" s="1"/>
      <c r="U231" s="54" t="s">
        <v>1729</v>
      </c>
      <c r="V231" s="1" t="s">
        <v>510</v>
      </c>
      <c r="AJ231" s="2">
        <f t="shared" si="6"/>
        <v>2</v>
      </c>
      <c r="AL231" s="2">
        <f t="shared" si="7"/>
        <v>0</v>
      </c>
    </row>
    <row r="232" spans="1:38" ht="28.8" x14ac:dyDescent="0.3">
      <c r="A232" s="5" t="s">
        <v>2471</v>
      </c>
      <c r="B232" s="1"/>
      <c r="C232" s="5"/>
      <c r="D232" s="1"/>
      <c r="E232" s="1"/>
      <c r="F232" s="1"/>
      <c r="G232" s="1"/>
      <c r="U232" s="54" t="s">
        <v>1730</v>
      </c>
      <c r="V232" s="1" t="s">
        <v>512</v>
      </c>
      <c r="AJ232" s="2">
        <f t="shared" si="6"/>
        <v>2</v>
      </c>
      <c r="AL232" s="2">
        <f t="shared" si="7"/>
        <v>0</v>
      </c>
    </row>
    <row r="233" spans="1:38" x14ac:dyDescent="0.3">
      <c r="A233" s="5" t="s">
        <v>2780</v>
      </c>
      <c r="B233" s="1"/>
      <c r="C233" s="5"/>
      <c r="D233" s="1"/>
      <c r="E233" s="1"/>
      <c r="F233" s="1"/>
      <c r="G233" s="1"/>
      <c r="AB233" s="54" t="s">
        <v>2781</v>
      </c>
      <c r="AC233" s="1" t="s">
        <v>1999</v>
      </c>
      <c r="AJ233" s="2">
        <f t="shared" si="6"/>
        <v>2</v>
      </c>
      <c r="AL233" s="2">
        <f t="shared" si="7"/>
        <v>0</v>
      </c>
    </row>
    <row r="234" spans="1:38" x14ac:dyDescent="0.3">
      <c r="A234" s="5" t="s">
        <v>2819</v>
      </c>
      <c r="B234" s="1"/>
      <c r="C234" s="5"/>
      <c r="D234" s="1"/>
      <c r="E234" s="1"/>
      <c r="F234" s="1"/>
      <c r="G234" s="1"/>
      <c r="AC234" s="1" t="s">
        <v>2000</v>
      </c>
      <c r="AJ234" s="2">
        <f t="shared" si="6"/>
        <v>1</v>
      </c>
      <c r="AL234" s="2">
        <f t="shared" si="7"/>
        <v>0</v>
      </c>
    </row>
    <row r="235" spans="1:38" x14ac:dyDescent="0.3">
      <c r="A235" s="5" t="s">
        <v>2820</v>
      </c>
      <c r="B235" s="1"/>
      <c r="C235" s="5"/>
      <c r="D235" s="1"/>
      <c r="E235" s="1"/>
      <c r="F235" s="1"/>
      <c r="G235" s="1"/>
      <c r="AC235" s="1" t="s">
        <v>2001</v>
      </c>
      <c r="AJ235" s="2">
        <f t="shared" si="6"/>
        <v>1</v>
      </c>
      <c r="AL235" s="2">
        <f t="shared" si="7"/>
        <v>0</v>
      </c>
    </row>
    <row r="236" spans="1:38" x14ac:dyDescent="0.3">
      <c r="A236" s="5"/>
      <c r="B236" s="1"/>
      <c r="C236" s="5"/>
      <c r="D236" s="1"/>
      <c r="E236" s="1"/>
      <c r="F236" s="1"/>
      <c r="G236" s="1"/>
    </row>
    <row r="237" spans="1:38" x14ac:dyDescent="0.3">
      <c r="A237" s="5"/>
      <c r="B237" s="1"/>
      <c r="C237" s="5"/>
      <c r="D237" s="1"/>
      <c r="E237" s="1"/>
      <c r="F237" s="1"/>
      <c r="G237" s="1"/>
    </row>
    <row r="238" spans="1:38" x14ac:dyDescent="0.3">
      <c r="A238" s="5"/>
      <c r="B238" s="1"/>
      <c r="C238" s="5"/>
      <c r="D238" s="1"/>
      <c r="E238" s="1"/>
      <c r="F238" s="1"/>
      <c r="G238" s="1"/>
    </row>
    <row r="239" spans="1:38" x14ac:dyDescent="0.3">
      <c r="A239" s="5"/>
      <c r="B239" s="1"/>
      <c r="C239" s="5"/>
      <c r="D239" s="1"/>
      <c r="E239" s="1"/>
      <c r="F239" s="1"/>
      <c r="G239" s="1"/>
    </row>
    <row r="240" spans="1:38"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A278" s="5"/>
      <c r="B278" s="1"/>
      <c r="C278" s="5"/>
      <c r="D278" s="1"/>
      <c r="E278" s="1"/>
      <c r="F278" s="1"/>
      <c r="G278" s="1"/>
    </row>
    <row r="279" spans="1:7" x14ac:dyDescent="0.3">
      <c r="A279" s="5"/>
      <c r="B279" s="1"/>
      <c r="C279" s="5"/>
      <c r="D279" s="1"/>
      <c r="E279" s="1"/>
      <c r="F279" s="1"/>
      <c r="G279" s="1"/>
    </row>
    <row r="280" spans="1:7" x14ac:dyDescent="0.3">
      <c r="A280" s="5"/>
      <c r="B280" s="1"/>
      <c r="C280" s="5"/>
      <c r="D280" s="1"/>
      <c r="E280" s="1"/>
      <c r="F280" s="1"/>
      <c r="G280" s="1"/>
    </row>
    <row r="281" spans="1:7" x14ac:dyDescent="0.3">
      <c r="A281" s="5"/>
      <c r="B281" s="1"/>
      <c r="C281" s="5"/>
      <c r="D281" s="1"/>
      <c r="E281" s="1"/>
      <c r="F281" s="1"/>
      <c r="G281" s="1"/>
    </row>
    <row r="282" spans="1:7" x14ac:dyDescent="0.3">
      <c r="A282" s="5"/>
      <c r="B282" s="1"/>
      <c r="C282" s="5"/>
      <c r="D282" s="1"/>
      <c r="E282" s="1"/>
      <c r="F282" s="1"/>
      <c r="G282" s="1"/>
    </row>
    <row r="283" spans="1:7" x14ac:dyDescent="0.3">
      <c r="A283" s="5"/>
      <c r="B283" s="1"/>
      <c r="C283" s="5"/>
      <c r="D283" s="1"/>
      <c r="E283" s="1"/>
      <c r="F283" s="1"/>
      <c r="G283" s="1"/>
    </row>
    <row r="284" spans="1:7" x14ac:dyDescent="0.3">
      <c r="A284" s="5"/>
      <c r="B284" s="1"/>
      <c r="C284" s="5"/>
      <c r="D284" s="1"/>
      <c r="E284" s="1"/>
      <c r="F284" s="1"/>
      <c r="G284" s="1"/>
    </row>
    <row r="285" spans="1:7" x14ac:dyDescent="0.3">
      <c r="A285" s="5"/>
      <c r="B285" s="1"/>
      <c r="C285" s="5"/>
      <c r="D285" s="1"/>
      <c r="E285" s="1"/>
      <c r="F285" s="1"/>
      <c r="G285" s="1"/>
    </row>
    <row r="286" spans="1:7" x14ac:dyDescent="0.3">
      <c r="A286" s="5"/>
      <c r="B286" s="1"/>
      <c r="C286" s="5"/>
      <c r="D286" s="1"/>
      <c r="E286" s="1"/>
      <c r="F286" s="1"/>
      <c r="G286" s="1"/>
    </row>
    <row r="287" spans="1:7" x14ac:dyDescent="0.3">
      <c r="A287" s="5"/>
      <c r="B287" s="1"/>
      <c r="C287" s="5"/>
      <c r="D287" s="1"/>
      <c r="E287" s="1"/>
      <c r="F287" s="1"/>
      <c r="G287" s="1"/>
    </row>
    <row r="288" spans="1:7" x14ac:dyDescent="0.3">
      <c r="A288" s="5"/>
      <c r="B288" s="1"/>
      <c r="C288" s="5"/>
      <c r="D288" s="1"/>
      <c r="E288" s="1"/>
      <c r="F288" s="1"/>
      <c r="G288" s="1"/>
    </row>
    <row r="289" spans="1:7" x14ac:dyDescent="0.3">
      <c r="A289" s="5"/>
      <c r="C289" s="5"/>
      <c r="D289" s="1"/>
      <c r="E289" s="1"/>
      <c r="F289" s="1"/>
      <c r="G289" s="1"/>
    </row>
    <row r="290" spans="1:7" x14ac:dyDescent="0.3">
      <c r="A290" s="5"/>
      <c r="C290" s="5"/>
      <c r="D290" s="1"/>
      <c r="E290" s="1"/>
      <c r="F290" s="1"/>
      <c r="G290" s="1"/>
    </row>
    <row r="291" spans="1:7" x14ac:dyDescent="0.3">
      <c r="A291" s="5"/>
      <c r="C291" s="5"/>
      <c r="D291" s="1"/>
      <c r="E291" s="1"/>
      <c r="F291" s="1"/>
      <c r="G291" s="1"/>
    </row>
    <row r="292" spans="1:7" x14ac:dyDescent="0.3">
      <c r="A292" s="5"/>
      <c r="C292" s="5"/>
      <c r="D292" s="1"/>
      <c r="E292" s="1"/>
      <c r="F292" s="1"/>
      <c r="G292" s="1"/>
    </row>
    <row r="293" spans="1:7" x14ac:dyDescent="0.3">
      <c r="A293" s="5"/>
      <c r="C293" s="5"/>
      <c r="D293" s="1"/>
      <c r="E293" s="1"/>
      <c r="F293" s="1"/>
      <c r="G293" s="1"/>
    </row>
    <row r="294" spans="1:7" x14ac:dyDescent="0.3">
      <c r="A294" s="5"/>
      <c r="C294" s="5"/>
      <c r="D294" s="1"/>
      <c r="E294" s="1"/>
      <c r="F294" s="1"/>
      <c r="G294" s="1"/>
    </row>
    <row r="295" spans="1:7" x14ac:dyDescent="0.3">
      <c r="A295" s="5"/>
      <c r="C295" s="5"/>
      <c r="D295" s="1"/>
      <c r="E295" s="1"/>
      <c r="F295" s="1"/>
      <c r="G295" s="1"/>
    </row>
    <row r="296" spans="1:7" x14ac:dyDescent="0.3">
      <c r="A296" s="5"/>
      <c r="C296" s="5"/>
      <c r="D296" s="1"/>
      <c r="E296" s="1"/>
      <c r="F296" s="1"/>
      <c r="G296" s="1"/>
    </row>
    <row r="297" spans="1:7" x14ac:dyDescent="0.3">
      <c r="A297" s="5"/>
      <c r="C297" s="5"/>
      <c r="D297" s="1"/>
      <c r="E297" s="1"/>
      <c r="F297" s="1"/>
      <c r="G297" s="1"/>
    </row>
    <row r="298" spans="1:7" x14ac:dyDescent="0.3">
      <c r="A298" s="5"/>
      <c r="C298" s="5"/>
      <c r="D298" s="1"/>
      <c r="E298" s="1"/>
      <c r="F298" s="1"/>
      <c r="G298" s="1"/>
    </row>
    <row r="299" spans="1:7" x14ac:dyDescent="0.3">
      <c r="A299" s="5"/>
      <c r="C299" s="5"/>
      <c r="D299" s="1"/>
      <c r="E299" s="1"/>
      <c r="F299" s="1"/>
      <c r="G299" s="1"/>
    </row>
    <row r="300" spans="1:7" x14ac:dyDescent="0.3">
      <c r="A300" s="5"/>
      <c r="C300" s="5"/>
      <c r="D300" s="1"/>
      <c r="E300" s="1"/>
      <c r="F300" s="1"/>
      <c r="G300" s="1"/>
    </row>
    <row r="301" spans="1:7" x14ac:dyDescent="0.3">
      <c r="A301" s="5"/>
      <c r="C301" s="5"/>
      <c r="D301" s="1"/>
      <c r="E301" s="1"/>
      <c r="F301" s="1"/>
      <c r="G301" s="1"/>
    </row>
    <row r="302" spans="1:7" x14ac:dyDescent="0.3">
      <c r="A302" s="5"/>
      <c r="C302" s="5"/>
      <c r="D302" s="1"/>
      <c r="E302" s="1"/>
      <c r="F302" s="1"/>
      <c r="G302" s="1"/>
    </row>
    <row r="303" spans="1:7" x14ac:dyDescent="0.3">
      <c r="A303" s="5"/>
      <c r="C303" s="5"/>
      <c r="D303" s="1"/>
      <c r="E303" s="1"/>
      <c r="F303" s="1"/>
      <c r="G303" s="1"/>
    </row>
    <row r="304" spans="1:7" x14ac:dyDescent="0.3">
      <c r="A304" s="5"/>
      <c r="C304" s="5"/>
      <c r="D304" s="1"/>
      <c r="E304" s="1"/>
      <c r="F304" s="1"/>
      <c r="G304" s="1"/>
    </row>
    <row r="305" spans="1:7" x14ac:dyDescent="0.3">
      <c r="A305" s="5"/>
      <c r="C305" s="5"/>
      <c r="D305" s="1"/>
      <c r="E305" s="1"/>
      <c r="F305" s="1"/>
      <c r="G305" s="1"/>
    </row>
    <row r="306" spans="1:7" x14ac:dyDescent="0.3">
      <c r="A306" s="5"/>
      <c r="C306" s="5"/>
      <c r="D306" s="1"/>
      <c r="E306" s="1"/>
      <c r="F306" s="1"/>
      <c r="G306" s="1"/>
    </row>
    <row r="307" spans="1:7" x14ac:dyDescent="0.3">
      <c r="A307" s="5"/>
      <c r="C307" s="5"/>
      <c r="D307" s="1"/>
      <c r="E307" s="1"/>
      <c r="F307" s="1"/>
      <c r="G307" s="1"/>
    </row>
    <row r="308" spans="1:7" x14ac:dyDescent="0.3">
      <c r="A308" s="5"/>
      <c r="C308" s="5"/>
      <c r="D308" s="1"/>
      <c r="E308" s="1"/>
      <c r="F308" s="1"/>
      <c r="G308" s="1"/>
    </row>
    <row r="309" spans="1:7" x14ac:dyDescent="0.3">
      <c r="A309" s="5"/>
      <c r="C309" s="5"/>
      <c r="D309" s="1"/>
      <c r="E309" s="1"/>
      <c r="F309" s="1"/>
      <c r="G309" s="1"/>
    </row>
    <row r="310" spans="1:7" x14ac:dyDescent="0.3">
      <c r="A310" s="5"/>
      <c r="C310" s="5"/>
      <c r="D310" s="1"/>
      <c r="E310" s="1"/>
      <c r="F310" s="1"/>
      <c r="G310" s="1"/>
    </row>
    <row r="311" spans="1:7" x14ac:dyDescent="0.3">
      <c r="A311" s="5"/>
      <c r="C311" s="5"/>
      <c r="D311" s="1"/>
      <c r="E311" s="1"/>
      <c r="F311" s="1"/>
      <c r="G311" s="1"/>
    </row>
    <row r="312" spans="1:7" x14ac:dyDescent="0.3">
      <c r="A312" s="5"/>
      <c r="C312" s="5"/>
      <c r="D312" s="1"/>
      <c r="E312" s="1"/>
      <c r="F312" s="1"/>
      <c r="G312" s="1"/>
    </row>
    <row r="313" spans="1:7" x14ac:dyDescent="0.3">
      <c r="A313" s="5"/>
      <c r="C313" s="5"/>
      <c r="D313" s="1"/>
      <c r="E313" s="1"/>
      <c r="F313" s="1"/>
      <c r="G313" s="1"/>
    </row>
    <row r="314" spans="1:7" x14ac:dyDescent="0.3">
      <c r="A314" s="5"/>
      <c r="C314" s="5"/>
      <c r="D314" s="1"/>
      <c r="E314" s="1"/>
      <c r="F314" s="1"/>
      <c r="G314" s="1"/>
    </row>
    <row r="315" spans="1:7" x14ac:dyDescent="0.3">
      <c r="A315" s="5"/>
      <c r="C315" s="5"/>
      <c r="D315" s="1"/>
      <c r="E315" s="1"/>
      <c r="F315" s="1"/>
      <c r="G315" s="1"/>
    </row>
    <row r="316" spans="1:7" x14ac:dyDescent="0.3">
      <c r="A316" s="5"/>
      <c r="C316" s="5"/>
      <c r="D316" s="1"/>
      <c r="E316" s="1"/>
      <c r="F316" s="1"/>
      <c r="G316" s="1"/>
    </row>
    <row r="317" spans="1:7" x14ac:dyDescent="0.3">
      <c r="A317" s="5"/>
      <c r="C317" s="5"/>
      <c r="D317" s="1"/>
      <c r="E317" s="1"/>
      <c r="F317" s="1"/>
      <c r="G317" s="1"/>
    </row>
    <row r="318" spans="1:7" x14ac:dyDescent="0.3">
      <c r="A318" s="5"/>
      <c r="C318" s="5"/>
      <c r="D318" s="1"/>
      <c r="E318" s="1"/>
      <c r="F318" s="1"/>
      <c r="G318" s="1"/>
    </row>
    <row r="319" spans="1:7" x14ac:dyDescent="0.3">
      <c r="A319" s="5"/>
      <c r="C319" s="5"/>
      <c r="D319" s="1"/>
      <c r="E319" s="1"/>
      <c r="F319" s="1"/>
      <c r="G319" s="1"/>
    </row>
    <row r="320" spans="1:7" x14ac:dyDescent="0.3">
      <c r="A320" s="5"/>
      <c r="C320" s="5"/>
      <c r="D320" s="1"/>
      <c r="E320" s="1"/>
      <c r="F320" s="1"/>
      <c r="G320" s="1"/>
    </row>
    <row r="321" spans="1:7" x14ac:dyDescent="0.3">
      <c r="A321" s="5"/>
      <c r="C321" s="5"/>
      <c r="D321" s="1"/>
      <c r="E321" s="1"/>
      <c r="F321" s="1"/>
      <c r="G321" s="1"/>
    </row>
    <row r="322" spans="1:7" x14ac:dyDescent="0.3">
      <c r="A322" s="5"/>
      <c r="C322" s="5"/>
      <c r="D322" s="1"/>
      <c r="E322" s="1"/>
      <c r="F322" s="1"/>
      <c r="G322" s="1"/>
    </row>
    <row r="323" spans="1:7" x14ac:dyDescent="0.3">
      <c r="A323" s="5"/>
      <c r="C323" s="5"/>
      <c r="D323" s="1"/>
      <c r="E323" s="1"/>
      <c r="F323" s="1"/>
      <c r="G323" s="1"/>
    </row>
    <row r="324" spans="1:7" x14ac:dyDescent="0.3">
      <c r="A324" s="5"/>
      <c r="C324" s="5"/>
      <c r="D324" s="1"/>
      <c r="E324" s="1"/>
      <c r="F324" s="1"/>
      <c r="G324" s="1"/>
    </row>
    <row r="325" spans="1:7" x14ac:dyDescent="0.3">
      <c r="A325" s="5"/>
      <c r="C325" s="5"/>
      <c r="D325" s="1"/>
      <c r="E325" s="1"/>
      <c r="F325" s="1"/>
      <c r="G325" s="1"/>
    </row>
    <row r="326" spans="1:7" x14ac:dyDescent="0.3">
      <c r="A326" s="5"/>
      <c r="C326" s="5"/>
      <c r="D326" s="1"/>
      <c r="E326" s="1"/>
      <c r="F326" s="1"/>
      <c r="G326" s="1"/>
    </row>
    <row r="327" spans="1:7" x14ac:dyDescent="0.3">
      <c r="A327" s="5"/>
      <c r="C327" s="5"/>
      <c r="D327" s="1"/>
      <c r="E327" s="1"/>
      <c r="F327" s="1"/>
      <c r="G327" s="1"/>
    </row>
    <row r="328" spans="1:7" x14ac:dyDescent="0.3">
      <c r="A328" s="5"/>
      <c r="C328" s="5"/>
      <c r="D328" s="1"/>
      <c r="E328" s="1"/>
      <c r="F328" s="1"/>
      <c r="G328" s="1"/>
    </row>
    <row r="329" spans="1:7" x14ac:dyDescent="0.3">
      <c r="A329" s="5"/>
      <c r="C329" s="5"/>
      <c r="D329" s="1"/>
      <c r="E329" s="1"/>
      <c r="F329" s="1"/>
      <c r="G329" s="1"/>
    </row>
    <row r="330" spans="1:7" x14ac:dyDescent="0.3">
      <c r="A330" s="5"/>
      <c r="C330" s="5"/>
      <c r="D330" s="1"/>
      <c r="E330" s="1"/>
      <c r="F330" s="1"/>
      <c r="G330" s="1"/>
    </row>
    <row r="331" spans="1:7" x14ac:dyDescent="0.3">
      <c r="A331" s="5"/>
      <c r="C331" s="5"/>
      <c r="D331" s="1"/>
      <c r="E331" s="1"/>
      <c r="F331" s="1"/>
      <c r="G331" s="1"/>
    </row>
    <row r="332" spans="1:7" x14ac:dyDescent="0.3">
      <c r="A332" s="5"/>
      <c r="C332" s="5"/>
      <c r="D332" s="1"/>
      <c r="E332" s="1"/>
      <c r="F332" s="1"/>
      <c r="G332" s="1"/>
    </row>
    <row r="333" spans="1:7" x14ac:dyDescent="0.3">
      <c r="A333" s="5"/>
      <c r="C333" s="5"/>
      <c r="D333" s="1"/>
      <c r="E333" s="1"/>
      <c r="F333" s="1"/>
      <c r="G333" s="1"/>
    </row>
    <row r="334" spans="1:7" x14ac:dyDescent="0.3">
      <c r="A334" s="5"/>
      <c r="C334" s="5"/>
      <c r="D334" s="1"/>
      <c r="E334" s="1"/>
      <c r="F334" s="1"/>
      <c r="G334" s="1"/>
    </row>
    <row r="335" spans="1:7" x14ac:dyDescent="0.3">
      <c r="A335" s="5"/>
      <c r="C335" s="5"/>
      <c r="D335" s="1"/>
      <c r="E335" s="1"/>
      <c r="F335" s="1"/>
      <c r="G335" s="1"/>
    </row>
    <row r="336" spans="1:7" x14ac:dyDescent="0.3">
      <c r="A336" s="5"/>
      <c r="C336" s="5"/>
      <c r="D336" s="1"/>
      <c r="E336" s="1"/>
      <c r="F336" s="1"/>
      <c r="G336" s="1"/>
    </row>
    <row r="337" spans="1:7" x14ac:dyDescent="0.3">
      <c r="A337" s="5"/>
      <c r="C337" s="5"/>
      <c r="D337" s="1"/>
      <c r="E337" s="1"/>
      <c r="F337" s="1"/>
      <c r="G337" s="1"/>
    </row>
  </sheetData>
  <phoneticPr fontId="1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B86EC-CE41-4679-A99C-757181079373}">
  <sheetPr codeName="Sheet8"/>
  <dimension ref="A1:AN289"/>
  <sheetViews>
    <sheetView rightToLeft="1" workbookViewId="0">
      <pane xSplit="1" ySplit="1" topLeftCell="B88" activePane="bottomRight" state="frozen"/>
      <selection activeCell="D96" sqref="D96"/>
      <selection pane="topRight" activeCell="D96" sqref="D96"/>
      <selection pane="bottomLeft" activeCell="D96" sqref="D96"/>
      <selection pane="bottomRight" activeCell="Q94" sqref="Q94"/>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5" width="8.77734375" style="2"/>
    <col min="6" max="6" width="9.77734375" style="2" customWidth="1"/>
    <col min="7" max="7" width="9.55468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2" x14ac:dyDescent="0.3">
      <c r="A2" s="5" t="s">
        <v>95</v>
      </c>
      <c r="B2" s="47" t="s">
        <v>96</v>
      </c>
      <c r="C2" s="38" t="s">
        <v>96</v>
      </c>
      <c r="D2" s="59" t="s">
        <v>96</v>
      </c>
      <c r="E2" s="1"/>
      <c r="F2" s="67" t="s">
        <v>96</v>
      </c>
      <c r="G2" s="75" t="s">
        <v>97</v>
      </c>
      <c r="H2" s="3"/>
      <c r="I2" s="79" t="s">
        <v>499</v>
      </c>
      <c r="J2" s="75" t="s">
        <v>963</v>
      </c>
      <c r="K2" s="50" t="s">
        <v>924</v>
      </c>
      <c r="L2" s="3"/>
      <c r="M2" s="50" t="s">
        <v>1367</v>
      </c>
      <c r="N2" s="50" t="s">
        <v>1541</v>
      </c>
      <c r="O2" s="50" t="s">
        <v>930</v>
      </c>
      <c r="P2" s="29"/>
      <c r="Q2" s="50" t="s">
        <v>1030</v>
      </c>
      <c r="R2" s="50" t="s">
        <v>2044</v>
      </c>
      <c r="S2" s="50" t="s">
        <v>428</v>
      </c>
      <c r="T2" s="3"/>
      <c r="U2" s="50" t="s">
        <v>906</v>
      </c>
      <c r="V2" s="56" t="s">
        <v>432</v>
      </c>
      <c r="W2" s="56" t="s">
        <v>2570</v>
      </c>
      <c r="X2" s="3"/>
      <c r="Y2" s="3"/>
      <c r="Z2" s="56" t="s">
        <v>431</v>
      </c>
      <c r="AA2" s="3"/>
      <c r="AB2" s="3"/>
      <c r="AC2" s="50" t="s">
        <v>1975</v>
      </c>
      <c r="AD2" s="3"/>
      <c r="AE2" s="3"/>
      <c r="AF2" s="50" t="s">
        <v>1005</v>
      </c>
      <c r="AG2" s="50" t="s">
        <v>998</v>
      </c>
      <c r="AH2" s="3" t="s">
        <v>1003</v>
      </c>
      <c r="AJ2" s="2">
        <f>COUNTA(B2:AH2)</f>
        <v>22</v>
      </c>
      <c r="AL2" s="2">
        <f>COUNTA(F2:O2,R2:S2)</f>
        <v>10</v>
      </c>
      <c r="AN2" s="2">
        <f>COUNTIF(AL2:AL196,"&gt;=2")</f>
        <v>44</v>
      </c>
    </row>
    <row r="3" spans="1:40" ht="43.2" x14ac:dyDescent="0.3">
      <c r="A3" s="5" t="s">
        <v>1287</v>
      </c>
      <c r="B3" s="6"/>
      <c r="C3" s="5"/>
      <c r="D3" s="1"/>
      <c r="E3" s="1"/>
      <c r="F3" s="12"/>
      <c r="G3" s="13"/>
      <c r="H3" s="3"/>
      <c r="I3" s="13"/>
      <c r="J3" s="13"/>
      <c r="K3" s="3"/>
      <c r="L3" s="56" t="s">
        <v>925</v>
      </c>
      <c r="M3" s="50" t="s">
        <v>232</v>
      </c>
      <c r="N3" s="1" t="s">
        <v>1102</v>
      </c>
      <c r="AJ3" s="2">
        <f t="shared" ref="AJ3:AJ66" si="0">COUNTA(B3:AH3)</f>
        <v>3</v>
      </c>
      <c r="AL3" s="2">
        <f t="shared" ref="AL3:AL67" si="1">COUNTA(F3:O3,R3:S3)</f>
        <v>3</v>
      </c>
    </row>
    <row r="4" spans="1:40" ht="43.2" x14ac:dyDescent="0.3">
      <c r="A4" s="5" t="s">
        <v>3005</v>
      </c>
      <c r="B4" s="6"/>
      <c r="C4" s="5"/>
      <c r="D4" s="1"/>
      <c r="E4" s="1"/>
      <c r="F4" s="12"/>
      <c r="G4" s="13"/>
      <c r="H4" s="3"/>
      <c r="I4" s="13"/>
      <c r="J4" s="13"/>
      <c r="K4" s="3"/>
      <c r="L4" s="3"/>
      <c r="M4" s="3"/>
      <c r="AF4" s="53" t="s">
        <v>1190</v>
      </c>
      <c r="AG4" s="53" t="s">
        <v>996</v>
      </c>
      <c r="AH4" s="1" t="s">
        <v>1002</v>
      </c>
      <c r="AJ4" s="2">
        <f t="shared" si="0"/>
        <v>3</v>
      </c>
      <c r="AL4" s="2">
        <f t="shared" si="1"/>
        <v>0</v>
      </c>
    </row>
    <row r="5" spans="1:40" ht="28.8" x14ac:dyDescent="0.3">
      <c r="A5" s="5" t="s">
        <v>1331</v>
      </c>
      <c r="B5" s="36" t="s">
        <v>97</v>
      </c>
      <c r="C5" s="5" t="s">
        <v>97</v>
      </c>
      <c r="D5" s="59" t="s">
        <v>97</v>
      </c>
      <c r="E5" s="1"/>
      <c r="F5" s="67" t="s">
        <v>97</v>
      </c>
      <c r="G5" s="67" t="s">
        <v>58</v>
      </c>
      <c r="AD5" s="53" t="s">
        <v>1092</v>
      </c>
      <c r="AE5" s="1" t="s">
        <v>62</v>
      </c>
      <c r="AJ5" s="2">
        <f t="shared" si="0"/>
        <v>7</v>
      </c>
      <c r="AL5" s="2">
        <f t="shared" si="1"/>
        <v>2</v>
      </c>
    </row>
    <row r="6" spans="1:40" ht="28.8" x14ac:dyDescent="0.3">
      <c r="A6" s="5" t="s">
        <v>1332</v>
      </c>
      <c r="B6" s="6"/>
      <c r="C6" s="5"/>
      <c r="D6" s="1"/>
      <c r="E6" s="1"/>
      <c r="F6" s="12"/>
      <c r="G6" s="12"/>
      <c r="H6" s="63" t="s">
        <v>234</v>
      </c>
      <c r="I6" s="67" t="s">
        <v>501</v>
      </c>
      <c r="J6" s="67" t="s">
        <v>965</v>
      </c>
      <c r="K6" s="53" t="s">
        <v>926</v>
      </c>
      <c r="M6" s="54" t="s">
        <v>1351</v>
      </c>
      <c r="N6" s="54" t="s">
        <v>1526</v>
      </c>
      <c r="O6" s="54" t="s">
        <v>922</v>
      </c>
      <c r="Q6" s="53" t="s">
        <v>1194</v>
      </c>
      <c r="R6" s="53" t="s">
        <v>2036</v>
      </c>
      <c r="Z6" s="1" t="s">
        <v>194</v>
      </c>
      <c r="AJ6" s="2">
        <f t="shared" si="0"/>
        <v>10</v>
      </c>
      <c r="AL6" s="2">
        <f t="shared" si="1"/>
        <v>8</v>
      </c>
    </row>
    <row r="7" spans="1:40" ht="28.8" x14ac:dyDescent="0.3">
      <c r="A7" s="5" t="s">
        <v>1333</v>
      </c>
      <c r="B7" s="6"/>
      <c r="C7" s="5"/>
      <c r="D7" s="1"/>
      <c r="E7" s="1"/>
      <c r="F7" s="12"/>
      <c r="G7" s="12"/>
      <c r="H7" s="63" t="s">
        <v>238</v>
      </c>
      <c r="I7" s="67" t="s">
        <v>502</v>
      </c>
      <c r="J7" s="67" t="s">
        <v>966</v>
      </c>
      <c r="K7" s="53" t="s">
        <v>927</v>
      </c>
      <c r="M7" s="1" t="s">
        <v>1353</v>
      </c>
      <c r="AJ7" s="2">
        <f t="shared" si="0"/>
        <v>5</v>
      </c>
      <c r="AL7" s="2">
        <f t="shared" si="1"/>
        <v>5</v>
      </c>
    </row>
    <row r="8" spans="1:40" ht="28.8" x14ac:dyDescent="0.3">
      <c r="A8" s="5" t="s">
        <v>1334</v>
      </c>
      <c r="B8" s="47" t="s">
        <v>58</v>
      </c>
      <c r="C8" s="5" t="s">
        <v>58</v>
      </c>
      <c r="D8" s="59" t="s">
        <v>58</v>
      </c>
      <c r="E8" s="1"/>
      <c r="F8" s="67" t="s">
        <v>58</v>
      </c>
      <c r="G8" s="67" t="s">
        <v>98</v>
      </c>
      <c r="H8" s="63" t="s">
        <v>239</v>
      </c>
      <c r="I8" s="67" t="s">
        <v>503</v>
      </c>
      <c r="J8" s="67" t="s">
        <v>967</v>
      </c>
      <c r="K8" s="53" t="s">
        <v>928</v>
      </c>
      <c r="M8" s="1" t="s">
        <v>1354</v>
      </c>
      <c r="AJ8" s="2">
        <f t="shared" si="0"/>
        <v>10</v>
      </c>
      <c r="AL8" s="2">
        <f t="shared" si="1"/>
        <v>7</v>
      </c>
    </row>
    <row r="9" spans="1:40" ht="28.8" x14ac:dyDescent="0.3">
      <c r="A9" s="5" t="s">
        <v>1335</v>
      </c>
      <c r="B9" s="47" t="s">
        <v>98</v>
      </c>
      <c r="C9" s="5" t="s">
        <v>98</v>
      </c>
      <c r="D9" s="59" t="s">
        <v>98</v>
      </c>
      <c r="E9" s="1"/>
      <c r="F9" s="67" t="s">
        <v>98</v>
      </c>
      <c r="G9" s="67" t="s">
        <v>99</v>
      </c>
      <c r="H9" s="63" t="s">
        <v>240</v>
      </c>
      <c r="I9" s="67" t="s">
        <v>504</v>
      </c>
      <c r="J9" s="67" t="s">
        <v>968</v>
      </c>
      <c r="K9" s="53" t="s">
        <v>929</v>
      </c>
      <c r="M9" s="53" t="s">
        <v>1356</v>
      </c>
      <c r="N9" s="53" t="s">
        <v>1527</v>
      </c>
      <c r="O9" s="53" t="s">
        <v>918</v>
      </c>
      <c r="Q9" s="54" t="s">
        <v>1009</v>
      </c>
      <c r="R9" s="53" t="s">
        <v>2024</v>
      </c>
      <c r="S9" s="53" t="s">
        <v>187</v>
      </c>
      <c r="Z9" s="54" t="s">
        <v>12</v>
      </c>
      <c r="AD9" s="53" t="s">
        <v>1094</v>
      </c>
      <c r="AE9" s="1" t="s">
        <v>224</v>
      </c>
      <c r="AJ9" s="2">
        <f t="shared" si="0"/>
        <v>18</v>
      </c>
      <c r="AL9" s="2">
        <f t="shared" si="1"/>
        <v>11</v>
      </c>
    </row>
    <row r="10" spans="1:40" ht="28.8" x14ac:dyDescent="0.3">
      <c r="A10" s="5" t="s">
        <v>1336</v>
      </c>
      <c r="B10" s="47"/>
      <c r="C10" s="5"/>
      <c r="D10" s="59" t="s">
        <v>99</v>
      </c>
      <c r="E10" s="1"/>
      <c r="F10" s="67" t="s">
        <v>99</v>
      </c>
      <c r="G10" s="67" t="s">
        <v>100</v>
      </c>
      <c r="H10" s="63" t="s">
        <v>96</v>
      </c>
      <c r="I10" s="67" t="s">
        <v>656</v>
      </c>
      <c r="J10" s="67" t="s">
        <v>969</v>
      </c>
      <c r="K10" s="53" t="s">
        <v>930</v>
      </c>
      <c r="M10" s="54" t="s">
        <v>1352</v>
      </c>
      <c r="N10" s="54" t="s">
        <v>1528</v>
      </c>
      <c r="P10" s="54" t="s">
        <v>929</v>
      </c>
      <c r="T10" s="1" t="s">
        <v>1250</v>
      </c>
      <c r="AJ10" s="2">
        <f t="shared" si="0"/>
        <v>11</v>
      </c>
      <c r="AL10" s="2">
        <f t="shared" si="1"/>
        <v>8</v>
      </c>
    </row>
    <row r="11" spans="1:40" ht="28.8" x14ac:dyDescent="0.3">
      <c r="A11" s="5" t="s">
        <v>1337</v>
      </c>
      <c r="B11" s="47" t="s">
        <v>100</v>
      </c>
      <c r="C11" s="5" t="s">
        <v>100</v>
      </c>
      <c r="D11" s="59" t="s">
        <v>100</v>
      </c>
      <c r="E11" s="1"/>
      <c r="F11" s="67" t="s">
        <v>100</v>
      </c>
      <c r="G11" s="67" t="s">
        <v>101</v>
      </c>
      <c r="H11" s="63" t="s">
        <v>58</v>
      </c>
      <c r="I11" s="67" t="s">
        <v>506</v>
      </c>
      <c r="J11" s="67" t="s">
        <v>970</v>
      </c>
      <c r="K11" s="53" t="s">
        <v>931</v>
      </c>
      <c r="Z11" s="54" t="s">
        <v>14</v>
      </c>
      <c r="AD11" s="1" t="s">
        <v>1116</v>
      </c>
      <c r="AJ11" s="2">
        <f t="shared" si="0"/>
        <v>11</v>
      </c>
      <c r="AL11" s="2">
        <f t="shared" si="1"/>
        <v>6</v>
      </c>
    </row>
    <row r="12" spans="1:40" ht="28.8" x14ac:dyDescent="0.3">
      <c r="A12" s="5" t="s">
        <v>1338</v>
      </c>
      <c r="B12" s="12" t="s">
        <v>101</v>
      </c>
      <c r="C12" s="5" t="s">
        <v>101</v>
      </c>
      <c r="D12" s="59" t="s">
        <v>101</v>
      </c>
      <c r="E12" s="1"/>
      <c r="F12" s="67" t="s">
        <v>101</v>
      </c>
      <c r="G12" s="67" t="s">
        <v>241</v>
      </c>
      <c r="H12" s="12" t="s">
        <v>98</v>
      </c>
      <c r="J12" s="12"/>
      <c r="AJ12" s="2">
        <f t="shared" si="0"/>
        <v>6</v>
      </c>
      <c r="AL12" s="2">
        <f t="shared" si="1"/>
        <v>3</v>
      </c>
    </row>
    <row r="13" spans="1:40" ht="28.8" x14ac:dyDescent="0.3">
      <c r="A13" s="5" t="s">
        <v>1339</v>
      </c>
      <c r="B13" s="12" t="s">
        <v>102</v>
      </c>
      <c r="C13" s="5" t="s">
        <v>102</v>
      </c>
      <c r="D13" s="1" t="s">
        <v>102</v>
      </c>
      <c r="E13" s="1"/>
      <c r="F13" s="1"/>
      <c r="G13" s="1"/>
      <c r="H13" s="12"/>
      <c r="J13" s="12"/>
      <c r="AJ13" s="2">
        <f t="shared" si="0"/>
        <v>3</v>
      </c>
      <c r="AL13" s="2">
        <f t="shared" si="1"/>
        <v>0</v>
      </c>
    </row>
    <row r="14" spans="1:40" ht="28.8" x14ac:dyDescent="0.3">
      <c r="A14" s="5" t="s">
        <v>1340</v>
      </c>
      <c r="B14" s="1"/>
      <c r="C14" s="5"/>
      <c r="D14" s="1"/>
      <c r="E14" s="1"/>
      <c r="F14" s="1"/>
      <c r="G14" s="1"/>
      <c r="H14" s="12" t="s">
        <v>97</v>
      </c>
      <c r="J14" s="12"/>
      <c r="AJ14" s="2">
        <f t="shared" si="0"/>
        <v>1</v>
      </c>
      <c r="AL14" s="2">
        <f t="shared" si="1"/>
        <v>1</v>
      </c>
    </row>
    <row r="15" spans="1:40" ht="28.8" x14ac:dyDescent="0.3">
      <c r="A15" s="5" t="s">
        <v>1341</v>
      </c>
      <c r="B15" s="5"/>
      <c r="C15" s="5"/>
      <c r="D15" s="1"/>
      <c r="E15" s="1"/>
      <c r="F15" s="1"/>
      <c r="G15" s="1"/>
      <c r="H15" s="12"/>
      <c r="I15" s="63" t="s">
        <v>500</v>
      </c>
      <c r="J15" s="67" t="s">
        <v>964</v>
      </c>
      <c r="K15" s="53" t="s">
        <v>925</v>
      </c>
      <c r="M15" s="53" t="s">
        <v>1350</v>
      </c>
      <c r="N15" s="1" t="s">
        <v>1525</v>
      </c>
      <c r="AJ15" s="2">
        <f t="shared" si="0"/>
        <v>5</v>
      </c>
      <c r="AL15" s="2">
        <f t="shared" si="1"/>
        <v>5</v>
      </c>
    </row>
    <row r="16" spans="1:40" ht="28.8" x14ac:dyDescent="0.3">
      <c r="A16" s="5" t="s">
        <v>1342</v>
      </c>
      <c r="B16" s="1"/>
      <c r="C16" s="5"/>
      <c r="D16" s="1"/>
      <c r="E16" s="1"/>
      <c r="F16" s="1"/>
      <c r="G16" s="1"/>
      <c r="H16" s="12"/>
      <c r="I16" s="12"/>
      <c r="J16" s="12"/>
      <c r="M16" s="53" t="s">
        <v>1355</v>
      </c>
      <c r="N16" s="1" t="s">
        <v>1529</v>
      </c>
      <c r="AJ16" s="2">
        <f t="shared" si="0"/>
        <v>2</v>
      </c>
      <c r="AL16" s="2">
        <f t="shared" si="1"/>
        <v>2</v>
      </c>
    </row>
    <row r="17" spans="1:38" ht="28.8" x14ac:dyDescent="0.3">
      <c r="A17" s="5" t="s">
        <v>1357</v>
      </c>
      <c r="B17" s="1"/>
      <c r="C17" s="5"/>
      <c r="D17" s="1"/>
      <c r="E17" s="1"/>
      <c r="F17" s="1"/>
      <c r="G17" s="1"/>
      <c r="H17" s="12"/>
      <c r="I17" s="12"/>
      <c r="J17" s="12"/>
      <c r="M17" s="1" t="s">
        <v>1358</v>
      </c>
      <c r="AJ17" s="2">
        <f t="shared" si="0"/>
        <v>1</v>
      </c>
      <c r="AL17" s="2">
        <f t="shared" si="1"/>
        <v>1</v>
      </c>
    </row>
    <row r="18" spans="1:38" ht="28.8" x14ac:dyDescent="0.3">
      <c r="A18" s="5" t="s">
        <v>1530</v>
      </c>
      <c r="B18" s="1"/>
      <c r="C18" s="5"/>
      <c r="D18" s="1"/>
      <c r="E18" s="1"/>
      <c r="F18" s="1"/>
      <c r="G18" s="1"/>
      <c r="H18" s="12"/>
      <c r="I18" s="12"/>
      <c r="J18" s="12"/>
      <c r="N18" s="1" t="s">
        <v>1531</v>
      </c>
      <c r="AJ18" s="2">
        <f t="shared" si="0"/>
        <v>1</v>
      </c>
      <c r="AL18" s="2">
        <f t="shared" si="1"/>
        <v>1</v>
      </c>
    </row>
    <row r="19" spans="1:38" ht="28.8" x14ac:dyDescent="0.3">
      <c r="A19" s="5" t="s">
        <v>3166</v>
      </c>
      <c r="B19" s="1"/>
      <c r="C19" s="5" t="s">
        <v>3167</v>
      </c>
      <c r="D19" s="1"/>
      <c r="E19" s="1"/>
      <c r="F19" s="1"/>
      <c r="G19" s="1"/>
      <c r="H19" s="12"/>
      <c r="I19" s="12"/>
      <c r="J19" s="12"/>
      <c r="AJ19" s="2">
        <f t="shared" si="0"/>
        <v>1</v>
      </c>
      <c r="AL19" s="2">
        <f t="shared" si="1"/>
        <v>0</v>
      </c>
    </row>
    <row r="20" spans="1:38" ht="28.8" x14ac:dyDescent="0.3">
      <c r="A20" s="5" t="s">
        <v>743</v>
      </c>
      <c r="B20" s="1"/>
      <c r="C20" s="5"/>
      <c r="D20" s="1"/>
      <c r="E20" s="1"/>
      <c r="F20" s="1"/>
      <c r="G20" s="1"/>
      <c r="H20" s="12"/>
      <c r="I20" s="66" t="s">
        <v>508</v>
      </c>
      <c r="J20" s="10" t="s">
        <v>971</v>
      </c>
      <c r="AJ20" s="2">
        <f t="shared" si="0"/>
        <v>2</v>
      </c>
      <c r="AL20" s="2">
        <f t="shared" si="1"/>
        <v>2</v>
      </c>
    </row>
    <row r="21" spans="1:38" x14ac:dyDescent="0.3">
      <c r="A21" s="5" t="s">
        <v>115</v>
      </c>
      <c r="B21" s="1" t="s">
        <v>276</v>
      </c>
      <c r="C21" s="65" t="s">
        <v>276</v>
      </c>
      <c r="D21" s="54" t="s">
        <v>116</v>
      </c>
      <c r="E21" s="54" t="s">
        <v>360</v>
      </c>
      <c r="F21" s="54" t="s">
        <v>276</v>
      </c>
      <c r="G21" s="54" t="s">
        <v>513</v>
      </c>
      <c r="H21" s="54" t="s">
        <v>522</v>
      </c>
      <c r="I21" s="54" t="s">
        <v>769</v>
      </c>
      <c r="J21" s="54" t="s">
        <v>1030</v>
      </c>
      <c r="K21" s="54" t="s">
        <v>1017</v>
      </c>
      <c r="L21" s="54" t="s">
        <v>1252</v>
      </c>
      <c r="M21" s="54" t="s">
        <v>1056</v>
      </c>
      <c r="N21" s="54" t="s">
        <v>1616</v>
      </c>
      <c r="O21" s="54" t="s">
        <v>1369</v>
      </c>
      <c r="P21" s="54" t="s">
        <v>931</v>
      </c>
      <c r="Q21" s="54" t="s">
        <v>1445</v>
      </c>
      <c r="R21" s="54" t="s">
        <v>2174</v>
      </c>
      <c r="S21" s="54" t="s">
        <v>910</v>
      </c>
      <c r="T21" s="54" t="s">
        <v>1044</v>
      </c>
      <c r="U21" s="54" t="s">
        <v>2492</v>
      </c>
      <c r="V21" s="54" t="s">
        <v>543</v>
      </c>
      <c r="W21" s="54" t="s">
        <v>1444</v>
      </c>
      <c r="X21" s="54" t="s">
        <v>1172</v>
      </c>
      <c r="Y21" s="54" t="s">
        <v>1678</v>
      </c>
      <c r="Z21" s="54" t="s">
        <v>120</v>
      </c>
      <c r="AB21" s="54" t="s">
        <v>2782</v>
      </c>
      <c r="AC21" s="54" t="s">
        <v>2014</v>
      </c>
      <c r="AD21" s="54" t="s">
        <v>2935</v>
      </c>
      <c r="AE21" s="54" t="s">
        <v>1256</v>
      </c>
      <c r="AF21" s="54" t="s">
        <v>1003</v>
      </c>
      <c r="AG21" s="54" t="s">
        <v>995</v>
      </c>
      <c r="AH21" s="1" t="s">
        <v>1000</v>
      </c>
      <c r="AJ21" s="2">
        <f t="shared" si="0"/>
        <v>32</v>
      </c>
      <c r="AL21" s="2">
        <f t="shared" si="1"/>
        <v>12</v>
      </c>
    </row>
    <row r="22" spans="1:38" ht="28.8" x14ac:dyDescent="0.3">
      <c r="A22" s="5" t="s">
        <v>3265</v>
      </c>
      <c r="B22" s="1" t="s">
        <v>3266</v>
      </c>
      <c r="C22" s="5"/>
      <c r="D22" s="1"/>
      <c r="E22" s="1"/>
      <c r="F22" s="1"/>
      <c r="G22" s="1"/>
      <c r="AJ22" s="2">
        <f t="shared" si="0"/>
        <v>1</v>
      </c>
    </row>
    <row r="23" spans="1:38" x14ac:dyDescent="0.3">
      <c r="A23" s="5" t="s">
        <v>1075</v>
      </c>
      <c r="B23" s="54" t="s">
        <v>3269</v>
      </c>
      <c r="C23" s="65" t="s">
        <v>3170</v>
      </c>
      <c r="D23" s="54" t="s">
        <v>121</v>
      </c>
      <c r="E23" s="1"/>
      <c r="F23" s="54" t="s">
        <v>281</v>
      </c>
      <c r="G23" s="54" t="s">
        <v>522</v>
      </c>
      <c r="H23" s="54" t="s">
        <v>524</v>
      </c>
      <c r="I23" s="54" t="s">
        <v>802</v>
      </c>
      <c r="J23" s="54" t="s">
        <v>1076</v>
      </c>
      <c r="K23" s="54" t="s">
        <v>1026</v>
      </c>
      <c r="L23" s="54" t="s">
        <v>978</v>
      </c>
      <c r="M23" s="54" t="s">
        <v>1445</v>
      </c>
      <c r="N23" s="54" t="s">
        <v>1626</v>
      </c>
      <c r="O23" s="54" t="s">
        <v>1370</v>
      </c>
      <c r="P23" s="54" t="s">
        <v>932</v>
      </c>
      <c r="Q23" s="54" t="s">
        <v>1058</v>
      </c>
      <c r="R23" s="54" t="s">
        <v>2175</v>
      </c>
      <c r="S23" s="54" t="s">
        <v>914</v>
      </c>
      <c r="T23" s="54" t="s">
        <v>2085</v>
      </c>
      <c r="U23" s="54" t="s">
        <v>2490</v>
      </c>
      <c r="V23" s="54" t="s">
        <v>551</v>
      </c>
      <c r="W23" s="54" t="s">
        <v>1443</v>
      </c>
      <c r="X23" s="54" t="s">
        <v>1247</v>
      </c>
      <c r="Y23" s="54" t="s">
        <v>875</v>
      </c>
      <c r="Z23" s="54" t="s">
        <v>278</v>
      </c>
      <c r="AA23" s="54" t="s">
        <v>2712</v>
      </c>
      <c r="AB23" s="54" t="s">
        <v>2202</v>
      </c>
      <c r="AC23" s="54" t="s">
        <v>2013</v>
      </c>
      <c r="AF23" s="54" t="s">
        <v>1436</v>
      </c>
      <c r="AG23" s="54" t="s">
        <v>1010</v>
      </c>
      <c r="AH23" s="1" t="s">
        <v>1015</v>
      </c>
      <c r="AJ23" s="2">
        <f t="shared" si="0"/>
        <v>30</v>
      </c>
      <c r="AL23" s="2">
        <f t="shared" si="1"/>
        <v>12</v>
      </c>
    </row>
    <row r="24" spans="1:38" ht="28.8" x14ac:dyDescent="0.3">
      <c r="A24" s="5" t="s">
        <v>1253</v>
      </c>
      <c r="B24" s="1"/>
      <c r="C24" s="5"/>
      <c r="D24" s="1"/>
      <c r="E24" s="1"/>
      <c r="F24" s="1"/>
      <c r="G24" s="1"/>
      <c r="L24" s="54" t="s">
        <v>1179</v>
      </c>
      <c r="M24" s="54" t="s">
        <v>1441</v>
      </c>
      <c r="N24" s="1" t="s">
        <v>1619</v>
      </c>
      <c r="AJ24" s="2">
        <f t="shared" si="0"/>
        <v>3</v>
      </c>
      <c r="AL24" s="2">
        <f t="shared" si="1"/>
        <v>3</v>
      </c>
    </row>
    <row r="25" spans="1:38" x14ac:dyDescent="0.3">
      <c r="A25" s="5" t="s">
        <v>1257</v>
      </c>
      <c r="B25" s="1"/>
      <c r="C25" s="5"/>
      <c r="D25" s="1"/>
      <c r="E25" s="1"/>
      <c r="F25" s="1"/>
      <c r="G25" s="1"/>
      <c r="K25" s="54" t="s">
        <v>1196</v>
      </c>
      <c r="L25" s="54" t="s">
        <v>1256</v>
      </c>
      <c r="M25" s="1" t="s">
        <v>1444</v>
      </c>
      <c r="AJ25" s="2">
        <f t="shared" si="0"/>
        <v>3</v>
      </c>
      <c r="AL25" s="2">
        <f t="shared" si="1"/>
        <v>3</v>
      </c>
    </row>
    <row r="26" spans="1:38" x14ac:dyDescent="0.3">
      <c r="A26" s="5" t="s">
        <v>1442</v>
      </c>
      <c r="B26" s="1"/>
      <c r="C26" s="5"/>
      <c r="D26" s="1"/>
      <c r="E26" s="1"/>
      <c r="F26" s="1"/>
      <c r="G26" s="1"/>
      <c r="M26" s="1" t="s">
        <v>1443</v>
      </c>
      <c r="AJ26" s="2">
        <f t="shared" si="0"/>
        <v>1</v>
      </c>
      <c r="AL26" s="2">
        <f t="shared" si="1"/>
        <v>1</v>
      </c>
    </row>
    <row r="27" spans="1:38" ht="28.8" x14ac:dyDescent="0.3">
      <c r="A27" s="5" t="s">
        <v>1627</v>
      </c>
      <c r="B27" s="5"/>
      <c r="C27" s="5"/>
      <c r="D27" s="54" t="s">
        <v>122</v>
      </c>
      <c r="E27" s="1"/>
      <c r="F27" s="1"/>
      <c r="G27" s="1"/>
      <c r="N27" s="54" t="s">
        <v>1629</v>
      </c>
      <c r="T27" s="54" t="s">
        <v>2087</v>
      </c>
      <c r="U27" s="54" t="s">
        <v>2491</v>
      </c>
      <c r="V27" s="54" t="s">
        <v>552</v>
      </c>
      <c r="Z27" s="1" t="s">
        <v>118</v>
      </c>
      <c r="AJ27" s="2">
        <f t="shared" si="0"/>
        <v>6</v>
      </c>
      <c r="AL27" s="2">
        <f t="shared" si="1"/>
        <v>1</v>
      </c>
    </row>
    <row r="28" spans="1:38" ht="28.8" x14ac:dyDescent="0.3">
      <c r="A28" s="5" t="s">
        <v>1628</v>
      </c>
      <c r="B28" s="5"/>
      <c r="C28" s="5"/>
      <c r="D28" s="54" t="s">
        <v>123</v>
      </c>
      <c r="E28" s="1"/>
      <c r="F28" s="1"/>
      <c r="G28" s="1"/>
      <c r="T28" s="1" t="s">
        <v>1206</v>
      </c>
      <c r="AJ28" s="2">
        <f t="shared" si="0"/>
        <v>2</v>
      </c>
      <c r="AL28" s="2">
        <f t="shared" si="1"/>
        <v>0</v>
      </c>
    </row>
    <row r="29" spans="1:38" x14ac:dyDescent="0.3">
      <c r="A29" s="5" t="s">
        <v>1195</v>
      </c>
      <c r="B29" s="5"/>
      <c r="C29" s="5"/>
      <c r="D29" s="1"/>
      <c r="E29" s="1"/>
      <c r="F29" s="1"/>
      <c r="G29" s="1"/>
      <c r="J29" s="54" t="s">
        <v>1077</v>
      </c>
      <c r="K29" s="1" t="s">
        <v>1024</v>
      </c>
      <c r="AJ29" s="2">
        <f t="shared" si="0"/>
        <v>2</v>
      </c>
      <c r="AL29" s="2">
        <f t="shared" si="1"/>
        <v>2</v>
      </c>
    </row>
    <row r="30" spans="1:38" x14ac:dyDescent="0.3">
      <c r="A30" s="5" t="s">
        <v>162</v>
      </c>
      <c r="B30" s="5" t="s">
        <v>3206</v>
      </c>
      <c r="C30" s="64" t="s">
        <v>3206</v>
      </c>
      <c r="D30" s="54" t="s">
        <v>163</v>
      </c>
      <c r="E30" s="53" t="s">
        <v>387</v>
      </c>
      <c r="F30" s="53" t="s">
        <v>305</v>
      </c>
      <c r="G30" s="53" t="s">
        <v>570</v>
      </c>
      <c r="H30" s="53" t="s">
        <v>677</v>
      </c>
      <c r="I30" s="53" t="s">
        <v>841</v>
      </c>
      <c r="J30" s="1" t="s">
        <v>1116</v>
      </c>
      <c r="AJ30" s="2">
        <f t="shared" si="0"/>
        <v>9</v>
      </c>
      <c r="AL30" s="2">
        <f t="shared" si="1"/>
        <v>5</v>
      </c>
    </row>
    <row r="31" spans="1:38" x14ac:dyDescent="0.3">
      <c r="A31" s="5" t="s">
        <v>165</v>
      </c>
      <c r="B31" s="5" t="s">
        <v>3207</v>
      </c>
      <c r="C31" s="64" t="s">
        <v>3207</v>
      </c>
      <c r="D31" s="54" t="s">
        <v>164</v>
      </c>
      <c r="E31" s="53" t="s">
        <v>388</v>
      </c>
      <c r="F31" s="53" t="s">
        <v>306</v>
      </c>
      <c r="G31" s="53" t="s">
        <v>571</v>
      </c>
      <c r="H31" s="53" t="s">
        <v>678</v>
      </c>
      <c r="I31" s="53" t="s">
        <v>843</v>
      </c>
      <c r="J31" s="53" t="s">
        <v>1117</v>
      </c>
      <c r="M31" s="1" t="s">
        <v>1465</v>
      </c>
      <c r="W31" s="53" t="s">
        <v>1057</v>
      </c>
      <c r="AA31" s="1" t="s">
        <v>2713</v>
      </c>
      <c r="AJ31" s="2">
        <f t="shared" si="0"/>
        <v>12</v>
      </c>
      <c r="AL31" s="2">
        <f t="shared" si="1"/>
        <v>6</v>
      </c>
    </row>
    <row r="32" spans="1:38" x14ac:dyDescent="0.3">
      <c r="A32" s="5" t="s">
        <v>1466</v>
      </c>
      <c r="B32" s="5"/>
      <c r="C32" s="5"/>
      <c r="D32" s="1"/>
      <c r="E32" s="1"/>
      <c r="F32" s="1"/>
      <c r="G32" s="1"/>
      <c r="M32" s="1" t="s">
        <v>1119</v>
      </c>
      <c r="AJ32" s="2">
        <f t="shared" si="0"/>
        <v>1</v>
      </c>
      <c r="AL32" s="2">
        <f t="shared" si="1"/>
        <v>1</v>
      </c>
    </row>
    <row r="33" spans="1:38" x14ac:dyDescent="0.3">
      <c r="A33" s="5" t="s">
        <v>1464</v>
      </c>
      <c r="B33" s="5"/>
      <c r="C33" s="5"/>
      <c r="D33" s="1"/>
      <c r="E33" s="1"/>
      <c r="F33" s="1"/>
      <c r="G33" s="1"/>
      <c r="M33" s="54" t="s">
        <v>1120</v>
      </c>
      <c r="S33" s="1" t="s">
        <v>913</v>
      </c>
      <c r="AJ33" s="2">
        <f t="shared" si="0"/>
        <v>2</v>
      </c>
      <c r="AL33" s="2">
        <f t="shared" si="1"/>
        <v>2</v>
      </c>
    </row>
    <row r="34" spans="1:38" x14ac:dyDescent="0.3">
      <c r="A34" s="5" t="s">
        <v>2558</v>
      </c>
      <c r="B34" s="5"/>
      <c r="C34" s="5"/>
      <c r="D34" s="1"/>
      <c r="E34" s="1"/>
      <c r="F34" s="1"/>
      <c r="G34" s="1"/>
      <c r="V34" s="54" t="s">
        <v>545</v>
      </c>
      <c r="X34" s="54" t="s">
        <v>973</v>
      </c>
      <c r="Y34" s="1" t="s">
        <v>876</v>
      </c>
      <c r="AJ34" s="2">
        <f t="shared" si="0"/>
        <v>3</v>
      </c>
      <c r="AL34" s="2">
        <f t="shared" si="1"/>
        <v>0</v>
      </c>
    </row>
    <row r="35" spans="1:38" ht="28.8" x14ac:dyDescent="0.3">
      <c r="A35" s="5" t="s">
        <v>2585</v>
      </c>
      <c r="B35" s="5"/>
      <c r="C35" s="5"/>
      <c r="D35" s="1"/>
      <c r="E35" s="1"/>
      <c r="F35" s="1"/>
      <c r="G35" s="1"/>
      <c r="Y35" s="1" t="s">
        <v>877</v>
      </c>
      <c r="AJ35" s="2">
        <f t="shared" si="0"/>
        <v>1</v>
      </c>
      <c r="AL35" s="2">
        <f t="shared" si="1"/>
        <v>0</v>
      </c>
    </row>
    <row r="36" spans="1:38" x14ac:dyDescent="0.3">
      <c r="A36" s="5" t="s">
        <v>1459</v>
      </c>
      <c r="B36" s="5"/>
      <c r="C36" s="5"/>
      <c r="D36" s="1"/>
      <c r="E36" s="1"/>
      <c r="F36" s="1"/>
      <c r="G36" s="1"/>
      <c r="M36" s="1" t="s">
        <v>1460</v>
      </c>
      <c r="AJ36" s="2">
        <f t="shared" si="0"/>
        <v>1</v>
      </c>
      <c r="AL36" s="2">
        <f t="shared" si="1"/>
        <v>1</v>
      </c>
    </row>
    <row r="37" spans="1:38" ht="28.8" x14ac:dyDescent="0.3">
      <c r="A37" s="5" t="s">
        <v>1461</v>
      </c>
      <c r="B37" s="5"/>
      <c r="C37" s="5"/>
      <c r="D37" s="1"/>
      <c r="E37" s="1"/>
      <c r="F37" s="1"/>
      <c r="G37" s="1"/>
      <c r="M37" s="1" t="s">
        <v>1462</v>
      </c>
      <c r="AJ37" s="2">
        <f t="shared" si="0"/>
        <v>1</v>
      </c>
      <c r="AL37" s="2">
        <f t="shared" si="1"/>
        <v>1</v>
      </c>
    </row>
    <row r="38" spans="1:38" x14ac:dyDescent="0.3">
      <c r="A38" s="5" t="s">
        <v>1463</v>
      </c>
      <c r="B38" s="5"/>
      <c r="C38" s="5"/>
      <c r="D38" s="1"/>
      <c r="E38" s="1"/>
      <c r="F38" s="1"/>
      <c r="G38" s="1"/>
      <c r="M38" s="1" t="s">
        <v>1116</v>
      </c>
      <c r="AJ38" s="2">
        <f t="shared" si="0"/>
        <v>1</v>
      </c>
      <c r="AL38" s="2">
        <f t="shared" si="1"/>
        <v>1</v>
      </c>
    </row>
    <row r="39" spans="1:38" x14ac:dyDescent="0.3">
      <c r="A39" s="5" t="s">
        <v>1464</v>
      </c>
      <c r="B39" s="5"/>
      <c r="C39" s="5"/>
      <c r="D39" s="1"/>
      <c r="E39" s="1"/>
      <c r="F39" s="1"/>
      <c r="G39" s="1"/>
      <c r="M39" s="1" t="s">
        <v>1117</v>
      </c>
      <c r="AJ39" s="2">
        <f t="shared" si="0"/>
        <v>1</v>
      </c>
      <c r="AL39" s="2">
        <f t="shared" si="1"/>
        <v>1</v>
      </c>
    </row>
    <row r="40" spans="1:38" ht="28.8" x14ac:dyDescent="0.3">
      <c r="A40" s="5" t="s">
        <v>1288</v>
      </c>
      <c r="B40" s="5"/>
      <c r="C40" s="5"/>
      <c r="D40" s="1"/>
      <c r="E40" s="1"/>
      <c r="F40" s="1"/>
      <c r="G40" s="1"/>
      <c r="M40" s="1" t="s">
        <v>234</v>
      </c>
      <c r="AJ40" s="2">
        <f t="shared" si="0"/>
        <v>1</v>
      </c>
      <c r="AL40" s="2">
        <f t="shared" si="1"/>
        <v>1</v>
      </c>
    </row>
    <row r="41" spans="1:38" ht="57.6" x14ac:dyDescent="0.3">
      <c r="A41" s="5" t="s">
        <v>277</v>
      </c>
      <c r="B41" s="5"/>
      <c r="C41" s="5"/>
      <c r="D41" s="1"/>
      <c r="E41" s="1"/>
      <c r="F41" s="54" t="s">
        <v>278</v>
      </c>
      <c r="G41" s="1" t="s">
        <v>267</v>
      </c>
      <c r="AJ41" s="2">
        <f t="shared" si="0"/>
        <v>2</v>
      </c>
      <c r="AL41" s="2">
        <f t="shared" si="1"/>
        <v>2</v>
      </c>
    </row>
    <row r="42" spans="1:38" x14ac:dyDescent="0.3">
      <c r="A42" s="5" t="s">
        <v>279</v>
      </c>
      <c r="B42" s="5"/>
      <c r="C42" s="5"/>
      <c r="D42" s="1"/>
      <c r="E42" s="1"/>
      <c r="F42" s="54" t="s">
        <v>280</v>
      </c>
      <c r="G42" s="1" t="s">
        <v>515</v>
      </c>
      <c r="AJ42" s="2">
        <f t="shared" si="0"/>
        <v>2</v>
      </c>
      <c r="AL42" s="2">
        <f t="shared" si="1"/>
        <v>2</v>
      </c>
    </row>
    <row r="43" spans="1:38" x14ac:dyDescent="0.3">
      <c r="A43" s="5" t="s">
        <v>516</v>
      </c>
      <c r="B43" s="5"/>
      <c r="C43" s="5"/>
      <c r="D43" s="1"/>
      <c r="E43" s="1"/>
      <c r="F43" s="1"/>
      <c r="G43" s="1" t="s">
        <v>517</v>
      </c>
      <c r="AJ43" s="2">
        <f t="shared" si="0"/>
        <v>1</v>
      </c>
      <c r="AL43" s="2">
        <f t="shared" si="1"/>
        <v>1</v>
      </c>
    </row>
    <row r="44" spans="1:38" x14ac:dyDescent="0.3">
      <c r="A44" s="5" t="s">
        <v>307</v>
      </c>
      <c r="B44" s="5" t="s">
        <v>3208</v>
      </c>
      <c r="C44" s="64" t="s">
        <v>3208</v>
      </c>
      <c r="D44" s="1"/>
      <c r="E44" s="1"/>
      <c r="F44" s="54" t="s">
        <v>308</v>
      </c>
      <c r="G44" s="53" t="s">
        <v>572</v>
      </c>
      <c r="H44" s="53" t="s">
        <v>681</v>
      </c>
      <c r="I44" s="53" t="s">
        <v>848</v>
      </c>
      <c r="J44" s="53" t="s">
        <v>1120</v>
      </c>
      <c r="M44" s="54" t="s">
        <v>1118</v>
      </c>
      <c r="AA44" s="54" t="s">
        <v>2676</v>
      </c>
      <c r="AB44" s="1" t="s">
        <v>2767</v>
      </c>
      <c r="AJ44" s="2">
        <f t="shared" si="0"/>
        <v>10</v>
      </c>
      <c r="AL44" s="2">
        <f t="shared" si="1"/>
        <v>6</v>
      </c>
    </row>
    <row r="45" spans="1:38" x14ac:dyDescent="0.3">
      <c r="A45" s="5" t="s">
        <v>574</v>
      </c>
      <c r="B45" s="5"/>
      <c r="C45" s="5"/>
      <c r="D45" s="1"/>
      <c r="E45" s="1"/>
      <c r="F45" s="1"/>
      <c r="G45" s="1" t="s">
        <v>575</v>
      </c>
      <c r="AJ45" s="2">
        <f t="shared" si="0"/>
        <v>1</v>
      </c>
      <c r="AL45" s="2">
        <f t="shared" si="1"/>
        <v>1</v>
      </c>
    </row>
    <row r="46" spans="1:38" x14ac:dyDescent="0.3">
      <c r="A46" s="5" t="s">
        <v>576</v>
      </c>
      <c r="B46" s="5"/>
      <c r="C46" s="5"/>
      <c r="D46" s="1"/>
      <c r="E46" s="1"/>
      <c r="F46" s="1"/>
      <c r="G46" s="53" t="s">
        <v>577</v>
      </c>
      <c r="I46" s="53" t="s">
        <v>842</v>
      </c>
      <c r="L46" s="54" t="s">
        <v>976</v>
      </c>
      <c r="N46" s="1" t="s">
        <v>1620</v>
      </c>
      <c r="AJ46" s="2">
        <f t="shared" si="0"/>
        <v>4</v>
      </c>
      <c r="AL46" s="2">
        <f t="shared" si="1"/>
        <v>4</v>
      </c>
    </row>
    <row r="47" spans="1:38" ht="28.8" x14ac:dyDescent="0.3">
      <c r="A47" s="5" t="s">
        <v>310</v>
      </c>
      <c r="B47" s="5" t="s">
        <v>3210</v>
      </c>
      <c r="C47" s="64" t="s">
        <v>3210</v>
      </c>
      <c r="D47" s="1"/>
      <c r="E47" s="1"/>
      <c r="F47" s="54" t="s">
        <v>311</v>
      </c>
      <c r="G47" s="53" t="s">
        <v>578</v>
      </c>
      <c r="AA47" s="1" t="s">
        <v>2710</v>
      </c>
      <c r="AJ47" s="2">
        <f t="shared" si="0"/>
        <v>5</v>
      </c>
      <c r="AL47" s="2">
        <f t="shared" si="1"/>
        <v>2</v>
      </c>
    </row>
    <row r="48" spans="1:38" ht="28.8" x14ac:dyDescent="0.3">
      <c r="A48" s="5" t="s">
        <v>1435</v>
      </c>
      <c r="B48" s="5"/>
      <c r="C48" s="5"/>
      <c r="D48" s="1"/>
      <c r="E48" s="1"/>
      <c r="F48" s="1"/>
      <c r="G48" s="1"/>
      <c r="M48" s="54" t="s">
        <v>1054</v>
      </c>
      <c r="N48" s="53" t="s">
        <v>1594</v>
      </c>
      <c r="T48" s="1" t="s">
        <v>1203</v>
      </c>
      <c r="AJ48" s="2">
        <f t="shared" si="0"/>
        <v>3</v>
      </c>
      <c r="AL48" s="2">
        <f t="shared" si="1"/>
        <v>2</v>
      </c>
    </row>
    <row r="49" spans="1:38" ht="28.8" x14ac:dyDescent="0.3">
      <c r="A49" s="5" t="s">
        <v>2751</v>
      </c>
      <c r="B49" s="5"/>
      <c r="C49" s="5"/>
      <c r="D49" s="1"/>
      <c r="E49" s="1"/>
      <c r="F49" s="1"/>
      <c r="G49" s="1"/>
      <c r="L49" s="54" t="s">
        <v>973</v>
      </c>
      <c r="M49" s="54" t="s">
        <v>1437</v>
      </c>
      <c r="N49" s="53" t="s">
        <v>1598</v>
      </c>
      <c r="O49" s="53" t="s">
        <v>1378</v>
      </c>
      <c r="V49" s="54" t="s">
        <v>192</v>
      </c>
      <c r="AA49" s="53" t="s">
        <v>2698</v>
      </c>
      <c r="AB49" s="53" t="s">
        <v>2750</v>
      </c>
      <c r="AC49" s="53" t="s">
        <v>1976</v>
      </c>
      <c r="AD49" s="54" t="s">
        <v>1058</v>
      </c>
      <c r="AE49" s="1" t="s">
        <v>433</v>
      </c>
      <c r="AJ49" s="2">
        <f t="shared" si="0"/>
        <v>10</v>
      </c>
      <c r="AL49" s="2">
        <f t="shared" si="1"/>
        <v>4</v>
      </c>
    </row>
    <row r="50" spans="1:38" x14ac:dyDescent="0.3">
      <c r="A50" s="5" t="s">
        <v>2356</v>
      </c>
      <c r="B50" s="5"/>
      <c r="C50" s="5"/>
      <c r="D50" s="1"/>
      <c r="E50" s="1"/>
      <c r="F50" s="1"/>
      <c r="G50" s="1"/>
      <c r="T50" s="54" t="s">
        <v>2113</v>
      </c>
      <c r="Y50" s="53" t="s">
        <v>874</v>
      </c>
      <c r="AA50" s="53" t="s">
        <v>2696</v>
      </c>
      <c r="AB50" s="53" t="s">
        <v>2168</v>
      </c>
      <c r="AC50" s="53" t="s">
        <v>1977</v>
      </c>
      <c r="AD50" s="54" t="s">
        <v>1056</v>
      </c>
      <c r="AJ50" s="2">
        <f t="shared" si="0"/>
        <v>6</v>
      </c>
      <c r="AL50" s="2">
        <f t="shared" si="1"/>
        <v>0</v>
      </c>
    </row>
    <row r="51" spans="1:38" ht="28.8" x14ac:dyDescent="0.3">
      <c r="A51" s="5" t="s">
        <v>2518</v>
      </c>
      <c r="B51" s="5"/>
      <c r="C51" s="5"/>
      <c r="D51" s="1"/>
      <c r="E51" s="1"/>
      <c r="F51" s="1"/>
      <c r="G51" s="1"/>
      <c r="V51" s="54" t="s">
        <v>17</v>
      </c>
      <c r="AE51" s="1" t="s">
        <v>432</v>
      </c>
      <c r="AJ51" s="2">
        <f t="shared" si="0"/>
        <v>2</v>
      </c>
      <c r="AL51" s="2">
        <f t="shared" si="1"/>
        <v>0</v>
      </c>
    </row>
    <row r="52" spans="1:38" ht="28.8" x14ac:dyDescent="0.3">
      <c r="A52" s="5" t="s">
        <v>2517</v>
      </c>
      <c r="B52" s="5"/>
      <c r="C52" s="5"/>
      <c r="D52" s="1"/>
      <c r="E52" s="1"/>
      <c r="F52" s="1"/>
      <c r="G52" s="1"/>
      <c r="V52" s="54" t="s">
        <v>16</v>
      </c>
      <c r="AA52" s="53" t="s">
        <v>2697</v>
      </c>
      <c r="AB52" s="53" t="s">
        <v>2172</v>
      </c>
      <c r="AD52" s="54" t="s">
        <v>1057</v>
      </c>
      <c r="AE52" s="1" t="s">
        <v>431</v>
      </c>
      <c r="AJ52" s="2">
        <f t="shared" si="0"/>
        <v>5</v>
      </c>
      <c r="AL52" s="2">
        <f t="shared" si="1"/>
        <v>0</v>
      </c>
    </row>
    <row r="53" spans="1:38" x14ac:dyDescent="0.3">
      <c r="A53" s="5" t="s">
        <v>2699</v>
      </c>
      <c r="B53" s="5"/>
      <c r="C53" s="5"/>
      <c r="D53" s="1"/>
      <c r="E53" s="1"/>
      <c r="F53" s="1"/>
      <c r="G53" s="1"/>
      <c r="AA53" s="1" t="s">
        <v>2700</v>
      </c>
      <c r="AJ53" s="2">
        <f t="shared" si="0"/>
        <v>1</v>
      </c>
      <c r="AL53" s="2">
        <f t="shared" si="1"/>
        <v>0</v>
      </c>
    </row>
    <row r="54" spans="1:38" x14ac:dyDescent="0.3">
      <c r="A54" s="5" t="s">
        <v>2803</v>
      </c>
      <c r="B54" s="5"/>
      <c r="C54" s="5"/>
      <c r="D54" s="1"/>
      <c r="E54" s="1"/>
      <c r="F54" s="1"/>
      <c r="G54" s="1"/>
      <c r="AC54" s="54" t="s">
        <v>1979</v>
      </c>
      <c r="AD54" s="1" t="s">
        <v>1059</v>
      </c>
      <c r="AJ54" s="2">
        <f t="shared" si="0"/>
        <v>2</v>
      </c>
      <c r="AL54" s="2">
        <f t="shared" si="1"/>
        <v>0</v>
      </c>
    </row>
    <row r="55" spans="1:38" x14ac:dyDescent="0.3">
      <c r="A55" s="5" t="s">
        <v>2804</v>
      </c>
      <c r="B55" s="5"/>
      <c r="C55" s="5"/>
      <c r="D55" s="1"/>
      <c r="E55" s="1"/>
      <c r="F55" s="1"/>
      <c r="G55" s="1"/>
      <c r="AC55" s="1" t="s">
        <v>1980</v>
      </c>
      <c r="AJ55" s="2">
        <f t="shared" si="0"/>
        <v>1</v>
      </c>
      <c r="AL55" s="2">
        <f t="shared" si="1"/>
        <v>0</v>
      </c>
    </row>
    <row r="56" spans="1:38" ht="28.8" x14ac:dyDescent="0.3">
      <c r="A56" s="5" t="s">
        <v>511</v>
      </c>
      <c r="B56" s="5"/>
      <c r="C56" s="5"/>
      <c r="D56" s="1"/>
      <c r="E56" s="1"/>
      <c r="F56" s="1"/>
      <c r="G56" s="54" t="s">
        <v>512</v>
      </c>
      <c r="H56" s="53" t="s">
        <v>521</v>
      </c>
      <c r="I56" s="53" t="s">
        <v>787</v>
      </c>
      <c r="AB56" s="54" t="s">
        <v>2185</v>
      </c>
      <c r="AC56" s="53" t="s">
        <v>2801</v>
      </c>
      <c r="AD56" s="53" t="s">
        <v>2902</v>
      </c>
      <c r="AE56" s="1" t="s">
        <v>1250</v>
      </c>
      <c r="AJ56" s="2">
        <f t="shared" si="0"/>
        <v>7</v>
      </c>
      <c r="AL56" s="2">
        <f t="shared" si="1"/>
        <v>3</v>
      </c>
    </row>
    <row r="57" spans="1:38" x14ac:dyDescent="0.3">
      <c r="A57" s="5" t="s">
        <v>2802</v>
      </c>
      <c r="B57" s="5"/>
      <c r="C57" s="5"/>
      <c r="D57" s="1"/>
      <c r="E57" s="1"/>
      <c r="F57" s="1"/>
      <c r="G57" s="1"/>
      <c r="AC57" s="1" t="s">
        <v>1973</v>
      </c>
      <c r="AJ57" s="2">
        <f t="shared" si="0"/>
        <v>1</v>
      </c>
      <c r="AL57" s="2">
        <f t="shared" si="1"/>
        <v>0</v>
      </c>
    </row>
    <row r="58" spans="1:38" ht="43.2" x14ac:dyDescent="0.3">
      <c r="A58" s="5" t="s">
        <v>514</v>
      </c>
      <c r="B58" s="5"/>
      <c r="C58" s="5"/>
      <c r="D58" s="1"/>
      <c r="E58" s="1"/>
      <c r="F58" s="1"/>
      <c r="G58" s="1" t="s">
        <v>264</v>
      </c>
      <c r="AJ58" s="2">
        <f t="shared" si="0"/>
        <v>1</v>
      </c>
      <c r="AL58" s="2">
        <f t="shared" si="1"/>
        <v>1</v>
      </c>
    </row>
    <row r="59" spans="1:38" x14ac:dyDescent="0.3">
      <c r="A59" s="5" t="s">
        <v>279</v>
      </c>
      <c r="B59" s="5"/>
      <c r="C59" s="5"/>
      <c r="D59" s="1"/>
      <c r="E59" s="1"/>
      <c r="F59" s="1"/>
      <c r="G59" s="1" t="s">
        <v>265</v>
      </c>
      <c r="AJ59" s="2">
        <f t="shared" si="0"/>
        <v>1</v>
      </c>
      <c r="AL59" s="2">
        <f t="shared" si="1"/>
        <v>1</v>
      </c>
    </row>
    <row r="60" spans="1:38" ht="57.6" x14ac:dyDescent="0.3">
      <c r="A60" s="5" t="s">
        <v>518</v>
      </c>
      <c r="B60" s="5"/>
      <c r="C60" s="5"/>
      <c r="D60" s="1"/>
      <c r="E60" s="1"/>
      <c r="F60" s="1"/>
      <c r="G60" s="12" t="s">
        <v>519</v>
      </c>
      <c r="AJ60" s="2">
        <f t="shared" si="0"/>
        <v>1</v>
      </c>
      <c r="AL60" s="2">
        <f t="shared" si="1"/>
        <v>1</v>
      </c>
    </row>
    <row r="61" spans="1:38" ht="28.8" x14ac:dyDescent="0.3">
      <c r="A61" s="5" t="s">
        <v>1617</v>
      </c>
      <c r="B61" s="5"/>
      <c r="C61" s="5"/>
      <c r="D61" s="1"/>
      <c r="E61" s="1"/>
      <c r="F61" s="1"/>
      <c r="G61" s="12"/>
      <c r="N61" s="1" t="s">
        <v>1618</v>
      </c>
      <c r="AJ61" s="2">
        <f t="shared" si="0"/>
        <v>1</v>
      </c>
      <c r="AL61" s="2">
        <f t="shared" si="1"/>
        <v>1</v>
      </c>
    </row>
    <row r="62" spans="1:38" ht="28.8" x14ac:dyDescent="0.3">
      <c r="A62" s="5" t="s">
        <v>523</v>
      </c>
      <c r="B62" s="5"/>
      <c r="C62" s="5"/>
      <c r="D62" s="1"/>
      <c r="E62" s="1"/>
      <c r="F62" s="1"/>
      <c r="G62" s="1" t="s">
        <v>524</v>
      </c>
      <c r="AJ62" s="2">
        <f t="shared" si="0"/>
        <v>1</v>
      </c>
      <c r="AL62" s="2">
        <f t="shared" si="1"/>
        <v>1</v>
      </c>
    </row>
    <row r="63" spans="1:38" ht="28.8" x14ac:dyDescent="0.3">
      <c r="A63" s="5" t="s">
        <v>526</v>
      </c>
      <c r="B63" s="5"/>
      <c r="C63" s="5"/>
      <c r="D63" s="1"/>
      <c r="E63" s="1"/>
      <c r="F63" s="1"/>
      <c r="G63" s="54" t="s">
        <v>276</v>
      </c>
      <c r="H63" s="12" t="s">
        <v>276</v>
      </c>
      <c r="AJ63" s="2">
        <f t="shared" si="0"/>
        <v>2</v>
      </c>
      <c r="AL63" s="2">
        <f t="shared" si="1"/>
        <v>2</v>
      </c>
    </row>
    <row r="64" spans="1:38" ht="28.8" x14ac:dyDescent="0.3">
      <c r="A64" s="5" t="s">
        <v>527</v>
      </c>
      <c r="B64" s="5"/>
      <c r="C64" s="5"/>
      <c r="D64" s="1"/>
      <c r="E64" s="1"/>
      <c r="F64" s="1"/>
      <c r="G64" s="12" t="s">
        <v>278</v>
      </c>
      <c r="AJ64" s="2">
        <f t="shared" si="0"/>
        <v>1</v>
      </c>
      <c r="AL64" s="2">
        <f t="shared" si="1"/>
        <v>1</v>
      </c>
    </row>
    <row r="65" spans="1:38" ht="28.8" x14ac:dyDescent="0.3">
      <c r="A65" s="5" t="s">
        <v>544</v>
      </c>
      <c r="B65" s="5"/>
      <c r="C65" s="5"/>
      <c r="D65" s="1"/>
      <c r="E65" s="1"/>
      <c r="F65" s="1"/>
      <c r="G65" s="12" t="s">
        <v>545</v>
      </c>
      <c r="AJ65" s="2">
        <f t="shared" si="0"/>
        <v>1</v>
      </c>
      <c r="AL65" s="2">
        <f t="shared" si="1"/>
        <v>1</v>
      </c>
    </row>
    <row r="66" spans="1:38" ht="28.8" x14ac:dyDescent="0.3">
      <c r="A66" s="5" t="s">
        <v>546</v>
      </c>
      <c r="B66" s="5"/>
      <c r="C66" s="5"/>
      <c r="D66" s="1"/>
      <c r="E66" s="1"/>
      <c r="F66" s="1"/>
      <c r="G66" s="12" t="s">
        <v>547</v>
      </c>
      <c r="AJ66" s="2">
        <f t="shared" si="0"/>
        <v>1</v>
      </c>
      <c r="AL66" s="2">
        <f t="shared" si="1"/>
        <v>1</v>
      </c>
    </row>
    <row r="67" spans="1:38" ht="28.8" x14ac:dyDescent="0.3">
      <c r="A67" s="5" t="s">
        <v>548</v>
      </c>
      <c r="B67" s="5"/>
      <c r="C67" s="5"/>
      <c r="D67" s="1"/>
      <c r="E67" s="1"/>
      <c r="F67" s="1"/>
      <c r="G67" s="12" t="s">
        <v>549</v>
      </c>
      <c r="AJ67" s="2">
        <f t="shared" ref="AJ67:AJ130" si="2">COUNTA(B67:AH67)</f>
        <v>1</v>
      </c>
      <c r="AL67" s="2">
        <f t="shared" si="1"/>
        <v>1</v>
      </c>
    </row>
    <row r="68" spans="1:38" ht="28.8" x14ac:dyDescent="0.3">
      <c r="A68" s="5" t="s">
        <v>550</v>
      </c>
      <c r="B68" s="5"/>
      <c r="C68" s="5"/>
      <c r="D68" s="1"/>
      <c r="E68" s="1"/>
      <c r="F68" s="1"/>
      <c r="G68" s="12" t="s">
        <v>551</v>
      </c>
      <c r="AJ68" s="2">
        <f t="shared" si="2"/>
        <v>1</v>
      </c>
      <c r="AL68" s="2">
        <f t="shared" ref="AL68:AL131" si="3">COUNTA(F68:O68,R68:S68)</f>
        <v>1</v>
      </c>
    </row>
    <row r="69" spans="1:38" ht="28.8" x14ac:dyDescent="0.3">
      <c r="A69" s="5" t="s">
        <v>670</v>
      </c>
      <c r="B69" s="5"/>
      <c r="C69" s="5"/>
      <c r="D69" s="1"/>
      <c r="E69" s="1"/>
      <c r="F69" s="1"/>
      <c r="G69" s="1"/>
      <c r="H69" s="63" t="s">
        <v>296</v>
      </c>
      <c r="I69" s="54" t="s">
        <v>789</v>
      </c>
      <c r="Q69" s="54" t="s">
        <v>365</v>
      </c>
      <c r="R69" s="1" t="s">
        <v>2181</v>
      </c>
      <c r="AJ69" s="2">
        <f t="shared" si="2"/>
        <v>4</v>
      </c>
      <c r="AL69" s="2">
        <f t="shared" si="3"/>
        <v>3</v>
      </c>
    </row>
    <row r="70" spans="1:38" ht="28.8" x14ac:dyDescent="0.3">
      <c r="A70" s="5" t="s">
        <v>679</v>
      </c>
      <c r="B70" s="5"/>
      <c r="C70" s="5"/>
      <c r="D70" s="1"/>
      <c r="E70" s="1"/>
      <c r="F70" s="1"/>
      <c r="G70" s="1"/>
      <c r="H70" s="54" t="s">
        <v>680</v>
      </c>
      <c r="I70" s="54" t="s">
        <v>844</v>
      </c>
      <c r="M70" s="1" t="s">
        <v>1122</v>
      </c>
      <c r="AJ70" s="2">
        <f t="shared" si="2"/>
        <v>3</v>
      </c>
      <c r="AL70" s="2">
        <f t="shared" si="3"/>
        <v>3</v>
      </c>
    </row>
    <row r="71" spans="1:38" x14ac:dyDescent="0.3">
      <c r="A71" s="5" t="s">
        <v>774</v>
      </c>
      <c r="B71" s="5"/>
      <c r="C71" s="5"/>
      <c r="D71" s="1"/>
      <c r="E71" s="1"/>
      <c r="F71" s="1"/>
      <c r="G71" s="1"/>
      <c r="I71" s="54" t="s">
        <v>558</v>
      </c>
      <c r="V71" s="54" t="s">
        <v>15</v>
      </c>
      <c r="Z71" s="53" t="s">
        <v>519</v>
      </c>
      <c r="AA71" s="53" t="s">
        <v>2695</v>
      </c>
      <c r="AB71" s="53" t="s">
        <v>2733</v>
      </c>
      <c r="AE71" s="1" t="s">
        <v>428</v>
      </c>
      <c r="AJ71" s="2">
        <f t="shared" si="2"/>
        <v>6</v>
      </c>
      <c r="AL71" s="2">
        <f t="shared" si="3"/>
        <v>1</v>
      </c>
    </row>
    <row r="72" spans="1:38" ht="28.8" x14ac:dyDescent="0.3">
      <c r="A72" s="5" t="s">
        <v>3307</v>
      </c>
      <c r="B72" s="1"/>
      <c r="C72" s="5"/>
      <c r="D72" s="1"/>
      <c r="E72" s="1"/>
      <c r="F72" s="1"/>
      <c r="G72" s="1"/>
      <c r="J72" s="1" t="s">
        <v>1134</v>
      </c>
      <c r="AJ72" s="2">
        <f t="shared" si="2"/>
        <v>1</v>
      </c>
      <c r="AL72" s="2">
        <f t="shared" si="3"/>
        <v>1</v>
      </c>
    </row>
    <row r="73" spans="1:38" ht="28.8" x14ac:dyDescent="0.3">
      <c r="A73" s="5" t="s">
        <v>788</v>
      </c>
      <c r="B73" s="1"/>
      <c r="C73" s="5"/>
      <c r="D73" s="1"/>
      <c r="E73" s="1"/>
      <c r="F73" s="1"/>
      <c r="G73" s="1"/>
      <c r="I73" s="80" t="s">
        <v>675</v>
      </c>
      <c r="U73" s="1" t="s">
        <v>897</v>
      </c>
      <c r="AJ73" s="2">
        <f t="shared" si="2"/>
        <v>2</v>
      </c>
      <c r="AL73" s="2">
        <f t="shared" si="3"/>
        <v>1</v>
      </c>
    </row>
    <row r="74" spans="1:38" ht="43.2" x14ac:dyDescent="0.3">
      <c r="A74" s="5" t="s">
        <v>1123</v>
      </c>
      <c r="B74" s="1"/>
      <c r="C74" s="5"/>
      <c r="D74" s="1"/>
      <c r="E74" s="1"/>
      <c r="F74" s="1"/>
      <c r="G74" s="1"/>
      <c r="I74" s="19"/>
      <c r="J74" s="1" t="s">
        <v>1124</v>
      </c>
      <c r="AJ74" s="2">
        <f t="shared" si="2"/>
        <v>1</v>
      </c>
      <c r="AL74" s="2">
        <f t="shared" si="3"/>
        <v>1</v>
      </c>
    </row>
    <row r="75" spans="1:38" x14ac:dyDescent="0.3">
      <c r="A75" s="5" t="s">
        <v>1130</v>
      </c>
      <c r="B75" s="1"/>
      <c r="C75" s="5"/>
      <c r="D75" s="1"/>
      <c r="E75" s="1"/>
      <c r="F75" s="1"/>
      <c r="G75" s="1"/>
      <c r="I75" s="19"/>
      <c r="J75" s="1" t="s">
        <v>1125</v>
      </c>
      <c r="AJ75" s="2">
        <f t="shared" si="2"/>
        <v>1</v>
      </c>
      <c r="AL75" s="2">
        <f t="shared" si="3"/>
        <v>1</v>
      </c>
    </row>
    <row r="76" spans="1:38" x14ac:dyDescent="0.3">
      <c r="A76" s="5" t="s">
        <v>2248</v>
      </c>
      <c r="B76" s="45"/>
      <c r="C76" s="5"/>
      <c r="D76" s="1"/>
      <c r="E76" s="1"/>
      <c r="F76" s="1"/>
      <c r="G76" s="1"/>
      <c r="I76" s="19"/>
      <c r="J76" s="1" t="s">
        <v>1126</v>
      </c>
      <c r="AJ76" s="2">
        <f t="shared" si="2"/>
        <v>1</v>
      </c>
      <c r="AL76" s="2">
        <f t="shared" si="3"/>
        <v>1</v>
      </c>
    </row>
    <row r="77" spans="1:38" x14ac:dyDescent="0.3">
      <c r="A77" s="5" t="s">
        <v>1131</v>
      </c>
      <c r="B77" s="1"/>
      <c r="C77" s="5"/>
      <c r="D77" s="1"/>
      <c r="E77" s="1"/>
      <c r="F77" s="1"/>
      <c r="G77" s="1"/>
      <c r="I77" s="19"/>
      <c r="J77" s="1" t="s">
        <v>1127</v>
      </c>
      <c r="AJ77" s="2">
        <f t="shared" si="2"/>
        <v>1</v>
      </c>
      <c r="AL77" s="2">
        <f t="shared" si="3"/>
        <v>1</v>
      </c>
    </row>
    <row r="78" spans="1:38" x14ac:dyDescent="0.3">
      <c r="A78" s="5" t="s">
        <v>1132</v>
      </c>
      <c r="B78" s="1"/>
      <c r="C78" s="5"/>
      <c r="D78" s="1"/>
      <c r="E78" s="1"/>
      <c r="F78" s="1"/>
      <c r="G78" s="1"/>
      <c r="I78" s="19"/>
      <c r="J78" s="1" t="s">
        <v>1128</v>
      </c>
      <c r="AJ78" s="2">
        <f t="shared" si="2"/>
        <v>1</v>
      </c>
      <c r="AL78" s="2">
        <f t="shared" si="3"/>
        <v>1</v>
      </c>
    </row>
    <row r="79" spans="1:38" x14ac:dyDescent="0.3">
      <c r="A79" s="5" t="s">
        <v>1133</v>
      </c>
      <c r="B79" s="1"/>
      <c r="C79" s="5"/>
      <c r="D79" s="1"/>
      <c r="E79" s="1"/>
      <c r="F79" s="1"/>
      <c r="G79" s="1"/>
      <c r="I79" s="19"/>
      <c r="J79" s="1" t="s">
        <v>1129</v>
      </c>
      <c r="AJ79" s="2">
        <f t="shared" si="2"/>
        <v>1</v>
      </c>
      <c r="AL79" s="2">
        <f t="shared" si="3"/>
        <v>1</v>
      </c>
    </row>
    <row r="80" spans="1:38" ht="28.8" x14ac:dyDescent="0.3">
      <c r="A80" s="5" t="s">
        <v>791</v>
      </c>
      <c r="B80" s="1"/>
      <c r="C80" s="5"/>
      <c r="D80" s="1"/>
      <c r="E80" s="1"/>
      <c r="F80" s="1"/>
      <c r="G80" s="1"/>
      <c r="I80" s="54" t="s">
        <v>792</v>
      </c>
      <c r="J80" s="63" t="s">
        <v>1073</v>
      </c>
      <c r="K80" s="54" t="s">
        <v>1194</v>
      </c>
      <c r="O80" s="1" t="s">
        <v>1371</v>
      </c>
      <c r="AJ80" s="2">
        <f t="shared" si="2"/>
        <v>4</v>
      </c>
      <c r="AL80" s="2">
        <f t="shared" si="3"/>
        <v>4</v>
      </c>
    </row>
    <row r="81" spans="1:38" ht="28.8" x14ac:dyDescent="0.3">
      <c r="A81" s="5" t="s">
        <v>790</v>
      </c>
      <c r="B81" s="5"/>
      <c r="C81" s="5"/>
      <c r="D81" s="1"/>
      <c r="E81" s="1"/>
      <c r="F81" s="1"/>
      <c r="G81" s="1"/>
      <c r="I81" s="54" t="s">
        <v>793</v>
      </c>
      <c r="J81" s="63" t="s">
        <v>1074</v>
      </c>
      <c r="K81" s="54" t="s">
        <v>1021</v>
      </c>
      <c r="O81" s="1" t="s">
        <v>1372</v>
      </c>
      <c r="AJ81" s="2">
        <f t="shared" si="2"/>
        <v>4</v>
      </c>
      <c r="AL81" s="2">
        <f t="shared" si="3"/>
        <v>4</v>
      </c>
    </row>
    <row r="82" spans="1:38" ht="28.8" x14ac:dyDescent="0.3">
      <c r="A82" s="5" t="s">
        <v>1621</v>
      </c>
      <c r="B82" s="1"/>
      <c r="C82" s="5"/>
      <c r="D82" s="1"/>
      <c r="E82" s="1"/>
      <c r="F82" s="1"/>
      <c r="G82" s="1"/>
      <c r="J82" s="12"/>
      <c r="N82" s="1" t="s">
        <v>1622</v>
      </c>
      <c r="AJ82" s="2">
        <f t="shared" si="2"/>
        <v>1</v>
      </c>
      <c r="AL82" s="2">
        <f t="shared" si="3"/>
        <v>1</v>
      </c>
    </row>
    <row r="83" spans="1:38" x14ac:dyDescent="0.3">
      <c r="A83" s="5" t="s">
        <v>803</v>
      </c>
      <c r="B83" s="1"/>
      <c r="C83" s="5"/>
      <c r="D83" s="1"/>
      <c r="E83" s="1"/>
      <c r="F83" s="1"/>
      <c r="G83" s="1"/>
      <c r="I83" s="1" t="s">
        <v>804</v>
      </c>
      <c r="AJ83" s="2">
        <f t="shared" si="2"/>
        <v>1</v>
      </c>
      <c r="AL83" s="2">
        <f t="shared" si="3"/>
        <v>1</v>
      </c>
    </row>
    <row r="84" spans="1:38" ht="28.8" x14ac:dyDescent="0.3">
      <c r="A84" s="5" t="s">
        <v>2574</v>
      </c>
      <c r="B84" s="1"/>
      <c r="C84" s="5"/>
      <c r="D84" s="1"/>
      <c r="E84" s="1"/>
      <c r="F84" s="1"/>
      <c r="G84" s="1"/>
      <c r="I84" s="53" t="s">
        <v>851</v>
      </c>
      <c r="J84" s="1" t="s">
        <v>1122</v>
      </c>
      <c r="AJ84" s="2">
        <f t="shared" si="2"/>
        <v>2</v>
      </c>
      <c r="AL84" s="2">
        <f t="shared" si="3"/>
        <v>2</v>
      </c>
    </row>
    <row r="85" spans="1:38" ht="28.8" x14ac:dyDescent="0.3">
      <c r="A85" s="5" t="s">
        <v>1255</v>
      </c>
      <c r="B85" s="1"/>
      <c r="C85" s="5"/>
      <c r="D85" s="1"/>
      <c r="E85" s="1"/>
      <c r="F85" s="1"/>
      <c r="G85" s="1"/>
      <c r="L85" s="54" t="s">
        <v>1194</v>
      </c>
      <c r="AJ85" s="2">
        <f t="shared" si="2"/>
        <v>1</v>
      </c>
      <c r="AL85" s="2">
        <f t="shared" si="3"/>
        <v>1</v>
      </c>
    </row>
    <row r="86" spans="1:38" ht="28.8" x14ac:dyDescent="0.3">
      <c r="A86" s="5" t="s">
        <v>1343</v>
      </c>
      <c r="B86" s="1"/>
      <c r="C86" s="5"/>
      <c r="D86" s="1"/>
      <c r="E86" s="1"/>
      <c r="F86" s="1"/>
      <c r="G86" s="1"/>
      <c r="L86" s="54" t="s">
        <v>927</v>
      </c>
      <c r="M86" s="53" t="s">
        <v>96</v>
      </c>
      <c r="N86" s="1" t="s">
        <v>1518</v>
      </c>
      <c r="AJ86" s="2">
        <f t="shared" si="2"/>
        <v>3</v>
      </c>
      <c r="AL86" s="2">
        <f t="shared" si="3"/>
        <v>3</v>
      </c>
    </row>
    <row r="87" spans="1:38" ht="28.8" x14ac:dyDescent="0.3">
      <c r="A87" s="5" t="s">
        <v>1344</v>
      </c>
      <c r="B87" s="1"/>
      <c r="C87" s="5"/>
      <c r="D87" s="1"/>
      <c r="E87" s="1"/>
      <c r="F87" s="1"/>
      <c r="G87" s="1"/>
      <c r="L87" s="54" t="s">
        <v>928</v>
      </c>
      <c r="M87" s="81" t="s">
        <v>97</v>
      </c>
      <c r="AJ87" s="2">
        <f t="shared" si="2"/>
        <v>2</v>
      </c>
      <c r="AL87" s="2">
        <f t="shared" si="3"/>
        <v>2</v>
      </c>
    </row>
    <row r="88" spans="1:38" ht="28.8" x14ac:dyDescent="0.3">
      <c r="A88" s="5" t="s">
        <v>1345</v>
      </c>
      <c r="B88" s="1"/>
      <c r="C88" s="5"/>
      <c r="D88" s="1"/>
      <c r="E88" s="1"/>
      <c r="F88" s="1"/>
      <c r="G88" s="1"/>
      <c r="L88" s="54" t="s">
        <v>929</v>
      </c>
      <c r="M88" s="81" t="s">
        <v>58</v>
      </c>
      <c r="AJ88" s="2">
        <f t="shared" si="2"/>
        <v>2</v>
      </c>
      <c r="AL88" s="2">
        <f t="shared" si="3"/>
        <v>2</v>
      </c>
    </row>
    <row r="89" spans="1:38" ht="28.8" x14ac:dyDescent="0.3">
      <c r="A89" s="5" t="s">
        <v>1346</v>
      </c>
      <c r="B89" s="1"/>
      <c r="C89" s="5"/>
      <c r="D89" s="1"/>
      <c r="E89" s="1"/>
      <c r="F89" s="1"/>
      <c r="G89" s="1"/>
      <c r="L89" s="54" t="s">
        <v>930</v>
      </c>
      <c r="M89" s="53" t="s">
        <v>99</v>
      </c>
      <c r="N89" s="1" t="s">
        <v>1520</v>
      </c>
      <c r="AJ89" s="2">
        <f t="shared" si="2"/>
        <v>3</v>
      </c>
      <c r="AL89" s="2">
        <f t="shared" si="3"/>
        <v>3</v>
      </c>
    </row>
    <row r="90" spans="1:38" ht="28.8" x14ac:dyDescent="0.3">
      <c r="A90" s="5" t="s">
        <v>1347</v>
      </c>
      <c r="B90" s="1"/>
      <c r="C90" s="5"/>
      <c r="D90" s="1"/>
      <c r="E90" s="1"/>
      <c r="F90" s="1"/>
      <c r="G90" s="1"/>
      <c r="L90" s="54" t="s">
        <v>931</v>
      </c>
      <c r="M90" s="53" t="s">
        <v>100</v>
      </c>
      <c r="N90" s="1" t="s">
        <v>1521</v>
      </c>
      <c r="AJ90" s="2">
        <f t="shared" si="2"/>
        <v>3</v>
      </c>
      <c r="AL90" s="2">
        <f t="shared" si="3"/>
        <v>3</v>
      </c>
    </row>
    <row r="91" spans="1:38" ht="28.8" x14ac:dyDescent="0.3">
      <c r="A91" s="5" t="s">
        <v>1348</v>
      </c>
      <c r="B91" s="1"/>
      <c r="C91" s="5"/>
      <c r="D91" s="1"/>
      <c r="E91" s="1"/>
      <c r="F91" s="1"/>
      <c r="G91" s="1"/>
      <c r="L91" s="54" t="s">
        <v>926</v>
      </c>
      <c r="M91" s="53" t="s">
        <v>240</v>
      </c>
      <c r="N91" s="1" t="s">
        <v>1519</v>
      </c>
      <c r="AJ91" s="2">
        <f t="shared" si="2"/>
        <v>3</v>
      </c>
      <c r="AL91" s="2">
        <f t="shared" si="3"/>
        <v>3</v>
      </c>
    </row>
    <row r="92" spans="1:38" ht="28.8" x14ac:dyDescent="0.3">
      <c r="A92" s="5" t="s">
        <v>1349</v>
      </c>
      <c r="B92" s="1"/>
      <c r="C92" s="5"/>
      <c r="D92" s="1"/>
      <c r="E92" s="1"/>
      <c r="F92" s="1"/>
      <c r="G92" s="1"/>
      <c r="M92" s="53" t="s">
        <v>98</v>
      </c>
      <c r="N92" s="1" t="s">
        <v>1524</v>
      </c>
      <c r="AJ92" s="2">
        <f t="shared" si="2"/>
        <v>2</v>
      </c>
      <c r="AL92" s="2">
        <f t="shared" si="3"/>
        <v>2</v>
      </c>
    </row>
    <row r="93" spans="1:38" ht="28.8" x14ac:dyDescent="0.3">
      <c r="A93" s="5" t="s">
        <v>1522</v>
      </c>
      <c r="B93" s="1"/>
      <c r="C93" s="5"/>
      <c r="D93" s="1"/>
      <c r="E93" s="1"/>
      <c r="F93" s="1"/>
      <c r="G93" s="1"/>
      <c r="N93" s="1" t="s">
        <v>1523</v>
      </c>
      <c r="AJ93" s="2">
        <f t="shared" si="2"/>
        <v>1</v>
      </c>
      <c r="AL93" s="2">
        <f t="shared" si="3"/>
        <v>1</v>
      </c>
    </row>
    <row r="94" spans="1:38" ht="28.8" x14ac:dyDescent="0.3">
      <c r="A94" s="5" t="s">
        <v>1657</v>
      </c>
      <c r="B94" s="1"/>
      <c r="C94" s="5"/>
      <c r="D94" s="1"/>
      <c r="E94" s="1"/>
      <c r="F94" s="1"/>
      <c r="G94" s="1"/>
      <c r="N94" s="54" t="s">
        <v>1658</v>
      </c>
      <c r="Q94" s="54" t="s">
        <v>363</v>
      </c>
      <c r="R94" s="54" t="s">
        <v>2176</v>
      </c>
      <c r="T94" s="1" t="s">
        <v>1205</v>
      </c>
      <c r="AJ94" s="2">
        <f t="shared" si="2"/>
        <v>4</v>
      </c>
      <c r="AL94" s="2">
        <f t="shared" si="3"/>
        <v>2</v>
      </c>
    </row>
    <row r="95" spans="1:38" ht="28.8" x14ac:dyDescent="0.3">
      <c r="A95" s="5" t="s">
        <v>3032</v>
      </c>
      <c r="B95" s="1"/>
      <c r="C95" s="5"/>
      <c r="D95" s="1"/>
      <c r="E95" s="1"/>
      <c r="F95" s="1"/>
      <c r="G95" s="1"/>
      <c r="AG95" s="54" t="s">
        <v>1013</v>
      </c>
      <c r="AH95" s="1" t="s">
        <v>1019</v>
      </c>
      <c r="AJ95" s="2">
        <f t="shared" si="2"/>
        <v>2</v>
      </c>
      <c r="AL95" s="2">
        <f t="shared" si="3"/>
        <v>0</v>
      </c>
    </row>
    <row r="96" spans="1:38" ht="28.8" x14ac:dyDescent="0.3">
      <c r="A96" s="5" t="s">
        <v>3033</v>
      </c>
      <c r="B96" s="1"/>
      <c r="C96" s="5"/>
      <c r="D96" s="1"/>
      <c r="E96" s="1"/>
      <c r="F96" s="1"/>
      <c r="G96" s="1"/>
      <c r="AG96" s="54" t="s">
        <v>1014</v>
      </c>
      <c r="AH96" s="1" t="s">
        <v>1194</v>
      </c>
      <c r="AJ96" s="2">
        <f t="shared" si="2"/>
        <v>2</v>
      </c>
      <c r="AL96" s="2">
        <f t="shared" si="3"/>
        <v>0</v>
      </c>
    </row>
    <row r="97" spans="1:38" ht="28.8" x14ac:dyDescent="0.3">
      <c r="A97" s="5" t="s">
        <v>1738</v>
      </c>
      <c r="B97" s="1"/>
      <c r="C97" s="5"/>
      <c r="D97" s="1"/>
      <c r="E97" s="1"/>
      <c r="F97" s="1"/>
      <c r="G97" s="1"/>
      <c r="O97" s="1" t="s">
        <v>1744</v>
      </c>
      <c r="AJ97" s="2">
        <f t="shared" si="2"/>
        <v>1</v>
      </c>
      <c r="AL97" s="2">
        <f t="shared" si="3"/>
        <v>1</v>
      </c>
    </row>
    <row r="98" spans="1:38" ht="28.8" x14ac:dyDescent="0.3">
      <c r="A98" s="5" t="s">
        <v>1739</v>
      </c>
      <c r="B98" s="1"/>
      <c r="C98" s="5"/>
      <c r="D98" s="1"/>
      <c r="E98" s="1"/>
      <c r="F98" s="1"/>
      <c r="G98" s="1"/>
      <c r="O98" s="1" t="s">
        <v>1745</v>
      </c>
      <c r="AJ98" s="2">
        <f t="shared" si="2"/>
        <v>1</v>
      </c>
      <c r="AL98" s="2">
        <f t="shared" si="3"/>
        <v>1</v>
      </c>
    </row>
    <row r="99" spans="1:38" ht="28.8" x14ac:dyDescent="0.3">
      <c r="A99" s="5" t="s">
        <v>1740</v>
      </c>
      <c r="B99" s="1"/>
      <c r="C99" s="5"/>
      <c r="D99" s="1"/>
      <c r="E99" s="1"/>
      <c r="F99" s="1"/>
      <c r="G99" s="1"/>
      <c r="O99" s="1" t="s">
        <v>1746</v>
      </c>
      <c r="AJ99" s="2">
        <f t="shared" si="2"/>
        <v>1</v>
      </c>
      <c r="AL99" s="2">
        <f t="shared" si="3"/>
        <v>1</v>
      </c>
    </row>
    <row r="100" spans="1:38" ht="28.8" x14ac:dyDescent="0.3">
      <c r="A100" s="5" t="s">
        <v>1741</v>
      </c>
      <c r="B100" s="1"/>
      <c r="C100" s="5"/>
      <c r="D100" s="1"/>
      <c r="E100" s="1"/>
      <c r="F100" s="1"/>
      <c r="G100" s="1"/>
      <c r="O100" s="1" t="s">
        <v>1747</v>
      </c>
      <c r="AJ100" s="2">
        <f t="shared" si="2"/>
        <v>1</v>
      </c>
      <c r="AL100" s="2">
        <f t="shared" si="3"/>
        <v>1</v>
      </c>
    </row>
    <row r="101" spans="1:38" ht="28.8" x14ac:dyDescent="0.3">
      <c r="A101" s="5" t="s">
        <v>1742</v>
      </c>
      <c r="B101" s="1"/>
      <c r="C101" s="5"/>
      <c r="D101" s="1"/>
      <c r="E101" s="1"/>
      <c r="F101" s="1"/>
      <c r="G101" s="1"/>
      <c r="O101" s="1" t="s">
        <v>1748</v>
      </c>
      <c r="AJ101" s="2">
        <f t="shared" si="2"/>
        <v>1</v>
      </c>
      <c r="AL101" s="2">
        <f t="shared" si="3"/>
        <v>1</v>
      </c>
    </row>
    <row r="102" spans="1:38" ht="28.8" x14ac:dyDescent="0.3">
      <c r="A102" s="5" t="s">
        <v>1743</v>
      </c>
      <c r="B102" s="1"/>
      <c r="C102" s="5"/>
      <c r="D102" s="1"/>
      <c r="E102" s="1"/>
      <c r="F102" s="1"/>
      <c r="G102" s="1"/>
      <c r="O102" s="1" t="s">
        <v>1749</v>
      </c>
      <c r="AJ102" s="2">
        <f t="shared" si="2"/>
        <v>1</v>
      </c>
      <c r="AL102" s="2">
        <f t="shared" si="3"/>
        <v>1</v>
      </c>
    </row>
    <row r="103" spans="1:38" ht="28.8" x14ac:dyDescent="0.3">
      <c r="A103" s="5" t="s">
        <v>1750</v>
      </c>
      <c r="B103" s="1"/>
      <c r="C103" s="5"/>
      <c r="D103" s="1"/>
      <c r="E103" s="1"/>
      <c r="F103" s="1"/>
      <c r="G103" s="1"/>
      <c r="O103" s="1" t="s">
        <v>1761</v>
      </c>
      <c r="AJ103" s="2">
        <f t="shared" si="2"/>
        <v>1</v>
      </c>
      <c r="AL103" s="2">
        <f t="shared" si="3"/>
        <v>1</v>
      </c>
    </row>
    <row r="104" spans="1:38" ht="28.8" x14ac:dyDescent="0.3">
      <c r="A104" s="5" t="s">
        <v>1751</v>
      </c>
      <c r="B104" s="1"/>
      <c r="C104" s="5"/>
      <c r="D104" s="1"/>
      <c r="E104" s="1"/>
      <c r="F104" s="1"/>
      <c r="G104" s="1"/>
      <c r="O104" s="1" t="s">
        <v>1300</v>
      </c>
      <c r="AJ104" s="2">
        <f t="shared" si="2"/>
        <v>1</v>
      </c>
      <c r="AL104" s="2">
        <f t="shared" si="3"/>
        <v>1</v>
      </c>
    </row>
    <row r="105" spans="1:38" ht="28.8" x14ac:dyDescent="0.3">
      <c r="A105" s="5" t="s">
        <v>1752</v>
      </c>
      <c r="B105" s="1"/>
      <c r="C105" s="5"/>
      <c r="D105" s="1"/>
      <c r="E105" s="1"/>
      <c r="F105" s="1"/>
      <c r="G105" s="1"/>
      <c r="O105" s="1" t="s">
        <v>1301</v>
      </c>
      <c r="AJ105" s="2">
        <f t="shared" si="2"/>
        <v>1</v>
      </c>
      <c r="AL105" s="2">
        <f t="shared" si="3"/>
        <v>1</v>
      </c>
    </row>
    <row r="106" spans="1:38" ht="28.8" x14ac:dyDescent="0.3">
      <c r="A106" s="5" t="s">
        <v>1753</v>
      </c>
      <c r="B106" s="1"/>
      <c r="C106" s="5"/>
      <c r="D106" s="1"/>
      <c r="E106" s="1"/>
      <c r="F106" s="1"/>
      <c r="G106" s="1"/>
      <c r="O106" s="1" t="s">
        <v>1302</v>
      </c>
      <c r="AJ106" s="2">
        <f t="shared" si="2"/>
        <v>1</v>
      </c>
      <c r="AL106" s="2">
        <f t="shared" si="3"/>
        <v>1</v>
      </c>
    </row>
    <row r="107" spans="1:38" ht="28.8" x14ac:dyDescent="0.3">
      <c r="A107" s="5" t="s">
        <v>1754</v>
      </c>
      <c r="B107" s="1"/>
      <c r="C107" s="5"/>
      <c r="D107" s="1"/>
      <c r="E107" s="1"/>
      <c r="F107" s="1"/>
      <c r="G107" s="1"/>
      <c r="O107" s="1" t="s">
        <v>1303</v>
      </c>
      <c r="AJ107" s="2">
        <f t="shared" si="2"/>
        <v>1</v>
      </c>
      <c r="AL107" s="2">
        <f t="shared" si="3"/>
        <v>1</v>
      </c>
    </row>
    <row r="108" spans="1:38" ht="28.8" x14ac:dyDescent="0.3">
      <c r="A108" s="5" t="s">
        <v>1755</v>
      </c>
      <c r="B108" s="1"/>
      <c r="C108" s="5"/>
      <c r="D108" s="1"/>
      <c r="E108" s="1"/>
      <c r="F108" s="1"/>
      <c r="G108" s="1"/>
      <c r="O108" s="1" t="s">
        <v>1312</v>
      </c>
      <c r="AJ108" s="2">
        <f t="shared" si="2"/>
        <v>1</v>
      </c>
      <c r="AL108" s="2">
        <f t="shared" si="3"/>
        <v>1</v>
      </c>
    </row>
    <row r="109" spans="1:38" ht="28.8" x14ac:dyDescent="0.3">
      <c r="A109" s="5" t="s">
        <v>1756</v>
      </c>
      <c r="B109" s="1"/>
      <c r="C109" s="5"/>
      <c r="D109" s="1"/>
      <c r="E109" s="1"/>
      <c r="F109" s="1"/>
      <c r="G109" s="1"/>
      <c r="O109" s="1" t="s">
        <v>1313</v>
      </c>
      <c r="AJ109" s="2">
        <f t="shared" si="2"/>
        <v>1</v>
      </c>
      <c r="AL109" s="2">
        <f t="shared" si="3"/>
        <v>1</v>
      </c>
    </row>
    <row r="110" spans="1:38" ht="28.8" x14ac:dyDescent="0.3">
      <c r="A110" s="5" t="s">
        <v>1757</v>
      </c>
      <c r="B110" s="1"/>
      <c r="C110" s="5"/>
      <c r="D110" s="1"/>
      <c r="E110" s="1"/>
      <c r="F110" s="1"/>
      <c r="G110" s="1"/>
      <c r="O110" s="1" t="s">
        <v>1314</v>
      </c>
      <c r="AJ110" s="2">
        <f t="shared" si="2"/>
        <v>1</v>
      </c>
      <c r="AL110" s="2">
        <f t="shared" si="3"/>
        <v>1</v>
      </c>
    </row>
    <row r="111" spans="1:38" ht="28.8" x14ac:dyDescent="0.3">
      <c r="A111" s="5" t="s">
        <v>1758</v>
      </c>
      <c r="B111" s="1"/>
      <c r="C111" s="5"/>
      <c r="D111" s="1"/>
      <c r="E111" s="1"/>
      <c r="F111" s="1"/>
      <c r="G111" s="1"/>
      <c r="O111" s="1" t="s">
        <v>1315</v>
      </c>
      <c r="AJ111" s="2">
        <f t="shared" si="2"/>
        <v>1</v>
      </c>
      <c r="AL111" s="2">
        <f t="shared" si="3"/>
        <v>1</v>
      </c>
    </row>
    <row r="112" spans="1:38" ht="28.8" x14ac:dyDescent="0.3">
      <c r="A112" s="5" t="s">
        <v>1759</v>
      </c>
      <c r="B112" s="1"/>
      <c r="C112" s="5"/>
      <c r="D112" s="1"/>
      <c r="E112" s="1"/>
      <c r="F112" s="1"/>
      <c r="G112" s="1"/>
      <c r="O112" s="1" t="s">
        <v>1316</v>
      </c>
      <c r="AJ112" s="2">
        <f t="shared" si="2"/>
        <v>1</v>
      </c>
      <c r="AL112" s="2">
        <f t="shared" si="3"/>
        <v>1</v>
      </c>
    </row>
    <row r="113" spans="1:38" ht="28.8" x14ac:dyDescent="0.3">
      <c r="A113" s="5" t="s">
        <v>1760</v>
      </c>
      <c r="B113" s="1"/>
      <c r="C113" s="5"/>
      <c r="D113" s="1"/>
      <c r="E113" s="1"/>
      <c r="F113" s="1"/>
      <c r="G113" s="1"/>
      <c r="O113" s="1" t="s">
        <v>1317</v>
      </c>
      <c r="AJ113" s="2">
        <f t="shared" si="2"/>
        <v>1</v>
      </c>
      <c r="AL113" s="2">
        <f t="shared" si="3"/>
        <v>1</v>
      </c>
    </row>
    <row r="114" spans="1:38" x14ac:dyDescent="0.3">
      <c r="A114" s="5" t="s">
        <v>1924</v>
      </c>
      <c r="B114" s="1"/>
      <c r="C114" s="5"/>
      <c r="D114" s="1"/>
      <c r="E114" s="1"/>
      <c r="F114" s="1"/>
      <c r="G114" s="1"/>
      <c r="P114" s="30" t="s">
        <v>933</v>
      </c>
      <c r="AJ114" s="2">
        <f t="shared" si="2"/>
        <v>1</v>
      </c>
      <c r="AL114" s="2">
        <f t="shared" si="3"/>
        <v>0</v>
      </c>
    </row>
    <row r="115" spans="1:38" ht="28.8" x14ac:dyDescent="0.3">
      <c r="A115" s="5" t="s">
        <v>1925</v>
      </c>
      <c r="B115" s="1"/>
      <c r="C115" s="5"/>
      <c r="D115" s="1"/>
      <c r="E115" s="1"/>
      <c r="F115" s="1"/>
      <c r="G115" s="1"/>
      <c r="P115" s="30" t="s">
        <v>936</v>
      </c>
      <c r="AJ115" s="2">
        <f t="shared" si="2"/>
        <v>1</v>
      </c>
      <c r="AL115" s="2">
        <f t="shared" si="3"/>
        <v>0</v>
      </c>
    </row>
    <row r="116" spans="1:38" x14ac:dyDescent="0.3">
      <c r="A116" s="5" t="s">
        <v>1926</v>
      </c>
      <c r="B116" s="1"/>
      <c r="C116" s="5"/>
      <c r="D116" s="1"/>
      <c r="E116" s="1"/>
      <c r="F116" s="1"/>
      <c r="G116" s="1"/>
      <c r="P116" s="54" t="s">
        <v>1170</v>
      </c>
      <c r="AE116" s="1" t="s">
        <v>1180</v>
      </c>
      <c r="AJ116" s="2">
        <f t="shared" si="2"/>
        <v>2</v>
      </c>
      <c r="AL116" s="2">
        <f t="shared" si="3"/>
        <v>0</v>
      </c>
    </row>
    <row r="117" spans="1:38" x14ac:dyDescent="0.3">
      <c r="A117" s="5" t="s">
        <v>1927</v>
      </c>
      <c r="B117" s="1"/>
      <c r="C117" s="5"/>
      <c r="D117" s="1"/>
      <c r="E117" s="1"/>
      <c r="F117" s="1"/>
      <c r="G117" s="1"/>
      <c r="P117" s="30" t="s">
        <v>935</v>
      </c>
      <c r="AJ117" s="2">
        <f t="shared" si="2"/>
        <v>1</v>
      </c>
      <c r="AL117" s="2">
        <f t="shared" si="3"/>
        <v>0</v>
      </c>
    </row>
    <row r="118" spans="1:38" x14ac:dyDescent="0.3">
      <c r="A118" s="5" t="s">
        <v>1561</v>
      </c>
      <c r="B118" s="1"/>
      <c r="C118" s="5"/>
      <c r="D118" s="1"/>
      <c r="E118" s="1"/>
      <c r="F118" s="1"/>
      <c r="G118" s="1"/>
      <c r="N118" s="54" t="s">
        <v>1559</v>
      </c>
      <c r="S118" s="54" t="s">
        <v>431</v>
      </c>
      <c r="U118" s="53" t="s">
        <v>903</v>
      </c>
      <c r="V118" s="53" t="s">
        <v>264</v>
      </c>
      <c r="Z118" s="53" t="s">
        <v>39</v>
      </c>
      <c r="AE118" s="53" t="s">
        <v>10</v>
      </c>
      <c r="AG118" s="54" t="s">
        <v>1194</v>
      </c>
      <c r="AH118" s="1" t="s">
        <v>1026</v>
      </c>
      <c r="AJ118" s="2">
        <f t="shared" si="2"/>
        <v>8</v>
      </c>
      <c r="AL118" s="2">
        <f t="shared" si="3"/>
        <v>2</v>
      </c>
    </row>
    <row r="119" spans="1:38" x14ac:dyDescent="0.3">
      <c r="A119" s="5" t="s">
        <v>2246</v>
      </c>
      <c r="B119" s="1"/>
      <c r="C119" s="5"/>
      <c r="D119" s="1"/>
      <c r="E119" s="1"/>
      <c r="F119" s="1"/>
      <c r="G119" s="1"/>
      <c r="S119" s="53" t="s">
        <v>432</v>
      </c>
      <c r="U119" s="53" t="s">
        <v>901</v>
      </c>
      <c r="V119" s="53" t="s">
        <v>265</v>
      </c>
      <c r="Z119" s="53" t="s">
        <v>421</v>
      </c>
      <c r="AB119" s="54" t="s">
        <v>2762</v>
      </c>
      <c r="AE119" s="53" t="s">
        <v>181</v>
      </c>
      <c r="AG119" s="54" t="s">
        <v>1196</v>
      </c>
      <c r="AH119" s="1" t="s">
        <v>1029</v>
      </c>
      <c r="AJ119" s="2">
        <f t="shared" si="2"/>
        <v>8</v>
      </c>
      <c r="AL119" s="2">
        <f t="shared" si="3"/>
        <v>1</v>
      </c>
    </row>
    <row r="120" spans="1:38" x14ac:dyDescent="0.3">
      <c r="A120" s="5" t="s">
        <v>2247</v>
      </c>
      <c r="B120" s="1"/>
      <c r="C120" s="5"/>
      <c r="D120" s="1"/>
      <c r="E120" s="1"/>
      <c r="F120" s="1"/>
      <c r="G120" s="1"/>
      <c r="S120" s="1" t="s">
        <v>433</v>
      </c>
      <c r="AJ120" s="2">
        <f t="shared" si="2"/>
        <v>1</v>
      </c>
      <c r="AL120" s="2">
        <f t="shared" si="3"/>
        <v>1</v>
      </c>
    </row>
    <row r="121" spans="1:38" x14ac:dyDescent="0.3">
      <c r="A121" s="5" t="s">
        <v>3034</v>
      </c>
      <c r="B121" s="1"/>
      <c r="C121" s="5"/>
      <c r="D121" s="1"/>
      <c r="E121" s="1"/>
      <c r="F121" s="1"/>
      <c r="G121" s="1"/>
      <c r="AG121" s="54" t="s">
        <v>1021</v>
      </c>
      <c r="AH121" s="1" t="s">
        <v>1027</v>
      </c>
      <c r="AJ121" s="2">
        <f t="shared" si="2"/>
        <v>2</v>
      </c>
      <c r="AL121" s="2">
        <f t="shared" si="3"/>
        <v>0</v>
      </c>
    </row>
    <row r="122" spans="1:38" x14ac:dyDescent="0.3">
      <c r="A122" s="5" t="s">
        <v>2763</v>
      </c>
      <c r="B122" s="1"/>
      <c r="C122" s="5"/>
      <c r="D122" s="1"/>
      <c r="E122" s="1"/>
      <c r="F122" s="1"/>
      <c r="G122" s="1"/>
      <c r="AB122" s="54" t="s">
        <v>2179</v>
      </c>
      <c r="AE122" s="1" t="s">
        <v>183</v>
      </c>
      <c r="AJ122" s="2">
        <f t="shared" si="2"/>
        <v>2</v>
      </c>
      <c r="AL122" s="2">
        <f t="shared" si="3"/>
        <v>0</v>
      </c>
    </row>
    <row r="123" spans="1:38" x14ac:dyDescent="0.3">
      <c r="A123" s="5" t="s">
        <v>1928</v>
      </c>
      <c r="B123" s="1"/>
      <c r="C123" s="5"/>
      <c r="D123" s="1"/>
      <c r="E123" s="1"/>
      <c r="F123" s="1"/>
      <c r="G123" s="1"/>
      <c r="P123" s="30" t="s">
        <v>938</v>
      </c>
      <c r="AJ123" s="2">
        <f t="shared" si="2"/>
        <v>1</v>
      </c>
      <c r="AL123" s="2">
        <f t="shared" si="3"/>
        <v>0</v>
      </c>
    </row>
    <row r="124" spans="1:38" ht="28.8" x14ac:dyDescent="0.3">
      <c r="A124" s="5" t="s">
        <v>1929</v>
      </c>
      <c r="B124" s="1"/>
      <c r="C124" s="5"/>
      <c r="D124" s="1"/>
      <c r="E124" s="1"/>
      <c r="F124" s="1"/>
      <c r="G124" s="1"/>
      <c r="P124" s="30" t="s">
        <v>940</v>
      </c>
      <c r="AJ124" s="2">
        <f t="shared" si="2"/>
        <v>1</v>
      </c>
      <c r="AL124" s="2">
        <f t="shared" si="3"/>
        <v>0</v>
      </c>
    </row>
    <row r="125" spans="1:38" x14ac:dyDescent="0.3">
      <c r="A125" s="5" t="s">
        <v>1930</v>
      </c>
      <c r="B125" s="1"/>
      <c r="C125" s="5"/>
      <c r="D125" s="1"/>
      <c r="E125" s="1"/>
      <c r="F125" s="1"/>
      <c r="G125" s="1"/>
      <c r="P125" s="30" t="s">
        <v>941</v>
      </c>
      <c r="AJ125" s="2">
        <f t="shared" si="2"/>
        <v>1</v>
      </c>
      <c r="AL125" s="2">
        <f t="shared" si="3"/>
        <v>0</v>
      </c>
    </row>
    <row r="126" spans="1:38" ht="28.8" x14ac:dyDescent="0.3">
      <c r="A126" s="5" t="s">
        <v>1931</v>
      </c>
      <c r="B126" s="1"/>
      <c r="C126" s="5"/>
      <c r="D126" s="1"/>
      <c r="E126" s="1"/>
      <c r="F126" s="1"/>
      <c r="G126" s="1"/>
      <c r="P126" s="30" t="s">
        <v>943</v>
      </c>
      <c r="AJ126" s="2">
        <f t="shared" si="2"/>
        <v>1</v>
      </c>
      <c r="AL126" s="2">
        <f t="shared" si="3"/>
        <v>0</v>
      </c>
    </row>
    <row r="127" spans="1:38" ht="28.8" x14ac:dyDescent="0.3">
      <c r="A127" s="5" t="s">
        <v>1932</v>
      </c>
      <c r="B127" s="1"/>
      <c r="C127" s="5"/>
      <c r="D127" s="1"/>
      <c r="E127" s="1"/>
      <c r="F127" s="1"/>
      <c r="G127" s="1"/>
      <c r="P127" s="30" t="s">
        <v>944</v>
      </c>
      <c r="AJ127" s="2">
        <f t="shared" si="2"/>
        <v>1</v>
      </c>
      <c r="AL127" s="2">
        <f t="shared" si="3"/>
        <v>0</v>
      </c>
    </row>
    <row r="128" spans="1:38" ht="28.8" x14ac:dyDescent="0.3">
      <c r="A128" s="5" t="s">
        <v>2019</v>
      </c>
      <c r="B128" s="1"/>
      <c r="C128" s="5"/>
      <c r="D128" s="1"/>
      <c r="E128" s="1"/>
      <c r="F128" s="1"/>
      <c r="G128" s="1"/>
      <c r="Q128" s="54" t="s">
        <v>1006</v>
      </c>
      <c r="R128" s="1" t="s">
        <v>2020</v>
      </c>
      <c r="AJ128" s="2">
        <f t="shared" si="2"/>
        <v>2</v>
      </c>
      <c r="AL128" s="2">
        <f t="shared" si="3"/>
        <v>1</v>
      </c>
    </row>
    <row r="129" spans="1:38" ht="28.8" x14ac:dyDescent="0.3">
      <c r="A129" s="5" t="s">
        <v>2177</v>
      </c>
      <c r="B129" s="1"/>
      <c r="C129" s="5"/>
      <c r="D129" s="1"/>
      <c r="E129" s="1"/>
      <c r="F129" s="1"/>
      <c r="G129" s="1"/>
      <c r="Q129" s="54" t="s">
        <v>1447</v>
      </c>
      <c r="R129" s="1" t="s">
        <v>2178</v>
      </c>
      <c r="AJ129" s="2">
        <f t="shared" si="2"/>
        <v>2</v>
      </c>
      <c r="AL129" s="2">
        <f t="shared" si="3"/>
        <v>1</v>
      </c>
    </row>
    <row r="130" spans="1:38" ht="28.8" x14ac:dyDescent="0.3">
      <c r="A130" s="5" t="s">
        <v>2180</v>
      </c>
      <c r="B130" s="1"/>
      <c r="C130" s="5"/>
      <c r="D130" s="1"/>
      <c r="E130" s="1"/>
      <c r="F130" s="1"/>
      <c r="G130" s="1"/>
      <c r="Q130" s="54" t="s">
        <v>1448</v>
      </c>
      <c r="R130" s="1" t="s">
        <v>2179</v>
      </c>
      <c r="AJ130" s="2">
        <f t="shared" si="2"/>
        <v>2</v>
      </c>
      <c r="AL130" s="2">
        <f t="shared" si="3"/>
        <v>1</v>
      </c>
    </row>
    <row r="131" spans="1:38" ht="28.8" x14ac:dyDescent="0.3">
      <c r="A131" s="5" t="s">
        <v>2241</v>
      </c>
      <c r="B131" s="1"/>
      <c r="C131" s="5"/>
      <c r="D131" s="1"/>
      <c r="E131" s="1"/>
      <c r="F131" s="1"/>
      <c r="G131" s="1"/>
      <c r="S131" s="54" t="s">
        <v>190</v>
      </c>
      <c r="V131" s="1" t="s">
        <v>187</v>
      </c>
      <c r="AJ131" s="2">
        <f t="shared" ref="AJ131:AJ194" si="4">COUNTA(B131:AH131)</f>
        <v>2</v>
      </c>
      <c r="AL131" s="2">
        <f t="shared" si="3"/>
        <v>1</v>
      </c>
    </row>
    <row r="132" spans="1:38" x14ac:dyDescent="0.3">
      <c r="A132" s="5" t="s">
        <v>2293</v>
      </c>
      <c r="B132" s="1"/>
      <c r="C132" s="5"/>
      <c r="D132" s="1"/>
      <c r="E132" s="1"/>
      <c r="F132" s="1"/>
      <c r="G132" s="1"/>
      <c r="S132" s="1" t="s">
        <v>911</v>
      </c>
      <c r="AJ132" s="2">
        <f t="shared" si="4"/>
        <v>1</v>
      </c>
      <c r="AL132" s="2">
        <f t="shared" ref="AL132:AL195" si="5">COUNTA(F132:O132,R132:S132)</f>
        <v>1</v>
      </c>
    </row>
    <row r="133" spans="1:38" ht="28.8" x14ac:dyDescent="0.3">
      <c r="A133" s="5" t="s">
        <v>2294</v>
      </c>
      <c r="B133" s="1"/>
      <c r="C133" s="5"/>
      <c r="D133" s="1"/>
      <c r="E133" s="1"/>
      <c r="F133" s="1"/>
      <c r="G133" s="1"/>
      <c r="S133" s="1" t="s">
        <v>912</v>
      </c>
      <c r="AJ133" s="2">
        <f t="shared" si="4"/>
        <v>1</v>
      </c>
      <c r="AL133" s="2">
        <f t="shared" si="5"/>
        <v>1</v>
      </c>
    </row>
    <row r="134" spans="1:38" ht="28.8" x14ac:dyDescent="0.3">
      <c r="A134" s="5" t="s">
        <v>2312</v>
      </c>
      <c r="B134" s="1"/>
      <c r="C134" s="5"/>
      <c r="D134" s="1"/>
      <c r="E134" s="1"/>
      <c r="F134" s="1"/>
      <c r="G134" s="1"/>
      <c r="T134" s="1" t="s">
        <v>981</v>
      </c>
      <c r="AJ134" s="2">
        <f t="shared" si="4"/>
        <v>1</v>
      </c>
      <c r="AL134" s="2">
        <f t="shared" si="5"/>
        <v>0</v>
      </c>
    </row>
    <row r="135" spans="1:38" ht="28.8" x14ac:dyDescent="0.3">
      <c r="A135" s="5" t="s">
        <v>2475</v>
      </c>
      <c r="B135" s="1"/>
      <c r="C135" s="5"/>
      <c r="D135" s="1"/>
      <c r="E135" s="1"/>
      <c r="F135" s="1"/>
      <c r="G135" s="1"/>
      <c r="U135" s="1" t="s">
        <v>1746</v>
      </c>
      <c r="AJ135" s="2">
        <f t="shared" si="4"/>
        <v>1</v>
      </c>
      <c r="AL135" s="2">
        <f t="shared" si="5"/>
        <v>0</v>
      </c>
    </row>
    <row r="136" spans="1:38" ht="28.8" x14ac:dyDescent="0.3">
      <c r="A136" s="5" t="s">
        <v>2344</v>
      </c>
      <c r="B136" s="1"/>
      <c r="C136" s="5"/>
      <c r="D136" s="1"/>
      <c r="E136" s="1"/>
      <c r="F136" s="1"/>
      <c r="G136" s="1"/>
      <c r="T136" s="1" t="s">
        <v>1204</v>
      </c>
      <c r="AJ136" s="2">
        <f t="shared" si="4"/>
        <v>1</v>
      </c>
      <c r="AL136" s="2">
        <f t="shared" si="5"/>
        <v>0</v>
      </c>
    </row>
    <row r="137" spans="1:38" x14ac:dyDescent="0.3">
      <c r="A137" s="5" t="s">
        <v>2345</v>
      </c>
      <c r="B137" s="1"/>
      <c r="C137" s="5"/>
      <c r="D137" s="1"/>
      <c r="E137" s="1"/>
      <c r="F137" s="1"/>
      <c r="G137" s="1"/>
      <c r="T137" s="54" t="s">
        <v>1045</v>
      </c>
      <c r="U137" s="53" t="s">
        <v>1735</v>
      </c>
      <c r="V137" s="53" t="s">
        <v>533</v>
      </c>
      <c r="Z137" s="53" t="s">
        <v>521</v>
      </c>
      <c r="AB137" s="54" t="s">
        <v>2186</v>
      </c>
      <c r="AC137" s="53" t="s">
        <v>1972</v>
      </c>
      <c r="AD137" s="53" t="s">
        <v>2903</v>
      </c>
      <c r="AE137" s="53" t="s">
        <v>1179</v>
      </c>
      <c r="AG137" s="1" t="s">
        <v>990</v>
      </c>
      <c r="AJ137" s="2">
        <f t="shared" si="4"/>
        <v>9</v>
      </c>
      <c r="AL137" s="2">
        <f t="shared" si="5"/>
        <v>0</v>
      </c>
    </row>
    <row r="138" spans="1:38" x14ac:dyDescent="0.3">
      <c r="A138" s="5" t="s">
        <v>2904</v>
      </c>
      <c r="B138" s="1"/>
      <c r="C138" s="5"/>
      <c r="D138" s="1"/>
      <c r="E138" s="1"/>
      <c r="F138" s="1"/>
      <c r="G138" s="1"/>
      <c r="AD138" s="1" t="s">
        <v>2905</v>
      </c>
      <c r="AJ138" s="2">
        <f t="shared" si="4"/>
        <v>1</v>
      </c>
      <c r="AL138" s="2">
        <f t="shared" si="5"/>
        <v>0</v>
      </c>
    </row>
    <row r="139" spans="1:38" x14ac:dyDescent="0.3">
      <c r="A139" s="5" t="s">
        <v>2346</v>
      </c>
      <c r="B139" s="1"/>
      <c r="C139" s="5"/>
      <c r="D139" s="1"/>
      <c r="E139" s="1"/>
      <c r="F139" s="1"/>
      <c r="G139" s="1"/>
      <c r="T139" s="54" t="s">
        <v>1046</v>
      </c>
      <c r="AD139" s="1" t="s">
        <v>2906</v>
      </c>
      <c r="AJ139" s="2">
        <f t="shared" si="4"/>
        <v>2</v>
      </c>
      <c r="AL139" s="2">
        <f t="shared" si="5"/>
        <v>0</v>
      </c>
    </row>
    <row r="140" spans="1:38" x14ac:dyDescent="0.3">
      <c r="A140" s="5" t="s">
        <v>2908</v>
      </c>
      <c r="B140" s="1"/>
      <c r="C140" s="5"/>
      <c r="D140" s="1"/>
      <c r="E140" s="1"/>
      <c r="F140" s="1"/>
      <c r="G140" s="1"/>
      <c r="AD140" s="1" t="s">
        <v>2907</v>
      </c>
      <c r="AJ140" s="2">
        <f t="shared" si="4"/>
        <v>1</v>
      </c>
      <c r="AL140" s="2">
        <f t="shared" si="5"/>
        <v>0</v>
      </c>
    </row>
    <row r="141" spans="1:38" ht="28.8" x14ac:dyDescent="0.3">
      <c r="A141" s="5" t="s">
        <v>2347</v>
      </c>
      <c r="B141" s="1"/>
      <c r="C141" s="5"/>
      <c r="D141" s="1"/>
      <c r="E141" s="1"/>
      <c r="F141" s="1"/>
      <c r="G141" s="1"/>
      <c r="T141" s="1" t="s">
        <v>2079</v>
      </c>
      <c r="AJ141" s="2">
        <f t="shared" si="4"/>
        <v>1</v>
      </c>
      <c r="AL141" s="2">
        <f t="shared" si="5"/>
        <v>0</v>
      </c>
    </row>
    <row r="142" spans="1:38" ht="43.2" x14ac:dyDescent="0.3">
      <c r="A142" s="5" t="s">
        <v>2494</v>
      </c>
      <c r="B142" s="1"/>
      <c r="C142" s="5"/>
      <c r="D142" s="1"/>
      <c r="E142" s="1"/>
      <c r="F142" s="1"/>
      <c r="G142" s="1"/>
      <c r="U142" s="1" t="s">
        <v>2495</v>
      </c>
      <c r="AJ142" s="2">
        <f t="shared" si="4"/>
        <v>1</v>
      </c>
      <c r="AL142" s="2">
        <f t="shared" si="5"/>
        <v>0</v>
      </c>
    </row>
    <row r="143" spans="1:38" ht="28.8" x14ac:dyDescent="0.3">
      <c r="A143" s="5" t="s">
        <v>2348</v>
      </c>
      <c r="B143" s="1"/>
      <c r="C143" s="5"/>
      <c r="D143" s="1"/>
      <c r="E143" s="1"/>
      <c r="F143" s="1"/>
      <c r="G143" s="1"/>
      <c r="T143" s="1" t="s">
        <v>2081</v>
      </c>
      <c r="AJ143" s="2">
        <f t="shared" si="4"/>
        <v>1</v>
      </c>
      <c r="AL143" s="2">
        <f t="shared" si="5"/>
        <v>0</v>
      </c>
    </row>
    <row r="144" spans="1:38" ht="28.8" x14ac:dyDescent="0.3">
      <c r="A144" s="5" t="s">
        <v>2913</v>
      </c>
      <c r="B144" s="1"/>
      <c r="C144" s="5"/>
      <c r="D144" s="1"/>
      <c r="E144" s="1"/>
      <c r="F144" s="1"/>
      <c r="G144" s="1"/>
      <c r="AD144" s="1" t="s">
        <v>2914</v>
      </c>
      <c r="AJ144" s="2">
        <f t="shared" si="4"/>
        <v>1</v>
      </c>
      <c r="AL144" s="2">
        <f t="shared" si="5"/>
        <v>0</v>
      </c>
    </row>
    <row r="145" spans="1:38" x14ac:dyDescent="0.3">
      <c r="A145" s="5" t="s">
        <v>2832</v>
      </c>
      <c r="B145" s="1"/>
      <c r="C145" s="5"/>
      <c r="D145" s="1"/>
      <c r="E145" s="1"/>
      <c r="F145" s="1"/>
      <c r="G145" s="1"/>
      <c r="AD145" s="1" t="s">
        <v>2915</v>
      </c>
      <c r="AJ145" s="2">
        <f t="shared" si="4"/>
        <v>1</v>
      </c>
      <c r="AL145" s="2">
        <f t="shared" si="5"/>
        <v>0</v>
      </c>
    </row>
    <row r="146" spans="1:38" x14ac:dyDescent="0.3">
      <c r="A146" s="5" t="s">
        <v>2349</v>
      </c>
      <c r="B146" s="1"/>
      <c r="C146" s="5"/>
      <c r="D146" s="1"/>
      <c r="E146" s="1"/>
      <c r="F146" s="1"/>
      <c r="G146" s="1"/>
      <c r="T146" s="54" t="s">
        <v>2083</v>
      </c>
      <c r="AG146" s="54" t="s">
        <v>1016</v>
      </c>
      <c r="AH146" s="1" t="s">
        <v>1023</v>
      </c>
      <c r="AJ146" s="2">
        <f t="shared" si="4"/>
        <v>3</v>
      </c>
      <c r="AL146" s="2">
        <f t="shared" si="5"/>
        <v>0</v>
      </c>
    </row>
    <row r="147" spans="1:38" ht="43.2" x14ac:dyDescent="0.3">
      <c r="A147" s="5" t="s">
        <v>2427</v>
      </c>
      <c r="B147" s="1"/>
      <c r="C147" s="5"/>
      <c r="D147" s="1"/>
      <c r="E147" s="1"/>
      <c r="F147" s="1"/>
      <c r="G147" s="1"/>
      <c r="U147" s="1" t="s">
        <v>898</v>
      </c>
      <c r="AJ147" s="2">
        <f t="shared" si="4"/>
        <v>1</v>
      </c>
      <c r="AL147" s="2">
        <f t="shared" si="5"/>
        <v>0</v>
      </c>
    </row>
    <row r="148" spans="1:38" ht="43.2" x14ac:dyDescent="0.3">
      <c r="A148" s="5" t="s">
        <v>2964</v>
      </c>
      <c r="B148" s="1"/>
      <c r="C148" s="5"/>
      <c r="D148" s="1"/>
      <c r="E148" s="1"/>
      <c r="F148" s="1"/>
      <c r="G148" s="1"/>
      <c r="AE148" s="1" t="s">
        <v>425</v>
      </c>
      <c r="AJ148" s="2">
        <f t="shared" si="4"/>
        <v>1</v>
      </c>
      <c r="AL148" s="2">
        <f t="shared" si="5"/>
        <v>0</v>
      </c>
    </row>
    <row r="149" spans="1:38" ht="28.8" x14ac:dyDescent="0.3">
      <c r="A149" s="5" t="s">
        <v>2428</v>
      </c>
      <c r="B149" s="1"/>
      <c r="C149" s="5"/>
      <c r="D149" s="1"/>
      <c r="E149" s="1"/>
      <c r="F149" s="1"/>
      <c r="G149" s="1"/>
      <c r="U149" s="1" t="s">
        <v>880</v>
      </c>
      <c r="AJ149" s="2">
        <f t="shared" si="4"/>
        <v>1</v>
      </c>
      <c r="AL149" s="2">
        <f t="shared" si="5"/>
        <v>0</v>
      </c>
    </row>
    <row r="150" spans="1:38" x14ac:dyDescent="0.3">
      <c r="A150" s="5" t="s">
        <v>2429</v>
      </c>
      <c r="B150" s="1"/>
      <c r="C150" s="5"/>
      <c r="D150" s="1"/>
      <c r="E150" s="1"/>
      <c r="F150" s="1"/>
      <c r="G150" s="1"/>
      <c r="U150" s="1" t="s">
        <v>899</v>
      </c>
      <c r="AJ150" s="2">
        <f t="shared" si="4"/>
        <v>1</v>
      </c>
      <c r="AL150" s="2">
        <f t="shared" si="5"/>
        <v>0</v>
      </c>
    </row>
    <row r="151" spans="1:38" ht="28.8" x14ac:dyDescent="0.3">
      <c r="A151" s="5" t="s">
        <v>2430</v>
      </c>
      <c r="B151" s="1"/>
      <c r="C151" s="5"/>
      <c r="D151" s="1"/>
      <c r="E151" s="1"/>
      <c r="F151" s="1"/>
      <c r="G151" s="1"/>
      <c r="U151" s="54" t="s">
        <v>900</v>
      </c>
      <c r="AE151" s="1" t="s">
        <v>427</v>
      </c>
      <c r="AJ151" s="2">
        <f t="shared" si="4"/>
        <v>2</v>
      </c>
      <c r="AL151" s="2">
        <f t="shared" si="5"/>
        <v>0</v>
      </c>
    </row>
    <row r="152" spans="1:38" x14ac:dyDescent="0.3">
      <c r="A152" s="5" t="s">
        <v>2431</v>
      </c>
      <c r="B152" s="1"/>
      <c r="C152" s="5"/>
      <c r="D152" s="1"/>
      <c r="E152" s="1"/>
      <c r="F152" s="1"/>
      <c r="G152" s="1"/>
      <c r="U152" s="1" t="s">
        <v>881</v>
      </c>
      <c r="AJ152" s="2">
        <f t="shared" si="4"/>
        <v>1</v>
      </c>
      <c r="AL152" s="2">
        <f t="shared" si="5"/>
        <v>0</v>
      </c>
    </row>
    <row r="153" spans="1:38" ht="57.6" x14ac:dyDescent="0.3">
      <c r="A153" s="5" t="s">
        <v>2556</v>
      </c>
      <c r="B153" s="1"/>
      <c r="C153" s="5"/>
      <c r="D153" s="1"/>
      <c r="E153" s="1"/>
      <c r="F153" s="1"/>
      <c r="G153" s="1"/>
      <c r="V153" s="1" t="s">
        <v>127</v>
      </c>
      <c r="AJ153" s="2">
        <f t="shared" si="4"/>
        <v>1</v>
      </c>
      <c r="AL153" s="2">
        <f t="shared" si="5"/>
        <v>0</v>
      </c>
    </row>
    <row r="154" spans="1:38" ht="28.8" x14ac:dyDescent="0.3">
      <c r="A154" s="5" t="s">
        <v>2557</v>
      </c>
      <c r="B154" s="1"/>
      <c r="C154" s="5"/>
      <c r="D154" s="1"/>
      <c r="E154" s="1"/>
      <c r="F154" s="1"/>
      <c r="G154" s="1"/>
      <c r="V154" s="54" t="s">
        <v>660</v>
      </c>
      <c r="AE154" s="1" t="s">
        <v>978</v>
      </c>
      <c r="AJ154" s="2">
        <f t="shared" si="4"/>
        <v>2</v>
      </c>
      <c r="AL154" s="2">
        <f t="shared" si="5"/>
        <v>0</v>
      </c>
    </row>
    <row r="155" spans="1:38" x14ac:dyDescent="0.3">
      <c r="A155" s="5" t="s">
        <v>2559</v>
      </c>
      <c r="B155" s="1"/>
      <c r="C155" s="5"/>
      <c r="D155" s="1"/>
      <c r="E155" s="1"/>
      <c r="F155" s="1"/>
      <c r="G155" s="1"/>
      <c r="V155" s="1" t="s">
        <v>547</v>
      </c>
      <c r="AJ155" s="2">
        <f t="shared" si="4"/>
        <v>1</v>
      </c>
      <c r="AL155" s="2">
        <f t="shared" si="5"/>
        <v>0</v>
      </c>
    </row>
    <row r="156" spans="1:38" ht="28.8" x14ac:dyDescent="0.3">
      <c r="A156" s="5" t="s">
        <v>2560</v>
      </c>
      <c r="B156" s="1"/>
      <c r="C156" s="5"/>
      <c r="D156" s="1"/>
      <c r="E156" s="1"/>
      <c r="F156" s="1"/>
      <c r="G156" s="1"/>
      <c r="V156" s="1" t="s">
        <v>549</v>
      </c>
      <c r="AJ156" s="2">
        <f t="shared" si="4"/>
        <v>1</v>
      </c>
      <c r="AL156" s="2">
        <f t="shared" si="5"/>
        <v>0</v>
      </c>
    </row>
    <row r="157" spans="1:38" ht="28.8" x14ac:dyDescent="0.3">
      <c r="A157" s="5" t="s">
        <v>2562</v>
      </c>
      <c r="B157" s="1"/>
      <c r="C157" s="5"/>
      <c r="D157" s="1"/>
      <c r="E157" s="1"/>
      <c r="F157" s="1"/>
      <c r="G157" s="1"/>
      <c r="V157" s="1" t="s">
        <v>293</v>
      </c>
      <c r="AJ157" s="2">
        <f t="shared" si="4"/>
        <v>1</v>
      </c>
      <c r="AL157" s="2">
        <f t="shared" si="5"/>
        <v>0</v>
      </c>
    </row>
    <row r="158" spans="1:38" x14ac:dyDescent="0.3">
      <c r="A158" s="5" t="s">
        <v>2564</v>
      </c>
      <c r="B158" s="1"/>
      <c r="C158" s="5"/>
      <c r="D158" s="1"/>
      <c r="E158" s="1"/>
      <c r="F158" s="1"/>
      <c r="G158" s="1"/>
      <c r="V158" s="1" t="s">
        <v>298</v>
      </c>
      <c r="AJ158" s="2">
        <f t="shared" si="4"/>
        <v>1</v>
      </c>
      <c r="AL158" s="2">
        <f t="shared" si="5"/>
        <v>0</v>
      </c>
    </row>
    <row r="159" spans="1:38" ht="43.2" x14ac:dyDescent="0.3">
      <c r="A159" s="5" t="s">
        <v>2573</v>
      </c>
      <c r="B159" s="1"/>
      <c r="C159" s="5"/>
      <c r="D159" s="1"/>
      <c r="E159" s="1"/>
      <c r="F159" s="1"/>
      <c r="G159" s="1"/>
      <c r="W159" s="1" t="s">
        <v>1437</v>
      </c>
      <c r="AJ159" s="2">
        <f t="shared" si="4"/>
        <v>1</v>
      </c>
      <c r="AL159" s="2">
        <f t="shared" si="5"/>
        <v>0</v>
      </c>
    </row>
    <row r="160" spans="1:38" ht="28.8" x14ac:dyDescent="0.3">
      <c r="A160" s="5" t="s">
        <v>2575</v>
      </c>
      <c r="B160" s="1"/>
      <c r="C160" s="5"/>
      <c r="D160" s="1"/>
      <c r="E160" s="1"/>
      <c r="F160" s="1"/>
      <c r="G160" s="1"/>
      <c r="W160" s="1" t="s">
        <v>1055</v>
      </c>
      <c r="AJ160" s="2">
        <f t="shared" si="4"/>
        <v>1</v>
      </c>
      <c r="AL160" s="2">
        <f t="shared" si="5"/>
        <v>0</v>
      </c>
    </row>
    <row r="161" spans="1:38" ht="28.8" x14ac:dyDescent="0.3">
      <c r="A161" s="5" t="s">
        <v>2576</v>
      </c>
      <c r="B161" s="1"/>
      <c r="C161" s="5"/>
      <c r="D161" s="1"/>
      <c r="E161" s="1"/>
      <c r="F161" s="1"/>
      <c r="G161" s="1"/>
      <c r="W161" s="54" t="s">
        <v>1056</v>
      </c>
      <c r="AA161" s="1" t="s">
        <v>2675</v>
      </c>
      <c r="AJ161" s="2">
        <f t="shared" si="4"/>
        <v>2</v>
      </c>
      <c r="AL161" s="2">
        <f t="shared" si="5"/>
        <v>0</v>
      </c>
    </row>
    <row r="162" spans="1:38" ht="28.8" x14ac:dyDescent="0.3">
      <c r="A162" s="5" t="s">
        <v>2967</v>
      </c>
      <c r="B162" s="1"/>
      <c r="C162" s="5"/>
      <c r="D162" s="1"/>
      <c r="E162" s="1"/>
      <c r="F162" s="1"/>
      <c r="G162" s="1"/>
      <c r="Z162" s="54" t="s">
        <v>189</v>
      </c>
      <c r="AE162" s="1" t="s">
        <v>226</v>
      </c>
      <c r="AJ162" s="2">
        <f t="shared" si="4"/>
        <v>2</v>
      </c>
      <c r="AL162" s="2">
        <f t="shared" si="5"/>
        <v>0</v>
      </c>
    </row>
    <row r="163" spans="1:38" ht="28.8" x14ac:dyDescent="0.3">
      <c r="A163" s="5" t="s">
        <v>2968</v>
      </c>
      <c r="B163" s="1"/>
      <c r="C163" s="5"/>
      <c r="D163" s="1"/>
      <c r="E163" s="1"/>
      <c r="F163" s="1"/>
      <c r="G163" s="1"/>
      <c r="AE163" s="1" t="s">
        <v>63</v>
      </c>
      <c r="AJ163" s="2">
        <f t="shared" si="4"/>
        <v>1</v>
      </c>
      <c r="AL163" s="2">
        <f t="shared" si="5"/>
        <v>0</v>
      </c>
    </row>
    <row r="164" spans="1:38" ht="28.8" x14ac:dyDescent="0.3">
      <c r="A164" s="5" t="s">
        <v>2629</v>
      </c>
      <c r="B164" s="1"/>
      <c r="C164" s="5"/>
      <c r="D164" s="1"/>
      <c r="E164" s="1"/>
      <c r="F164" s="1"/>
      <c r="G164" s="1"/>
      <c r="Z164" s="54" t="s">
        <v>656</v>
      </c>
      <c r="AG164" s="53" t="s">
        <v>999</v>
      </c>
      <c r="AH164" s="1" t="s">
        <v>1190</v>
      </c>
      <c r="AJ164" s="2">
        <f t="shared" si="4"/>
        <v>3</v>
      </c>
      <c r="AL164" s="2">
        <f t="shared" si="5"/>
        <v>0</v>
      </c>
    </row>
    <row r="165" spans="1:38" ht="28.8" x14ac:dyDescent="0.3">
      <c r="A165" s="5" t="s">
        <v>2630</v>
      </c>
      <c r="B165" s="1"/>
      <c r="C165" s="5"/>
      <c r="D165" s="1"/>
      <c r="E165" s="1"/>
      <c r="F165" s="1"/>
      <c r="G165" s="1"/>
      <c r="Z165" s="54" t="s">
        <v>506</v>
      </c>
      <c r="AG165" s="53" t="s">
        <v>1001</v>
      </c>
      <c r="AH165" s="1" t="s">
        <v>1005</v>
      </c>
      <c r="AJ165" s="2">
        <f t="shared" si="4"/>
        <v>3</v>
      </c>
      <c r="AL165" s="2">
        <f t="shared" si="5"/>
        <v>0</v>
      </c>
    </row>
    <row r="166" spans="1:38" ht="28.8" x14ac:dyDescent="0.3">
      <c r="A166" s="5" t="s">
        <v>2635</v>
      </c>
      <c r="B166" s="1"/>
      <c r="C166" s="5"/>
      <c r="D166" s="1"/>
      <c r="E166" s="1"/>
      <c r="F166" s="1"/>
      <c r="G166" s="1"/>
      <c r="Z166" s="1" t="s">
        <v>281</v>
      </c>
      <c r="AJ166" s="2">
        <f t="shared" si="4"/>
        <v>1</v>
      </c>
      <c r="AL166" s="2">
        <f t="shared" si="5"/>
        <v>0</v>
      </c>
    </row>
    <row r="167" spans="1:38" ht="28.8" x14ac:dyDescent="0.3">
      <c r="A167" s="5" t="s">
        <v>2671</v>
      </c>
      <c r="B167" s="1"/>
      <c r="C167" s="5"/>
      <c r="D167" s="1"/>
      <c r="E167" s="1"/>
      <c r="F167" s="1"/>
      <c r="G167" s="1"/>
      <c r="AA167" s="54" t="s">
        <v>2672</v>
      </c>
      <c r="AB167" s="1" t="s">
        <v>2768</v>
      </c>
      <c r="AJ167" s="2">
        <f t="shared" si="4"/>
        <v>2</v>
      </c>
      <c r="AL167" s="2">
        <f t="shared" si="5"/>
        <v>0</v>
      </c>
    </row>
    <row r="168" spans="1:38" ht="28.8" x14ac:dyDescent="0.3">
      <c r="A168" s="5" t="s">
        <v>2673</v>
      </c>
      <c r="B168" s="1"/>
      <c r="C168" s="5"/>
      <c r="D168" s="1"/>
      <c r="E168" s="1"/>
      <c r="F168" s="1"/>
      <c r="G168" s="1"/>
      <c r="AA168" s="54" t="s">
        <v>2674</v>
      </c>
      <c r="AB168" s="53" t="s">
        <v>2188</v>
      </c>
      <c r="AC168" s="1" t="s">
        <v>1990</v>
      </c>
      <c r="AJ168" s="2">
        <f t="shared" si="4"/>
        <v>3</v>
      </c>
      <c r="AL168" s="2">
        <f t="shared" si="5"/>
        <v>0</v>
      </c>
    </row>
    <row r="169" spans="1:38" x14ac:dyDescent="0.3">
      <c r="A169" s="5" t="s">
        <v>2677</v>
      </c>
      <c r="B169" s="1"/>
      <c r="C169" s="5"/>
      <c r="D169" s="1"/>
      <c r="E169" s="1"/>
      <c r="F169" s="1"/>
      <c r="G169" s="1"/>
      <c r="AA169" s="1" t="s">
        <v>2678</v>
      </c>
      <c r="AJ169" s="2">
        <f t="shared" si="4"/>
        <v>1</v>
      </c>
      <c r="AL169" s="2">
        <f t="shared" si="5"/>
        <v>0</v>
      </c>
    </row>
    <row r="170" spans="1:38" x14ac:dyDescent="0.3">
      <c r="A170" s="5" t="s">
        <v>2679</v>
      </c>
      <c r="B170" s="1"/>
      <c r="C170" s="5"/>
      <c r="D170" s="1"/>
      <c r="E170" s="1"/>
      <c r="F170" s="1"/>
      <c r="G170" s="1"/>
      <c r="AA170" s="1" t="s">
        <v>2680</v>
      </c>
      <c r="AJ170" s="2">
        <f t="shared" si="4"/>
        <v>1</v>
      </c>
      <c r="AL170" s="2">
        <f t="shared" si="5"/>
        <v>0</v>
      </c>
    </row>
    <row r="171" spans="1:38" ht="57.6" x14ac:dyDescent="0.3">
      <c r="A171" s="5" t="s">
        <v>2682</v>
      </c>
      <c r="B171" s="1"/>
      <c r="C171" s="5"/>
      <c r="D171" s="1"/>
      <c r="E171" s="1"/>
      <c r="F171" s="1"/>
      <c r="G171" s="1"/>
      <c r="AA171" s="54" t="s">
        <v>2681</v>
      </c>
      <c r="AB171" s="53" t="s">
        <v>2192</v>
      </c>
      <c r="AE171" s="1" t="s">
        <v>11</v>
      </c>
      <c r="AJ171" s="2">
        <f t="shared" si="4"/>
        <v>3</v>
      </c>
      <c r="AL171" s="2">
        <f t="shared" si="5"/>
        <v>0</v>
      </c>
    </row>
    <row r="172" spans="1:38" x14ac:dyDescent="0.3">
      <c r="A172" s="5" t="s">
        <v>3031</v>
      </c>
      <c r="B172" s="1"/>
      <c r="C172" s="5"/>
      <c r="D172" s="1"/>
      <c r="E172" s="1"/>
      <c r="F172" s="1"/>
      <c r="G172" s="1"/>
      <c r="AG172" s="54" t="s">
        <v>1004</v>
      </c>
      <c r="AH172" s="1" t="s">
        <v>1008</v>
      </c>
      <c r="AJ172" s="2">
        <f t="shared" si="4"/>
        <v>2</v>
      </c>
      <c r="AL172" s="2">
        <f t="shared" si="5"/>
        <v>0</v>
      </c>
    </row>
    <row r="173" spans="1:38" x14ac:dyDescent="0.3">
      <c r="A173" s="5" t="s">
        <v>3007</v>
      </c>
      <c r="B173" s="1"/>
      <c r="C173" s="5"/>
      <c r="D173" s="1"/>
      <c r="E173" s="1"/>
      <c r="F173" s="1"/>
      <c r="G173" s="1"/>
      <c r="AF173" s="54" t="s">
        <v>1010</v>
      </c>
      <c r="AG173" s="54" t="s">
        <v>1006</v>
      </c>
      <c r="AH173" s="1" t="s">
        <v>1010</v>
      </c>
      <c r="AJ173" s="2">
        <f t="shared" si="4"/>
        <v>3</v>
      </c>
      <c r="AL173" s="2">
        <f t="shared" si="5"/>
        <v>0</v>
      </c>
    </row>
    <row r="174" spans="1:38" x14ac:dyDescent="0.3">
      <c r="A174" s="5" t="s">
        <v>3010</v>
      </c>
      <c r="B174" s="1"/>
      <c r="C174" s="5"/>
      <c r="D174" s="1"/>
      <c r="E174" s="1"/>
      <c r="F174" s="1"/>
      <c r="G174" s="1"/>
      <c r="AF174" s="54" t="s">
        <v>1437</v>
      </c>
      <c r="AG174" s="54" t="s">
        <v>1011</v>
      </c>
      <c r="AH174" s="1" t="s">
        <v>1017</v>
      </c>
      <c r="AJ174" s="2">
        <f t="shared" si="4"/>
        <v>3</v>
      </c>
      <c r="AL174" s="2">
        <f t="shared" si="5"/>
        <v>0</v>
      </c>
    </row>
    <row r="175" spans="1:38" ht="43.2" x14ac:dyDescent="0.3">
      <c r="A175" s="5" t="s">
        <v>3008</v>
      </c>
      <c r="B175" s="1"/>
      <c r="C175" s="5"/>
      <c r="D175" s="1"/>
      <c r="E175" s="1"/>
      <c r="F175" s="1"/>
      <c r="G175" s="1"/>
      <c r="AF175" s="54" t="s">
        <v>1433</v>
      </c>
      <c r="AG175" s="54" t="s">
        <v>1007</v>
      </c>
      <c r="AH175" s="1" t="s">
        <v>1013</v>
      </c>
      <c r="AJ175" s="2">
        <f t="shared" si="4"/>
        <v>3</v>
      </c>
      <c r="AL175" s="2">
        <f t="shared" si="5"/>
        <v>0</v>
      </c>
    </row>
    <row r="176" spans="1:38" ht="28.8" x14ac:dyDescent="0.3">
      <c r="A176" s="5" t="s">
        <v>3009</v>
      </c>
      <c r="B176" s="1"/>
      <c r="C176" s="5"/>
      <c r="D176" s="1"/>
      <c r="E176" s="1"/>
      <c r="F176" s="1"/>
      <c r="G176" s="1"/>
      <c r="AF176" s="54" t="s">
        <v>1434</v>
      </c>
      <c r="AG176" s="54" t="s">
        <v>1008</v>
      </c>
      <c r="AH176" s="1" t="s">
        <v>1014</v>
      </c>
      <c r="AJ176" s="2">
        <f t="shared" si="4"/>
        <v>3</v>
      </c>
      <c r="AL176" s="2">
        <f t="shared" si="5"/>
        <v>0</v>
      </c>
    </row>
    <row r="177" spans="1:38" x14ac:dyDescent="0.3">
      <c r="A177" s="5" t="s">
        <v>2714</v>
      </c>
      <c r="B177" s="1"/>
      <c r="C177" s="5"/>
      <c r="D177" s="1"/>
      <c r="E177" s="1"/>
      <c r="F177" s="1"/>
      <c r="G177" s="1"/>
      <c r="AA177" s="54" t="s">
        <v>2718</v>
      </c>
      <c r="AF177" s="54" t="s">
        <v>1008</v>
      </c>
      <c r="AG177" s="54" t="s">
        <v>1190</v>
      </c>
      <c r="AH177" s="1" t="s">
        <v>1010</v>
      </c>
      <c r="AJ177" s="2">
        <f t="shared" si="4"/>
        <v>4</v>
      </c>
      <c r="AL177" s="2">
        <f t="shared" si="5"/>
        <v>0</v>
      </c>
    </row>
    <row r="178" spans="1:38" ht="28.8" x14ac:dyDescent="0.3">
      <c r="A178" s="5" t="s">
        <v>2716</v>
      </c>
      <c r="B178" s="1"/>
      <c r="C178" s="5"/>
      <c r="D178" s="1"/>
      <c r="E178" s="1"/>
      <c r="F178" s="1"/>
      <c r="G178" s="1"/>
      <c r="AA178" s="1" t="s">
        <v>2719</v>
      </c>
      <c r="AJ178" s="2">
        <f t="shared" si="4"/>
        <v>1</v>
      </c>
      <c r="AL178" s="2">
        <f t="shared" si="5"/>
        <v>0</v>
      </c>
    </row>
    <row r="179" spans="1:38" ht="28.8" x14ac:dyDescent="0.3">
      <c r="A179" s="5" t="s">
        <v>2757</v>
      </c>
      <c r="B179" s="1"/>
      <c r="C179" s="5"/>
      <c r="D179" s="1"/>
      <c r="E179" s="1"/>
      <c r="F179" s="1"/>
      <c r="G179" s="1"/>
      <c r="AB179" s="1" t="s">
        <v>2758</v>
      </c>
      <c r="AJ179" s="2">
        <f t="shared" si="4"/>
        <v>1</v>
      </c>
      <c r="AL179" s="2">
        <f t="shared" si="5"/>
        <v>0</v>
      </c>
    </row>
    <row r="180" spans="1:38" ht="28.8" x14ac:dyDescent="0.3">
      <c r="A180" s="5" t="s">
        <v>2759</v>
      </c>
      <c r="B180" s="1"/>
      <c r="C180" s="5"/>
      <c r="D180" s="1"/>
      <c r="E180" s="1"/>
      <c r="F180" s="1"/>
      <c r="G180" s="1"/>
      <c r="AB180" s="1" t="s">
        <v>2760</v>
      </c>
      <c r="AJ180" s="2">
        <f t="shared" si="4"/>
        <v>1</v>
      </c>
      <c r="AL180" s="2">
        <f t="shared" si="5"/>
        <v>0</v>
      </c>
    </row>
    <row r="181" spans="1:38" x14ac:dyDescent="0.3">
      <c r="A181" s="5" t="s">
        <v>2761</v>
      </c>
      <c r="B181" s="1"/>
      <c r="C181" s="5"/>
      <c r="D181" s="1"/>
      <c r="E181" s="1"/>
      <c r="F181" s="1"/>
      <c r="G181" s="1"/>
      <c r="AB181" s="1" t="s">
        <v>2178</v>
      </c>
      <c r="AJ181" s="2">
        <f t="shared" si="4"/>
        <v>1</v>
      </c>
      <c r="AL181" s="2">
        <f t="shared" si="5"/>
        <v>0</v>
      </c>
    </row>
    <row r="182" spans="1:38" x14ac:dyDescent="0.3">
      <c r="A182" s="5" t="s">
        <v>2765</v>
      </c>
      <c r="B182" s="1"/>
      <c r="C182" s="5"/>
      <c r="D182" s="1"/>
      <c r="E182" s="1"/>
      <c r="F182" s="1"/>
      <c r="G182" s="1"/>
      <c r="AB182" s="54" t="s">
        <v>2766</v>
      </c>
      <c r="AD182" s="1" t="s">
        <v>1452</v>
      </c>
      <c r="AJ182" s="2">
        <f t="shared" si="4"/>
        <v>2</v>
      </c>
      <c r="AL182" s="2">
        <f t="shared" si="5"/>
        <v>0</v>
      </c>
    </row>
    <row r="183" spans="1:38" ht="28.8" x14ac:dyDescent="0.3">
      <c r="A183" s="5" t="s">
        <v>2769</v>
      </c>
      <c r="B183" s="1"/>
      <c r="C183" s="5"/>
      <c r="D183" s="1"/>
      <c r="E183" s="1"/>
      <c r="F183" s="1"/>
      <c r="G183" s="1"/>
      <c r="AB183" s="54" t="s">
        <v>2191</v>
      </c>
      <c r="AD183" s="1" t="s">
        <v>1134</v>
      </c>
      <c r="AJ183" s="2">
        <f t="shared" si="4"/>
        <v>2</v>
      </c>
      <c r="AL183" s="2">
        <f t="shared" si="5"/>
        <v>0</v>
      </c>
    </row>
    <row r="184" spans="1:38" ht="28.8" x14ac:dyDescent="0.3">
      <c r="A184" s="5" t="s">
        <v>3045</v>
      </c>
      <c r="B184" s="1"/>
      <c r="C184" s="5"/>
      <c r="D184" s="1"/>
      <c r="E184" s="1"/>
      <c r="F184" s="1"/>
      <c r="G184" s="1"/>
      <c r="AF184" s="54" t="s">
        <v>1445</v>
      </c>
      <c r="AG184" s="54" t="s">
        <v>1436</v>
      </c>
      <c r="AH184" s="1" t="s">
        <v>1085</v>
      </c>
      <c r="AJ184" s="2">
        <f t="shared" si="4"/>
        <v>3</v>
      </c>
      <c r="AL184" s="2">
        <f t="shared" si="5"/>
        <v>0</v>
      </c>
    </row>
    <row r="185" spans="1:38" x14ac:dyDescent="0.3">
      <c r="A185" s="5" t="s">
        <v>2770</v>
      </c>
      <c r="B185" s="1"/>
      <c r="C185" s="5"/>
      <c r="D185" s="1"/>
      <c r="E185" s="1"/>
      <c r="F185" s="1"/>
      <c r="G185" s="1"/>
      <c r="AB185" s="54" t="s">
        <v>2771</v>
      </c>
      <c r="AD185" s="54" t="s">
        <v>1486</v>
      </c>
      <c r="AE185" s="1" t="s">
        <v>972</v>
      </c>
      <c r="AJ185" s="2">
        <f t="shared" si="4"/>
        <v>3</v>
      </c>
      <c r="AL185" s="2">
        <f t="shared" si="5"/>
        <v>0</v>
      </c>
    </row>
    <row r="186" spans="1:38" ht="43.2" x14ac:dyDescent="0.3">
      <c r="A186" s="5" t="s">
        <v>2772</v>
      </c>
      <c r="B186" s="1"/>
      <c r="C186" s="5"/>
      <c r="D186" s="1"/>
      <c r="E186" s="1"/>
      <c r="F186" s="1"/>
      <c r="G186" s="1"/>
      <c r="AB186" s="54" t="s">
        <v>2193</v>
      </c>
      <c r="AD186" s="1" t="s">
        <v>1128</v>
      </c>
      <c r="AJ186" s="2">
        <f t="shared" si="4"/>
        <v>2</v>
      </c>
      <c r="AL186" s="2">
        <f t="shared" si="5"/>
        <v>0</v>
      </c>
    </row>
    <row r="187" spans="1:38" ht="28.8" x14ac:dyDescent="0.3">
      <c r="A187" s="5" t="s">
        <v>2807</v>
      </c>
      <c r="B187" s="1"/>
      <c r="C187" s="5"/>
      <c r="D187" s="1"/>
      <c r="E187" s="1"/>
      <c r="F187" s="1"/>
      <c r="G187" s="1"/>
      <c r="AC187" s="54" t="s">
        <v>1991</v>
      </c>
      <c r="AD187" s="1" t="s">
        <v>2936</v>
      </c>
      <c r="AJ187" s="2">
        <f t="shared" si="4"/>
        <v>2</v>
      </c>
      <c r="AL187" s="2">
        <f t="shared" si="5"/>
        <v>0</v>
      </c>
    </row>
    <row r="188" spans="1:38" ht="28.8" x14ac:dyDescent="0.3">
      <c r="A188" s="5" t="s">
        <v>2937</v>
      </c>
      <c r="B188" s="1"/>
      <c r="C188" s="5"/>
      <c r="D188" s="1"/>
      <c r="E188" s="1"/>
      <c r="F188" s="1"/>
      <c r="G188" s="1"/>
      <c r="AD188" s="1" t="s">
        <v>2938</v>
      </c>
      <c r="AJ188" s="2">
        <f t="shared" si="4"/>
        <v>1</v>
      </c>
      <c r="AL188" s="2">
        <f t="shared" si="5"/>
        <v>0</v>
      </c>
    </row>
    <row r="189" spans="1:38" ht="28.8" x14ac:dyDescent="0.3">
      <c r="A189" s="5" t="s">
        <v>2940</v>
      </c>
      <c r="B189" s="1"/>
      <c r="C189" s="5"/>
      <c r="D189" s="1"/>
      <c r="E189" s="1"/>
      <c r="F189" s="1"/>
      <c r="G189" s="1"/>
      <c r="AD189" s="1" t="s">
        <v>2939</v>
      </c>
      <c r="AJ189" s="2">
        <f t="shared" si="4"/>
        <v>1</v>
      </c>
      <c r="AL189" s="2">
        <f t="shared" si="5"/>
        <v>0</v>
      </c>
    </row>
    <row r="190" spans="1:38" x14ac:dyDescent="0.3">
      <c r="A190" s="5" t="s">
        <v>2844</v>
      </c>
      <c r="B190" s="1"/>
      <c r="C190" s="5"/>
      <c r="D190" s="1"/>
      <c r="E190" s="1"/>
      <c r="F190" s="1"/>
      <c r="G190" s="1"/>
      <c r="AD190" s="1" t="s">
        <v>1453</v>
      </c>
      <c r="AJ190" s="2">
        <f t="shared" si="4"/>
        <v>1</v>
      </c>
      <c r="AL190" s="2">
        <f t="shared" si="5"/>
        <v>0</v>
      </c>
    </row>
    <row r="191" spans="1:38" x14ac:dyDescent="0.3">
      <c r="A191" s="5" t="s">
        <v>2845</v>
      </c>
      <c r="B191" s="1"/>
      <c r="C191" s="5"/>
      <c r="D191" s="1"/>
      <c r="E191" s="1"/>
      <c r="F191" s="1"/>
      <c r="G191" s="1"/>
      <c r="AD191" s="1" t="s">
        <v>1073</v>
      </c>
      <c r="AJ191" s="2">
        <f t="shared" si="4"/>
        <v>1</v>
      </c>
      <c r="AL191" s="2">
        <f t="shared" si="5"/>
        <v>0</v>
      </c>
    </row>
    <row r="192" spans="1:38" ht="28.8" x14ac:dyDescent="0.3">
      <c r="A192" s="5" t="s">
        <v>2861</v>
      </c>
      <c r="B192" s="1"/>
      <c r="C192" s="5"/>
      <c r="D192" s="1"/>
      <c r="E192" s="1"/>
      <c r="F192" s="1"/>
      <c r="G192" s="1"/>
      <c r="AD192" s="54" t="s">
        <v>1090</v>
      </c>
      <c r="AE192" s="1" t="s">
        <v>422</v>
      </c>
      <c r="AJ192" s="2">
        <f t="shared" si="4"/>
        <v>2</v>
      </c>
      <c r="AL192" s="2">
        <f t="shared" si="5"/>
        <v>0</v>
      </c>
    </row>
    <row r="193" spans="1:38" ht="28.8" x14ac:dyDescent="0.3">
      <c r="A193" s="5" t="s">
        <v>2862</v>
      </c>
      <c r="B193" s="1"/>
      <c r="C193" s="5"/>
      <c r="D193" s="1"/>
      <c r="E193" s="1"/>
      <c r="F193" s="1"/>
      <c r="G193" s="1"/>
      <c r="AD193" s="54" t="s">
        <v>1091</v>
      </c>
      <c r="AE193" s="1" t="s">
        <v>424</v>
      </c>
      <c r="AJ193" s="2">
        <f t="shared" si="4"/>
        <v>2</v>
      </c>
      <c r="AL193" s="2">
        <f t="shared" si="5"/>
        <v>0</v>
      </c>
    </row>
    <row r="194" spans="1:38" x14ac:dyDescent="0.3">
      <c r="A194" s="5" t="s">
        <v>2888</v>
      </c>
      <c r="B194" s="1"/>
      <c r="C194" s="5"/>
      <c r="D194" s="1"/>
      <c r="E194" s="1"/>
      <c r="F194" s="1"/>
      <c r="G194" s="1"/>
      <c r="AD194" s="1" t="s">
        <v>2889</v>
      </c>
      <c r="AJ194" s="2">
        <f t="shared" si="4"/>
        <v>1</v>
      </c>
      <c r="AL194" s="2">
        <f t="shared" si="5"/>
        <v>0</v>
      </c>
    </row>
    <row r="195" spans="1:38" ht="28.8" x14ac:dyDescent="0.3">
      <c r="A195" s="5" t="s">
        <v>3011</v>
      </c>
      <c r="B195" s="1"/>
      <c r="C195" s="5"/>
      <c r="D195" s="1"/>
      <c r="E195" s="1"/>
      <c r="F195" s="1"/>
      <c r="G195" s="1"/>
      <c r="AF195" s="54" t="s">
        <v>1440</v>
      </c>
      <c r="AG195" s="1" t="s">
        <v>1203</v>
      </c>
      <c r="AJ195" s="2">
        <f t="shared" ref="AJ195:AJ196" si="6">COUNTA(B195:AH195)</f>
        <v>2</v>
      </c>
      <c r="AL195" s="2">
        <f t="shared" si="5"/>
        <v>0</v>
      </c>
    </row>
    <row r="196" spans="1:38" ht="28.8" x14ac:dyDescent="0.3">
      <c r="A196" s="5" t="s">
        <v>3168</v>
      </c>
      <c r="B196" s="12" t="s">
        <v>3169</v>
      </c>
      <c r="C196" s="5" t="s">
        <v>3169</v>
      </c>
      <c r="D196" s="1"/>
      <c r="E196" s="1"/>
      <c r="F196" s="1"/>
      <c r="G196" s="1"/>
      <c r="AJ196" s="2">
        <f t="shared" si="6"/>
        <v>2</v>
      </c>
      <c r="AL196" s="2">
        <f t="shared" ref="AL196" si="7">COUNTA(F196:O196,R196:S196)</f>
        <v>0</v>
      </c>
    </row>
    <row r="197" spans="1:38" x14ac:dyDescent="0.3">
      <c r="A197" s="5"/>
      <c r="B197" s="1"/>
      <c r="C197" s="5"/>
      <c r="D197" s="1"/>
      <c r="E197" s="1"/>
      <c r="F197" s="1"/>
      <c r="G197" s="1"/>
    </row>
    <row r="198" spans="1:38" x14ac:dyDescent="0.3">
      <c r="A198" s="5"/>
      <c r="B198" s="1"/>
      <c r="C198" s="5"/>
      <c r="D198" s="1"/>
      <c r="E198" s="1"/>
      <c r="F198" s="1"/>
      <c r="G198" s="1"/>
    </row>
    <row r="199" spans="1:38" x14ac:dyDescent="0.3">
      <c r="A199" s="5"/>
      <c r="B199" s="1"/>
      <c r="C199" s="5"/>
      <c r="D199" s="1"/>
      <c r="E199" s="1"/>
      <c r="F199" s="1"/>
      <c r="G199" s="1"/>
    </row>
    <row r="200" spans="1:38" x14ac:dyDescent="0.3">
      <c r="A200" s="5"/>
      <c r="B200" s="1"/>
      <c r="C200" s="5"/>
      <c r="D200" s="1"/>
      <c r="E200" s="1"/>
      <c r="F200" s="1"/>
      <c r="G200" s="1"/>
    </row>
    <row r="201" spans="1:38" x14ac:dyDescent="0.3">
      <c r="A201" s="5"/>
      <c r="B201" s="1"/>
      <c r="C201" s="5"/>
      <c r="D201" s="1"/>
      <c r="E201" s="1"/>
      <c r="F201" s="1"/>
      <c r="G201" s="1"/>
    </row>
    <row r="202" spans="1:38" x14ac:dyDescent="0.3">
      <c r="A202" s="5"/>
      <c r="B202" s="1"/>
      <c r="C202" s="5"/>
      <c r="D202" s="1"/>
      <c r="E202" s="1"/>
      <c r="F202" s="1"/>
      <c r="G202" s="1"/>
    </row>
    <row r="203" spans="1:38" x14ac:dyDescent="0.3">
      <c r="A203" s="5"/>
      <c r="B203" s="1"/>
      <c r="C203" s="5"/>
      <c r="D203" s="1"/>
      <c r="E203" s="1"/>
      <c r="F203" s="1"/>
      <c r="G203" s="1"/>
    </row>
    <row r="204" spans="1:38" x14ac:dyDescent="0.3">
      <c r="A204" s="5"/>
      <c r="B204" s="1"/>
      <c r="C204" s="5"/>
      <c r="D204" s="1"/>
      <c r="E204" s="1"/>
      <c r="F204" s="1"/>
      <c r="G204" s="1"/>
    </row>
    <row r="205" spans="1:38" x14ac:dyDescent="0.3">
      <c r="A205" s="5"/>
      <c r="B205" s="1"/>
      <c r="C205" s="5"/>
      <c r="D205" s="1"/>
      <c r="E205" s="1"/>
      <c r="F205" s="1"/>
      <c r="G205" s="1"/>
    </row>
    <row r="206" spans="1:38" x14ac:dyDescent="0.3">
      <c r="A206" s="5"/>
      <c r="B206" s="1"/>
      <c r="C206" s="5"/>
      <c r="D206" s="1"/>
      <c r="E206" s="1"/>
      <c r="F206" s="1"/>
      <c r="G206" s="1"/>
    </row>
    <row r="207" spans="1:38" x14ac:dyDescent="0.3">
      <c r="A207" s="5"/>
      <c r="B207" s="1"/>
      <c r="C207" s="5"/>
      <c r="D207" s="1"/>
      <c r="E207" s="1"/>
      <c r="F207" s="1"/>
      <c r="G207" s="1"/>
    </row>
    <row r="208" spans="1:38"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B263" s="1"/>
      <c r="G263" s="1"/>
    </row>
    <row r="264" spans="1:7" x14ac:dyDescent="0.3">
      <c r="B264" s="1"/>
      <c r="G264" s="1"/>
    </row>
    <row r="265" spans="1:7" x14ac:dyDescent="0.3">
      <c r="B265" s="1"/>
      <c r="G265" s="1"/>
    </row>
    <row r="266" spans="1:7" x14ac:dyDescent="0.3">
      <c r="B266" s="1"/>
      <c r="G266" s="1"/>
    </row>
    <row r="267" spans="1:7" x14ac:dyDescent="0.3">
      <c r="B267" s="1"/>
      <c r="G267" s="1"/>
    </row>
    <row r="268" spans="1:7" x14ac:dyDescent="0.3">
      <c r="B268" s="1"/>
      <c r="G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row r="289" spans="2:2" x14ac:dyDescent="0.3">
      <c r="B289" s="1"/>
    </row>
  </sheetData>
  <phoneticPr fontId="1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B3751-3B0B-40B7-A801-E5C1DFFDF3FA}">
  <sheetPr codeName="Sheet9"/>
  <dimension ref="A1:AN288"/>
  <sheetViews>
    <sheetView rightToLeft="1" zoomScale="79" workbookViewId="0">
      <pane xSplit="1" ySplit="1" topLeftCell="B2" activePane="bottomRight" state="frozen"/>
      <selection activeCell="D96" sqref="D96"/>
      <selection pane="topRight" activeCell="D96" sqref="D96"/>
      <selection pane="bottomLeft" activeCell="D96" sqref="D96"/>
      <selection pane="bottomRight" activeCell="J13" sqref="J13"/>
    </sheetView>
  </sheetViews>
  <sheetFormatPr defaultColWidth="8.77734375" defaultRowHeight="14.4" x14ac:dyDescent="0.3"/>
  <cols>
    <col min="1" max="1" width="52.21875" style="27"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1254</v>
      </c>
      <c r="B2" s="6"/>
      <c r="C2" s="5"/>
      <c r="D2" s="1"/>
      <c r="E2" s="1"/>
      <c r="F2" s="1"/>
      <c r="G2" s="1"/>
      <c r="L2" s="54" t="s">
        <v>977</v>
      </c>
      <c r="M2" s="54" t="s">
        <v>1057</v>
      </c>
      <c r="N2" s="1" t="s">
        <v>1623</v>
      </c>
      <c r="Q2" s="29"/>
      <c r="R2" s="3"/>
      <c r="S2" s="3"/>
      <c r="T2" s="3"/>
      <c r="U2" s="3"/>
      <c r="V2" s="3"/>
      <c r="W2" s="3"/>
      <c r="X2" s="3"/>
      <c r="Y2" s="3"/>
      <c r="Z2" s="3"/>
      <c r="AA2" s="3"/>
      <c r="AB2" s="3"/>
      <c r="AC2" s="3"/>
      <c r="AD2" s="3"/>
      <c r="AE2" s="3"/>
      <c r="AF2" s="3"/>
      <c r="AG2" s="3"/>
      <c r="AH2" s="3"/>
      <c r="AJ2" s="2">
        <f>COUNTA(C2:AH2)</f>
        <v>3</v>
      </c>
      <c r="AL2" s="2">
        <f>COUNTA(F2:O2,R2:S2)</f>
        <v>3</v>
      </c>
      <c r="AN2" s="2">
        <f>COUNTIF(AL2:AL72,"&gt;=2")</f>
        <v>15</v>
      </c>
    </row>
    <row r="3" spans="1:40" x14ac:dyDescent="0.3">
      <c r="A3" s="5" t="s">
        <v>1289</v>
      </c>
      <c r="B3" s="6"/>
      <c r="C3" s="5"/>
      <c r="D3" s="1"/>
      <c r="E3" s="1"/>
      <c r="F3" s="1"/>
      <c r="G3" s="1"/>
      <c r="M3" s="1" t="s">
        <v>238</v>
      </c>
      <c r="AJ3" s="2">
        <f t="shared" ref="AJ3:AJ51" si="0">COUNTA(C3:AH3)</f>
        <v>1</v>
      </c>
      <c r="AL3" s="2">
        <f t="shared" ref="AL3:AL66" si="1">COUNTA(F3:O3,R3:S3)</f>
        <v>1</v>
      </c>
    </row>
    <row r="4" spans="1:40" x14ac:dyDescent="0.3">
      <c r="A4" s="5" t="s">
        <v>794</v>
      </c>
      <c r="B4" s="6"/>
      <c r="C4" s="5"/>
      <c r="D4" s="1"/>
      <c r="E4" s="1"/>
      <c r="F4" s="1"/>
      <c r="G4" s="1"/>
      <c r="I4" s="19" t="s">
        <v>797</v>
      </c>
      <c r="AJ4" s="2">
        <f t="shared" si="0"/>
        <v>1</v>
      </c>
      <c r="AL4" s="2">
        <f t="shared" si="1"/>
        <v>1</v>
      </c>
    </row>
    <row r="5" spans="1:40" ht="28.8" x14ac:dyDescent="0.3">
      <c r="A5" s="5" t="s">
        <v>795</v>
      </c>
      <c r="B5" s="5"/>
      <c r="C5" s="5"/>
      <c r="D5" s="1"/>
      <c r="E5" s="1"/>
      <c r="F5" s="1"/>
      <c r="G5" s="1"/>
      <c r="I5" s="19" t="s">
        <v>798</v>
      </c>
      <c r="AJ5" s="2">
        <f t="shared" si="0"/>
        <v>1</v>
      </c>
      <c r="AL5" s="2">
        <f t="shared" si="1"/>
        <v>1</v>
      </c>
    </row>
    <row r="6" spans="1:40" x14ac:dyDescent="0.3">
      <c r="A6" s="5" t="s">
        <v>796</v>
      </c>
      <c r="B6" s="6"/>
      <c r="C6" s="5"/>
      <c r="D6" s="1"/>
      <c r="E6" s="1"/>
      <c r="F6" s="1"/>
      <c r="G6" s="1"/>
      <c r="I6" s="19" t="s">
        <v>799</v>
      </c>
      <c r="AJ6" s="2">
        <f t="shared" si="0"/>
        <v>1</v>
      </c>
      <c r="AL6" s="2">
        <f t="shared" si="1"/>
        <v>1</v>
      </c>
    </row>
    <row r="7" spans="1:40" ht="28.8" x14ac:dyDescent="0.3">
      <c r="A7" s="5" t="s">
        <v>1624</v>
      </c>
      <c r="B7" s="6"/>
      <c r="C7" s="5"/>
      <c r="D7" s="1"/>
      <c r="E7" s="1"/>
      <c r="F7" s="1"/>
      <c r="G7" s="1"/>
      <c r="N7" s="54" t="s">
        <v>1625</v>
      </c>
      <c r="O7" s="54" t="s">
        <v>1367</v>
      </c>
      <c r="Q7" s="54" t="s">
        <v>1444</v>
      </c>
      <c r="R7" s="1" t="s">
        <v>2173</v>
      </c>
      <c r="AJ7" s="2">
        <f t="shared" si="0"/>
        <v>4</v>
      </c>
      <c r="AL7" s="2">
        <f t="shared" si="1"/>
        <v>3</v>
      </c>
    </row>
    <row r="8" spans="1:40" x14ac:dyDescent="0.3">
      <c r="A8" s="5" t="s">
        <v>1773</v>
      </c>
      <c r="B8" s="6"/>
      <c r="C8" s="5"/>
      <c r="D8" s="1"/>
      <c r="E8" s="1"/>
      <c r="F8" s="1"/>
      <c r="G8" s="1"/>
      <c r="O8" s="54" t="s">
        <v>1368</v>
      </c>
      <c r="Q8" s="54" t="s">
        <v>1057</v>
      </c>
      <c r="R8" s="54" t="s">
        <v>2172</v>
      </c>
      <c r="V8" s="54" t="s">
        <v>539</v>
      </c>
      <c r="X8" s="54" t="s">
        <v>972</v>
      </c>
      <c r="Z8" s="1" t="s">
        <v>524</v>
      </c>
      <c r="AJ8" s="2">
        <f t="shared" si="0"/>
        <v>6</v>
      </c>
      <c r="AL8" s="2">
        <f t="shared" si="1"/>
        <v>2</v>
      </c>
    </row>
    <row r="9" spans="1:40" ht="28.8" x14ac:dyDescent="0.3">
      <c r="A9" s="5" t="s">
        <v>2355</v>
      </c>
      <c r="B9" s="6"/>
      <c r="C9" s="5"/>
      <c r="D9" s="1"/>
      <c r="E9" s="1"/>
      <c r="F9" s="1"/>
      <c r="G9" s="1"/>
      <c r="T9" s="1" t="s">
        <v>2107</v>
      </c>
      <c r="AJ9" s="2">
        <f t="shared" si="0"/>
        <v>1</v>
      </c>
      <c r="AL9" s="2">
        <f t="shared" si="1"/>
        <v>0</v>
      </c>
    </row>
    <row r="10" spans="1:40" x14ac:dyDescent="0.3">
      <c r="A10" s="5" t="s">
        <v>2353</v>
      </c>
      <c r="B10" s="6"/>
      <c r="C10" s="5"/>
      <c r="D10" s="1"/>
      <c r="E10" s="1"/>
      <c r="F10" s="1"/>
      <c r="G10" s="1"/>
      <c r="T10" s="54" t="s">
        <v>2103</v>
      </c>
      <c r="U10" s="54" t="s">
        <v>1731</v>
      </c>
      <c r="V10" s="54" t="s">
        <v>541</v>
      </c>
      <c r="X10" s="54" t="s">
        <v>971</v>
      </c>
      <c r="Z10" s="1" t="s">
        <v>522</v>
      </c>
      <c r="AJ10" s="2">
        <f t="shared" si="0"/>
        <v>5</v>
      </c>
      <c r="AL10" s="2">
        <f t="shared" si="1"/>
        <v>0</v>
      </c>
    </row>
    <row r="11" spans="1:40" x14ac:dyDescent="0.3">
      <c r="A11" s="5" t="s">
        <v>1031</v>
      </c>
      <c r="B11" s="6"/>
      <c r="C11" s="5"/>
      <c r="D11" s="1"/>
      <c r="E11" s="1"/>
      <c r="F11" s="1"/>
      <c r="G11" s="1"/>
      <c r="J11" s="19" t="s">
        <v>1035</v>
      </c>
      <c r="AJ11" s="2">
        <f t="shared" si="0"/>
        <v>1</v>
      </c>
      <c r="AL11" s="2">
        <f t="shared" si="1"/>
        <v>1</v>
      </c>
    </row>
    <row r="12" spans="1:40" x14ac:dyDescent="0.3">
      <c r="A12" s="5" t="s">
        <v>1032</v>
      </c>
      <c r="B12" s="1"/>
      <c r="C12" s="5"/>
      <c r="D12" s="1"/>
      <c r="E12" s="1"/>
      <c r="F12" s="1"/>
      <c r="G12" s="1"/>
      <c r="J12" s="77" t="s">
        <v>1036</v>
      </c>
      <c r="K12" s="1" t="s">
        <v>1172</v>
      </c>
      <c r="AJ12" s="2">
        <f t="shared" si="0"/>
        <v>2</v>
      </c>
      <c r="AL12" s="2">
        <f t="shared" si="1"/>
        <v>2</v>
      </c>
    </row>
    <row r="13" spans="1:40" x14ac:dyDescent="0.3">
      <c r="A13" s="5" t="s">
        <v>1033</v>
      </c>
      <c r="B13" s="1"/>
      <c r="C13" s="5"/>
      <c r="D13" s="1"/>
      <c r="E13" s="1"/>
      <c r="F13" s="1"/>
      <c r="G13" s="1"/>
      <c r="J13" s="77" t="s">
        <v>1037</v>
      </c>
      <c r="K13" s="1" t="s">
        <v>972</v>
      </c>
      <c r="AJ13" s="2">
        <f t="shared" si="0"/>
        <v>2</v>
      </c>
      <c r="AL13" s="2">
        <f t="shared" si="1"/>
        <v>2</v>
      </c>
    </row>
    <row r="14" spans="1:40" x14ac:dyDescent="0.3">
      <c r="A14" s="5" t="s">
        <v>1173</v>
      </c>
      <c r="B14" s="1"/>
      <c r="C14" s="5"/>
      <c r="D14" s="1"/>
      <c r="E14" s="1"/>
      <c r="F14" s="1"/>
      <c r="G14" s="1"/>
      <c r="J14" s="19"/>
      <c r="K14" s="1" t="s">
        <v>974</v>
      </c>
      <c r="AJ14" s="2">
        <f t="shared" si="0"/>
        <v>1</v>
      </c>
      <c r="AL14" s="2">
        <f t="shared" si="1"/>
        <v>1</v>
      </c>
    </row>
    <row r="15" spans="1:40" x14ac:dyDescent="0.3">
      <c r="A15" s="5" t="s">
        <v>1174</v>
      </c>
      <c r="B15" s="5"/>
      <c r="C15" s="5"/>
      <c r="D15" s="1"/>
      <c r="E15" s="1"/>
      <c r="F15" s="1"/>
      <c r="G15" s="1"/>
      <c r="J15" s="19"/>
      <c r="K15" s="1" t="s">
        <v>1179</v>
      </c>
      <c r="AJ15" s="2">
        <f t="shared" si="0"/>
        <v>1</v>
      </c>
      <c r="AL15" s="2">
        <f t="shared" si="1"/>
        <v>1</v>
      </c>
    </row>
    <row r="16" spans="1:40" x14ac:dyDescent="0.3">
      <c r="A16" s="5" t="s">
        <v>1175</v>
      </c>
      <c r="B16" s="1"/>
      <c r="C16" s="5"/>
      <c r="D16" s="1"/>
      <c r="E16" s="1"/>
      <c r="F16" s="1"/>
      <c r="G16" s="1"/>
      <c r="J16" s="19"/>
      <c r="K16" s="1" t="s">
        <v>977</v>
      </c>
      <c r="AJ16" s="2">
        <f t="shared" si="0"/>
        <v>1</v>
      </c>
      <c r="AL16" s="2">
        <f t="shared" si="1"/>
        <v>1</v>
      </c>
    </row>
    <row r="17" spans="1:38" x14ac:dyDescent="0.3">
      <c r="A17" s="5" t="s">
        <v>1176</v>
      </c>
      <c r="B17" s="1"/>
      <c r="C17" s="5"/>
      <c r="D17" s="1"/>
      <c r="E17" s="1"/>
      <c r="F17" s="1"/>
      <c r="G17" s="1"/>
      <c r="J17" s="19"/>
      <c r="K17" s="1" t="s">
        <v>1180</v>
      </c>
      <c r="AJ17" s="2">
        <f t="shared" si="0"/>
        <v>1</v>
      </c>
      <c r="AL17" s="2">
        <f t="shared" si="1"/>
        <v>1</v>
      </c>
    </row>
    <row r="18" spans="1:38" x14ac:dyDescent="0.3">
      <c r="A18" s="5" t="s">
        <v>1177</v>
      </c>
      <c r="B18" s="1"/>
      <c r="C18" s="5"/>
      <c r="D18" s="1"/>
      <c r="E18" s="1"/>
      <c r="F18" s="1"/>
      <c r="G18" s="1"/>
      <c r="J18" s="19"/>
      <c r="K18" s="1" t="s">
        <v>980</v>
      </c>
      <c r="AJ18" s="2">
        <f t="shared" si="0"/>
        <v>1</v>
      </c>
      <c r="AL18" s="2">
        <f t="shared" si="1"/>
        <v>1</v>
      </c>
    </row>
    <row r="19" spans="1:38" x14ac:dyDescent="0.3">
      <c r="A19" s="5" t="s">
        <v>1178</v>
      </c>
      <c r="B19" s="1"/>
      <c r="C19" s="5"/>
      <c r="D19" s="1"/>
      <c r="E19" s="1"/>
      <c r="F19" s="1"/>
      <c r="G19" s="1"/>
      <c r="J19" s="19"/>
      <c r="K19" s="1" t="s">
        <v>983</v>
      </c>
      <c r="AJ19" s="2">
        <f t="shared" si="0"/>
        <v>1</v>
      </c>
      <c r="AL19" s="2">
        <f t="shared" si="1"/>
        <v>1</v>
      </c>
    </row>
    <row r="20" spans="1:38" ht="28.8" x14ac:dyDescent="0.3">
      <c r="A20" s="5" t="s">
        <v>1034</v>
      </c>
      <c r="B20" s="1"/>
      <c r="C20" s="5"/>
      <c r="D20" s="1"/>
      <c r="E20" s="1"/>
      <c r="F20" s="1"/>
      <c r="G20" s="1"/>
      <c r="J20" s="19" t="s">
        <v>1038</v>
      </c>
      <c r="AJ20" s="2">
        <f t="shared" si="0"/>
        <v>1</v>
      </c>
      <c r="AL20" s="2">
        <f t="shared" si="1"/>
        <v>1</v>
      </c>
    </row>
    <row r="21" spans="1:38" x14ac:dyDescent="0.3">
      <c r="A21" s="5" t="s">
        <v>1039</v>
      </c>
      <c r="B21" s="1"/>
      <c r="C21" s="5"/>
      <c r="D21" s="1"/>
      <c r="E21" s="1"/>
      <c r="F21" s="1"/>
      <c r="G21" s="1"/>
      <c r="J21" s="19" t="s">
        <v>1043</v>
      </c>
      <c r="AJ21" s="2">
        <f t="shared" si="0"/>
        <v>1</v>
      </c>
      <c r="AL21" s="2">
        <f t="shared" si="1"/>
        <v>1</v>
      </c>
    </row>
    <row r="22" spans="1:38" x14ac:dyDescent="0.3">
      <c r="A22" s="5" t="s">
        <v>1040</v>
      </c>
      <c r="B22" s="1"/>
      <c r="C22" s="5"/>
      <c r="D22" s="1"/>
      <c r="E22" s="1"/>
      <c r="F22" s="1"/>
      <c r="G22" s="1"/>
      <c r="J22" s="77" t="s">
        <v>1044</v>
      </c>
      <c r="K22" s="10" t="s">
        <v>988</v>
      </c>
      <c r="AJ22" s="2">
        <f t="shared" si="0"/>
        <v>2</v>
      </c>
      <c r="AL22" s="2">
        <f t="shared" si="1"/>
        <v>2</v>
      </c>
    </row>
    <row r="23" spans="1:38" x14ac:dyDescent="0.3">
      <c r="A23" s="5" t="s">
        <v>1041</v>
      </c>
      <c r="B23" s="1"/>
      <c r="C23" s="5"/>
      <c r="D23" s="1"/>
      <c r="E23" s="1"/>
      <c r="F23" s="1"/>
      <c r="G23" s="1"/>
      <c r="J23" s="77" t="s">
        <v>1045</v>
      </c>
      <c r="K23" s="10" t="s">
        <v>986</v>
      </c>
      <c r="AJ23" s="2">
        <f t="shared" si="0"/>
        <v>2</v>
      </c>
      <c r="AL23" s="2">
        <f t="shared" si="1"/>
        <v>2</v>
      </c>
    </row>
    <row r="24" spans="1:38" x14ac:dyDescent="0.3">
      <c r="A24" s="5" t="s">
        <v>1181</v>
      </c>
      <c r="B24" s="1"/>
      <c r="C24" s="5"/>
      <c r="D24" s="1"/>
      <c r="E24" s="1"/>
      <c r="F24" s="1"/>
      <c r="G24" s="1"/>
      <c r="J24" s="19"/>
      <c r="K24" s="10" t="s">
        <v>990</v>
      </c>
      <c r="AJ24" s="2">
        <f t="shared" si="0"/>
        <v>1</v>
      </c>
      <c r="AL24" s="2">
        <f t="shared" si="1"/>
        <v>1</v>
      </c>
    </row>
    <row r="25" spans="1:38" x14ac:dyDescent="0.3">
      <c r="A25" s="5" t="s">
        <v>1182</v>
      </c>
      <c r="B25" s="1"/>
      <c r="C25" s="5"/>
      <c r="D25" s="1"/>
      <c r="E25" s="1"/>
      <c r="F25" s="1"/>
      <c r="G25" s="1"/>
      <c r="J25" s="19"/>
      <c r="K25" s="10" t="s">
        <v>992</v>
      </c>
      <c r="AJ25" s="2">
        <f t="shared" si="0"/>
        <v>1</v>
      </c>
      <c r="AL25" s="2">
        <f t="shared" si="1"/>
        <v>1</v>
      </c>
    </row>
    <row r="26" spans="1:38" x14ac:dyDescent="0.3">
      <c r="A26" s="5" t="s">
        <v>1183</v>
      </c>
      <c r="B26" s="5"/>
      <c r="C26" s="5"/>
      <c r="D26" s="1"/>
      <c r="E26" s="1"/>
      <c r="F26" s="1"/>
      <c r="G26" s="1"/>
      <c r="J26" s="19"/>
      <c r="K26" s="10" t="s">
        <v>994</v>
      </c>
      <c r="AJ26" s="2">
        <f t="shared" si="0"/>
        <v>1</v>
      </c>
      <c r="AL26" s="2">
        <f t="shared" si="1"/>
        <v>1</v>
      </c>
    </row>
    <row r="27" spans="1:38" x14ac:dyDescent="0.3">
      <c r="A27" s="5" t="s">
        <v>1184</v>
      </c>
      <c r="B27" s="5"/>
      <c r="C27" s="5"/>
      <c r="D27" s="1"/>
      <c r="E27" s="1"/>
      <c r="F27" s="1"/>
      <c r="G27" s="1"/>
      <c r="J27" s="19"/>
      <c r="K27" s="10" t="s">
        <v>996</v>
      </c>
      <c r="AJ27" s="2">
        <f t="shared" si="0"/>
        <v>1</v>
      </c>
      <c r="AL27" s="2">
        <f t="shared" si="1"/>
        <v>1</v>
      </c>
    </row>
    <row r="28" spans="1:38" x14ac:dyDescent="0.3">
      <c r="A28" s="5" t="s">
        <v>1185</v>
      </c>
      <c r="B28" s="5"/>
      <c r="C28" s="5"/>
      <c r="D28" s="1"/>
      <c r="E28" s="1"/>
      <c r="F28" s="1"/>
      <c r="G28" s="1"/>
      <c r="J28" s="19"/>
      <c r="K28" s="10" t="s">
        <v>998</v>
      </c>
      <c r="AJ28" s="2">
        <f t="shared" si="0"/>
        <v>1</v>
      </c>
      <c r="AL28" s="2">
        <f t="shared" si="1"/>
        <v>1</v>
      </c>
    </row>
    <row r="29" spans="1:38" x14ac:dyDescent="0.3">
      <c r="A29" s="5" t="s">
        <v>1186</v>
      </c>
      <c r="B29" s="5"/>
      <c r="C29" s="5"/>
      <c r="D29" s="1"/>
      <c r="E29" s="1"/>
      <c r="F29" s="1"/>
      <c r="G29" s="1"/>
      <c r="J29" s="19"/>
      <c r="K29" s="10" t="s">
        <v>1000</v>
      </c>
      <c r="AJ29" s="2">
        <f t="shared" si="0"/>
        <v>1</v>
      </c>
      <c r="AL29" s="2">
        <f t="shared" si="1"/>
        <v>1</v>
      </c>
    </row>
    <row r="30" spans="1:38" ht="28.8" x14ac:dyDescent="0.3">
      <c r="A30" s="5" t="s">
        <v>1042</v>
      </c>
      <c r="B30" s="5"/>
      <c r="C30" s="5"/>
      <c r="D30" s="1"/>
      <c r="E30" s="1"/>
      <c r="F30" s="1"/>
      <c r="G30" s="1"/>
      <c r="J30" s="19" t="s">
        <v>1046</v>
      </c>
      <c r="AJ30" s="2">
        <f t="shared" si="0"/>
        <v>1</v>
      </c>
      <c r="AL30" s="2">
        <f t="shared" si="1"/>
        <v>1</v>
      </c>
    </row>
    <row r="31" spans="1:38" x14ac:dyDescent="0.3">
      <c r="A31" s="5" t="s">
        <v>1047</v>
      </c>
      <c r="B31" s="5"/>
      <c r="C31" s="5"/>
      <c r="D31" s="1"/>
      <c r="E31" s="1"/>
      <c r="F31" s="1"/>
      <c r="G31" s="1"/>
      <c r="J31" s="19" t="s">
        <v>1054</v>
      </c>
      <c r="AJ31" s="2">
        <f t="shared" si="0"/>
        <v>1</v>
      </c>
      <c r="AL31" s="2">
        <f t="shared" si="1"/>
        <v>1</v>
      </c>
    </row>
    <row r="32" spans="1:38" x14ac:dyDescent="0.3">
      <c r="A32" s="5" t="s">
        <v>1048</v>
      </c>
      <c r="B32" s="5"/>
      <c r="C32" s="5"/>
      <c r="D32" s="1"/>
      <c r="E32" s="1"/>
      <c r="F32" s="1"/>
      <c r="G32" s="1"/>
      <c r="J32" s="19" t="s">
        <v>1055</v>
      </c>
      <c r="AJ32" s="2">
        <f t="shared" si="0"/>
        <v>1</v>
      </c>
      <c r="AL32" s="2">
        <f t="shared" si="1"/>
        <v>1</v>
      </c>
    </row>
    <row r="33" spans="1:38" ht="28.8" x14ac:dyDescent="0.3">
      <c r="A33" s="5" t="s">
        <v>1049</v>
      </c>
      <c r="B33" s="5"/>
      <c r="C33" s="5"/>
      <c r="D33" s="1"/>
      <c r="E33" s="1"/>
      <c r="F33" s="1"/>
      <c r="G33" s="1"/>
      <c r="J33" s="19" t="s">
        <v>1056</v>
      </c>
      <c r="AJ33" s="2">
        <f t="shared" si="0"/>
        <v>1</v>
      </c>
      <c r="AL33" s="2">
        <f t="shared" si="1"/>
        <v>1</v>
      </c>
    </row>
    <row r="34" spans="1:38" ht="28.8" x14ac:dyDescent="0.3">
      <c r="A34" s="5" t="s">
        <v>1050</v>
      </c>
      <c r="B34" s="5"/>
      <c r="C34" s="5"/>
      <c r="D34" s="1"/>
      <c r="E34" s="1"/>
      <c r="F34" s="1"/>
      <c r="G34" s="1"/>
      <c r="J34" s="19" t="s">
        <v>1057</v>
      </c>
      <c r="AJ34" s="2">
        <f t="shared" si="0"/>
        <v>1</v>
      </c>
      <c r="AL34" s="2">
        <f t="shared" si="1"/>
        <v>1</v>
      </c>
    </row>
    <row r="35" spans="1:38" x14ac:dyDescent="0.3">
      <c r="A35" s="5" t="s">
        <v>1051</v>
      </c>
      <c r="B35" s="5"/>
      <c r="C35" s="5"/>
      <c r="D35" s="1"/>
      <c r="E35" s="1"/>
      <c r="F35" s="1"/>
      <c r="G35" s="1"/>
      <c r="J35" s="19" t="s">
        <v>1058</v>
      </c>
      <c r="AJ35" s="2">
        <f t="shared" si="0"/>
        <v>1</v>
      </c>
      <c r="AL35" s="2">
        <f t="shared" si="1"/>
        <v>1</v>
      </c>
    </row>
    <row r="36" spans="1:38" x14ac:dyDescent="0.3">
      <c r="A36" s="5" t="s">
        <v>1052</v>
      </c>
      <c r="B36" s="5"/>
      <c r="C36" s="5"/>
      <c r="D36" s="1"/>
      <c r="E36" s="1"/>
      <c r="F36" s="1"/>
      <c r="G36" s="1"/>
      <c r="J36" s="19" t="s">
        <v>364</v>
      </c>
      <c r="AJ36" s="2">
        <f t="shared" si="0"/>
        <v>1</v>
      </c>
      <c r="AL36" s="2">
        <f t="shared" si="1"/>
        <v>1</v>
      </c>
    </row>
    <row r="37" spans="1:38" ht="28.8" x14ac:dyDescent="0.3">
      <c r="A37" s="5" t="s">
        <v>1053</v>
      </c>
      <c r="B37" s="5"/>
      <c r="C37" s="5"/>
      <c r="D37" s="1"/>
      <c r="E37" s="1"/>
      <c r="F37" s="1"/>
      <c r="G37" s="1"/>
      <c r="J37" s="77" t="s">
        <v>1059</v>
      </c>
      <c r="K37" s="1" t="s">
        <v>1010</v>
      </c>
      <c r="AJ37" s="2">
        <f t="shared" si="0"/>
        <v>2</v>
      </c>
      <c r="AL37" s="2">
        <f t="shared" si="1"/>
        <v>2</v>
      </c>
    </row>
    <row r="38" spans="1:38" x14ac:dyDescent="0.3">
      <c r="A38" s="5" t="s">
        <v>1187</v>
      </c>
      <c r="B38" s="5"/>
      <c r="C38" s="5"/>
      <c r="D38" s="1"/>
      <c r="E38" s="1"/>
      <c r="F38" s="1"/>
      <c r="G38" s="1"/>
      <c r="J38" s="19"/>
      <c r="K38" s="1" t="s">
        <v>1002</v>
      </c>
      <c r="AJ38" s="2">
        <f t="shared" si="0"/>
        <v>1</v>
      </c>
      <c r="AL38" s="2">
        <f t="shared" si="1"/>
        <v>1</v>
      </c>
    </row>
    <row r="39" spans="1:38" ht="28.8" x14ac:dyDescent="0.3">
      <c r="A39" s="5" t="s">
        <v>1188</v>
      </c>
      <c r="B39" s="5"/>
      <c r="C39" s="5"/>
      <c r="D39" s="1"/>
      <c r="E39" s="1"/>
      <c r="F39" s="1"/>
      <c r="G39" s="1"/>
      <c r="J39" s="19"/>
      <c r="K39" s="1" t="s">
        <v>1190</v>
      </c>
      <c r="AJ39" s="2">
        <f t="shared" si="0"/>
        <v>1</v>
      </c>
      <c r="AL39" s="2">
        <f t="shared" si="1"/>
        <v>1</v>
      </c>
    </row>
    <row r="40" spans="1:38" x14ac:dyDescent="0.3">
      <c r="A40" s="5" t="s">
        <v>1189</v>
      </c>
      <c r="B40" s="5"/>
      <c r="C40" s="5"/>
      <c r="D40" s="1"/>
      <c r="E40" s="1"/>
      <c r="F40" s="1"/>
      <c r="G40" s="1"/>
      <c r="J40" s="19"/>
      <c r="K40" s="1" t="s">
        <v>1007</v>
      </c>
      <c r="AJ40" s="2">
        <f t="shared" si="0"/>
        <v>1</v>
      </c>
      <c r="AL40" s="2">
        <f t="shared" si="1"/>
        <v>1</v>
      </c>
    </row>
    <row r="41" spans="1:38" ht="28.8" x14ac:dyDescent="0.3">
      <c r="A41" s="5" t="s">
        <v>1060</v>
      </c>
      <c r="B41" s="5"/>
      <c r="C41" s="5"/>
      <c r="D41" s="1"/>
      <c r="E41" s="1"/>
      <c r="F41" s="1"/>
      <c r="G41" s="1"/>
      <c r="J41" s="19" t="s">
        <v>1067</v>
      </c>
      <c r="AJ41" s="2">
        <f t="shared" si="0"/>
        <v>1</v>
      </c>
      <c r="AL41" s="2">
        <f t="shared" si="1"/>
        <v>1</v>
      </c>
    </row>
    <row r="42" spans="1:38" x14ac:dyDescent="0.3">
      <c r="A42" s="5" t="s">
        <v>1061</v>
      </c>
      <c r="B42" s="5"/>
      <c r="C42" s="5"/>
      <c r="D42" s="1"/>
      <c r="E42" s="1"/>
      <c r="F42" s="1"/>
      <c r="G42" s="1"/>
      <c r="J42" s="19" t="s">
        <v>366</v>
      </c>
      <c r="AJ42" s="2">
        <f t="shared" si="0"/>
        <v>1</v>
      </c>
      <c r="AL42" s="2">
        <f t="shared" si="1"/>
        <v>1</v>
      </c>
    </row>
    <row r="43" spans="1:38" ht="28.8" x14ac:dyDescent="0.3">
      <c r="A43" s="5" t="s">
        <v>1062</v>
      </c>
      <c r="B43" s="5"/>
      <c r="C43" s="5"/>
      <c r="D43" s="1"/>
      <c r="E43" s="1"/>
      <c r="F43" s="1"/>
      <c r="G43" s="1"/>
      <c r="J43" s="19" t="s">
        <v>367</v>
      </c>
      <c r="AJ43" s="2">
        <f t="shared" si="0"/>
        <v>1</v>
      </c>
      <c r="AL43" s="2">
        <f t="shared" si="1"/>
        <v>1</v>
      </c>
    </row>
    <row r="44" spans="1:38" ht="28.8" x14ac:dyDescent="0.3">
      <c r="A44" s="5" t="s">
        <v>1063</v>
      </c>
      <c r="B44" s="5"/>
      <c r="C44" s="5"/>
      <c r="D44" s="1"/>
      <c r="E44" s="1"/>
      <c r="F44" s="1"/>
      <c r="G44" s="1"/>
      <c r="J44" s="19" t="s">
        <v>1068</v>
      </c>
      <c r="AJ44" s="2">
        <f t="shared" si="0"/>
        <v>1</v>
      </c>
      <c r="AL44" s="2">
        <f t="shared" si="1"/>
        <v>1</v>
      </c>
    </row>
    <row r="45" spans="1:38" ht="28.8" x14ac:dyDescent="0.3">
      <c r="A45" s="5" t="s">
        <v>1064</v>
      </c>
      <c r="B45" s="5"/>
      <c r="C45" s="5"/>
      <c r="D45" s="1"/>
      <c r="E45" s="1"/>
      <c r="F45" s="1"/>
      <c r="G45" s="1"/>
      <c r="J45" s="19" t="s">
        <v>1069</v>
      </c>
      <c r="AJ45" s="2">
        <f t="shared" si="0"/>
        <v>1</v>
      </c>
      <c r="AL45" s="2">
        <f t="shared" si="1"/>
        <v>1</v>
      </c>
    </row>
    <row r="46" spans="1:38" ht="28.8" x14ac:dyDescent="0.3">
      <c r="A46" s="5" t="s">
        <v>1065</v>
      </c>
      <c r="B46" s="5"/>
      <c r="C46" s="5"/>
      <c r="D46" s="1"/>
      <c r="E46" s="1"/>
      <c r="F46" s="1"/>
      <c r="G46" s="1"/>
      <c r="J46" s="19" t="s">
        <v>1069</v>
      </c>
      <c r="AJ46" s="2">
        <f t="shared" si="0"/>
        <v>1</v>
      </c>
      <c r="AL46" s="2">
        <f t="shared" si="1"/>
        <v>1</v>
      </c>
    </row>
    <row r="47" spans="1:38" ht="28.8" x14ac:dyDescent="0.3">
      <c r="A47" s="5" t="s">
        <v>1066</v>
      </c>
      <c r="B47" s="5"/>
      <c r="C47" s="5"/>
      <c r="D47" s="1"/>
      <c r="E47" s="1"/>
      <c r="F47" s="1"/>
      <c r="G47" s="1"/>
      <c r="J47" s="77" t="s">
        <v>1070</v>
      </c>
      <c r="K47" s="1" t="s">
        <v>1016</v>
      </c>
      <c r="AJ47" s="2">
        <f t="shared" si="0"/>
        <v>2</v>
      </c>
      <c r="AL47" s="2">
        <f t="shared" si="1"/>
        <v>2</v>
      </c>
    </row>
    <row r="48" spans="1:38" ht="28.8" x14ac:dyDescent="0.3">
      <c r="A48" s="5" t="s">
        <v>1191</v>
      </c>
      <c r="B48" s="5"/>
      <c r="C48" s="5"/>
      <c r="D48" s="1"/>
      <c r="E48" s="1"/>
      <c r="F48" s="1"/>
      <c r="G48" s="1"/>
      <c r="J48" s="19"/>
      <c r="K48" s="1" t="s">
        <v>1013</v>
      </c>
      <c r="AJ48" s="2">
        <f t="shared" si="0"/>
        <v>1</v>
      </c>
      <c r="AL48" s="2">
        <f t="shared" si="1"/>
        <v>1</v>
      </c>
    </row>
    <row r="49" spans="1:38" ht="28.8" x14ac:dyDescent="0.3">
      <c r="A49" s="5" t="s">
        <v>1192</v>
      </c>
      <c r="B49" s="5"/>
      <c r="C49" s="5"/>
      <c r="D49" s="1"/>
      <c r="E49" s="1"/>
      <c r="F49" s="1"/>
      <c r="G49" s="1"/>
      <c r="J49" s="19"/>
      <c r="K49" s="1" t="s">
        <v>1014</v>
      </c>
      <c r="AJ49" s="2">
        <f t="shared" si="0"/>
        <v>1</v>
      </c>
      <c r="AL49" s="2">
        <f t="shared" si="1"/>
        <v>1</v>
      </c>
    </row>
    <row r="50" spans="1:38" ht="28.8" x14ac:dyDescent="0.3">
      <c r="A50" s="5" t="s">
        <v>1193</v>
      </c>
      <c r="B50" s="5"/>
      <c r="C50" s="5"/>
      <c r="D50" s="1"/>
      <c r="E50" s="1"/>
      <c r="F50" s="1"/>
      <c r="G50" s="1"/>
      <c r="J50" s="19"/>
      <c r="K50" s="1" t="s">
        <v>1015</v>
      </c>
      <c r="AJ50" s="2">
        <f t="shared" si="0"/>
        <v>1</v>
      </c>
      <c r="AL50" s="2">
        <f t="shared" si="1"/>
        <v>1</v>
      </c>
    </row>
    <row r="51" spans="1:38" x14ac:dyDescent="0.3">
      <c r="A51" s="5" t="s">
        <v>1071</v>
      </c>
      <c r="B51" s="5"/>
      <c r="C51" s="5"/>
      <c r="D51" s="1"/>
      <c r="E51" s="1"/>
      <c r="F51" s="1"/>
      <c r="G51" s="1"/>
      <c r="J51" s="77" t="s">
        <v>1072</v>
      </c>
      <c r="X51" s="1" t="s">
        <v>1244</v>
      </c>
      <c r="AJ51" s="2">
        <f t="shared" si="0"/>
        <v>2</v>
      </c>
      <c r="AL51" s="2">
        <f t="shared" si="1"/>
        <v>1</v>
      </c>
    </row>
    <row r="52" spans="1:38" x14ac:dyDescent="0.3">
      <c r="A52" s="5" t="s">
        <v>1438</v>
      </c>
      <c r="B52" s="5"/>
      <c r="C52" s="5"/>
      <c r="D52" s="1"/>
      <c r="E52" s="1"/>
      <c r="F52" s="1"/>
      <c r="G52" s="1"/>
      <c r="M52" s="54" t="s">
        <v>1055</v>
      </c>
      <c r="N52" s="53" t="s">
        <v>1605</v>
      </c>
      <c r="O52" s="53" t="s">
        <v>927</v>
      </c>
      <c r="Q52" s="54" t="s">
        <v>1026</v>
      </c>
      <c r="R52" s="53" t="s">
        <v>2041</v>
      </c>
      <c r="AB52" s="1" t="s">
        <v>2777</v>
      </c>
      <c r="AJ52" s="2">
        <f>COUNTA(B52:AH52)</f>
        <v>6</v>
      </c>
      <c r="AL52" s="2">
        <f t="shared" si="1"/>
        <v>4</v>
      </c>
    </row>
    <row r="53" spans="1:38" x14ac:dyDescent="0.3">
      <c r="A53" s="5" t="s">
        <v>2795</v>
      </c>
      <c r="B53" s="5"/>
      <c r="C53" s="5"/>
      <c r="D53" s="1"/>
      <c r="E53" s="1"/>
      <c r="F53" s="1"/>
      <c r="G53" s="1"/>
      <c r="AC53" s="1" t="s">
        <v>1968</v>
      </c>
      <c r="AJ53" s="2">
        <f t="shared" ref="AJ53:AJ72" si="2">COUNTA(B53:AH53)</f>
        <v>1</v>
      </c>
      <c r="AL53" s="2">
        <f t="shared" si="1"/>
        <v>0</v>
      </c>
    </row>
    <row r="54" spans="1:38" x14ac:dyDescent="0.3">
      <c r="A54" s="5" t="s">
        <v>117</v>
      </c>
      <c r="B54" s="82" t="s">
        <v>118</v>
      </c>
      <c r="C54" s="76" t="s">
        <v>118</v>
      </c>
      <c r="D54" s="54" t="s">
        <v>118</v>
      </c>
      <c r="E54" s="63" t="s">
        <v>384</v>
      </c>
      <c r="F54" s="63" t="s">
        <v>118</v>
      </c>
      <c r="G54" s="1" t="s">
        <v>520</v>
      </c>
      <c r="AJ54" s="2">
        <f t="shared" si="2"/>
        <v>6</v>
      </c>
      <c r="AL54" s="2">
        <f t="shared" si="1"/>
        <v>2</v>
      </c>
    </row>
    <row r="55" spans="1:38" x14ac:dyDescent="0.3">
      <c r="A55" s="5" t="s">
        <v>119</v>
      </c>
      <c r="B55" s="82" t="s">
        <v>120</v>
      </c>
      <c r="C55" s="76" t="s">
        <v>120</v>
      </c>
      <c r="D55" s="54" t="s">
        <v>120</v>
      </c>
      <c r="E55" s="63" t="s">
        <v>385</v>
      </c>
      <c r="F55" s="63" t="s">
        <v>120</v>
      </c>
      <c r="G55" s="1" t="s">
        <v>521</v>
      </c>
      <c r="AJ55" s="2">
        <f t="shared" si="2"/>
        <v>6</v>
      </c>
      <c r="AL55" s="2">
        <f t="shared" si="1"/>
        <v>2</v>
      </c>
    </row>
    <row r="56" spans="1:38" ht="28.8" x14ac:dyDescent="0.3">
      <c r="A56" s="5" t="s">
        <v>166</v>
      </c>
      <c r="B56" s="5"/>
      <c r="C56" s="64" t="s">
        <v>3209</v>
      </c>
      <c r="D56" s="54" t="s">
        <v>167</v>
      </c>
      <c r="E56" s="53" t="s">
        <v>389</v>
      </c>
      <c r="F56" s="54" t="s">
        <v>309</v>
      </c>
      <c r="G56" s="1" t="s">
        <v>573</v>
      </c>
      <c r="AJ56" s="2">
        <f t="shared" si="2"/>
        <v>5</v>
      </c>
      <c r="AL56" s="2">
        <f t="shared" si="1"/>
        <v>2</v>
      </c>
    </row>
    <row r="57" spans="1:38" x14ac:dyDescent="0.3">
      <c r="A57" s="5" t="s">
        <v>173</v>
      </c>
      <c r="B57" s="76" t="s">
        <v>3214</v>
      </c>
      <c r="C57" s="65" t="s">
        <v>3214</v>
      </c>
      <c r="D57" s="54" t="s">
        <v>174</v>
      </c>
      <c r="E57" s="54" t="s">
        <v>391</v>
      </c>
      <c r="F57" s="54" t="s">
        <v>330</v>
      </c>
      <c r="G57" s="54" t="s">
        <v>597</v>
      </c>
      <c r="H57" s="54" t="s">
        <v>701</v>
      </c>
      <c r="I57" s="54" t="s">
        <v>845</v>
      </c>
      <c r="J57" s="1" t="s">
        <v>1118</v>
      </c>
      <c r="AJ57" s="2">
        <f t="shared" si="2"/>
        <v>9</v>
      </c>
      <c r="AL57" s="2">
        <f t="shared" si="1"/>
        <v>5</v>
      </c>
    </row>
    <row r="58" spans="1:38" x14ac:dyDescent="0.3">
      <c r="A58" s="5" t="s">
        <v>846</v>
      </c>
      <c r="B58" s="5"/>
      <c r="C58" s="5"/>
      <c r="D58" s="1"/>
      <c r="E58" s="1"/>
      <c r="F58" s="1"/>
      <c r="G58" s="1"/>
      <c r="I58" s="54" t="s">
        <v>847</v>
      </c>
      <c r="J58" s="53" t="s">
        <v>1119</v>
      </c>
      <c r="W58" s="1" t="s">
        <v>1440</v>
      </c>
      <c r="AJ58" s="2">
        <f t="shared" si="2"/>
        <v>3</v>
      </c>
      <c r="AL58" s="2">
        <f t="shared" si="1"/>
        <v>2</v>
      </c>
    </row>
    <row r="59" spans="1:38" x14ac:dyDescent="0.3">
      <c r="A59" s="5" t="s">
        <v>3215</v>
      </c>
      <c r="B59" s="5"/>
      <c r="C59" s="5" t="s">
        <v>3216</v>
      </c>
      <c r="D59" s="1"/>
      <c r="E59" s="1"/>
      <c r="F59" s="1"/>
      <c r="G59" s="1"/>
      <c r="AJ59" s="2">
        <f t="shared" si="2"/>
        <v>1</v>
      </c>
      <c r="AL59" s="2">
        <f t="shared" si="1"/>
        <v>0</v>
      </c>
    </row>
    <row r="60" spans="1:38" ht="28.8" x14ac:dyDescent="0.3">
      <c r="A60" s="5" t="s">
        <v>800</v>
      </c>
      <c r="B60" s="5"/>
      <c r="C60" s="5"/>
      <c r="D60" s="1"/>
      <c r="E60" s="1"/>
      <c r="F60" s="1"/>
      <c r="G60" s="1"/>
      <c r="I60" s="19" t="s">
        <v>801</v>
      </c>
      <c r="AJ60" s="2">
        <f t="shared" si="2"/>
        <v>1</v>
      </c>
      <c r="AL60" s="2">
        <f t="shared" si="1"/>
        <v>1</v>
      </c>
    </row>
    <row r="61" spans="1:38" ht="28.8" x14ac:dyDescent="0.3">
      <c r="A61" s="5" t="s">
        <v>2017</v>
      </c>
      <c r="B61" s="5"/>
      <c r="C61" s="5"/>
      <c r="D61" s="21"/>
      <c r="E61" s="1"/>
      <c r="F61" s="1"/>
      <c r="G61" s="1"/>
      <c r="Q61" s="54" t="s">
        <v>1004</v>
      </c>
      <c r="R61" s="1" t="s">
        <v>2018</v>
      </c>
      <c r="AJ61" s="2">
        <f t="shared" si="2"/>
        <v>2</v>
      </c>
      <c r="AL61" s="2">
        <f t="shared" si="1"/>
        <v>1</v>
      </c>
    </row>
    <row r="62" spans="1:38" ht="28.8" x14ac:dyDescent="0.3">
      <c r="A62" s="24" t="s">
        <v>2634</v>
      </c>
      <c r="B62" s="5"/>
      <c r="C62" s="31"/>
      <c r="D62" s="21"/>
      <c r="E62" s="1"/>
      <c r="F62" s="1"/>
      <c r="G62" s="1"/>
      <c r="T62" s="54" t="s">
        <v>2092</v>
      </c>
      <c r="U62" s="54" t="s">
        <v>1737</v>
      </c>
      <c r="V62" s="54" t="s">
        <v>276</v>
      </c>
      <c r="W62" s="54" t="s">
        <v>1439</v>
      </c>
      <c r="X62" s="54" t="s">
        <v>1966</v>
      </c>
      <c r="Z62" s="1" t="s">
        <v>520</v>
      </c>
      <c r="AJ62" s="2">
        <f t="shared" si="2"/>
        <v>6</v>
      </c>
      <c r="AL62" s="2">
        <f t="shared" si="1"/>
        <v>0</v>
      </c>
    </row>
    <row r="63" spans="1:38" x14ac:dyDescent="0.3">
      <c r="A63" s="24" t="s">
        <v>2350</v>
      </c>
      <c r="B63" s="5"/>
      <c r="C63" s="31"/>
      <c r="D63" s="21"/>
      <c r="E63" s="1"/>
      <c r="F63" s="1"/>
      <c r="G63" s="1"/>
      <c r="T63" s="54" t="s">
        <v>2093</v>
      </c>
      <c r="U63" s="1" t="s">
        <v>2474</v>
      </c>
      <c r="AJ63" s="2">
        <f t="shared" si="2"/>
        <v>2</v>
      </c>
      <c r="AL63" s="2">
        <f t="shared" si="1"/>
        <v>0</v>
      </c>
    </row>
    <row r="64" spans="1:38" x14ac:dyDescent="0.3">
      <c r="A64" s="24" t="s">
        <v>2351</v>
      </c>
      <c r="B64" s="5"/>
      <c r="C64" s="31"/>
      <c r="D64" s="21"/>
      <c r="E64" s="1"/>
      <c r="F64" s="1"/>
      <c r="G64" s="1"/>
      <c r="T64" s="54" t="s">
        <v>2097</v>
      </c>
      <c r="U64" s="1" t="s">
        <v>1744</v>
      </c>
      <c r="AJ64" s="2">
        <f t="shared" si="2"/>
        <v>2</v>
      </c>
      <c r="AL64" s="2">
        <f t="shared" si="1"/>
        <v>0</v>
      </c>
    </row>
    <row r="65" spans="1:38" x14ac:dyDescent="0.3">
      <c r="A65" s="24" t="s">
        <v>2352</v>
      </c>
      <c r="B65" s="5"/>
      <c r="C65" s="31"/>
      <c r="D65" s="21"/>
      <c r="E65" s="1"/>
      <c r="F65" s="1"/>
      <c r="G65" s="1"/>
      <c r="T65" s="54" t="s">
        <v>2100</v>
      </c>
      <c r="U65" s="1" t="s">
        <v>1745</v>
      </c>
      <c r="AJ65" s="2">
        <f t="shared" si="2"/>
        <v>2</v>
      </c>
      <c r="AL65" s="2">
        <f t="shared" si="1"/>
        <v>0</v>
      </c>
    </row>
    <row r="66" spans="1:38" x14ac:dyDescent="0.3">
      <c r="A66" s="24" t="s">
        <v>2354</v>
      </c>
      <c r="B66" s="5"/>
      <c r="C66" s="31"/>
      <c r="D66" s="21"/>
      <c r="E66" s="1"/>
      <c r="F66" s="1"/>
      <c r="G66" s="1"/>
      <c r="T66" s="54" t="s">
        <v>2105</v>
      </c>
      <c r="U66" s="54" t="s">
        <v>1733</v>
      </c>
      <c r="V66" s="1" t="s">
        <v>281</v>
      </c>
      <c r="AJ66" s="2">
        <f t="shared" si="2"/>
        <v>3</v>
      </c>
      <c r="AL66" s="2">
        <f t="shared" si="1"/>
        <v>0</v>
      </c>
    </row>
    <row r="67" spans="1:38" x14ac:dyDescent="0.3">
      <c r="A67" s="24" t="s">
        <v>2472</v>
      </c>
      <c r="B67" s="5"/>
      <c r="C67" s="31"/>
      <c r="D67" s="21"/>
      <c r="E67" s="1"/>
      <c r="F67" s="1"/>
      <c r="G67" s="1"/>
      <c r="U67" s="54" t="s">
        <v>1732</v>
      </c>
      <c r="V67" s="53" t="s">
        <v>283</v>
      </c>
      <c r="Z67" s="1" t="s">
        <v>267</v>
      </c>
      <c r="AJ67" s="2">
        <f t="shared" si="2"/>
        <v>3</v>
      </c>
      <c r="AL67" s="2">
        <f t="shared" ref="AL67:AL72" si="3">COUNTA(F67:O67,R67:S67)</f>
        <v>0</v>
      </c>
    </row>
    <row r="68" spans="1:38" ht="43.2" x14ac:dyDescent="0.3">
      <c r="A68" s="24" t="s">
        <v>2693</v>
      </c>
      <c r="B68" s="5"/>
      <c r="C68" s="31"/>
      <c r="D68" s="21"/>
      <c r="E68" s="1"/>
      <c r="F68" s="1"/>
      <c r="G68" s="1"/>
      <c r="AA68" s="1" t="s">
        <v>2694</v>
      </c>
      <c r="AJ68" s="2">
        <f t="shared" si="2"/>
        <v>1</v>
      </c>
      <c r="AL68" s="2">
        <f t="shared" si="3"/>
        <v>0</v>
      </c>
    </row>
    <row r="69" spans="1:38" ht="28.8" x14ac:dyDescent="0.3">
      <c r="A69" s="24" t="s">
        <v>2817</v>
      </c>
      <c r="B69" s="5"/>
      <c r="C69" s="31"/>
      <c r="D69" s="21"/>
      <c r="E69" s="1"/>
      <c r="F69" s="1"/>
      <c r="G69" s="1"/>
      <c r="AC69" s="1" t="s">
        <v>1986</v>
      </c>
      <c r="AJ69" s="2">
        <f t="shared" si="2"/>
        <v>1</v>
      </c>
      <c r="AL69" s="2">
        <f t="shared" si="3"/>
        <v>0</v>
      </c>
    </row>
    <row r="70" spans="1:38" ht="28.8" x14ac:dyDescent="0.3">
      <c r="A70" s="24" t="s">
        <v>2816</v>
      </c>
      <c r="B70" s="5"/>
      <c r="C70" s="31"/>
      <c r="D70" s="21"/>
      <c r="E70" s="1"/>
      <c r="F70" s="1"/>
      <c r="G70" s="1"/>
      <c r="AC70" s="1" t="s">
        <v>1997</v>
      </c>
      <c r="AJ70" s="2">
        <f t="shared" si="2"/>
        <v>1</v>
      </c>
      <c r="AL70" s="2">
        <f t="shared" si="3"/>
        <v>0</v>
      </c>
    </row>
    <row r="71" spans="1:38" ht="43.2" x14ac:dyDescent="0.3">
      <c r="A71" s="24" t="s">
        <v>2818</v>
      </c>
      <c r="B71" s="1"/>
      <c r="C71" s="31"/>
      <c r="D71" s="21"/>
      <c r="E71" s="1"/>
      <c r="F71" s="1"/>
      <c r="G71" s="1"/>
      <c r="AC71" s="1" t="s">
        <v>1998</v>
      </c>
      <c r="AJ71" s="2">
        <f t="shared" si="2"/>
        <v>1</v>
      </c>
      <c r="AL71" s="2">
        <f t="shared" si="3"/>
        <v>0</v>
      </c>
    </row>
    <row r="72" spans="1:38" ht="28.8" x14ac:dyDescent="0.3">
      <c r="A72" s="24" t="s">
        <v>3006</v>
      </c>
      <c r="B72" s="1"/>
      <c r="C72" s="31"/>
      <c r="D72" s="21"/>
      <c r="E72" s="1"/>
      <c r="F72" s="1"/>
      <c r="G72" s="1"/>
      <c r="AF72" s="54" t="s">
        <v>1007</v>
      </c>
      <c r="AG72" s="53" t="s">
        <v>1002</v>
      </c>
      <c r="AH72" s="1" t="s">
        <v>1007</v>
      </c>
      <c r="AJ72" s="2">
        <f t="shared" si="2"/>
        <v>3</v>
      </c>
      <c r="AL72" s="2">
        <f t="shared" si="3"/>
        <v>0</v>
      </c>
    </row>
    <row r="73" spans="1:38" x14ac:dyDescent="0.3">
      <c r="A73" s="24"/>
      <c r="B73" s="1"/>
      <c r="C73" s="31"/>
      <c r="D73" s="21"/>
      <c r="E73" s="1"/>
      <c r="F73" s="1"/>
      <c r="G73" s="1"/>
    </row>
    <row r="74" spans="1:38" x14ac:dyDescent="0.3">
      <c r="A74" s="24"/>
      <c r="B74" s="1"/>
      <c r="C74" s="31"/>
      <c r="D74" s="21"/>
      <c r="E74" s="1"/>
      <c r="F74" s="1"/>
      <c r="G74" s="1"/>
    </row>
    <row r="75" spans="1:38" x14ac:dyDescent="0.3">
      <c r="A75" s="24"/>
      <c r="B75" s="1"/>
      <c r="C75" s="31"/>
      <c r="D75" s="21"/>
      <c r="E75" s="1"/>
      <c r="F75" s="1"/>
      <c r="G75" s="1"/>
    </row>
    <row r="76" spans="1:38" x14ac:dyDescent="0.3">
      <c r="A76" s="24"/>
      <c r="B76" s="1"/>
      <c r="C76" s="31"/>
      <c r="D76" s="21"/>
      <c r="E76" s="1"/>
      <c r="F76" s="1"/>
      <c r="G76" s="1"/>
    </row>
    <row r="77" spans="1:38" x14ac:dyDescent="0.3">
      <c r="A77" s="24"/>
      <c r="B77" s="1"/>
      <c r="C77" s="31"/>
      <c r="D77" s="21"/>
      <c r="E77" s="1"/>
      <c r="F77" s="1"/>
      <c r="G77" s="1"/>
    </row>
    <row r="78" spans="1:38" x14ac:dyDescent="0.3">
      <c r="A78" s="24"/>
      <c r="B78" s="1"/>
      <c r="C78" s="31"/>
      <c r="D78" s="21"/>
      <c r="E78" s="1"/>
      <c r="F78" s="1"/>
      <c r="G78" s="1"/>
    </row>
    <row r="79" spans="1:38" x14ac:dyDescent="0.3">
      <c r="A79" s="24"/>
      <c r="B79" s="1"/>
      <c r="C79" s="31"/>
      <c r="D79" s="21"/>
      <c r="E79" s="1"/>
      <c r="F79" s="1"/>
      <c r="G79" s="1"/>
    </row>
    <row r="80" spans="1:38" x14ac:dyDescent="0.3">
      <c r="A80" s="24"/>
      <c r="B80" s="5"/>
      <c r="C80" s="31"/>
      <c r="D80" s="21"/>
      <c r="E80" s="1"/>
      <c r="F80" s="1"/>
      <c r="G80" s="1"/>
    </row>
    <row r="81" spans="1:7" x14ac:dyDescent="0.3">
      <c r="A81" s="24"/>
      <c r="B81" s="1"/>
      <c r="C81" s="31"/>
      <c r="D81" s="21"/>
      <c r="E81" s="1"/>
      <c r="F81" s="1"/>
      <c r="G81" s="1"/>
    </row>
    <row r="82" spans="1:7" x14ac:dyDescent="0.3">
      <c r="A82" s="24"/>
      <c r="B82" s="1"/>
      <c r="C82" s="31"/>
      <c r="D82" s="21"/>
      <c r="E82" s="1"/>
      <c r="F82" s="1"/>
      <c r="G82" s="1"/>
    </row>
    <row r="83" spans="1:7" x14ac:dyDescent="0.3">
      <c r="A83" s="24"/>
      <c r="B83" s="1"/>
      <c r="C83" s="31"/>
      <c r="D83" s="21"/>
      <c r="E83" s="1"/>
      <c r="F83" s="1"/>
      <c r="G83" s="1"/>
    </row>
    <row r="84" spans="1:7" x14ac:dyDescent="0.3">
      <c r="A84" s="24"/>
      <c r="B84" s="1"/>
      <c r="C84" s="31"/>
      <c r="D84" s="21"/>
      <c r="E84" s="1"/>
      <c r="F84" s="1"/>
      <c r="G84" s="1"/>
    </row>
    <row r="85" spans="1:7" x14ac:dyDescent="0.3">
      <c r="A85" s="24"/>
      <c r="B85" s="1"/>
      <c r="C85" s="31"/>
      <c r="D85" s="21"/>
      <c r="E85" s="1"/>
      <c r="F85" s="1"/>
      <c r="G85" s="1"/>
    </row>
    <row r="86" spans="1:7" x14ac:dyDescent="0.3">
      <c r="A86" s="24"/>
      <c r="B86" s="1"/>
      <c r="C86" s="31"/>
      <c r="D86" s="21"/>
      <c r="E86" s="1"/>
      <c r="F86" s="1"/>
      <c r="G86" s="1"/>
    </row>
    <row r="87" spans="1:7" x14ac:dyDescent="0.3">
      <c r="A87" s="24"/>
      <c r="B87" s="1"/>
      <c r="C87" s="31"/>
      <c r="D87" s="21"/>
      <c r="E87" s="1"/>
      <c r="F87" s="1"/>
      <c r="G87" s="1"/>
    </row>
    <row r="88" spans="1:7" x14ac:dyDescent="0.3">
      <c r="A88" s="24"/>
      <c r="B88" s="1"/>
      <c r="C88" s="31"/>
      <c r="D88" s="21"/>
      <c r="E88" s="1"/>
      <c r="F88" s="1"/>
      <c r="G88" s="1"/>
    </row>
    <row r="89" spans="1:7" x14ac:dyDescent="0.3">
      <c r="A89" s="24"/>
      <c r="B89" s="1"/>
      <c r="C89" s="31"/>
      <c r="D89" s="21"/>
      <c r="E89" s="1"/>
      <c r="F89" s="1"/>
      <c r="G89" s="1"/>
    </row>
    <row r="90" spans="1:7" x14ac:dyDescent="0.3">
      <c r="A90" s="24"/>
      <c r="B90" s="1"/>
      <c r="C90" s="31"/>
      <c r="D90" s="21"/>
      <c r="E90" s="1"/>
      <c r="F90" s="1"/>
      <c r="G90" s="1"/>
    </row>
    <row r="91" spans="1:7" x14ac:dyDescent="0.3">
      <c r="A91" s="24"/>
      <c r="B91" s="1"/>
      <c r="C91" s="31"/>
      <c r="D91" s="21"/>
      <c r="E91" s="1"/>
      <c r="F91" s="1"/>
      <c r="G91" s="1"/>
    </row>
    <row r="92" spans="1:7" x14ac:dyDescent="0.3">
      <c r="A92" s="24"/>
      <c r="B92" s="1"/>
      <c r="C92" s="31"/>
      <c r="D92" s="21"/>
      <c r="E92" s="1"/>
      <c r="F92" s="1"/>
      <c r="G92" s="1"/>
    </row>
    <row r="93" spans="1:7" x14ac:dyDescent="0.3">
      <c r="A93" s="24"/>
      <c r="B93" s="1"/>
      <c r="C93" s="31"/>
      <c r="D93" s="21"/>
      <c r="E93" s="1"/>
      <c r="F93" s="1"/>
      <c r="G93" s="1"/>
    </row>
    <row r="94" spans="1:7" x14ac:dyDescent="0.3">
      <c r="A94" s="24"/>
      <c r="B94" s="1"/>
      <c r="C94" s="31"/>
      <c r="D94" s="21"/>
      <c r="E94" s="1"/>
      <c r="F94" s="1"/>
      <c r="G94" s="1"/>
    </row>
    <row r="95" spans="1:7" x14ac:dyDescent="0.3">
      <c r="A95" s="24"/>
      <c r="B95" s="1"/>
      <c r="C95" s="31"/>
      <c r="D95" s="21"/>
      <c r="E95" s="1"/>
      <c r="F95" s="1"/>
      <c r="G95" s="1"/>
    </row>
    <row r="96" spans="1:7" x14ac:dyDescent="0.3">
      <c r="A96" s="24"/>
      <c r="B96" s="1"/>
      <c r="C96" s="31"/>
      <c r="D96" s="21"/>
      <c r="E96" s="1"/>
      <c r="F96" s="1"/>
      <c r="G96" s="1"/>
    </row>
    <row r="97" spans="1:7" x14ac:dyDescent="0.3">
      <c r="A97" s="24"/>
      <c r="B97" s="1"/>
      <c r="C97" s="31"/>
      <c r="D97" s="21"/>
      <c r="E97" s="1"/>
      <c r="F97" s="1"/>
      <c r="G97" s="1"/>
    </row>
    <row r="98" spans="1:7" x14ac:dyDescent="0.3">
      <c r="A98" s="24"/>
      <c r="B98" s="1"/>
      <c r="C98" s="31"/>
      <c r="D98" s="21"/>
      <c r="E98" s="1"/>
      <c r="F98" s="1"/>
      <c r="G98" s="1"/>
    </row>
    <row r="99" spans="1:7" x14ac:dyDescent="0.3">
      <c r="A99" s="24"/>
      <c r="B99" s="1"/>
      <c r="C99" s="31"/>
      <c r="D99" s="21"/>
      <c r="E99" s="1"/>
      <c r="F99" s="1"/>
      <c r="G99" s="1"/>
    </row>
    <row r="100" spans="1:7" x14ac:dyDescent="0.3">
      <c r="A100" s="24"/>
      <c r="B100" s="1"/>
      <c r="C100" s="31"/>
      <c r="D100" s="21"/>
      <c r="E100" s="1"/>
      <c r="F100" s="1"/>
      <c r="G100" s="1"/>
    </row>
    <row r="101" spans="1:7" x14ac:dyDescent="0.3">
      <c r="A101" s="24"/>
      <c r="B101" s="1"/>
      <c r="C101" s="31"/>
      <c r="D101" s="21"/>
      <c r="E101" s="1"/>
      <c r="F101" s="1"/>
      <c r="G101" s="1"/>
    </row>
    <row r="102" spans="1:7" x14ac:dyDescent="0.3">
      <c r="A102" s="24"/>
      <c r="B102" s="1"/>
      <c r="C102" s="31"/>
      <c r="D102" s="21"/>
      <c r="E102" s="1"/>
      <c r="F102" s="1"/>
      <c r="G102" s="1"/>
    </row>
    <row r="103" spans="1:7" x14ac:dyDescent="0.3">
      <c r="A103" s="24"/>
      <c r="B103" s="1"/>
      <c r="C103" s="31"/>
      <c r="D103" s="21"/>
      <c r="E103" s="1"/>
      <c r="F103" s="1"/>
      <c r="G103" s="1"/>
    </row>
    <row r="104" spans="1:7" x14ac:dyDescent="0.3">
      <c r="A104" s="24"/>
      <c r="B104" s="1"/>
      <c r="C104" s="31"/>
      <c r="D104" s="21"/>
      <c r="E104" s="1"/>
      <c r="F104" s="1"/>
      <c r="G104" s="1"/>
    </row>
    <row r="105" spans="1:7" x14ac:dyDescent="0.3">
      <c r="A105" s="24"/>
      <c r="B105" s="1"/>
      <c r="C105" s="31"/>
      <c r="D105" s="21"/>
      <c r="E105" s="1"/>
      <c r="F105" s="1"/>
      <c r="G105" s="1"/>
    </row>
    <row r="106" spans="1:7" x14ac:dyDescent="0.3">
      <c r="A106" s="24"/>
      <c r="B106" s="1"/>
      <c r="C106" s="31"/>
      <c r="D106" s="21"/>
      <c r="E106" s="1"/>
      <c r="F106" s="1"/>
      <c r="G106" s="1"/>
    </row>
    <row r="107" spans="1:7" x14ac:dyDescent="0.3">
      <c r="A107" s="24"/>
      <c r="B107" s="1"/>
      <c r="C107" s="31"/>
      <c r="D107" s="21"/>
      <c r="E107" s="1"/>
      <c r="F107" s="1"/>
      <c r="G107" s="1"/>
    </row>
    <row r="108" spans="1:7" x14ac:dyDescent="0.3">
      <c r="A108" s="24"/>
      <c r="B108" s="1"/>
      <c r="C108" s="31"/>
      <c r="D108" s="21"/>
      <c r="E108" s="1"/>
      <c r="F108" s="1"/>
      <c r="G108" s="1"/>
    </row>
    <row r="109" spans="1:7" x14ac:dyDescent="0.3">
      <c r="A109" s="24"/>
      <c r="B109" s="1"/>
      <c r="C109" s="31"/>
      <c r="D109" s="21"/>
      <c r="E109" s="1"/>
      <c r="F109" s="1"/>
      <c r="G109" s="1"/>
    </row>
    <row r="110" spans="1:7" x14ac:dyDescent="0.3">
      <c r="A110" s="24"/>
      <c r="B110" s="1"/>
      <c r="C110" s="31"/>
      <c r="D110" s="21"/>
      <c r="E110" s="1"/>
      <c r="F110" s="1"/>
      <c r="G110" s="1"/>
    </row>
    <row r="111" spans="1:7" x14ac:dyDescent="0.3">
      <c r="A111" s="24"/>
      <c r="B111" s="1"/>
      <c r="C111" s="31"/>
      <c r="D111" s="21"/>
      <c r="E111" s="1"/>
      <c r="F111" s="1"/>
      <c r="G111" s="1"/>
    </row>
    <row r="112" spans="1:7" x14ac:dyDescent="0.3">
      <c r="A112" s="24"/>
      <c r="B112" s="1"/>
      <c r="C112" s="31"/>
      <c r="D112" s="21"/>
      <c r="E112" s="1"/>
      <c r="F112" s="1"/>
      <c r="G112" s="1"/>
    </row>
    <row r="113" spans="1:7" x14ac:dyDescent="0.3">
      <c r="A113" s="24"/>
      <c r="B113" s="1"/>
      <c r="C113" s="31"/>
      <c r="D113" s="21"/>
      <c r="E113" s="1"/>
      <c r="F113" s="1"/>
      <c r="G113" s="1"/>
    </row>
    <row r="114" spans="1:7" x14ac:dyDescent="0.3">
      <c r="A114" s="24"/>
      <c r="B114" s="1"/>
      <c r="C114" s="31"/>
      <c r="D114" s="21"/>
      <c r="E114" s="1"/>
      <c r="F114" s="1"/>
      <c r="G114" s="1"/>
    </row>
    <row r="115" spans="1:7" x14ac:dyDescent="0.3">
      <c r="A115" s="24"/>
      <c r="B115" s="1"/>
      <c r="C115" s="31"/>
      <c r="D115" s="21"/>
      <c r="E115" s="1"/>
      <c r="F115" s="1"/>
      <c r="G115" s="1"/>
    </row>
    <row r="116" spans="1:7" x14ac:dyDescent="0.3">
      <c r="A116" s="24"/>
      <c r="B116" s="1"/>
      <c r="C116" s="31"/>
      <c r="D116" s="21"/>
      <c r="E116" s="1"/>
      <c r="F116" s="1"/>
      <c r="G116" s="1"/>
    </row>
    <row r="117" spans="1:7" x14ac:dyDescent="0.3">
      <c r="A117" s="24"/>
      <c r="B117" s="1"/>
      <c r="C117" s="31"/>
      <c r="D117" s="21"/>
      <c r="E117" s="1"/>
      <c r="F117" s="1"/>
      <c r="G117" s="1"/>
    </row>
    <row r="118" spans="1:7" x14ac:dyDescent="0.3">
      <c r="A118" s="24"/>
      <c r="B118" s="1"/>
      <c r="C118" s="31"/>
      <c r="D118" s="21"/>
      <c r="E118" s="1"/>
      <c r="F118" s="1"/>
      <c r="G118" s="1"/>
    </row>
    <row r="119" spans="1:7" x14ac:dyDescent="0.3">
      <c r="A119" s="24"/>
      <c r="B119" s="1"/>
      <c r="C119" s="31"/>
      <c r="D119" s="21"/>
      <c r="E119" s="1"/>
      <c r="F119" s="1"/>
      <c r="G119" s="1"/>
    </row>
    <row r="120" spans="1:7" x14ac:dyDescent="0.3">
      <c r="A120" s="24"/>
      <c r="B120" s="1"/>
      <c r="C120" s="31"/>
      <c r="D120" s="21"/>
      <c r="E120" s="1"/>
      <c r="F120" s="1"/>
      <c r="G120" s="1"/>
    </row>
    <row r="121" spans="1:7" x14ac:dyDescent="0.3">
      <c r="A121" s="24"/>
      <c r="B121" s="1"/>
      <c r="C121" s="31"/>
      <c r="D121" s="21"/>
      <c r="E121" s="1"/>
      <c r="F121" s="1"/>
      <c r="G121" s="1"/>
    </row>
    <row r="122" spans="1:7" x14ac:dyDescent="0.3">
      <c r="A122" s="24"/>
      <c r="B122" s="1"/>
      <c r="C122" s="31"/>
      <c r="D122" s="21"/>
      <c r="E122" s="1"/>
      <c r="F122" s="1"/>
      <c r="G122" s="1"/>
    </row>
    <row r="123" spans="1:7" x14ac:dyDescent="0.3">
      <c r="A123" s="24"/>
      <c r="B123" s="1"/>
      <c r="C123" s="31"/>
      <c r="D123" s="21"/>
      <c r="E123" s="1"/>
      <c r="F123" s="1"/>
      <c r="G123" s="1"/>
    </row>
    <row r="124" spans="1:7" x14ac:dyDescent="0.3">
      <c r="A124" s="24"/>
      <c r="B124" s="1"/>
      <c r="C124" s="31"/>
      <c r="D124" s="21"/>
      <c r="E124" s="1"/>
      <c r="F124" s="1"/>
      <c r="G124" s="1"/>
    </row>
    <row r="125" spans="1:7" x14ac:dyDescent="0.3">
      <c r="A125" s="24"/>
      <c r="B125" s="1"/>
      <c r="C125" s="31"/>
      <c r="D125" s="21"/>
      <c r="E125" s="1"/>
      <c r="F125" s="1"/>
      <c r="G125" s="1"/>
    </row>
    <row r="126" spans="1:7" x14ac:dyDescent="0.3">
      <c r="A126" s="24"/>
      <c r="B126" s="1"/>
      <c r="C126" s="31"/>
      <c r="D126" s="21"/>
      <c r="E126" s="1"/>
      <c r="F126" s="1"/>
      <c r="G126" s="1"/>
    </row>
    <row r="127" spans="1:7" x14ac:dyDescent="0.3">
      <c r="A127" s="24"/>
      <c r="B127" s="1"/>
      <c r="C127" s="31"/>
      <c r="D127" s="21"/>
      <c r="E127" s="1"/>
      <c r="F127" s="1"/>
      <c r="G127" s="1"/>
    </row>
    <row r="128" spans="1:7"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4"/>
      <c r="B135" s="1"/>
      <c r="C135" s="31"/>
      <c r="D135" s="21"/>
      <c r="E135" s="1"/>
      <c r="F135" s="1"/>
      <c r="G135" s="1"/>
    </row>
    <row r="136" spans="1:7" x14ac:dyDescent="0.3">
      <c r="A136" s="24"/>
      <c r="B136" s="1"/>
      <c r="C136" s="31"/>
      <c r="D136" s="21"/>
      <c r="E136" s="1"/>
      <c r="F136" s="1"/>
      <c r="G136" s="1"/>
    </row>
    <row r="137" spans="1:7" x14ac:dyDescent="0.3">
      <c r="A137" s="24"/>
      <c r="B137" s="1"/>
      <c r="C137" s="31"/>
      <c r="D137" s="21"/>
      <c r="E137" s="1"/>
      <c r="F137" s="1"/>
      <c r="G137" s="1"/>
    </row>
    <row r="138" spans="1:7" x14ac:dyDescent="0.3">
      <c r="A138" s="24"/>
      <c r="B138" s="1"/>
      <c r="C138" s="31"/>
      <c r="D138" s="21"/>
      <c r="E138" s="1"/>
      <c r="F138" s="1"/>
      <c r="G138" s="1"/>
    </row>
    <row r="139" spans="1:7" x14ac:dyDescent="0.3">
      <c r="A139" s="24"/>
      <c r="B139" s="1"/>
      <c r="C139" s="31"/>
      <c r="D139" s="21"/>
      <c r="E139" s="1"/>
      <c r="F139" s="1"/>
      <c r="G139" s="1"/>
    </row>
    <row r="140" spans="1:7" x14ac:dyDescent="0.3">
      <c r="A140" s="24"/>
      <c r="B140" s="1"/>
      <c r="C140" s="31"/>
      <c r="D140" s="21"/>
      <c r="E140" s="1"/>
      <c r="F140" s="1"/>
      <c r="G140" s="1"/>
    </row>
    <row r="141" spans="1:7" x14ac:dyDescent="0.3">
      <c r="A141" s="24"/>
      <c r="B141" s="1"/>
      <c r="C141" s="31"/>
      <c r="D141" s="21"/>
      <c r="E141" s="1"/>
      <c r="F141" s="1"/>
      <c r="G141" s="1"/>
    </row>
    <row r="142" spans="1:7" x14ac:dyDescent="0.3">
      <c r="A142" s="24"/>
      <c r="B142" s="1"/>
      <c r="C142" s="31"/>
      <c r="D142" s="21"/>
      <c r="E142" s="1"/>
      <c r="F142" s="1"/>
      <c r="G142" s="1"/>
    </row>
    <row r="143" spans="1:7" x14ac:dyDescent="0.3">
      <c r="A143" s="24"/>
      <c r="B143" s="1"/>
      <c r="C143" s="31"/>
      <c r="D143" s="21"/>
      <c r="E143" s="1"/>
      <c r="F143" s="1"/>
      <c r="G143" s="1"/>
    </row>
    <row r="144" spans="1:7" x14ac:dyDescent="0.3">
      <c r="A144" s="24"/>
      <c r="B144" s="1"/>
      <c r="C144" s="31"/>
      <c r="D144" s="21"/>
      <c r="E144" s="1"/>
      <c r="F144" s="1"/>
      <c r="G144" s="1"/>
    </row>
    <row r="145" spans="1:7" x14ac:dyDescent="0.3">
      <c r="A145" s="24"/>
      <c r="B145" s="1"/>
      <c r="C145" s="31"/>
      <c r="D145" s="21"/>
      <c r="E145" s="1"/>
      <c r="F145" s="1"/>
      <c r="G145" s="1"/>
    </row>
    <row r="146" spans="1:7" x14ac:dyDescent="0.3">
      <c r="A146" s="24"/>
      <c r="B146" s="1"/>
      <c r="C146" s="31"/>
      <c r="D146" s="21"/>
      <c r="E146" s="1"/>
      <c r="F146" s="1"/>
      <c r="G146" s="1"/>
    </row>
    <row r="147" spans="1:7" x14ac:dyDescent="0.3">
      <c r="A147" s="24"/>
      <c r="B147" s="1"/>
      <c r="C147" s="31"/>
      <c r="D147" s="21"/>
      <c r="E147" s="1"/>
      <c r="F147" s="1"/>
      <c r="G147" s="1"/>
    </row>
    <row r="148" spans="1:7" x14ac:dyDescent="0.3">
      <c r="A148" s="24"/>
      <c r="B148" s="1"/>
      <c r="C148" s="31"/>
      <c r="D148" s="21"/>
      <c r="E148" s="1"/>
      <c r="F148" s="1"/>
      <c r="G148" s="1"/>
    </row>
    <row r="149" spans="1:7" x14ac:dyDescent="0.3">
      <c r="A149" s="24"/>
      <c r="B149" s="1"/>
      <c r="C149" s="31"/>
      <c r="D149" s="21"/>
      <c r="E149" s="1"/>
      <c r="F149" s="1"/>
      <c r="G149" s="1"/>
    </row>
    <row r="150" spans="1:7" x14ac:dyDescent="0.3">
      <c r="A150" s="24"/>
      <c r="B150" s="1"/>
      <c r="C150" s="31"/>
      <c r="D150" s="21"/>
      <c r="E150" s="1"/>
      <c r="F150" s="1"/>
      <c r="G150" s="1"/>
    </row>
    <row r="151" spans="1:7" x14ac:dyDescent="0.3">
      <c r="A151" s="24"/>
      <c r="B151" s="1"/>
      <c r="C151" s="31"/>
      <c r="D151" s="21"/>
      <c r="E151" s="1"/>
      <c r="F151" s="1"/>
      <c r="G151" s="1"/>
    </row>
    <row r="152" spans="1:7" x14ac:dyDescent="0.3">
      <c r="A152" s="24"/>
      <c r="B152" s="1"/>
      <c r="C152" s="31"/>
      <c r="D152" s="21"/>
      <c r="E152" s="1"/>
      <c r="F152" s="1"/>
      <c r="G152" s="1"/>
    </row>
    <row r="153" spans="1:7" x14ac:dyDescent="0.3">
      <c r="A153" s="24"/>
      <c r="B153" s="1"/>
      <c r="C153" s="31"/>
      <c r="D153" s="21"/>
      <c r="E153" s="1"/>
      <c r="F153" s="1"/>
      <c r="G153" s="1"/>
    </row>
    <row r="154" spans="1:7" x14ac:dyDescent="0.3">
      <c r="A154" s="24"/>
      <c r="B154" s="1"/>
      <c r="C154" s="31"/>
      <c r="D154" s="21"/>
      <c r="E154" s="1"/>
      <c r="F154" s="1"/>
      <c r="G154" s="1"/>
    </row>
    <row r="155" spans="1:7" x14ac:dyDescent="0.3">
      <c r="A155" s="24"/>
      <c r="B155" s="1"/>
      <c r="C155" s="31"/>
      <c r="D155" s="21"/>
      <c r="E155" s="1"/>
      <c r="F155" s="1"/>
      <c r="G155" s="1"/>
    </row>
    <row r="156" spans="1:7" x14ac:dyDescent="0.3">
      <c r="A156" s="24"/>
      <c r="B156" s="1"/>
      <c r="C156" s="31"/>
      <c r="D156" s="21"/>
      <c r="E156" s="1"/>
      <c r="F156" s="1"/>
      <c r="G156" s="1"/>
    </row>
    <row r="157" spans="1:7" x14ac:dyDescent="0.3">
      <c r="A157" s="24"/>
      <c r="B157" s="1"/>
      <c r="C157" s="31"/>
      <c r="D157" s="21"/>
      <c r="E157" s="1"/>
      <c r="F157" s="1"/>
      <c r="G157" s="1"/>
    </row>
    <row r="158" spans="1:7" x14ac:dyDescent="0.3">
      <c r="A158" s="24"/>
      <c r="B158" s="1"/>
      <c r="C158" s="31"/>
      <c r="D158" s="21"/>
      <c r="E158" s="1"/>
      <c r="F158" s="1"/>
      <c r="G158" s="1"/>
    </row>
    <row r="159" spans="1:7" x14ac:dyDescent="0.3">
      <c r="A159" s="24"/>
      <c r="B159" s="1"/>
      <c r="C159" s="31"/>
      <c r="D159" s="21"/>
      <c r="E159" s="1"/>
      <c r="F159" s="1"/>
      <c r="G159" s="1"/>
    </row>
    <row r="160" spans="1:7" x14ac:dyDescent="0.3">
      <c r="A160" s="24"/>
      <c r="B160" s="1"/>
      <c r="C160" s="31"/>
      <c r="D160" s="21"/>
      <c r="E160" s="1"/>
      <c r="F160" s="1"/>
      <c r="G160" s="1"/>
    </row>
    <row r="161" spans="1:7" x14ac:dyDescent="0.3">
      <c r="A161" s="24"/>
      <c r="B161" s="1"/>
      <c r="C161" s="31"/>
      <c r="D161" s="21"/>
      <c r="E161" s="1"/>
      <c r="F161" s="1"/>
      <c r="G161" s="1"/>
    </row>
    <row r="162" spans="1:7" x14ac:dyDescent="0.3">
      <c r="A162" s="24"/>
      <c r="B162" s="1"/>
      <c r="C162" s="31"/>
      <c r="D162" s="21"/>
      <c r="E162" s="1"/>
      <c r="F162" s="1"/>
      <c r="G162" s="1"/>
    </row>
    <row r="163" spans="1:7" x14ac:dyDescent="0.3">
      <c r="A163" s="24"/>
      <c r="B163" s="1"/>
      <c r="C163" s="31"/>
      <c r="D163" s="21"/>
      <c r="E163" s="1"/>
      <c r="F163" s="1"/>
      <c r="G163" s="1"/>
    </row>
    <row r="164" spans="1:7" x14ac:dyDescent="0.3">
      <c r="A164" s="24"/>
      <c r="B164" s="1"/>
      <c r="C164" s="31"/>
      <c r="D164" s="21"/>
      <c r="E164" s="1"/>
      <c r="F164" s="1"/>
      <c r="G164" s="1"/>
    </row>
    <row r="165" spans="1:7" x14ac:dyDescent="0.3">
      <c r="A165" s="24"/>
      <c r="B165" s="1"/>
      <c r="C165" s="31"/>
      <c r="D165" s="21"/>
      <c r="E165" s="1"/>
      <c r="F165" s="1"/>
      <c r="G165" s="1"/>
    </row>
    <row r="166" spans="1:7" x14ac:dyDescent="0.3">
      <c r="A166" s="24"/>
      <c r="B166" s="1"/>
      <c r="C166" s="31"/>
      <c r="D166" s="21"/>
      <c r="E166" s="1"/>
      <c r="F166" s="1"/>
      <c r="G166" s="1"/>
    </row>
    <row r="167" spans="1:7" x14ac:dyDescent="0.3">
      <c r="A167" s="24"/>
      <c r="B167" s="1"/>
      <c r="C167" s="31"/>
      <c r="D167" s="21"/>
      <c r="E167" s="1"/>
      <c r="F167" s="1"/>
      <c r="G167" s="1"/>
    </row>
    <row r="168" spans="1:7" x14ac:dyDescent="0.3">
      <c r="A168" s="24"/>
      <c r="B168" s="1"/>
      <c r="C168" s="31"/>
      <c r="D168" s="21"/>
      <c r="E168" s="1"/>
      <c r="F168" s="1"/>
      <c r="G168" s="1"/>
    </row>
    <row r="169" spans="1:7" x14ac:dyDescent="0.3">
      <c r="A169" s="24"/>
      <c r="B169" s="1"/>
      <c r="C169" s="31"/>
      <c r="D169" s="21"/>
      <c r="E169" s="1"/>
      <c r="F169" s="1"/>
      <c r="G169" s="1"/>
    </row>
    <row r="170" spans="1:7" x14ac:dyDescent="0.3">
      <c r="A170" s="24"/>
      <c r="B170" s="1"/>
      <c r="C170" s="31"/>
      <c r="D170" s="21"/>
      <c r="E170" s="1"/>
      <c r="F170" s="1"/>
      <c r="G170" s="1"/>
    </row>
    <row r="171" spans="1:7" x14ac:dyDescent="0.3">
      <c r="A171" s="24"/>
      <c r="B171" s="1"/>
      <c r="C171" s="31"/>
      <c r="D171" s="21"/>
      <c r="E171" s="1"/>
      <c r="F171" s="1"/>
      <c r="G171" s="1"/>
    </row>
    <row r="172" spans="1:7" x14ac:dyDescent="0.3">
      <c r="A172" s="24"/>
      <c r="B172" s="1"/>
      <c r="C172" s="31"/>
      <c r="D172" s="21"/>
      <c r="E172" s="1"/>
      <c r="F172" s="1"/>
      <c r="G172" s="1"/>
    </row>
    <row r="173" spans="1:7" x14ac:dyDescent="0.3">
      <c r="A173" s="24"/>
      <c r="B173" s="1"/>
      <c r="C173" s="31"/>
      <c r="D173" s="21"/>
      <c r="E173" s="1"/>
      <c r="F173" s="1"/>
      <c r="G173" s="1"/>
    </row>
    <row r="174" spans="1:7" x14ac:dyDescent="0.3">
      <c r="A174" s="24"/>
      <c r="B174" s="1"/>
      <c r="C174" s="31"/>
      <c r="D174" s="21"/>
      <c r="E174" s="1"/>
      <c r="F174" s="1"/>
      <c r="G174" s="1"/>
    </row>
    <row r="175" spans="1:7" x14ac:dyDescent="0.3">
      <c r="A175" s="24"/>
      <c r="B175" s="1"/>
      <c r="C175" s="31"/>
      <c r="D175" s="21"/>
      <c r="E175" s="1"/>
      <c r="F175" s="1"/>
      <c r="G175" s="1"/>
    </row>
    <row r="176" spans="1:7" x14ac:dyDescent="0.3">
      <c r="A176" s="24"/>
      <c r="B176" s="1"/>
      <c r="C176" s="31"/>
      <c r="D176" s="21"/>
      <c r="E176" s="1"/>
      <c r="F176" s="1"/>
      <c r="G176" s="1"/>
    </row>
    <row r="177" spans="1:7" x14ac:dyDescent="0.3">
      <c r="A177" s="24"/>
      <c r="B177" s="1"/>
      <c r="C177" s="31"/>
      <c r="D177" s="21"/>
      <c r="E177" s="1"/>
      <c r="F177" s="1"/>
      <c r="G177" s="1"/>
    </row>
    <row r="178" spans="1:7" x14ac:dyDescent="0.3">
      <c r="A178" s="24"/>
      <c r="B178" s="1"/>
      <c r="C178" s="31"/>
      <c r="D178" s="21"/>
      <c r="E178" s="1"/>
      <c r="F178" s="1"/>
      <c r="G178" s="1"/>
    </row>
    <row r="179" spans="1:7" x14ac:dyDescent="0.3">
      <c r="A179" s="24"/>
      <c r="B179" s="1"/>
      <c r="C179" s="31"/>
      <c r="D179" s="21"/>
      <c r="E179" s="1"/>
      <c r="F179" s="1"/>
      <c r="G179" s="1"/>
    </row>
    <row r="180" spans="1:7" x14ac:dyDescent="0.3">
      <c r="A180" s="24"/>
      <c r="B180" s="1"/>
      <c r="C180" s="31"/>
      <c r="D180" s="21"/>
      <c r="E180" s="1"/>
      <c r="F180" s="1"/>
      <c r="G180" s="1"/>
    </row>
    <row r="181" spans="1:7" x14ac:dyDescent="0.3">
      <c r="A181" s="24"/>
      <c r="B181" s="1"/>
      <c r="C181" s="31"/>
      <c r="D181" s="21"/>
      <c r="E181" s="1"/>
      <c r="F181" s="1"/>
      <c r="G181" s="1"/>
    </row>
    <row r="182" spans="1:7" x14ac:dyDescent="0.3">
      <c r="A182" s="24"/>
      <c r="B182" s="1"/>
      <c r="C182" s="31"/>
      <c r="D182" s="21"/>
      <c r="E182" s="1"/>
      <c r="F182" s="1"/>
      <c r="G182" s="1"/>
    </row>
    <row r="183" spans="1:7" x14ac:dyDescent="0.3">
      <c r="A183" s="24"/>
      <c r="B183" s="1"/>
      <c r="C183" s="31"/>
      <c r="D183" s="21"/>
      <c r="E183" s="1"/>
      <c r="F183" s="1"/>
      <c r="G183" s="1"/>
    </row>
    <row r="184" spans="1:7" x14ac:dyDescent="0.3">
      <c r="A184" s="24"/>
      <c r="B184" s="1"/>
      <c r="C184" s="31"/>
      <c r="D184" s="21"/>
      <c r="E184" s="1"/>
      <c r="F184" s="1"/>
      <c r="G184" s="1"/>
    </row>
    <row r="185" spans="1:7" x14ac:dyDescent="0.3">
      <c r="A185" s="24"/>
      <c r="B185" s="1"/>
      <c r="C185" s="31"/>
      <c r="D185" s="21"/>
      <c r="E185" s="1"/>
      <c r="F185" s="1"/>
      <c r="G185" s="1"/>
    </row>
    <row r="186" spans="1:7" x14ac:dyDescent="0.3">
      <c r="A186" s="24"/>
      <c r="B186" s="1"/>
      <c r="C186" s="31"/>
      <c r="D186" s="21"/>
      <c r="E186" s="1"/>
      <c r="F186" s="1"/>
      <c r="G186" s="1"/>
    </row>
    <row r="187" spans="1:7" x14ac:dyDescent="0.3">
      <c r="A187" s="24"/>
      <c r="B187" s="1"/>
      <c r="C187" s="31"/>
      <c r="D187" s="21"/>
      <c r="E187" s="1"/>
      <c r="F187" s="1"/>
      <c r="G187" s="1"/>
    </row>
    <row r="188" spans="1:7" x14ac:dyDescent="0.3">
      <c r="A188" s="24"/>
      <c r="B188" s="1"/>
      <c r="C188" s="31"/>
      <c r="D188" s="21"/>
      <c r="E188" s="1"/>
      <c r="F188" s="1"/>
      <c r="G188" s="1"/>
    </row>
    <row r="189" spans="1:7" x14ac:dyDescent="0.3">
      <c r="A189" s="24"/>
      <c r="B189" s="1"/>
      <c r="C189" s="31"/>
      <c r="D189" s="21"/>
      <c r="E189" s="1"/>
      <c r="F189" s="1"/>
      <c r="G189" s="1"/>
    </row>
    <row r="190" spans="1:7" x14ac:dyDescent="0.3">
      <c r="A190" s="24"/>
      <c r="B190" s="1"/>
      <c r="C190" s="31"/>
      <c r="D190" s="21"/>
      <c r="E190" s="1"/>
      <c r="F190" s="1"/>
      <c r="G190" s="1"/>
    </row>
    <row r="191" spans="1:7" x14ac:dyDescent="0.3">
      <c r="A191" s="24"/>
      <c r="B191" s="1"/>
      <c r="C191" s="31"/>
      <c r="D191" s="21"/>
      <c r="E191" s="1"/>
      <c r="F191" s="1"/>
      <c r="G191" s="1"/>
    </row>
    <row r="192" spans="1:7" x14ac:dyDescent="0.3">
      <c r="A192" s="24"/>
      <c r="B192" s="1"/>
      <c r="C192" s="31"/>
      <c r="D192" s="21"/>
      <c r="E192" s="1"/>
      <c r="F192" s="1"/>
      <c r="G192" s="1"/>
    </row>
    <row r="193" spans="1:7" x14ac:dyDescent="0.3">
      <c r="A193" s="24"/>
      <c r="B193" s="1"/>
      <c r="C193" s="31"/>
      <c r="D193" s="21"/>
      <c r="E193" s="1"/>
      <c r="F193" s="1"/>
      <c r="G193" s="1"/>
    </row>
    <row r="194" spans="1:7" x14ac:dyDescent="0.3">
      <c r="A194" s="24"/>
      <c r="B194" s="1"/>
      <c r="C194" s="31"/>
      <c r="D194" s="21"/>
      <c r="E194" s="1"/>
      <c r="F194" s="1"/>
      <c r="G194" s="1"/>
    </row>
    <row r="195" spans="1:7" x14ac:dyDescent="0.3">
      <c r="A195" s="24"/>
      <c r="B195" s="1"/>
      <c r="C195" s="31"/>
      <c r="D195" s="21"/>
      <c r="E195" s="1"/>
      <c r="F195" s="1"/>
      <c r="G195" s="1"/>
    </row>
    <row r="196" spans="1:7" x14ac:dyDescent="0.3">
      <c r="A196" s="24"/>
      <c r="B196" s="1"/>
      <c r="C196" s="31"/>
      <c r="D196" s="21"/>
      <c r="E196" s="1"/>
      <c r="F196" s="1"/>
      <c r="G196" s="1"/>
    </row>
    <row r="197" spans="1:7" x14ac:dyDescent="0.3">
      <c r="A197" s="24"/>
      <c r="B197" s="1"/>
      <c r="C197" s="31"/>
      <c r="D197" s="21"/>
      <c r="E197" s="1"/>
      <c r="F197" s="1"/>
      <c r="G197" s="1"/>
    </row>
    <row r="198" spans="1:7" x14ac:dyDescent="0.3">
      <c r="A198" s="24"/>
      <c r="B198" s="1"/>
      <c r="C198" s="31"/>
      <c r="D198" s="21"/>
      <c r="E198" s="1"/>
      <c r="F198" s="1"/>
      <c r="G198" s="1"/>
    </row>
    <row r="199" spans="1:7" x14ac:dyDescent="0.3">
      <c r="A199" s="24"/>
      <c r="B199" s="1"/>
      <c r="C199" s="31"/>
      <c r="D199" s="21"/>
      <c r="E199" s="1"/>
      <c r="F199" s="1"/>
      <c r="G199" s="1"/>
    </row>
    <row r="200" spans="1:7" x14ac:dyDescent="0.3">
      <c r="A200" s="24"/>
      <c r="B200" s="1"/>
      <c r="C200" s="31"/>
      <c r="D200" s="21"/>
      <c r="E200" s="1"/>
      <c r="F200" s="1"/>
      <c r="G200" s="1"/>
    </row>
    <row r="201" spans="1:7" x14ac:dyDescent="0.3">
      <c r="A201" s="24"/>
      <c r="B201" s="1"/>
      <c r="C201" s="31"/>
      <c r="D201" s="21"/>
      <c r="E201" s="1"/>
      <c r="F201" s="1"/>
      <c r="G201" s="1"/>
    </row>
    <row r="202" spans="1:7" x14ac:dyDescent="0.3">
      <c r="A202" s="24"/>
      <c r="B202" s="1"/>
      <c r="C202" s="31"/>
      <c r="D202" s="21"/>
      <c r="E202" s="1"/>
      <c r="F202" s="1"/>
      <c r="G202" s="1"/>
    </row>
    <row r="203" spans="1:7" x14ac:dyDescent="0.3">
      <c r="A203" s="24"/>
      <c r="B203" s="1"/>
      <c r="C203" s="31"/>
      <c r="D203" s="21"/>
      <c r="E203" s="1"/>
      <c r="F203" s="1"/>
      <c r="G203" s="1"/>
    </row>
    <row r="204" spans="1:7" x14ac:dyDescent="0.3">
      <c r="A204" s="24"/>
      <c r="B204" s="1"/>
      <c r="C204" s="31"/>
      <c r="D204" s="21"/>
      <c r="E204" s="1"/>
      <c r="F204" s="1"/>
      <c r="G204" s="1"/>
    </row>
    <row r="205" spans="1:7" x14ac:dyDescent="0.3">
      <c r="A205" s="24"/>
      <c r="B205" s="1"/>
      <c r="C205" s="31"/>
      <c r="D205" s="21"/>
      <c r="E205" s="1"/>
      <c r="F205" s="1"/>
      <c r="G205" s="1"/>
    </row>
    <row r="206" spans="1:7" x14ac:dyDescent="0.3">
      <c r="A206" s="24"/>
      <c r="B206" s="1"/>
      <c r="C206" s="31"/>
      <c r="D206" s="21"/>
      <c r="E206" s="1"/>
      <c r="F206" s="1"/>
      <c r="G206" s="1"/>
    </row>
    <row r="207" spans="1:7" x14ac:dyDescent="0.3">
      <c r="A207" s="24"/>
      <c r="B207" s="1"/>
      <c r="C207" s="31"/>
      <c r="D207" s="21"/>
      <c r="E207" s="1"/>
      <c r="F207" s="1"/>
      <c r="G207" s="1"/>
    </row>
    <row r="208" spans="1:7" x14ac:dyDescent="0.3">
      <c r="A208" s="24"/>
      <c r="B208" s="1"/>
      <c r="C208" s="31"/>
      <c r="D208" s="21"/>
      <c r="E208" s="1"/>
      <c r="F208" s="1"/>
      <c r="G208" s="1"/>
    </row>
    <row r="209" spans="1:7" x14ac:dyDescent="0.3">
      <c r="A209" s="24"/>
      <c r="B209" s="1"/>
      <c r="C209" s="31"/>
      <c r="D209" s="21"/>
      <c r="E209" s="1"/>
      <c r="F209" s="1"/>
      <c r="G209" s="1"/>
    </row>
    <row r="210" spans="1:7" x14ac:dyDescent="0.3">
      <c r="A210" s="24"/>
      <c r="B210" s="1"/>
      <c r="C210" s="31"/>
      <c r="D210" s="21"/>
      <c r="E210" s="1"/>
      <c r="F210" s="1"/>
      <c r="G210" s="1"/>
    </row>
    <row r="211" spans="1:7" x14ac:dyDescent="0.3">
      <c r="A211" s="24"/>
      <c r="B211" s="1"/>
      <c r="C211" s="31"/>
      <c r="D211" s="21"/>
      <c r="E211" s="1"/>
      <c r="F211" s="1"/>
      <c r="G211" s="1"/>
    </row>
    <row r="212" spans="1:7" x14ac:dyDescent="0.3">
      <c r="A212" s="24"/>
      <c r="B212" s="1"/>
      <c r="C212" s="31"/>
      <c r="D212" s="21"/>
      <c r="E212" s="1"/>
      <c r="F212" s="1"/>
      <c r="G212" s="1"/>
    </row>
    <row r="213" spans="1:7" x14ac:dyDescent="0.3">
      <c r="A213" s="24"/>
      <c r="B213" s="1"/>
      <c r="C213" s="31"/>
      <c r="D213" s="21"/>
      <c r="E213" s="1"/>
      <c r="F213" s="1"/>
      <c r="G213" s="1"/>
    </row>
    <row r="214" spans="1:7" x14ac:dyDescent="0.3">
      <c r="A214" s="24"/>
      <c r="B214" s="1"/>
      <c r="C214" s="31"/>
      <c r="D214" s="21"/>
      <c r="E214" s="1"/>
      <c r="F214" s="1"/>
      <c r="G214" s="1"/>
    </row>
    <row r="215" spans="1:7" x14ac:dyDescent="0.3">
      <c r="A215" s="24"/>
      <c r="B215" s="1"/>
      <c r="C215" s="31"/>
      <c r="D215" s="21"/>
      <c r="E215" s="1"/>
      <c r="F215" s="1"/>
      <c r="G215" s="1"/>
    </row>
    <row r="216" spans="1:7" x14ac:dyDescent="0.3">
      <c r="A216" s="24"/>
      <c r="B216" s="1"/>
      <c r="C216" s="31"/>
      <c r="D216" s="21"/>
      <c r="E216" s="1"/>
      <c r="F216" s="1"/>
      <c r="G216" s="1"/>
    </row>
    <row r="217" spans="1:7" x14ac:dyDescent="0.3">
      <c r="A217" s="24"/>
      <c r="B217" s="1"/>
      <c r="C217" s="31"/>
      <c r="D217" s="21"/>
      <c r="E217" s="1"/>
      <c r="F217" s="1"/>
      <c r="G217" s="1"/>
    </row>
    <row r="218" spans="1:7" x14ac:dyDescent="0.3">
      <c r="A218" s="24"/>
      <c r="B218" s="1"/>
      <c r="C218" s="31"/>
      <c r="D218" s="21"/>
      <c r="E218" s="1"/>
      <c r="F218" s="1"/>
      <c r="G218" s="1"/>
    </row>
    <row r="219" spans="1:7" x14ac:dyDescent="0.3">
      <c r="A219" s="24"/>
      <c r="B219" s="1"/>
      <c r="C219" s="31"/>
      <c r="D219" s="21"/>
      <c r="E219" s="1"/>
      <c r="F219" s="1"/>
      <c r="G219" s="1"/>
    </row>
    <row r="220" spans="1:7" x14ac:dyDescent="0.3">
      <c r="A220" s="24"/>
      <c r="B220" s="1"/>
      <c r="C220" s="31"/>
      <c r="D220" s="21"/>
      <c r="E220" s="1"/>
      <c r="F220" s="1"/>
      <c r="G220" s="1"/>
    </row>
    <row r="221" spans="1:7" x14ac:dyDescent="0.3">
      <c r="A221" s="24"/>
      <c r="B221" s="1"/>
      <c r="C221" s="31"/>
      <c r="D221" s="21"/>
      <c r="E221" s="1"/>
      <c r="F221" s="1"/>
      <c r="G221" s="1"/>
    </row>
    <row r="222" spans="1:7" x14ac:dyDescent="0.3">
      <c r="A222" s="24"/>
      <c r="B222" s="1"/>
      <c r="C222" s="31"/>
      <c r="D222" s="21"/>
      <c r="E222" s="1"/>
      <c r="F222" s="1"/>
      <c r="G222" s="1"/>
    </row>
    <row r="223" spans="1:7" x14ac:dyDescent="0.3">
      <c r="A223" s="24"/>
      <c r="B223" s="1"/>
      <c r="C223" s="31"/>
      <c r="D223" s="21"/>
      <c r="E223" s="1"/>
      <c r="F223" s="1"/>
      <c r="G223" s="1"/>
    </row>
    <row r="224" spans="1:7" x14ac:dyDescent="0.3">
      <c r="A224" s="24"/>
      <c r="B224" s="1"/>
      <c r="C224" s="31"/>
      <c r="D224" s="21"/>
      <c r="E224" s="1"/>
      <c r="F224" s="1"/>
      <c r="G224" s="1"/>
    </row>
    <row r="225" spans="1:7" x14ac:dyDescent="0.3">
      <c r="A225" s="24"/>
      <c r="B225" s="1"/>
      <c r="C225" s="31"/>
      <c r="D225" s="21"/>
      <c r="E225" s="1"/>
      <c r="F225" s="1"/>
      <c r="G225" s="1"/>
    </row>
    <row r="226" spans="1:7" x14ac:dyDescent="0.3">
      <c r="A226" s="24"/>
      <c r="B226" s="1"/>
      <c r="C226" s="31"/>
      <c r="D226" s="21"/>
      <c r="E226" s="1"/>
      <c r="F226" s="1"/>
      <c r="G226" s="1"/>
    </row>
    <row r="227" spans="1:7" x14ac:dyDescent="0.3">
      <c r="A227" s="24"/>
      <c r="B227" s="1"/>
      <c r="C227" s="31"/>
      <c r="D227" s="21"/>
      <c r="E227" s="1"/>
      <c r="F227" s="1"/>
      <c r="G227" s="1"/>
    </row>
    <row r="228" spans="1:7" x14ac:dyDescent="0.3">
      <c r="A228" s="24"/>
      <c r="B228" s="1"/>
      <c r="C228" s="31"/>
      <c r="D228" s="21"/>
      <c r="E228" s="1"/>
      <c r="F228" s="1"/>
      <c r="G228" s="1"/>
    </row>
    <row r="229" spans="1:7" x14ac:dyDescent="0.3">
      <c r="A229" s="24"/>
      <c r="B229" s="1"/>
      <c r="C229" s="31"/>
      <c r="D229" s="21"/>
      <c r="E229" s="1"/>
      <c r="F229" s="1"/>
      <c r="G229" s="1"/>
    </row>
    <row r="230" spans="1:7" x14ac:dyDescent="0.3">
      <c r="A230" s="24"/>
      <c r="B230" s="1"/>
      <c r="C230" s="31"/>
      <c r="D230" s="21"/>
      <c r="E230" s="1"/>
      <c r="F230" s="1"/>
      <c r="G230" s="1"/>
    </row>
    <row r="231" spans="1:7" x14ac:dyDescent="0.3">
      <c r="A231" s="24"/>
      <c r="B231" s="1"/>
      <c r="C231" s="31"/>
      <c r="D231" s="21"/>
      <c r="E231" s="1"/>
      <c r="F231" s="1"/>
      <c r="G231" s="1"/>
    </row>
    <row r="232" spans="1:7" x14ac:dyDescent="0.3">
      <c r="A232" s="24"/>
      <c r="B232" s="1"/>
      <c r="C232" s="31"/>
      <c r="D232" s="21"/>
      <c r="E232" s="1"/>
      <c r="F232" s="1"/>
      <c r="G232" s="1"/>
    </row>
    <row r="233" spans="1:7" x14ac:dyDescent="0.3">
      <c r="A233" s="24"/>
      <c r="B233" s="1"/>
      <c r="C233" s="31"/>
      <c r="D233" s="21"/>
      <c r="E233" s="1"/>
      <c r="F233" s="1"/>
      <c r="G233" s="1"/>
    </row>
    <row r="234" spans="1:7" x14ac:dyDescent="0.3">
      <c r="A234" s="24"/>
      <c r="B234" s="1"/>
      <c r="C234" s="31"/>
      <c r="D234" s="21"/>
      <c r="E234" s="1"/>
      <c r="F234" s="1"/>
      <c r="G234" s="1"/>
    </row>
    <row r="235" spans="1:7" x14ac:dyDescent="0.3">
      <c r="A235" s="24"/>
      <c r="B235" s="1"/>
      <c r="C235" s="31"/>
      <c r="D235" s="21"/>
      <c r="E235" s="1"/>
      <c r="F235" s="1"/>
      <c r="G235" s="1"/>
    </row>
    <row r="236" spans="1:7" x14ac:dyDescent="0.3">
      <c r="A236" s="24"/>
      <c r="B236" s="1"/>
      <c r="C236" s="31"/>
      <c r="D236" s="21"/>
      <c r="E236" s="1"/>
      <c r="F236" s="1"/>
      <c r="G236" s="1"/>
    </row>
    <row r="237" spans="1:7" x14ac:dyDescent="0.3">
      <c r="A237" s="24"/>
      <c r="B237" s="1"/>
      <c r="C237" s="31"/>
      <c r="D237" s="21"/>
      <c r="E237" s="1"/>
      <c r="F237" s="1"/>
      <c r="G237" s="1"/>
    </row>
    <row r="238" spans="1:7" x14ac:dyDescent="0.3">
      <c r="A238" s="24"/>
      <c r="B238" s="1"/>
      <c r="C238" s="31"/>
      <c r="D238" s="21"/>
      <c r="E238" s="1"/>
      <c r="F238" s="1"/>
      <c r="G238" s="1"/>
    </row>
    <row r="239" spans="1:7" x14ac:dyDescent="0.3">
      <c r="A239" s="24"/>
      <c r="B239" s="1"/>
      <c r="C239" s="31"/>
      <c r="D239" s="21"/>
      <c r="E239" s="1"/>
      <c r="F239" s="1"/>
      <c r="G239" s="1"/>
    </row>
    <row r="240" spans="1:7" x14ac:dyDescent="0.3">
      <c r="A240" s="24"/>
      <c r="B240" s="1"/>
      <c r="C240" s="31"/>
      <c r="D240" s="21"/>
      <c r="E240" s="1"/>
      <c r="F240" s="1"/>
      <c r="G240" s="1"/>
    </row>
    <row r="241" spans="1:7" x14ac:dyDescent="0.3">
      <c r="A241" s="24"/>
      <c r="B241" s="1"/>
      <c r="C241" s="31"/>
      <c r="D241" s="21"/>
      <c r="E241" s="1"/>
      <c r="F241" s="1"/>
      <c r="G241" s="1"/>
    </row>
    <row r="242" spans="1:7" x14ac:dyDescent="0.3">
      <c r="A242" s="24"/>
      <c r="B242" s="1"/>
      <c r="C242" s="31"/>
      <c r="D242" s="21"/>
      <c r="E242" s="1"/>
      <c r="F242" s="1"/>
      <c r="G242" s="1"/>
    </row>
    <row r="243" spans="1:7" x14ac:dyDescent="0.3">
      <c r="A243" s="24"/>
      <c r="B243" s="1"/>
      <c r="C243" s="31"/>
      <c r="D243" s="21"/>
      <c r="E243" s="1"/>
      <c r="F243" s="1"/>
      <c r="G243" s="1"/>
    </row>
    <row r="244" spans="1:7" x14ac:dyDescent="0.3">
      <c r="A244" s="24"/>
      <c r="B244" s="1"/>
      <c r="C244" s="31"/>
      <c r="D244" s="21"/>
      <c r="E244" s="1"/>
      <c r="F244" s="1"/>
      <c r="G244" s="1"/>
    </row>
    <row r="245" spans="1:7" x14ac:dyDescent="0.3">
      <c r="A245" s="24"/>
      <c r="B245" s="1"/>
      <c r="C245" s="31"/>
      <c r="D245" s="21"/>
      <c r="E245" s="1"/>
      <c r="F245" s="1"/>
      <c r="G245" s="1"/>
    </row>
    <row r="246" spans="1:7" x14ac:dyDescent="0.3">
      <c r="A246" s="24"/>
      <c r="B246" s="1"/>
      <c r="C246" s="31"/>
      <c r="D246" s="21"/>
      <c r="E246" s="1"/>
      <c r="F246" s="1"/>
      <c r="G246" s="1"/>
    </row>
    <row r="247" spans="1:7" x14ac:dyDescent="0.3">
      <c r="A247" s="24"/>
      <c r="B247" s="1"/>
      <c r="C247" s="31"/>
      <c r="D247" s="21"/>
      <c r="E247" s="1"/>
      <c r="F247" s="1"/>
      <c r="G247" s="1"/>
    </row>
    <row r="248" spans="1:7" x14ac:dyDescent="0.3">
      <c r="A248" s="24"/>
      <c r="B248" s="1"/>
      <c r="C248" s="31"/>
      <c r="D248" s="21"/>
      <c r="E248" s="1"/>
      <c r="F248" s="1"/>
      <c r="G248" s="1"/>
    </row>
    <row r="249" spans="1:7" x14ac:dyDescent="0.3">
      <c r="A249" s="24"/>
      <c r="B249" s="1"/>
      <c r="C249" s="31"/>
      <c r="D249" s="21"/>
      <c r="E249" s="1"/>
      <c r="F249" s="1"/>
      <c r="G249" s="1"/>
    </row>
    <row r="250" spans="1:7" x14ac:dyDescent="0.3">
      <c r="A250" s="24"/>
      <c r="B250" s="1"/>
      <c r="C250" s="31"/>
      <c r="D250" s="21"/>
      <c r="E250" s="1"/>
      <c r="F250" s="1"/>
      <c r="G250" s="1"/>
    </row>
    <row r="251" spans="1:7" x14ac:dyDescent="0.3">
      <c r="A251" s="24"/>
      <c r="B251" s="1"/>
      <c r="C251" s="31"/>
      <c r="D251" s="21"/>
      <c r="E251" s="1"/>
      <c r="F251" s="1"/>
      <c r="G251" s="1"/>
    </row>
    <row r="252" spans="1:7" x14ac:dyDescent="0.3">
      <c r="A252" s="24"/>
      <c r="B252" s="1"/>
      <c r="C252" s="31"/>
      <c r="D252" s="21"/>
      <c r="E252" s="1"/>
      <c r="F252" s="1"/>
      <c r="G252" s="1"/>
    </row>
    <row r="253" spans="1:7" x14ac:dyDescent="0.3">
      <c r="A253" s="24"/>
      <c r="B253" s="1"/>
      <c r="C253" s="31"/>
      <c r="D253" s="21"/>
      <c r="E253" s="1"/>
      <c r="F253" s="1"/>
      <c r="G253" s="1"/>
    </row>
    <row r="254" spans="1:7" x14ac:dyDescent="0.3">
      <c r="A254" s="24"/>
      <c r="B254" s="1"/>
      <c r="C254" s="31"/>
      <c r="D254" s="21"/>
      <c r="E254" s="1"/>
      <c r="F254" s="1"/>
      <c r="G254" s="1"/>
    </row>
    <row r="255" spans="1:7" x14ac:dyDescent="0.3">
      <c r="A255" s="24"/>
      <c r="B255" s="1"/>
      <c r="C255" s="31"/>
      <c r="D255" s="21"/>
      <c r="E255" s="1"/>
      <c r="F255" s="1"/>
      <c r="G255" s="1"/>
    </row>
    <row r="256" spans="1:7" x14ac:dyDescent="0.3">
      <c r="A256" s="24"/>
      <c r="B256" s="1"/>
      <c r="C256" s="31"/>
      <c r="D256" s="21"/>
      <c r="E256" s="1"/>
      <c r="F256" s="1"/>
      <c r="G256" s="1"/>
    </row>
    <row r="257" spans="1:7" x14ac:dyDescent="0.3">
      <c r="A257" s="24"/>
      <c r="B257" s="1"/>
      <c r="C257" s="31"/>
      <c r="D257" s="21"/>
      <c r="E257" s="1"/>
      <c r="F257" s="1"/>
      <c r="G257" s="1"/>
    </row>
    <row r="258" spans="1:7" x14ac:dyDescent="0.3">
      <c r="A258" s="24"/>
      <c r="B258" s="1"/>
      <c r="C258" s="31"/>
      <c r="D258" s="21"/>
      <c r="E258" s="1"/>
      <c r="F258" s="1"/>
      <c r="G258" s="1"/>
    </row>
    <row r="259" spans="1:7" x14ac:dyDescent="0.3">
      <c r="A259" s="24"/>
      <c r="B259" s="1"/>
      <c r="C259" s="31"/>
      <c r="D259" s="21"/>
      <c r="E259" s="1"/>
      <c r="F259" s="1"/>
      <c r="G259" s="1"/>
    </row>
    <row r="260" spans="1:7" x14ac:dyDescent="0.3">
      <c r="A260" s="24"/>
      <c r="B260" s="1"/>
      <c r="C260" s="31"/>
      <c r="D260" s="2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96C3-EDF5-4D90-9D2B-ABCAA14E9023}">
  <sheetPr codeName="Sheet10"/>
  <dimension ref="A1:AN288"/>
  <sheetViews>
    <sheetView rightToLeft="1" workbookViewId="0">
      <pane xSplit="1" ySplit="1" topLeftCell="C48" activePane="bottomRight" state="frozen"/>
      <selection activeCell="D96" sqref="D96"/>
      <selection pane="topRight" activeCell="D96" sqref="D96"/>
      <selection pane="bottomLeft" activeCell="D96" sqref="D96"/>
      <selection pane="bottomRight" activeCell="D96" sqref="D96"/>
    </sheetView>
  </sheetViews>
  <sheetFormatPr defaultColWidth="8.77734375" defaultRowHeight="14.4" x14ac:dyDescent="0.3"/>
  <cols>
    <col min="1" max="1" width="52.21875" style="27" customWidth="1"/>
    <col min="2" max="2" width="10" style="2" customWidth="1"/>
    <col min="3" max="3" width="12.109375" style="8" customWidth="1"/>
    <col min="4" max="4" width="11.77734375" style="2" customWidth="1"/>
    <col min="5" max="5" width="8.77734375" style="2"/>
    <col min="6" max="6" width="8.77734375" style="2" bestFit="1" customWidth="1"/>
    <col min="7" max="7" width="9.21875" style="2" bestFit="1"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6" t="s">
        <v>0</v>
      </c>
      <c r="B1" s="4">
        <v>2022</v>
      </c>
      <c r="C1" s="32">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1145</v>
      </c>
      <c r="B2" s="83" t="s">
        <v>3211</v>
      </c>
      <c r="C2" s="64" t="s">
        <v>3211</v>
      </c>
      <c r="D2" s="54" t="s">
        <v>168</v>
      </c>
      <c r="E2" s="53" t="s">
        <v>390</v>
      </c>
      <c r="F2" s="54" t="s">
        <v>329</v>
      </c>
      <c r="G2" s="54" t="s">
        <v>596</v>
      </c>
      <c r="H2" s="54" t="s">
        <v>700</v>
      </c>
      <c r="I2" s="54" t="s">
        <v>869</v>
      </c>
      <c r="J2" s="54" t="s">
        <v>1144</v>
      </c>
      <c r="M2" s="1" t="s">
        <v>1134</v>
      </c>
      <c r="Q2" s="29"/>
      <c r="R2" s="3"/>
      <c r="S2" s="3"/>
      <c r="T2" s="3"/>
      <c r="U2" s="3"/>
      <c r="V2" s="3"/>
      <c r="W2" s="3"/>
      <c r="X2" s="3"/>
      <c r="Y2" s="3"/>
      <c r="Z2" s="3"/>
      <c r="AA2" s="3"/>
      <c r="AB2" s="3"/>
      <c r="AC2" s="3"/>
      <c r="AD2" s="3"/>
      <c r="AE2" s="3"/>
      <c r="AF2" s="3"/>
      <c r="AG2" s="3"/>
      <c r="AH2" s="3"/>
      <c r="AJ2" s="2">
        <f>COUNTA(B2:AH2)</f>
        <v>10</v>
      </c>
      <c r="AL2" s="2">
        <f>COUNTA(F2:O2,R2:S2)</f>
        <v>6</v>
      </c>
      <c r="AN2" s="2">
        <f>COUNTIF(AL2:AL70,"&gt;=2")</f>
        <v>13</v>
      </c>
    </row>
    <row r="3" spans="1:40" ht="43.2" x14ac:dyDescent="0.3">
      <c r="A3" s="5" t="s">
        <v>312</v>
      </c>
      <c r="B3" s="6"/>
      <c r="C3" s="5"/>
      <c r="D3" s="1"/>
      <c r="E3" s="1"/>
      <c r="F3" s="54" t="s">
        <v>313</v>
      </c>
      <c r="G3" s="53" t="s">
        <v>579</v>
      </c>
      <c r="H3" s="53" t="s">
        <v>682</v>
      </c>
      <c r="M3" s="1" t="s">
        <v>1126</v>
      </c>
      <c r="AJ3" s="2">
        <f t="shared" ref="AJ3:AJ66" si="0">COUNTA(B3:AH3)</f>
        <v>4</v>
      </c>
      <c r="AL3" s="2">
        <f t="shared" ref="AL3:AL66" si="1">COUNTA(F3:O3,R3:S3)</f>
        <v>4</v>
      </c>
    </row>
    <row r="4" spans="1:40" x14ac:dyDescent="0.3">
      <c r="A4" s="5" t="s">
        <v>696</v>
      </c>
      <c r="B4" s="6"/>
      <c r="C4" s="5"/>
      <c r="D4" s="1"/>
      <c r="E4" s="1"/>
      <c r="F4" s="1"/>
      <c r="G4" s="1"/>
      <c r="H4" s="1" t="s">
        <v>697</v>
      </c>
      <c r="AJ4" s="2">
        <f t="shared" si="0"/>
        <v>1</v>
      </c>
      <c r="AL4" s="2">
        <f t="shared" si="1"/>
        <v>1</v>
      </c>
    </row>
    <row r="5" spans="1:40" x14ac:dyDescent="0.3">
      <c r="A5" s="5" t="s">
        <v>314</v>
      </c>
      <c r="B5" s="5"/>
      <c r="C5" s="5"/>
      <c r="D5" s="1"/>
      <c r="E5" s="1"/>
      <c r="F5" s="1" t="s">
        <v>315</v>
      </c>
      <c r="G5" s="1"/>
      <c r="AJ5" s="2">
        <f t="shared" si="0"/>
        <v>1</v>
      </c>
      <c r="AL5" s="2">
        <f t="shared" si="1"/>
        <v>1</v>
      </c>
    </row>
    <row r="6" spans="1:40" x14ac:dyDescent="0.3">
      <c r="A6" s="5" t="s">
        <v>316</v>
      </c>
      <c r="B6" s="6"/>
      <c r="C6" s="5"/>
      <c r="D6" s="1"/>
      <c r="E6" s="1"/>
      <c r="F6" s="53" t="s">
        <v>317</v>
      </c>
      <c r="G6" s="1" t="s">
        <v>584</v>
      </c>
      <c r="AJ6" s="2">
        <f t="shared" si="0"/>
        <v>2</v>
      </c>
      <c r="AL6" s="2">
        <f t="shared" si="1"/>
        <v>2</v>
      </c>
    </row>
    <row r="7" spans="1:40" ht="28.8" x14ac:dyDescent="0.3">
      <c r="A7" s="5" t="s">
        <v>318</v>
      </c>
      <c r="B7" s="6"/>
      <c r="C7" s="5"/>
      <c r="D7" s="1"/>
      <c r="E7" s="1"/>
      <c r="F7" s="53" t="s">
        <v>319</v>
      </c>
      <c r="G7" s="53" t="s">
        <v>587</v>
      </c>
      <c r="H7" s="53" t="s">
        <v>692</v>
      </c>
      <c r="I7" s="54" t="s">
        <v>860</v>
      </c>
      <c r="J7" s="1" t="s">
        <v>1141</v>
      </c>
      <c r="AJ7" s="2">
        <f t="shared" si="0"/>
        <v>5</v>
      </c>
      <c r="AL7" s="2">
        <f t="shared" si="1"/>
        <v>5</v>
      </c>
    </row>
    <row r="8" spans="1:40" x14ac:dyDescent="0.3">
      <c r="A8" s="5" t="s">
        <v>320</v>
      </c>
      <c r="B8" s="6"/>
      <c r="C8" s="5"/>
      <c r="D8" s="1"/>
      <c r="E8" s="1"/>
      <c r="F8" s="1" t="s">
        <v>321</v>
      </c>
      <c r="G8" s="1"/>
      <c r="AJ8" s="2">
        <f t="shared" si="0"/>
        <v>1</v>
      </c>
      <c r="AL8" s="2">
        <f t="shared" si="1"/>
        <v>1</v>
      </c>
    </row>
    <row r="9" spans="1:40" x14ac:dyDescent="0.3">
      <c r="A9" s="5" t="s">
        <v>322</v>
      </c>
      <c r="B9" s="6"/>
      <c r="C9" s="5"/>
      <c r="D9" s="1"/>
      <c r="E9" s="1"/>
      <c r="F9" s="1" t="s">
        <v>323</v>
      </c>
      <c r="G9" s="1"/>
      <c r="AJ9" s="2">
        <f t="shared" si="0"/>
        <v>1</v>
      </c>
      <c r="AL9" s="2">
        <f t="shared" si="1"/>
        <v>1</v>
      </c>
    </row>
    <row r="10" spans="1:40" x14ac:dyDescent="0.3">
      <c r="A10" s="5" t="s">
        <v>324</v>
      </c>
      <c r="B10" s="6"/>
      <c r="C10" s="5"/>
      <c r="D10" s="1"/>
      <c r="E10" s="1"/>
      <c r="F10" s="53" t="s">
        <v>325</v>
      </c>
      <c r="G10" s="1" t="s">
        <v>594</v>
      </c>
      <c r="AJ10" s="2">
        <f t="shared" si="0"/>
        <v>2</v>
      </c>
      <c r="AL10" s="2">
        <f t="shared" si="1"/>
        <v>2</v>
      </c>
    </row>
    <row r="11" spans="1:40" x14ac:dyDescent="0.3">
      <c r="A11" s="5" t="s">
        <v>326</v>
      </c>
      <c r="B11" s="6"/>
      <c r="C11" s="5"/>
      <c r="D11" s="1"/>
      <c r="E11" s="1"/>
      <c r="F11" s="53" t="s">
        <v>327</v>
      </c>
      <c r="G11" s="54" t="s">
        <v>595</v>
      </c>
      <c r="H11" s="54" t="s">
        <v>685</v>
      </c>
      <c r="I11" s="1" t="s">
        <v>852</v>
      </c>
      <c r="AJ11" s="2">
        <f t="shared" si="0"/>
        <v>4</v>
      </c>
      <c r="AL11" s="2">
        <f t="shared" si="1"/>
        <v>4</v>
      </c>
    </row>
    <row r="12" spans="1:40" x14ac:dyDescent="0.3">
      <c r="A12" s="5" t="s">
        <v>698</v>
      </c>
      <c r="B12" s="1"/>
      <c r="C12" s="5"/>
      <c r="D12" s="1"/>
      <c r="E12" s="1"/>
      <c r="F12" s="1"/>
      <c r="G12" s="1"/>
      <c r="H12" s="1" t="s">
        <v>699</v>
      </c>
      <c r="AJ12" s="2">
        <f t="shared" si="0"/>
        <v>1</v>
      </c>
      <c r="AL12" s="2">
        <f t="shared" si="1"/>
        <v>1</v>
      </c>
    </row>
    <row r="13" spans="1:40" x14ac:dyDescent="0.3">
      <c r="A13" s="5" t="s">
        <v>1140</v>
      </c>
      <c r="B13" s="1"/>
      <c r="C13" s="5"/>
      <c r="D13" s="1"/>
      <c r="E13" s="1"/>
      <c r="F13" s="54" t="s">
        <v>328</v>
      </c>
      <c r="G13" s="1"/>
      <c r="J13" s="1" t="s">
        <v>1139</v>
      </c>
      <c r="AJ13" s="2">
        <f t="shared" si="0"/>
        <v>2</v>
      </c>
      <c r="AL13" s="2">
        <f t="shared" si="1"/>
        <v>2</v>
      </c>
    </row>
    <row r="14" spans="1:40" ht="28.8" x14ac:dyDescent="0.3">
      <c r="A14" s="5" t="s">
        <v>580</v>
      </c>
      <c r="B14" s="1"/>
      <c r="C14" s="5"/>
      <c r="D14" s="1"/>
      <c r="E14" s="1"/>
      <c r="F14" s="1"/>
      <c r="G14" s="1" t="s">
        <v>581</v>
      </c>
      <c r="AJ14" s="2">
        <f t="shared" si="0"/>
        <v>1</v>
      </c>
      <c r="AL14" s="2">
        <f t="shared" si="1"/>
        <v>1</v>
      </c>
    </row>
    <row r="15" spans="1:40" ht="28.8" x14ac:dyDescent="0.3">
      <c r="A15" s="5" t="s">
        <v>582</v>
      </c>
      <c r="B15" s="5"/>
      <c r="C15" s="5"/>
      <c r="D15" s="1"/>
      <c r="E15" s="1"/>
      <c r="F15" s="1"/>
      <c r="G15" s="1" t="s">
        <v>583</v>
      </c>
      <c r="AJ15" s="2">
        <f t="shared" si="0"/>
        <v>1</v>
      </c>
      <c r="AL15" s="2">
        <f t="shared" si="1"/>
        <v>1</v>
      </c>
    </row>
    <row r="16" spans="1:40" ht="28.8" x14ac:dyDescent="0.3">
      <c r="A16" s="5" t="s">
        <v>585</v>
      </c>
      <c r="B16" s="1"/>
      <c r="C16" s="5"/>
      <c r="D16" s="1"/>
      <c r="E16" s="1"/>
      <c r="F16" s="1"/>
      <c r="G16" s="53" t="s">
        <v>586</v>
      </c>
      <c r="H16" s="54" t="s">
        <v>688</v>
      </c>
      <c r="I16" s="1" t="s">
        <v>857</v>
      </c>
      <c r="AJ16" s="2">
        <f t="shared" si="0"/>
        <v>3</v>
      </c>
      <c r="AL16" s="2">
        <f t="shared" si="1"/>
        <v>3</v>
      </c>
    </row>
    <row r="17" spans="1:38" x14ac:dyDescent="0.3">
      <c r="A17" s="5" t="s">
        <v>588</v>
      </c>
      <c r="B17" s="1"/>
      <c r="C17" s="5"/>
      <c r="D17" s="1"/>
      <c r="E17" s="1"/>
      <c r="F17" s="1"/>
      <c r="G17" s="54" t="s">
        <v>589</v>
      </c>
      <c r="H17" s="1" t="s">
        <v>691</v>
      </c>
      <c r="AJ17" s="2">
        <f t="shared" si="0"/>
        <v>2</v>
      </c>
      <c r="AL17" s="2">
        <f t="shared" si="1"/>
        <v>2</v>
      </c>
    </row>
    <row r="18" spans="1:38" x14ac:dyDescent="0.3">
      <c r="A18" s="5" t="s">
        <v>590</v>
      </c>
      <c r="B18" s="1"/>
      <c r="C18" s="5"/>
      <c r="D18" s="1"/>
      <c r="E18" s="1"/>
      <c r="F18" s="1"/>
      <c r="G18" s="54" t="s">
        <v>591</v>
      </c>
      <c r="H18" s="1" t="s">
        <v>693</v>
      </c>
      <c r="AJ18" s="2">
        <f t="shared" si="0"/>
        <v>2</v>
      </c>
      <c r="AL18" s="2">
        <f t="shared" si="1"/>
        <v>2</v>
      </c>
    </row>
    <row r="19" spans="1:38" ht="28.8" x14ac:dyDescent="0.3">
      <c r="A19" s="5" t="s">
        <v>592</v>
      </c>
      <c r="B19" s="1"/>
      <c r="C19" s="5"/>
      <c r="D19" s="1"/>
      <c r="E19" s="1"/>
      <c r="F19" s="1"/>
      <c r="G19" s="1" t="s">
        <v>593</v>
      </c>
      <c r="AJ19" s="2">
        <f t="shared" si="0"/>
        <v>1</v>
      </c>
      <c r="AL19" s="2">
        <f t="shared" si="1"/>
        <v>1</v>
      </c>
    </row>
    <row r="20" spans="1:38" ht="28.8" x14ac:dyDescent="0.3">
      <c r="A20" s="5" t="s">
        <v>683</v>
      </c>
      <c r="B20" s="1"/>
      <c r="C20" s="5"/>
      <c r="D20" s="1"/>
      <c r="E20" s="1"/>
      <c r="F20" s="1"/>
      <c r="G20" s="1"/>
      <c r="H20" s="1" t="s">
        <v>684</v>
      </c>
      <c r="AJ20" s="2">
        <f t="shared" si="0"/>
        <v>1</v>
      </c>
      <c r="AL20" s="2">
        <f t="shared" si="1"/>
        <v>1</v>
      </c>
    </row>
    <row r="21" spans="1:38" x14ac:dyDescent="0.3">
      <c r="A21" s="5" t="s">
        <v>686</v>
      </c>
      <c r="B21" s="1"/>
      <c r="C21" s="5"/>
      <c r="D21" s="1"/>
      <c r="E21" s="1"/>
      <c r="F21" s="1"/>
      <c r="G21" s="1"/>
      <c r="H21" s="1" t="s">
        <v>687</v>
      </c>
      <c r="AJ21" s="2">
        <f t="shared" si="0"/>
        <v>1</v>
      </c>
      <c r="AL21" s="2">
        <f t="shared" si="1"/>
        <v>1</v>
      </c>
    </row>
    <row r="22" spans="1:38" ht="28.8" x14ac:dyDescent="0.3">
      <c r="A22" s="5" t="s">
        <v>689</v>
      </c>
      <c r="B22" s="1"/>
      <c r="C22" s="5"/>
      <c r="D22" s="1"/>
      <c r="E22" s="1"/>
      <c r="F22" s="1"/>
      <c r="G22" s="1"/>
      <c r="H22" s="1" t="s">
        <v>690</v>
      </c>
      <c r="AJ22" s="2">
        <f t="shared" si="0"/>
        <v>1</v>
      </c>
      <c r="AL22" s="2">
        <f t="shared" si="1"/>
        <v>1</v>
      </c>
    </row>
    <row r="23" spans="1:38" x14ac:dyDescent="0.3">
      <c r="A23" s="5" t="s">
        <v>694</v>
      </c>
      <c r="B23" s="1"/>
      <c r="C23" s="5"/>
      <c r="D23" s="1"/>
      <c r="E23" s="1"/>
      <c r="F23" s="1"/>
      <c r="G23" s="1"/>
      <c r="H23" s="1" t="s">
        <v>695</v>
      </c>
      <c r="AJ23" s="2">
        <f t="shared" si="0"/>
        <v>1</v>
      </c>
      <c r="AL23" s="2">
        <f t="shared" si="1"/>
        <v>1</v>
      </c>
    </row>
    <row r="24" spans="1:38" x14ac:dyDescent="0.3">
      <c r="A24" s="5" t="s">
        <v>853</v>
      </c>
      <c r="B24" s="1"/>
      <c r="C24" s="5"/>
      <c r="D24" s="1"/>
      <c r="E24" s="1"/>
      <c r="F24" s="1"/>
      <c r="G24" s="1"/>
      <c r="I24" s="1" t="s">
        <v>854</v>
      </c>
      <c r="AJ24" s="2">
        <f t="shared" si="0"/>
        <v>1</v>
      </c>
      <c r="AL24" s="2">
        <f t="shared" si="1"/>
        <v>1</v>
      </c>
    </row>
    <row r="25" spans="1:38" x14ac:dyDescent="0.3">
      <c r="A25" s="5" t="s">
        <v>855</v>
      </c>
      <c r="B25" s="1"/>
      <c r="C25" s="5"/>
      <c r="D25" s="1"/>
      <c r="E25" s="1"/>
      <c r="F25" s="1"/>
      <c r="G25" s="1"/>
      <c r="I25" s="1" t="s">
        <v>856</v>
      </c>
      <c r="AJ25" s="2">
        <f t="shared" si="0"/>
        <v>1</v>
      </c>
      <c r="AL25" s="2">
        <f t="shared" si="1"/>
        <v>1</v>
      </c>
    </row>
    <row r="26" spans="1:38" x14ac:dyDescent="0.3">
      <c r="A26" s="5" t="s">
        <v>858</v>
      </c>
      <c r="B26" s="5"/>
      <c r="C26" s="5"/>
      <c r="D26" s="1"/>
      <c r="E26" s="1"/>
      <c r="F26" s="1"/>
      <c r="G26" s="1"/>
      <c r="I26" s="1" t="s">
        <v>859</v>
      </c>
      <c r="AJ26" s="2">
        <f t="shared" si="0"/>
        <v>1</v>
      </c>
      <c r="AL26" s="2">
        <f t="shared" si="1"/>
        <v>1</v>
      </c>
    </row>
    <row r="27" spans="1:38" ht="28.8" x14ac:dyDescent="0.3">
      <c r="A27" s="5" t="s">
        <v>863</v>
      </c>
      <c r="B27" s="5"/>
      <c r="C27" s="5"/>
      <c r="D27" s="1"/>
      <c r="E27" s="1"/>
      <c r="F27" s="1"/>
      <c r="G27" s="1"/>
      <c r="I27" s="1" t="s">
        <v>864</v>
      </c>
      <c r="AJ27" s="2">
        <f t="shared" si="0"/>
        <v>1</v>
      </c>
      <c r="AL27" s="2">
        <f t="shared" si="1"/>
        <v>1</v>
      </c>
    </row>
    <row r="28" spans="1:38" x14ac:dyDescent="0.3">
      <c r="A28" s="5" t="s">
        <v>861</v>
      </c>
      <c r="B28" s="5"/>
      <c r="C28" s="5"/>
      <c r="D28" s="1"/>
      <c r="E28" s="1"/>
      <c r="F28" s="1"/>
      <c r="G28" s="1"/>
      <c r="I28" s="1" t="s">
        <v>862</v>
      </c>
      <c r="AJ28" s="2">
        <f t="shared" si="0"/>
        <v>1</v>
      </c>
      <c r="AL28" s="2">
        <f t="shared" si="1"/>
        <v>1</v>
      </c>
    </row>
    <row r="29" spans="1:38" ht="28.8" x14ac:dyDescent="0.3">
      <c r="A29" s="5" t="s">
        <v>865</v>
      </c>
      <c r="B29" s="5"/>
      <c r="C29" s="5"/>
      <c r="D29" s="1"/>
      <c r="E29" s="1"/>
      <c r="F29" s="1"/>
      <c r="G29" s="1"/>
      <c r="I29" s="1" t="s">
        <v>866</v>
      </c>
      <c r="AJ29" s="2">
        <f t="shared" si="0"/>
        <v>1</v>
      </c>
      <c r="AL29" s="2">
        <f t="shared" si="1"/>
        <v>1</v>
      </c>
    </row>
    <row r="30" spans="1:38" x14ac:dyDescent="0.3">
      <c r="A30" s="5" t="s">
        <v>1135</v>
      </c>
      <c r="B30" s="5"/>
      <c r="C30" s="5"/>
      <c r="D30" s="1"/>
      <c r="E30" s="1"/>
      <c r="F30" s="1"/>
      <c r="G30" s="1"/>
      <c r="J30" s="1" t="s">
        <v>1136</v>
      </c>
      <c r="AJ30" s="2">
        <f t="shared" si="0"/>
        <v>1</v>
      </c>
      <c r="AL30" s="2">
        <f t="shared" si="1"/>
        <v>1</v>
      </c>
    </row>
    <row r="31" spans="1:38" x14ac:dyDescent="0.3">
      <c r="A31" s="5" t="s">
        <v>1137</v>
      </c>
      <c r="B31" s="5"/>
      <c r="C31" s="5"/>
      <c r="D31" s="1"/>
      <c r="E31" s="1"/>
      <c r="F31" s="1"/>
      <c r="G31" s="1"/>
      <c r="J31" s="1" t="s">
        <v>1138</v>
      </c>
      <c r="AJ31" s="2">
        <f t="shared" si="0"/>
        <v>1</v>
      </c>
      <c r="AL31" s="2">
        <f t="shared" si="1"/>
        <v>1</v>
      </c>
    </row>
    <row r="32" spans="1:38" x14ac:dyDescent="0.3">
      <c r="A32" s="5" t="s">
        <v>1142</v>
      </c>
      <c r="B32" s="5"/>
      <c r="C32" s="5"/>
      <c r="D32" s="1"/>
      <c r="E32" s="1"/>
      <c r="F32" s="1"/>
      <c r="G32" s="1"/>
      <c r="J32" s="1" t="s">
        <v>1143</v>
      </c>
      <c r="AJ32" s="2">
        <f t="shared" si="0"/>
        <v>1</v>
      </c>
      <c r="AL32" s="2">
        <f t="shared" si="1"/>
        <v>1</v>
      </c>
    </row>
    <row r="33" spans="1:38" ht="28.8" x14ac:dyDescent="0.3">
      <c r="A33" s="5" t="s">
        <v>867</v>
      </c>
      <c r="B33" s="5"/>
      <c r="C33" s="5"/>
      <c r="D33" s="1"/>
      <c r="E33" s="1"/>
      <c r="F33" s="1"/>
      <c r="G33" s="1"/>
      <c r="I33" s="1" t="s">
        <v>868</v>
      </c>
      <c r="AJ33" s="2">
        <f t="shared" si="0"/>
        <v>1</v>
      </c>
      <c r="AL33" s="2">
        <f t="shared" si="1"/>
        <v>1</v>
      </c>
    </row>
    <row r="34" spans="1:38" x14ac:dyDescent="0.3">
      <c r="A34" s="5" t="s">
        <v>1467</v>
      </c>
      <c r="B34" s="5"/>
      <c r="C34" s="5"/>
      <c r="D34" s="1"/>
      <c r="E34" s="1"/>
      <c r="F34" s="1"/>
      <c r="G34" s="1"/>
      <c r="M34" s="1" t="s">
        <v>1124</v>
      </c>
      <c r="AJ34" s="2">
        <f t="shared" si="0"/>
        <v>1</v>
      </c>
      <c r="AL34" s="2">
        <f t="shared" si="1"/>
        <v>1</v>
      </c>
    </row>
    <row r="35" spans="1:38" ht="28.8" x14ac:dyDescent="0.3">
      <c r="A35" s="5" t="s">
        <v>1468</v>
      </c>
      <c r="B35" s="5"/>
      <c r="C35" s="5"/>
      <c r="D35" s="1"/>
      <c r="E35" s="1"/>
      <c r="F35" s="1"/>
      <c r="G35" s="1"/>
      <c r="M35" s="1" t="s">
        <v>1125</v>
      </c>
      <c r="AJ35" s="2">
        <f t="shared" si="0"/>
        <v>1</v>
      </c>
      <c r="AL35" s="2">
        <f t="shared" si="1"/>
        <v>1</v>
      </c>
    </row>
    <row r="36" spans="1:38" ht="28.8" x14ac:dyDescent="0.3">
      <c r="A36" s="5" t="s">
        <v>1469</v>
      </c>
      <c r="B36" s="5"/>
      <c r="C36" s="5"/>
      <c r="D36" s="1"/>
      <c r="E36" s="1"/>
      <c r="F36" s="1"/>
      <c r="G36" s="1"/>
      <c r="M36" s="1" t="s">
        <v>1127</v>
      </c>
      <c r="AJ36" s="2">
        <f t="shared" si="0"/>
        <v>1</v>
      </c>
      <c r="AL36" s="2">
        <f t="shared" si="1"/>
        <v>1</v>
      </c>
    </row>
    <row r="37" spans="1:38" x14ac:dyDescent="0.3">
      <c r="A37" s="5" t="s">
        <v>1470</v>
      </c>
      <c r="B37" s="5"/>
      <c r="C37" s="5"/>
      <c r="D37" s="1"/>
      <c r="E37" s="1"/>
      <c r="F37" s="1"/>
      <c r="G37" s="1"/>
      <c r="M37" s="1" t="s">
        <v>1128</v>
      </c>
      <c r="AJ37" s="2">
        <f t="shared" si="0"/>
        <v>1</v>
      </c>
      <c r="AL37" s="2">
        <f t="shared" si="1"/>
        <v>1</v>
      </c>
    </row>
    <row r="38" spans="1:38" ht="28.8" x14ac:dyDescent="0.3">
      <c r="A38" s="5" t="s">
        <v>1471</v>
      </c>
      <c r="B38" s="5"/>
      <c r="C38" s="5"/>
      <c r="D38" s="1"/>
      <c r="E38" s="1"/>
      <c r="F38" s="1"/>
      <c r="G38" s="1"/>
      <c r="M38" s="1" t="s">
        <v>1129</v>
      </c>
      <c r="AJ38" s="2">
        <f t="shared" si="0"/>
        <v>1</v>
      </c>
      <c r="AL38" s="2">
        <f t="shared" si="1"/>
        <v>1</v>
      </c>
    </row>
    <row r="39" spans="1:38" ht="43.2" x14ac:dyDescent="0.3">
      <c r="A39" s="5" t="s">
        <v>1146</v>
      </c>
      <c r="B39" s="5"/>
      <c r="C39" s="5"/>
      <c r="D39" s="1"/>
      <c r="E39" s="1"/>
      <c r="F39" s="1"/>
      <c r="G39" s="1"/>
      <c r="J39" s="1" t="s">
        <v>1147</v>
      </c>
      <c r="AJ39" s="2">
        <f t="shared" si="0"/>
        <v>1</v>
      </c>
      <c r="AL39" s="2">
        <f t="shared" si="1"/>
        <v>1</v>
      </c>
    </row>
    <row r="40" spans="1:38" ht="28.8" x14ac:dyDescent="0.3">
      <c r="A40" s="5" t="s">
        <v>1249</v>
      </c>
      <c r="B40" s="5"/>
      <c r="C40" s="5"/>
      <c r="D40" s="1"/>
      <c r="E40" s="1"/>
      <c r="F40" s="1"/>
      <c r="G40" s="1"/>
      <c r="L40" s="54" t="s">
        <v>1250</v>
      </c>
      <c r="M40" s="54" t="s">
        <v>1439</v>
      </c>
      <c r="N40" s="53" t="s">
        <v>1610</v>
      </c>
      <c r="O40" s="1" t="s">
        <v>1366</v>
      </c>
      <c r="AJ40" s="2">
        <f t="shared" si="0"/>
        <v>4</v>
      </c>
      <c r="AL40" s="2">
        <f t="shared" si="1"/>
        <v>4</v>
      </c>
    </row>
    <row r="41" spans="1:38" ht="28.8" x14ac:dyDescent="0.3">
      <c r="A41" s="5" t="s">
        <v>1612</v>
      </c>
      <c r="B41" s="5"/>
      <c r="C41" s="5"/>
      <c r="D41" s="1"/>
      <c r="E41" s="1"/>
      <c r="F41" s="1"/>
      <c r="G41" s="1"/>
      <c r="N41" s="1" t="s">
        <v>1613</v>
      </c>
      <c r="AJ41" s="2">
        <f t="shared" si="0"/>
        <v>1</v>
      </c>
      <c r="AL41" s="2">
        <f t="shared" si="1"/>
        <v>1</v>
      </c>
    </row>
    <row r="42" spans="1:38" x14ac:dyDescent="0.3">
      <c r="A42" s="5" t="s">
        <v>1614</v>
      </c>
      <c r="B42" s="5"/>
      <c r="C42" s="5"/>
      <c r="D42" s="1"/>
      <c r="E42" s="1"/>
      <c r="F42" s="1"/>
      <c r="G42" s="1"/>
      <c r="N42" s="1" t="s">
        <v>1615</v>
      </c>
      <c r="AJ42" s="2">
        <f t="shared" si="0"/>
        <v>1</v>
      </c>
      <c r="AL42" s="2">
        <f t="shared" si="1"/>
        <v>1</v>
      </c>
    </row>
    <row r="43" spans="1:38" ht="28.8" x14ac:dyDescent="0.3">
      <c r="A43" s="5" t="s">
        <v>768</v>
      </c>
      <c r="B43" s="5"/>
      <c r="C43" s="5"/>
      <c r="D43" s="1"/>
      <c r="E43" s="1"/>
      <c r="F43" s="1"/>
      <c r="G43" s="1"/>
      <c r="H43" s="12"/>
      <c r="I43" s="70" t="s">
        <v>300</v>
      </c>
      <c r="J43" s="18" t="s">
        <v>1014</v>
      </c>
      <c r="AJ43" s="2">
        <f t="shared" si="0"/>
        <v>2</v>
      </c>
      <c r="AL43" s="2">
        <f t="shared" si="1"/>
        <v>2</v>
      </c>
    </row>
    <row r="44" spans="1:38" ht="43.2" x14ac:dyDescent="0.3">
      <c r="A44" s="5" t="s">
        <v>2170</v>
      </c>
      <c r="B44" s="5"/>
      <c r="C44" s="33"/>
      <c r="D44" s="21"/>
      <c r="E44" s="1"/>
      <c r="F44" s="1"/>
      <c r="G44" s="1"/>
      <c r="Q44" s="54" t="s">
        <v>1443</v>
      </c>
      <c r="R44" s="53" t="s">
        <v>2171</v>
      </c>
      <c r="U44" s="1" t="s">
        <v>930</v>
      </c>
      <c r="AJ44" s="2">
        <f t="shared" si="0"/>
        <v>3</v>
      </c>
      <c r="AL44" s="2">
        <f t="shared" si="1"/>
        <v>1</v>
      </c>
    </row>
    <row r="45" spans="1:38" ht="28.8" x14ac:dyDescent="0.3">
      <c r="A45" s="24" t="s">
        <v>2238</v>
      </c>
      <c r="B45" s="5"/>
      <c r="C45" s="31"/>
      <c r="D45" s="21"/>
      <c r="E45" s="1"/>
      <c r="F45" s="1"/>
      <c r="G45" s="1"/>
      <c r="S45" s="53" t="s">
        <v>11</v>
      </c>
      <c r="V45" s="1" t="s">
        <v>183</v>
      </c>
      <c r="AJ45" s="2">
        <f t="shared" si="0"/>
        <v>2</v>
      </c>
      <c r="AL45" s="2">
        <f t="shared" si="1"/>
        <v>1</v>
      </c>
    </row>
    <row r="46" spans="1:38" ht="28.8" x14ac:dyDescent="0.3">
      <c r="A46" s="24" t="s">
        <v>2240</v>
      </c>
      <c r="B46" s="5"/>
      <c r="C46" s="31"/>
      <c r="D46" s="21"/>
      <c r="E46" s="1"/>
      <c r="F46" s="1"/>
      <c r="G46" s="1"/>
      <c r="S46" s="53" t="s">
        <v>189</v>
      </c>
      <c r="V46" s="1" t="s">
        <v>11</v>
      </c>
      <c r="AJ46" s="2">
        <f t="shared" si="0"/>
        <v>2</v>
      </c>
      <c r="AL46" s="2">
        <f t="shared" si="1"/>
        <v>1</v>
      </c>
    </row>
    <row r="47" spans="1:38" ht="28.8" x14ac:dyDescent="0.3">
      <c r="A47" s="24" t="s">
        <v>2592</v>
      </c>
      <c r="B47" s="5"/>
      <c r="C47" s="31"/>
      <c r="D47" s="21"/>
      <c r="E47" s="1"/>
      <c r="F47" s="1"/>
      <c r="G47" s="1"/>
      <c r="Q47" s="54" t="s">
        <v>1008</v>
      </c>
      <c r="R47" s="53" t="s">
        <v>2023</v>
      </c>
      <c r="Z47" s="54" t="s">
        <v>187</v>
      </c>
      <c r="AE47" s="1" t="s">
        <v>82</v>
      </c>
      <c r="AJ47" s="2">
        <f t="shared" si="0"/>
        <v>4</v>
      </c>
      <c r="AL47" s="2">
        <f t="shared" si="1"/>
        <v>1</v>
      </c>
    </row>
    <row r="48" spans="1:38" ht="28.8" x14ac:dyDescent="0.3">
      <c r="A48" s="24" t="s">
        <v>2590</v>
      </c>
      <c r="B48" s="5"/>
      <c r="C48" s="31"/>
      <c r="D48" s="21"/>
      <c r="E48" s="1"/>
      <c r="F48" s="1"/>
      <c r="G48" s="1"/>
      <c r="Q48" s="54" t="s">
        <v>1019</v>
      </c>
      <c r="R48" s="53" t="s">
        <v>2035</v>
      </c>
      <c r="Z48" s="54" t="s">
        <v>192</v>
      </c>
      <c r="AE48" s="1" t="s">
        <v>441</v>
      </c>
      <c r="AJ48" s="2">
        <f t="shared" si="0"/>
        <v>4</v>
      </c>
      <c r="AL48" s="2">
        <f t="shared" si="1"/>
        <v>1</v>
      </c>
    </row>
    <row r="49" spans="1:38" ht="28.8" x14ac:dyDescent="0.3">
      <c r="A49" s="24" t="s">
        <v>2591</v>
      </c>
      <c r="B49" s="5"/>
      <c r="C49" s="31"/>
      <c r="D49" s="21"/>
      <c r="E49" s="1"/>
      <c r="F49" s="1"/>
      <c r="G49" s="1"/>
      <c r="T49" s="1" t="s">
        <v>973</v>
      </c>
      <c r="AJ49" s="2">
        <f t="shared" si="0"/>
        <v>1</v>
      </c>
      <c r="AL49" s="2">
        <f t="shared" si="1"/>
        <v>0</v>
      </c>
    </row>
    <row r="50" spans="1:38" ht="28.8" x14ac:dyDescent="0.3">
      <c r="A50" s="24" t="s">
        <v>2311</v>
      </c>
      <c r="B50" s="5"/>
      <c r="C50" s="31"/>
      <c r="D50" s="21"/>
      <c r="E50" s="1"/>
      <c r="F50" s="1"/>
      <c r="G50" s="1"/>
      <c r="T50" s="1" t="s">
        <v>980</v>
      </c>
      <c r="AJ50" s="2">
        <f t="shared" si="0"/>
        <v>1</v>
      </c>
      <c r="AL50" s="2">
        <f t="shared" si="1"/>
        <v>0</v>
      </c>
    </row>
    <row r="51" spans="1:38" ht="28.8" x14ac:dyDescent="0.3">
      <c r="A51" s="24" t="s">
        <v>2417</v>
      </c>
      <c r="B51" s="5"/>
      <c r="C51" s="31"/>
      <c r="D51" s="21"/>
      <c r="E51" s="1"/>
      <c r="F51" s="1"/>
      <c r="G51" s="1"/>
      <c r="U51" s="1" t="s">
        <v>875</v>
      </c>
      <c r="AJ51" s="2">
        <f t="shared" si="0"/>
        <v>1</v>
      </c>
      <c r="AL51" s="2">
        <f t="shared" si="1"/>
        <v>0</v>
      </c>
    </row>
    <row r="52" spans="1:38" ht="43.2" x14ac:dyDescent="0.3">
      <c r="A52" s="24" t="s">
        <v>2555</v>
      </c>
      <c r="B52" s="5"/>
      <c r="C52" s="31"/>
      <c r="D52" s="21"/>
      <c r="E52" s="1"/>
      <c r="F52" s="1"/>
      <c r="G52" s="1"/>
      <c r="V52" s="1" t="s">
        <v>120</v>
      </c>
      <c r="AJ52" s="2">
        <f t="shared" si="0"/>
        <v>1</v>
      </c>
      <c r="AL52" s="2">
        <f t="shared" si="1"/>
        <v>0</v>
      </c>
    </row>
    <row r="53" spans="1:38" ht="28.8" x14ac:dyDescent="0.3">
      <c r="A53" s="24" t="s">
        <v>2473</v>
      </c>
      <c r="B53" s="5"/>
      <c r="C53" s="31"/>
      <c r="D53" s="21"/>
      <c r="E53" s="1"/>
      <c r="F53" s="1"/>
      <c r="G53" s="1"/>
      <c r="U53" s="54" t="s">
        <v>1734</v>
      </c>
      <c r="V53" s="53" t="s">
        <v>532</v>
      </c>
      <c r="AB53" s="53" t="s">
        <v>2779</v>
      </c>
      <c r="AC53" s="53" t="s">
        <v>2005</v>
      </c>
      <c r="AD53" s="53" t="s">
        <v>2890</v>
      </c>
      <c r="AE53" s="1" t="s">
        <v>1244</v>
      </c>
      <c r="AJ53" s="2">
        <f t="shared" si="0"/>
        <v>6</v>
      </c>
      <c r="AL53" s="2">
        <f t="shared" si="1"/>
        <v>0</v>
      </c>
    </row>
    <row r="54" spans="1:38" ht="28.8" x14ac:dyDescent="0.3">
      <c r="A54" s="24" t="s">
        <v>2589</v>
      </c>
      <c r="B54" s="5"/>
      <c r="C54" s="31"/>
      <c r="D54" s="21"/>
      <c r="E54" s="1"/>
      <c r="F54" s="1"/>
      <c r="G54" s="1"/>
      <c r="Z54" s="54" t="s">
        <v>190</v>
      </c>
      <c r="AD54" s="1" t="s">
        <v>1458</v>
      </c>
      <c r="AJ54" s="2">
        <f t="shared" si="0"/>
        <v>2</v>
      </c>
      <c r="AL54" s="2">
        <f t="shared" si="1"/>
        <v>0</v>
      </c>
    </row>
    <row r="55" spans="1:38" ht="28.8" x14ac:dyDescent="0.3">
      <c r="A55" s="24" t="s">
        <v>2631</v>
      </c>
      <c r="B55" s="5"/>
      <c r="C55" s="31"/>
      <c r="D55" s="21"/>
      <c r="E55" s="1"/>
      <c r="F55" s="1"/>
      <c r="G55" s="1"/>
      <c r="Z55" s="1" t="s">
        <v>513</v>
      </c>
      <c r="AJ55" s="2">
        <f t="shared" si="0"/>
        <v>1</v>
      </c>
      <c r="AL55" s="2">
        <f t="shared" si="1"/>
        <v>0</v>
      </c>
    </row>
    <row r="56" spans="1:38" ht="28.8" x14ac:dyDescent="0.3">
      <c r="A56" s="24" t="s">
        <v>2632</v>
      </c>
      <c r="B56" s="5"/>
      <c r="C56" s="31"/>
      <c r="D56" s="21"/>
      <c r="E56" s="1"/>
      <c r="F56" s="1"/>
      <c r="G56" s="1"/>
      <c r="Z56" s="1" t="s">
        <v>264</v>
      </c>
      <c r="AJ56" s="2">
        <f t="shared" si="0"/>
        <v>1</v>
      </c>
      <c r="AL56" s="2">
        <f t="shared" si="1"/>
        <v>0</v>
      </c>
    </row>
    <row r="57" spans="1:38" ht="28.8" x14ac:dyDescent="0.3">
      <c r="A57" s="24" t="s">
        <v>2633</v>
      </c>
      <c r="B57" s="5"/>
      <c r="C57" s="31"/>
      <c r="D57" s="21"/>
      <c r="E57" s="1"/>
      <c r="F57" s="1"/>
      <c r="G57" s="1"/>
      <c r="Z57" s="1" t="s">
        <v>265</v>
      </c>
      <c r="AJ57" s="2">
        <f t="shared" si="0"/>
        <v>1</v>
      </c>
      <c r="AL57" s="2">
        <f t="shared" si="1"/>
        <v>0</v>
      </c>
    </row>
    <row r="58" spans="1:38" ht="28.8" x14ac:dyDescent="0.3">
      <c r="A58" s="5" t="s">
        <v>2798</v>
      </c>
      <c r="B58" s="5"/>
      <c r="C58" s="5"/>
      <c r="D58" s="1"/>
      <c r="E58" s="1"/>
      <c r="F58" s="1"/>
      <c r="G58" s="1"/>
      <c r="AC58" s="1" t="s">
        <v>1970</v>
      </c>
      <c r="AJ58" s="2">
        <f t="shared" si="0"/>
        <v>1</v>
      </c>
      <c r="AL58" s="2">
        <f t="shared" si="1"/>
        <v>0</v>
      </c>
    </row>
    <row r="59" spans="1:38" ht="28.8" x14ac:dyDescent="0.3">
      <c r="A59" s="24" t="s">
        <v>2799</v>
      </c>
      <c r="B59" s="5"/>
      <c r="C59" s="31"/>
      <c r="D59" s="21"/>
      <c r="E59" s="1"/>
      <c r="F59" s="1"/>
      <c r="G59" s="1"/>
      <c r="AC59" s="1" t="s">
        <v>2797</v>
      </c>
      <c r="AJ59" s="2">
        <f t="shared" si="0"/>
        <v>1</v>
      </c>
      <c r="AL59" s="2">
        <f t="shared" si="1"/>
        <v>0</v>
      </c>
    </row>
    <row r="60" spans="1:38" x14ac:dyDescent="0.3">
      <c r="A60" s="24" t="s">
        <v>2800</v>
      </c>
      <c r="B60" s="5"/>
      <c r="C60" s="31"/>
      <c r="D60" s="21"/>
      <c r="E60" s="1"/>
      <c r="F60" s="1"/>
      <c r="G60" s="1"/>
      <c r="AC60" s="1" t="s">
        <v>1971</v>
      </c>
      <c r="AJ60" s="2">
        <f t="shared" si="0"/>
        <v>1</v>
      </c>
      <c r="AL60" s="2">
        <f t="shared" si="1"/>
        <v>0</v>
      </c>
    </row>
    <row r="61" spans="1:38" x14ac:dyDescent="0.3">
      <c r="A61" s="24" t="s">
        <v>2882</v>
      </c>
      <c r="B61" s="5"/>
      <c r="C61" s="31"/>
      <c r="D61" s="21"/>
      <c r="E61" s="1"/>
      <c r="F61" s="1"/>
      <c r="G61" s="1"/>
      <c r="AD61" s="1" t="s">
        <v>1487</v>
      </c>
      <c r="AJ61" s="2">
        <f t="shared" si="0"/>
        <v>1</v>
      </c>
      <c r="AL61" s="2">
        <f t="shared" si="1"/>
        <v>0</v>
      </c>
    </row>
    <row r="62" spans="1:38" x14ac:dyDescent="0.3">
      <c r="A62" s="24" t="s">
        <v>2883</v>
      </c>
      <c r="B62" s="5"/>
      <c r="C62" s="31"/>
      <c r="D62" s="21"/>
      <c r="E62" s="1"/>
      <c r="F62" s="1"/>
      <c r="G62" s="1"/>
      <c r="AD62" s="1" t="s">
        <v>1488</v>
      </c>
      <c r="AJ62" s="2">
        <f t="shared" si="0"/>
        <v>1</v>
      </c>
      <c r="AL62" s="2">
        <f t="shared" si="1"/>
        <v>0</v>
      </c>
    </row>
    <row r="63" spans="1:38" x14ac:dyDescent="0.3">
      <c r="A63" s="24" t="s">
        <v>2885</v>
      </c>
      <c r="B63" s="5"/>
      <c r="C63" s="31"/>
      <c r="D63" s="21"/>
      <c r="E63" s="1"/>
      <c r="F63" s="1"/>
      <c r="G63" s="1"/>
      <c r="AD63" s="1" t="s">
        <v>2884</v>
      </c>
      <c r="AJ63" s="2">
        <f t="shared" si="0"/>
        <v>1</v>
      </c>
      <c r="AL63" s="2">
        <f t="shared" si="1"/>
        <v>0</v>
      </c>
    </row>
    <row r="64" spans="1:38" ht="28.8" x14ac:dyDescent="0.3">
      <c r="A64" s="5" t="s">
        <v>2593</v>
      </c>
      <c r="B64" s="5"/>
      <c r="C64" s="5"/>
      <c r="D64" s="1"/>
      <c r="E64" s="1"/>
      <c r="F64" s="1"/>
      <c r="G64" s="1"/>
      <c r="Z64" s="1" t="s">
        <v>33</v>
      </c>
      <c r="AJ64" s="2">
        <f t="shared" si="0"/>
        <v>1</v>
      </c>
      <c r="AL64" s="2">
        <f t="shared" si="1"/>
        <v>0</v>
      </c>
    </row>
    <row r="65" spans="1:38" ht="28.8" x14ac:dyDescent="0.3">
      <c r="A65" s="5" t="s">
        <v>21</v>
      </c>
      <c r="B65" s="5"/>
      <c r="C65" s="5"/>
      <c r="D65" s="1" t="s">
        <v>22</v>
      </c>
      <c r="E65" s="1"/>
      <c r="F65" s="1"/>
      <c r="G65" s="1"/>
      <c r="AJ65" s="2">
        <f t="shared" si="0"/>
        <v>1</v>
      </c>
      <c r="AL65" s="2">
        <f t="shared" si="1"/>
        <v>0</v>
      </c>
    </row>
    <row r="66" spans="1:38" ht="28.8" x14ac:dyDescent="0.3">
      <c r="A66" s="24" t="s">
        <v>3143</v>
      </c>
      <c r="B66" s="76" t="s">
        <v>3144</v>
      </c>
      <c r="C66" s="31" t="s">
        <v>3144</v>
      </c>
      <c r="D66" s="21"/>
      <c r="E66" s="1"/>
      <c r="F66" s="1"/>
      <c r="G66" s="1"/>
      <c r="AJ66" s="2">
        <f t="shared" si="0"/>
        <v>2</v>
      </c>
      <c r="AL66" s="2">
        <f t="shared" si="1"/>
        <v>0</v>
      </c>
    </row>
    <row r="67" spans="1:38" x14ac:dyDescent="0.3">
      <c r="A67" s="24" t="s">
        <v>3149</v>
      </c>
      <c r="B67" s="5"/>
      <c r="C67" s="31" t="s">
        <v>3150</v>
      </c>
      <c r="D67" s="21"/>
      <c r="E67" s="1"/>
      <c r="F67" s="1"/>
      <c r="G67" s="1"/>
      <c r="AJ67" s="2">
        <f t="shared" ref="AJ67:AJ70" si="2">COUNTA(B67:AH67)</f>
        <v>1</v>
      </c>
      <c r="AL67" s="2">
        <f t="shared" ref="AL67:AL70" si="3">COUNTA(F67:O67,R67:S67)</f>
        <v>0</v>
      </c>
    </row>
    <row r="68" spans="1:38" x14ac:dyDescent="0.3">
      <c r="A68" s="24" t="s">
        <v>3156</v>
      </c>
      <c r="B68" s="5"/>
      <c r="C68" s="31" t="s">
        <v>3157</v>
      </c>
      <c r="D68" s="21"/>
      <c r="E68" s="1"/>
      <c r="F68" s="1"/>
      <c r="G68" s="1"/>
      <c r="AJ68" s="2">
        <f t="shared" si="2"/>
        <v>1</v>
      </c>
      <c r="AL68" s="2">
        <f t="shared" si="3"/>
        <v>0</v>
      </c>
    </row>
    <row r="69" spans="1:38" ht="28.8" x14ac:dyDescent="0.3">
      <c r="A69" s="5" t="s">
        <v>1251</v>
      </c>
      <c r="B69" s="5"/>
      <c r="C69" s="5"/>
      <c r="D69" s="1"/>
      <c r="E69" s="1"/>
      <c r="F69" s="1"/>
      <c r="G69" s="1"/>
      <c r="L69" s="54" t="s">
        <v>974</v>
      </c>
      <c r="M69" s="54" t="s">
        <v>1440</v>
      </c>
      <c r="N69" s="1" t="s">
        <v>1611</v>
      </c>
      <c r="AJ69" s="2">
        <f t="shared" si="2"/>
        <v>3</v>
      </c>
      <c r="AL69" s="2">
        <f t="shared" si="3"/>
        <v>3</v>
      </c>
    </row>
    <row r="70" spans="1:38" x14ac:dyDescent="0.3">
      <c r="A70" s="24" t="s">
        <v>3212</v>
      </c>
      <c r="B70" s="76" t="s">
        <v>3213</v>
      </c>
      <c r="C70" s="31" t="s">
        <v>3213</v>
      </c>
      <c r="D70" s="21"/>
      <c r="E70" s="1"/>
      <c r="F70" s="1"/>
      <c r="G70" s="1"/>
      <c r="AJ70" s="2">
        <f t="shared" si="2"/>
        <v>2</v>
      </c>
      <c r="AL70" s="2">
        <f t="shared" si="3"/>
        <v>0</v>
      </c>
    </row>
    <row r="71" spans="1:38" ht="28.8" x14ac:dyDescent="0.3">
      <c r="A71" s="24" t="s">
        <v>3267</v>
      </c>
      <c r="B71" s="1" t="s">
        <v>3268</v>
      </c>
      <c r="C71" s="31"/>
      <c r="D71" s="21"/>
      <c r="E71" s="1"/>
      <c r="F71" s="1"/>
      <c r="G71" s="1"/>
    </row>
    <row r="72" spans="1:38" x14ac:dyDescent="0.3">
      <c r="A72" s="24"/>
      <c r="B72" s="1"/>
      <c r="C72" s="31"/>
      <c r="D72" s="21"/>
      <c r="E72" s="1"/>
      <c r="F72" s="1"/>
      <c r="G72" s="1"/>
    </row>
    <row r="73" spans="1:38" x14ac:dyDescent="0.3">
      <c r="A73" s="24"/>
      <c r="B73" s="1"/>
      <c r="C73" s="31"/>
      <c r="D73" s="21"/>
      <c r="E73" s="1"/>
      <c r="F73" s="1"/>
      <c r="G73" s="1"/>
    </row>
    <row r="74" spans="1:38" x14ac:dyDescent="0.3">
      <c r="A74" s="24"/>
      <c r="B74" s="1"/>
      <c r="C74" s="31"/>
      <c r="D74" s="21"/>
      <c r="E74" s="1"/>
      <c r="F74" s="1"/>
      <c r="G74" s="1"/>
    </row>
    <row r="75" spans="1:38" x14ac:dyDescent="0.3">
      <c r="A75" s="24"/>
      <c r="B75" s="1"/>
      <c r="C75" s="31"/>
      <c r="D75" s="21"/>
      <c r="E75" s="1"/>
      <c r="F75" s="1"/>
      <c r="G75" s="1"/>
    </row>
    <row r="76" spans="1:38" x14ac:dyDescent="0.3">
      <c r="A76" s="24"/>
      <c r="B76" s="1"/>
      <c r="C76" s="31"/>
      <c r="D76" s="21"/>
      <c r="E76" s="1"/>
      <c r="F76" s="1"/>
      <c r="G76" s="1"/>
    </row>
    <row r="77" spans="1:38" x14ac:dyDescent="0.3">
      <c r="A77" s="24"/>
      <c r="B77" s="1"/>
      <c r="C77" s="31"/>
      <c r="D77" s="21"/>
      <c r="E77" s="1"/>
      <c r="F77" s="1"/>
      <c r="G77" s="1"/>
    </row>
    <row r="78" spans="1:38" x14ac:dyDescent="0.3">
      <c r="A78" s="24"/>
      <c r="B78" s="1"/>
      <c r="C78" s="31"/>
      <c r="D78" s="21"/>
      <c r="E78" s="1"/>
      <c r="F78" s="1"/>
      <c r="G78" s="1"/>
    </row>
    <row r="79" spans="1:38" x14ac:dyDescent="0.3">
      <c r="A79" s="24"/>
      <c r="B79" s="1"/>
      <c r="C79" s="31"/>
      <c r="D79" s="21"/>
      <c r="E79" s="1"/>
      <c r="F79" s="1"/>
      <c r="G79" s="1"/>
    </row>
    <row r="80" spans="1:38" x14ac:dyDescent="0.3">
      <c r="A80" s="24"/>
      <c r="B80" s="5"/>
      <c r="C80" s="31"/>
      <c r="D80" s="21"/>
      <c r="E80" s="1"/>
      <c r="F80" s="1"/>
      <c r="G80" s="1"/>
    </row>
    <row r="81" spans="1:7" x14ac:dyDescent="0.3">
      <c r="A81" s="24"/>
      <c r="B81" s="1"/>
      <c r="C81" s="31"/>
      <c r="D81" s="21"/>
      <c r="E81" s="1"/>
      <c r="F81" s="1"/>
      <c r="G81" s="1"/>
    </row>
    <row r="82" spans="1:7" x14ac:dyDescent="0.3">
      <c r="A82" s="24"/>
      <c r="B82" s="1"/>
      <c r="C82" s="31"/>
      <c r="D82" s="21"/>
      <c r="E82" s="1"/>
      <c r="F82" s="1"/>
      <c r="G82" s="1"/>
    </row>
    <row r="83" spans="1:7" x14ac:dyDescent="0.3">
      <c r="A83" s="24"/>
      <c r="B83" s="1"/>
      <c r="C83" s="31"/>
      <c r="D83" s="21"/>
      <c r="E83" s="1"/>
      <c r="F83" s="1"/>
      <c r="G83" s="1"/>
    </row>
    <row r="84" spans="1:7" x14ac:dyDescent="0.3">
      <c r="A84" s="24"/>
      <c r="B84" s="1"/>
      <c r="C84" s="31"/>
      <c r="D84" s="21"/>
      <c r="E84" s="1"/>
      <c r="F84" s="1"/>
      <c r="G84" s="1"/>
    </row>
    <row r="85" spans="1:7" x14ac:dyDescent="0.3">
      <c r="A85" s="24"/>
      <c r="B85" s="1"/>
      <c r="C85" s="31"/>
      <c r="D85" s="21"/>
      <c r="E85" s="1"/>
      <c r="F85" s="1"/>
      <c r="G85" s="1"/>
    </row>
    <row r="86" spans="1:7" x14ac:dyDescent="0.3">
      <c r="A86" s="24"/>
      <c r="B86" s="1"/>
      <c r="C86" s="31"/>
      <c r="D86" s="21"/>
      <c r="E86" s="1"/>
      <c r="F86" s="1"/>
      <c r="G86" s="1"/>
    </row>
    <row r="87" spans="1:7" x14ac:dyDescent="0.3">
      <c r="A87" s="24"/>
      <c r="B87" s="1"/>
      <c r="C87" s="31"/>
      <c r="D87" s="21"/>
      <c r="E87" s="1"/>
      <c r="F87" s="1"/>
      <c r="G87" s="1"/>
    </row>
    <row r="88" spans="1:7" x14ac:dyDescent="0.3">
      <c r="A88" s="24"/>
      <c r="B88" s="1"/>
      <c r="C88" s="31"/>
      <c r="D88" s="21"/>
      <c r="E88" s="1"/>
      <c r="F88" s="1"/>
      <c r="G88" s="1"/>
    </row>
    <row r="89" spans="1:7" x14ac:dyDescent="0.3">
      <c r="A89" s="24"/>
      <c r="B89" s="1"/>
      <c r="C89" s="31"/>
      <c r="D89" s="21"/>
      <c r="E89" s="1"/>
      <c r="F89" s="1"/>
      <c r="G89" s="1"/>
    </row>
    <row r="90" spans="1:7" x14ac:dyDescent="0.3">
      <c r="A90" s="24"/>
      <c r="B90" s="1"/>
      <c r="C90" s="31"/>
      <c r="D90" s="21"/>
      <c r="E90" s="1"/>
      <c r="F90" s="1"/>
      <c r="G90" s="1"/>
    </row>
    <row r="91" spans="1:7" x14ac:dyDescent="0.3">
      <c r="A91" s="24"/>
      <c r="B91" s="1"/>
      <c r="C91" s="31"/>
      <c r="D91" s="21"/>
      <c r="E91" s="1"/>
      <c r="F91" s="1"/>
      <c r="G91" s="1"/>
    </row>
    <row r="92" spans="1:7" x14ac:dyDescent="0.3">
      <c r="A92" s="24"/>
      <c r="B92" s="1"/>
      <c r="C92" s="31"/>
      <c r="D92" s="21"/>
      <c r="E92" s="1"/>
      <c r="F92" s="1"/>
      <c r="G92" s="1"/>
    </row>
    <row r="93" spans="1:7" x14ac:dyDescent="0.3">
      <c r="A93" s="24"/>
      <c r="B93" s="1"/>
      <c r="C93" s="31"/>
      <c r="D93" s="21"/>
      <c r="E93" s="1"/>
      <c r="F93" s="1"/>
      <c r="G93" s="1"/>
    </row>
    <row r="94" spans="1:7" x14ac:dyDescent="0.3">
      <c r="A94" s="24"/>
      <c r="B94" s="1"/>
      <c r="C94" s="31"/>
      <c r="D94" s="21"/>
      <c r="E94" s="1"/>
      <c r="F94" s="1"/>
      <c r="G94" s="1"/>
    </row>
    <row r="95" spans="1:7" x14ac:dyDescent="0.3">
      <c r="A95" s="24"/>
      <c r="B95" s="1"/>
      <c r="C95" s="31"/>
      <c r="D95" s="21"/>
      <c r="E95" s="1"/>
      <c r="F95" s="1"/>
      <c r="G95" s="1"/>
    </row>
    <row r="96" spans="1:7" x14ac:dyDescent="0.3">
      <c r="A96" s="24"/>
      <c r="B96" s="1"/>
      <c r="C96" s="31"/>
      <c r="D96" s="21"/>
      <c r="E96" s="1"/>
      <c r="F96" s="1"/>
      <c r="G96" s="1"/>
    </row>
    <row r="97" spans="1:7" x14ac:dyDescent="0.3">
      <c r="A97" s="24"/>
      <c r="B97" s="1"/>
      <c r="C97" s="31"/>
      <c r="D97" s="21"/>
      <c r="E97" s="1"/>
      <c r="F97" s="1"/>
      <c r="G97" s="1"/>
    </row>
    <row r="98" spans="1:7" x14ac:dyDescent="0.3">
      <c r="A98" s="24"/>
      <c r="B98" s="1"/>
      <c r="C98" s="31"/>
      <c r="D98" s="21"/>
      <c r="E98" s="1"/>
      <c r="F98" s="1"/>
      <c r="G98" s="1"/>
    </row>
    <row r="99" spans="1:7" x14ac:dyDescent="0.3">
      <c r="A99" s="24"/>
      <c r="B99" s="1"/>
      <c r="C99" s="31"/>
      <c r="D99" s="21"/>
      <c r="E99" s="1"/>
      <c r="F99" s="1"/>
      <c r="G99" s="1"/>
    </row>
    <row r="100" spans="1:7" x14ac:dyDescent="0.3">
      <c r="A100" s="24"/>
      <c r="B100" s="1"/>
      <c r="C100" s="31"/>
      <c r="D100" s="21"/>
      <c r="E100" s="1"/>
      <c r="F100" s="1"/>
      <c r="G100" s="1"/>
    </row>
    <row r="101" spans="1:7" x14ac:dyDescent="0.3">
      <c r="A101" s="24"/>
      <c r="B101" s="1"/>
      <c r="C101" s="31"/>
      <c r="D101" s="21"/>
      <c r="E101" s="1"/>
      <c r="F101" s="1"/>
      <c r="G101" s="1"/>
    </row>
    <row r="102" spans="1:7" x14ac:dyDescent="0.3">
      <c r="A102" s="24"/>
      <c r="B102" s="1"/>
      <c r="C102" s="31"/>
      <c r="D102" s="21"/>
      <c r="E102" s="1"/>
      <c r="F102" s="1"/>
      <c r="G102" s="1"/>
    </row>
    <row r="103" spans="1:7" x14ac:dyDescent="0.3">
      <c r="A103" s="24"/>
      <c r="B103" s="1"/>
      <c r="C103" s="31"/>
      <c r="D103" s="21"/>
      <c r="E103" s="1"/>
      <c r="F103" s="1"/>
      <c r="G103" s="1"/>
    </row>
    <row r="104" spans="1:7" x14ac:dyDescent="0.3">
      <c r="A104" s="24"/>
      <c r="B104" s="1"/>
      <c r="C104" s="31"/>
      <c r="D104" s="21"/>
      <c r="E104" s="1"/>
      <c r="F104" s="1"/>
      <c r="G104" s="1"/>
    </row>
    <row r="105" spans="1:7" x14ac:dyDescent="0.3">
      <c r="A105" s="24"/>
      <c r="B105" s="1"/>
      <c r="C105" s="31"/>
      <c r="D105" s="21"/>
      <c r="E105" s="1"/>
      <c r="F105" s="1"/>
      <c r="G105" s="1"/>
    </row>
    <row r="106" spans="1:7" x14ac:dyDescent="0.3">
      <c r="A106" s="24"/>
      <c r="B106" s="1"/>
      <c r="C106" s="31"/>
      <c r="D106" s="21"/>
      <c r="E106" s="1"/>
      <c r="F106" s="1"/>
      <c r="G106" s="1"/>
    </row>
    <row r="107" spans="1:7" x14ac:dyDescent="0.3">
      <c r="A107" s="24"/>
      <c r="B107" s="1"/>
      <c r="C107" s="31"/>
      <c r="D107" s="21"/>
      <c r="E107" s="1"/>
      <c r="F107" s="1"/>
      <c r="G107" s="1"/>
    </row>
    <row r="108" spans="1:7" x14ac:dyDescent="0.3">
      <c r="A108" s="24"/>
      <c r="B108" s="1"/>
      <c r="C108" s="31"/>
      <c r="D108" s="21"/>
      <c r="E108" s="1"/>
      <c r="F108" s="1"/>
      <c r="G108" s="1"/>
    </row>
    <row r="109" spans="1:7" x14ac:dyDescent="0.3">
      <c r="A109" s="24"/>
      <c r="B109" s="1"/>
      <c r="C109" s="31"/>
      <c r="D109" s="21"/>
      <c r="E109" s="1"/>
      <c r="F109" s="1"/>
      <c r="G109" s="1"/>
    </row>
    <row r="110" spans="1:7" x14ac:dyDescent="0.3">
      <c r="A110" s="24"/>
      <c r="B110" s="1"/>
      <c r="C110" s="31"/>
      <c r="D110" s="21"/>
      <c r="E110" s="1"/>
      <c r="F110" s="1"/>
      <c r="G110" s="1"/>
    </row>
    <row r="111" spans="1:7" x14ac:dyDescent="0.3">
      <c r="A111" s="24"/>
      <c r="B111" s="1"/>
      <c r="C111" s="31"/>
      <c r="D111" s="21"/>
      <c r="E111" s="1"/>
      <c r="F111" s="1"/>
      <c r="G111" s="1"/>
    </row>
    <row r="112" spans="1:7" x14ac:dyDescent="0.3">
      <c r="A112" s="24"/>
      <c r="B112" s="1"/>
      <c r="C112" s="31"/>
      <c r="D112" s="21"/>
      <c r="E112" s="1"/>
      <c r="F112" s="1"/>
      <c r="G112" s="1"/>
    </row>
    <row r="113" spans="1:7" x14ac:dyDescent="0.3">
      <c r="A113" s="24"/>
      <c r="B113" s="1"/>
      <c r="C113" s="31"/>
      <c r="D113" s="21"/>
      <c r="E113" s="1"/>
      <c r="F113" s="1"/>
      <c r="G113" s="1"/>
    </row>
    <row r="114" spans="1:7" x14ac:dyDescent="0.3">
      <c r="A114" s="24"/>
      <c r="B114" s="1"/>
      <c r="C114" s="31"/>
      <c r="D114" s="21"/>
      <c r="E114" s="1"/>
      <c r="F114" s="1"/>
      <c r="G114" s="1"/>
    </row>
    <row r="115" spans="1:7" x14ac:dyDescent="0.3">
      <c r="A115" s="24"/>
      <c r="B115" s="1"/>
      <c r="C115" s="31"/>
      <c r="D115" s="21"/>
      <c r="E115" s="1"/>
      <c r="F115" s="1"/>
      <c r="G115" s="1"/>
    </row>
    <row r="116" spans="1:7" x14ac:dyDescent="0.3">
      <c r="A116" s="24"/>
      <c r="B116" s="1"/>
      <c r="C116" s="31"/>
      <c r="D116" s="21"/>
      <c r="E116" s="1"/>
      <c r="F116" s="1"/>
      <c r="G116" s="1"/>
    </row>
    <row r="117" spans="1:7" x14ac:dyDescent="0.3">
      <c r="A117" s="24"/>
      <c r="B117" s="1"/>
      <c r="C117" s="31"/>
      <c r="D117" s="21"/>
      <c r="E117" s="1"/>
      <c r="F117" s="1"/>
      <c r="G117" s="1"/>
    </row>
    <row r="118" spans="1:7" x14ac:dyDescent="0.3">
      <c r="A118" s="24"/>
      <c r="B118" s="1"/>
      <c r="C118" s="31"/>
      <c r="D118" s="21"/>
      <c r="E118" s="1"/>
      <c r="F118" s="1"/>
      <c r="G118" s="1"/>
    </row>
    <row r="119" spans="1:7" x14ac:dyDescent="0.3">
      <c r="A119" s="24"/>
      <c r="B119" s="1"/>
      <c r="C119" s="31"/>
      <c r="D119" s="21"/>
      <c r="E119" s="1"/>
      <c r="F119" s="1"/>
      <c r="G119" s="1"/>
    </row>
    <row r="120" spans="1:7" x14ac:dyDescent="0.3">
      <c r="A120" s="24"/>
      <c r="B120" s="1"/>
      <c r="C120" s="31"/>
      <c r="D120" s="21"/>
      <c r="E120" s="1"/>
      <c r="F120" s="1"/>
      <c r="G120" s="1"/>
    </row>
    <row r="121" spans="1:7" x14ac:dyDescent="0.3">
      <c r="A121" s="24"/>
      <c r="B121" s="1"/>
      <c r="C121" s="31"/>
      <c r="D121" s="21"/>
      <c r="E121" s="1"/>
      <c r="F121" s="1"/>
      <c r="G121" s="1"/>
    </row>
    <row r="122" spans="1:7" x14ac:dyDescent="0.3">
      <c r="A122" s="24"/>
      <c r="B122" s="1"/>
      <c r="C122" s="31"/>
      <c r="D122" s="21"/>
      <c r="E122" s="1"/>
      <c r="F122" s="1"/>
      <c r="G122" s="1"/>
    </row>
    <row r="123" spans="1:7" x14ac:dyDescent="0.3">
      <c r="A123" s="24"/>
      <c r="B123" s="1"/>
      <c r="C123" s="31"/>
      <c r="D123" s="21"/>
      <c r="E123" s="1"/>
      <c r="F123" s="1"/>
      <c r="G123" s="1"/>
    </row>
    <row r="124" spans="1:7" x14ac:dyDescent="0.3">
      <c r="A124" s="24"/>
      <c r="B124" s="1"/>
      <c r="C124" s="31"/>
      <c r="D124" s="21"/>
      <c r="E124" s="1"/>
      <c r="F124" s="1"/>
      <c r="G124" s="1"/>
    </row>
    <row r="125" spans="1:7" x14ac:dyDescent="0.3">
      <c r="A125" s="24"/>
      <c r="B125" s="1"/>
      <c r="C125" s="31"/>
      <c r="D125" s="21"/>
      <c r="E125" s="1"/>
      <c r="F125" s="1"/>
      <c r="G125" s="1"/>
    </row>
    <row r="126" spans="1:7" x14ac:dyDescent="0.3">
      <c r="A126" s="24"/>
      <c r="B126" s="1"/>
      <c r="C126" s="31"/>
      <c r="D126" s="21"/>
      <c r="E126" s="1"/>
      <c r="F126" s="1"/>
      <c r="G126" s="1"/>
    </row>
    <row r="127" spans="1:7" x14ac:dyDescent="0.3">
      <c r="A127" s="24"/>
      <c r="B127" s="1"/>
      <c r="C127" s="31"/>
      <c r="D127" s="21"/>
      <c r="E127" s="1"/>
      <c r="F127" s="1"/>
      <c r="G127" s="1"/>
    </row>
    <row r="128" spans="1:7"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4"/>
      <c r="B135" s="1"/>
      <c r="C135" s="31"/>
      <c r="D135" s="21"/>
      <c r="E135" s="1"/>
      <c r="F135" s="1"/>
      <c r="G135" s="1"/>
    </row>
    <row r="136" spans="1:7" x14ac:dyDescent="0.3">
      <c r="A136" s="24"/>
      <c r="B136" s="1"/>
      <c r="C136" s="31"/>
      <c r="D136" s="21"/>
      <c r="E136" s="1"/>
      <c r="F136" s="1"/>
      <c r="G136" s="1"/>
    </row>
    <row r="137" spans="1:7" x14ac:dyDescent="0.3">
      <c r="A137" s="24"/>
      <c r="B137" s="1"/>
      <c r="C137" s="31"/>
      <c r="D137" s="21"/>
      <c r="E137" s="1"/>
      <c r="F137" s="1"/>
      <c r="G137" s="1"/>
    </row>
    <row r="138" spans="1:7" x14ac:dyDescent="0.3">
      <c r="A138" s="24"/>
      <c r="B138" s="1"/>
      <c r="C138" s="31"/>
      <c r="D138" s="21"/>
      <c r="E138" s="1"/>
      <c r="F138" s="1"/>
      <c r="G138" s="1"/>
    </row>
    <row r="139" spans="1:7" x14ac:dyDescent="0.3">
      <c r="A139" s="24"/>
      <c r="B139" s="1"/>
      <c r="C139" s="31"/>
      <c r="D139" s="21"/>
      <c r="E139" s="1"/>
      <c r="F139" s="1"/>
      <c r="G139" s="1"/>
    </row>
    <row r="140" spans="1:7" x14ac:dyDescent="0.3">
      <c r="A140" s="24"/>
      <c r="B140" s="1"/>
      <c r="C140" s="31"/>
      <c r="D140" s="21"/>
      <c r="E140" s="1"/>
      <c r="F140" s="1"/>
      <c r="G140" s="1"/>
    </row>
    <row r="141" spans="1:7" x14ac:dyDescent="0.3">
      <c r="A141" s="24"/>
      <c r="B141" s="1"/>
      <c r="C141" s="31"/>
      <c r="D141" s="21"/>
      <c r="E141" s="1"/>
      <c r="F141" s="1"/>
      <c r="G141" s="1"/>
    </row>
    <row r="142" spans="1:7" x14ac:dyDescent="0.3">
      <c r="A142" s="24"/>
      <c r="B142" s="1"/>
      <c r="C142" s="31"/>
      <c r="D142" s="21"/>
      <c r="E142" s="1"/>
      <c r="F142" s="1"/>
      <c r="G142" s="1"/>
    </row>
    <row r="143" spans="1:7" x14ac:dyDescent="0.3">
      <c r="A143" s="24"/>
      <c r="B143" s="1"/>
      <c r="C143" s="31"/>
      <c r="D143" s="21"/>
      <c r="E143" s="1"/>
      <c r="F143" s="1"/>
      <c r="G143" s="1"/>
    </row>
    <row r="144" spans="1:7" x14ac:dyDescent="0.3">
      <c r="A144" s="24"/>
      <c r="B144" s="1"/>
      <c r="C144" s="31"/>
      <c r="D144" s="21"/>
      <c r="E144" s="1"/>
      <c r="F144" s="1"/>
      <c r="G144" s="1"/>
    </row>
    <row r="145" spans="1:7" x14ac:dyDescent="0.3">
      <c r="A145" s="24"/>
      <c r="B145" s="1"/>
      <c r="C145" s="31"/>
      <c r="D145" s="21"/>
      <c r="E145" s="1"/>
      <c r="F145" s="1"/>
      <c r="G145" s="1"/>
    </row>
    <row r="146" spans="1:7" x14ac:dyDescent="0.3">
      <c r="A146" s="24"/>
      <c r="B146" s="1"/>
      <c r="C146" s="31"/>
      <c r="D146" s="21"/>
      <c r="E146" s="1"/>
      <c r="F146" s="1"/>
      <c r="G146" s="1"/>
    </row>
    <row r="147" spans="1:7" x14ac:dyDescent="0.3">
      <c r="A147" s="24"/>
      <c r="B147" s="1"/>
      <c r="C147" s="31"/>
      <c r="D147" s="21"/>
      <c r="E147" s="1"/>
      <c r="F147" s="1"/>
      <c r="G147" s="1"/>
    </row>
    <row r="148" spans="1:7" x14ac:dyDescent="0.3">
      <c r="A148" s="24"/>
      <c r="B148" s="1"/>
      <c r="C148" s="31"/>
      <c r="D148" s="21"/>
      <c r="E148" s="1"/>
      <c r="F148" s="1"/>
      <c r="G148" s="1"/>
    </row>
    <row r="149" spans="1:7" x14ac:dyDescent="0.3">
      <c r="A149" s="24"/>
      <c r="B149" s="1"/>
      <c r="C149" s="31"/>
      <c r="D149" s="21"/>
      <c r="E149" s="1"/>
      <c r="F149" s="1"/>
      <c r="G149" s="1"/>
    </row>
    <row r="150" spans="1:7" x14ac:dyDescent="0.3">
      <c r="A150" s="24"/>
      <c r="B150" s="1"/>
      <c r="C150" s="31"/>
      <c r="D150" s="21"/>
      <c r="E150" s="1"/>
      <c r="F150" s="1"/>
      <c r="G150" s="1"/>
    </row>
    <row r="151" spans="1:7" x14ac:dyDescent="0.3">
      <c r="A151" s="24"/>
      <c r="B151" s="1"/>
      <c r="C151" s="31"/>
      <c r="D151" s="21"/>
      <c r="E151" s="1"/>
      <c r="F151" s="1"/>
      <c r="G151" s="1"/>
    </row>
    <row r="152" spans="1:7" x14ac:dyDescent="0.3">
      <c r="A152" s="24"/>
      <c r="B152" s="1"/>
      <c r="C152" s="31"/>
      <c r="D152" s="21"/>
      <c r="E152" s="1"/>
      <c r="F152" s="1"/>
      <c r="G152" s="1"/>
    </row>
    <row r="153" spans="1:7" x14ac:dyDescent="0.3">
      <c r="A153" s="24"/>
      <c r="B153" s="1"/>
      <c r="C153" s="31"/>
      <c r="D153" s="21"/>
      <c r="E153" s="1"/>
      <c r="F153" s="1"/>
      <c r="G153" s="1"/>
    </row>
    <row r="154" spans="1:7" x14ac:dyDescent="0.3">
      <c r="A154" s="24"/>
      <c r="B154" s="1"/>
      <c r="C154" s="31"/>
      <c r="D154" s="21"/>
      <c r="E154" s="1"/>
      <c r="F154" s="1"/>
      <c r="G154" s="1"/>
    </row>
    <row r="155" spans="1:7" x14ac:dyDescent="0.3">
      <c r="A155" s="24"/>
      <c r="B155" s="1"/>
      <c r="C155" s="31"/>
      <c r="D155" s="21"/>
      <c r="E155" s="1"/>
      <c r="F155" s="1"/>
      <c r="G155" s="1"/>
    </row>
    <row r="156" spans="1:7" x14ac:dyDescent="0.3">
      <c r="A156" s="24"/>
      <c r="B156" s="1"/>
      <c r="C156" s="31"/>
      <c r="D156" s="21"/>
      <c r="E156" s="1"/>
      <c r="F156" s="1"/>
      <c r="G156" s="1"/>
    </row>
    <row r="157" spans="1:7" x14ac:dyDescent="0.3">
      <c r="A157" s="24"/>
      <c r="B157" s="1"/>
      <c r="C157" s="31"/>
      <c r="D157" s="21"/>
      <c r="E157" s="1"/>
      <c r="F157" s="1"/>
      <c r="G157" s="1"/>
    </row>
    <row r="158" spans="1:7" x14ac:dyDescent="0.3">
      <c r="A158" s="24"/>
      <c r="B158" s="1"/>
      <c r="C158" s="31"/>
      <c r="D158" s="21"/>
      <c r="E158" s="1"/>
      <c r="F158" s="1"/>
      <c r="G158" s="1"/>
    </row>
    <row r="159" spans="1:7" x14ac:dyDescent="0.3">
      <c r="A159" s="24"/>
      <c r="B159" s="1"/>
      <c r="C159" s="31"/>
      <c r="D159" s="21"/>
      <c r="E159" s="1"/>
      <c r="F159" s="1"/>
      <c r="G159" s="1"/>
    </row>
    <row r="160" spans="1:7" x14ac:dyDescent="0.3">
      <c r="A160" s="24"/>
      <c r="B160" s="1"/>
      <c r="C160" s="31"/>
      <c r="D160" s="21"/>
      <c r="E160" s="1"/>
      <c r="F160" s="1"/>
      <c r="G160" s="1"/>
    </row>
    <row r="161" spans="1:7" x14ac:dyDescent="0.3">
      <c r="A161" s="24"/>
      <c r="B161" s="1"/>
      <c r="C161" s="31"/>
      <c r="D161" s="21"/>
      <c r="E161" s="1"/>
      <c r="F161" s="1"/>
      <c r="G161" s="1"/>
    </row>
    <row r="162" spans="1:7" x14ac:dyDescent="0.3">
      <c r="A162" s="24"/>
      <c r="B162" s="1"/>
      <c r="C162" s="31"/>
      <c r="D162" s="21"/>
      <c r="E162" s="1"/>
      <c r="F162" s="1"/>
      <c r="G162" s="1"/>
    </row>
    <row r="163" spans="1:7" x14ac:dyDescent="0.3">
      <c r="A163" s="24"/>
      <c r="B163" s="1"/>
      <c r="C163" s="31"/>
      <c r="D163" s="21"/>
      <c r="E163" s="1"/>
      <c r="F163" s="1"/>
      <c r="G163" s="1"/>
    </row>
    <row r="164" spans="1:7" x14ac:dyDescent="0.3">
      <c r="A164" s="24"/>
      <c r="B164" s="1"/>
      <c r="C164" s="31"/>
      <c r="D164" s="21"/>
      <c r="E164" s="1"/>
      <c r="F164" s="1"/>
      <c r="G164" s="1"/>
    </row>
    <row r="165" spans="1:7" x14ac:dyDescent="0.3">
      <c r="A165" s="24"/>
      <c r="B165" s="1"/>
      <c r="C165" s="31"/>
      <c r="D165" s="21"/>
      <c r="E165" s="1"/>
      <c r="F165" s="1"/>
      <c r="G165" s="1"/>
    </row>
    <row r="166" spans="1:7" x14ac:dyDescent="0.3">
      <c r="A166" s="24"/>
      <c r="B166" s="1"/>
      <c r="C166" s="31"/>
      <c r="D166" s="21"/>
      <c r="E166" s="1"/>
      <c r="F166" s="1"/>
      <c r="G166" s="1"/>
    </row>
    <row r="167" spans="1:7" x14ac:dyDescent="0.3">
      <c r="A167" s="24"/>
      <c r="B167" s="1"/>
      <c r="C167" s="31"/>
      <c r="D167" s="21"/>
      <c r="E167" s="1"/>
      <c r="F167" s="1"/>
      <c r="G167" s="1"/>
    </row>
    <row r="168" spans="1:7" x14ac:dyDescent="0.3">
      <c r="A168" s="24"/>
      <c r="B168" s="1"/>
      <c r="C168" s="31"/>
      <c r="D168" s="21"/>
      <c r="E168" s="1"/>
      <c r="F168" s="1"/>
      <c r="G168" s="1"/>
    </row>
    <row r="169" spans="1:7" x14ac:dyDescent="0.3">
      <c r="A169" s="24"/>
      <c r="B169" s="1"/>
      <c r="C169" s="31"/>
      <c r="D169" s="21"/>
      <c r="E169" s="1"/>
      <c r="F169" s="1"/>
      <c r="G169" s="1"/>
    </row>
    <row r="170" spans="1:7" x14ac:dyDescent="0.3">
      <c r="A170" s="24"/>
      <c r="B170" s="1"/>
      <c r="C170" s="31"/>
      <c r="D170" s="21"/>
      <c r="E170" s="1"/>
      <c r="F170" s="1"/>
      <c r="G170" s="1"/>
    </row>
    <row r="171" spans="1:7" x14ac:dyDescent="0.3">
      <c r="A171" s="24"/>
      <c r="B171" s="1"/>
      <c r="C171" s="31"/>
      <c r="D171" s="21"/>
      <c r="E171" s="1"/>
      <c r="F171" s="1"/>
      <c r="G171" s="1"/>
    </row>
    <row r="172" spans="1:7" x14ac:dyDescent="0.3">
      <c r="A172" s="24"/>
      <c r="B172" s="1"/>
      <c r="C172" s="31"/>
      <c r="D172" s="21"/>
      <c r="E172" s="1"/>
      <c r="F172" s="1"/>
      <c r="G172" s="1"/>
    </row>
    <row r="173" spans="1:7" x14ac:dyDescent="0.3">
      <c r="A173" s="24"/>
      <c r="B173" s="1"/>
      <c r="C173" s="31"/>
      <c r="D173" s="21"/>
      <c r="E173" s="1"/>
      <c r="F173" s="1"/>
      <c r="G173" s="1"/>
    </row>
    <row r="174" spans="1:7" x14ac:dyDescent="0.3">
      <c r="A174" s="24"/>
      <c r="B174" s="1"/>
      <c r="C174" s="31"/>
      <c r="D174" s="21"/>
      <c r="E174" s="1"/>
      <c r="F174" s="1"/>
      <c r="G174" s="1"/>
    </row>
    <row r="175" spans="1:7" x14ac:dyDescent="0.3">
      <c r="A175" s="24"/>
      <c r="B175" s="1"/>
      <c r="C175" s="31"/>
      <c r="D175" s="21"/>
      <c r="E175" s="1"/>
      <c r="F175" s="1"/>
      <c r="G175" s="1"/>
    </row>
    <row r="176" spans="1:7" x14ac:dyDescent="0.3">
      <c r="A176" s="24"/>
      <c r="B176" s="1"/>
      <c r="C176" s="31"/>
      <c r="D176" s="21"/>
      <c r="E176" s="1"/>
      <c r="F176" s="1"/>
      <c r="G176" s="1"/>
    </row>
    <row r="177" spans="1:7" x14ac:dyDescent="0.3">
      <c r="A177" s="24"/>
      <c r="B177" s="1"/>
      <c r="C177" s="31"/>
      <c r="D177" s="21"/>
      <c r="E177" s="1"/>
      <c r="F177" s="1"/>
      <c r="G177" s="1"/>
    </row>
    <row r="178" spans="1:7" x14ac:dyDescent="0.3">
      <c r="A178" s="24"/>
      <c r="B178" s="1"/>
      <c r="C178" s="31"/>
      <c r="D178" s="21"/>
      <c r="E178" s="1"/>
      <c r="F178" s="1"/>
      <c r="G178" s="1"/>
    </row>
    <row r="179" spans="1:7" x14ac:dyDescent="0.3">
      <c r="A179" s="24"/>
      <c r="B179" s="1"/>
      <c r="C179" s="31"/>
      <c r="D179" s="21"/>
      <c r="E179" s="1"/>
      <c r="F179" s="1"/>
      <c r="G179" s="1"/>
    </row>
    <row r="180" spans="1:7" x14ac:dyDescent="0.3">
      <c r="A180" s="24"/>
      <c r="B180" s="1"/>
      <c r="C180" s="31"/>
      <c r="D180" s="21"/>
      <c r="E180" s="1"/>
      <c r="F180" s="1"/>
      <c r="G180" s="1"/>
    </row>
    <row r="181" spans="1:7" x14ac:dyDescent="0.3">
      <c r="A181" s="24"/>
      <c r="B181" s="1"/>
      <c r="C181" s="31"/>
      <c r="D181" s="21"/>
      <c r="E181" s="1"/>
      <c r="F181" s="1"/>
      <c r="G181" s="1"/>
    </row>
    <row r="182" spans="1:7" x14ac:dyDescent="0.3">
      <c r="A182" s="24"/>
      <c r="B182" s="1"/>
      <c r="C182" s="31"/>
      <c r="D182" s="21"/>
      <c r="E182" s="1"/>
      <c r="F182" s="1"/>
      <c r="G182" s="1"/>
    </row>
    <row r="183" spans="1:7" x14ac:dyDescent="0.3">
      <c r="A183" s="24"/>
      <c r="B183" s="1"/>
      <c r="C183" s="31"/>
      <c r="D183" s="21"/>
      <c r="E183" s="1"/>
      <c r="F183" s="1"/>
      <c r="G183" s="1"/>
    </row>
    <row r="184" spans="1:7" x14ac:dyDescent="0.3">
      <c r="A184" s="24"/>
      <c r="B184" s="1"/>
      <c r="C184" s="31"/>
      <c r="D184" s="21"/>
      <c r="E184" s="1"/>
      <c r="F184" s="1"/>
      <c r="G184" s="1"/>
    </row>
    <row r="185" spans="1:7" x14ac:dyDescent="0.3">
      <c r="A185" s="24"/>
      <c r="B185" s="1"/>
      <c r="C185" s="31"/>
      <c r="D185" s="21"/>
      <c r="E185" s="1"/>
      <c r="F185" s="1"/>
      <c r="G185" s="1"/>
    </row>
    <row r="186" spans="1:7" x14ac:dyDescent="0.3">
      <c r="A186" s="24"/>
      <c r="B186" s="1"/>
      <c r="C186" s="31"/>
      <c r="D186" s="21"/>
      <c r="E186" s="1"/>
      <c r="F186" s="1"/>
      <c r="G186" s="1"/>
    </row>
    <row r="187" spans="1:7" x14ac:dyDescent="0.3">
      <c r="A187" s="24"/>
      <c r="B187" s="1"/>
      <c r="C187" s="31"/>
      <c r="D187" s="21"/>
      <c r="E187" s="1"/>
      <c r="F187" s="1"/>
      <c r="G187" s="1"/>
    </row>
    <row r="188" spans="1:7" x14ac:dyDescent="0.3">
      <c r="A188" s="24"/>
      <c r="B188" s="1"/>
      <c r="C188" s="31"/>
      <c r="D188" s="21"/>
      <c r="E188" s="1"/>
      <c r="F188" s="1"/>
      <c r="G188" s="1"/>
    </row>
    <row r="189" spans="1:7" x14ac:dyDescent="0.3">
      <c r="A189" s="24"/>
      <c r="B189" s="1"/>
      <c r="C189" s="31"/>
      <c r="D189" s="21"/>
      <c r="E189" s="1"/>
      <c r="F189" s="1"/>
      <c r="G189" s="1"/>
    </row>
    <row r="190" spans="1:7" x14ac:dyDescent="0.3">
      <c r="A190" s="24"/>
      <c r="B190" s="1"/>
      <c r="C190" s="31"/>
      <c r="D190" s="21"/>
      <c r="E190" s="1"/>
      <c r="F190" s="1"/>
      <c r="G190" s="1"/>
    </row>
    <row r="191" spans="1:7" x14ac:dyDescent="0.3">
      <c r="A191" s="24"/>
      <c r="B191" s="1"/>
      <c r="C191" s="31"/>
      <c r="D191" s="21"/>
      <c r="E191" s="1"/>
      <c r="F191" s="1"/>
      <c r="G191" s="1"/>
    </row>
    <row r="192" spans="1:7" x14ac:dyDescent="0.3">
      <c r="A192" s="24"/>
      <c r="B192" s="1"/>
      <c r="C192" s="31"/>
      <c r="D192" s="21"/>
      <c r="E192" s="1"/>
      <c r="F192" s="1"/>
      <c r="G192" s="1"/>
    </row>
    <row r="193" spans="1:7" x14ac:dyDescent="0.3">
      <c r="A193" s="24"/>
      <c r="B193" s="1"/>
      <c r="C193" s="31"/>
      <c r="D193" s="21"/>
      <c r="E193" s="1"/>
      <c r="F193" s="1"/>
      <c r="G193" s="1"/>
    </row>
    <row r="194" spans="1:7" x14ac:dyDescent="0.3">
      <c r="A194" s="24"/>
      <c r="B194" s="1"/>
      <c r="C194" s="31"/>
      <c r="D194" s="21"/>
      <c r="E194" s="1"/>
      <c r="F194" s="1"/>
      <c r="G194" s="1"/>
    </row>
    <row r="195" spans="1:7" x14ac:dyDescent="0.3">
      <c r="A195" s="24"/>
      <c r="B195" s="1"/>
      <c r="C195" s="31"/>
      <c r="D195" s="21"/>
      <c r="E195" s="1"/>
      <c r="F195" s="1"/>
      <c r="G195" s="1"/>
    </row>
    <row r="196" spans="1:7" x14ac:dyDescent="0.3">
      <c r="A196" s="24"/>
      <c r="B196" s="1"/>
      <c r="C196" s="31"/>
      <c r="D196" s="21"/>
      <c r="E196" s="1"/>
      <c r="F196" s="1"/>
      <c r="G196" s="1"/>
    </row>
    <row r="197" spans="1:7" x14ac:dyDescent="0.3">
      <c r="A197" s="24"/>
      <c r="B197" s="1"/>
      <c r="C197" s="31"/>
      <c r="D197" s="21"/>
      <c r="E197" s="1"/>
      <c r="F197" s="1"/>
      <c r="G197" s="1"/>
    </row>
    <row r="198" spans="1:7" x14ac:dyDescent="0.3">
      <c r="A198" s="24"/>
      <c r="B198" s="1"/>
      <c r="C198" s="31"/>
      <c r="D198" s="21"/>
      <c r="E198" s="1"/>
      <c r="F198" s="1"/>
      <c r="G198" s="1"/>
    </row>
    <row r="199" spans="1:7" x14ac:dyDescent="0.3">
      <c r="A199" s="24"/>
      <c r="B199" s="1"/>
      <c r="C199" s="31"/>
      <c r="D199" s="21"/>
      <c r="E199" s="1"/>
      <c r="F199" s="1"/>
      <c r="G199" s="1"/>
    </row>
    <row r="200" spans="1:7" x14ac:dyDescent="0.3">
      <c r="A200" s="24"/>
      <c r="B200" s="1"/>
      <c r="C200" s="31"/>
      <c r="D200" s="21"/>
      <c r="E200" s="1"/>
      <c r="F200" s="1"/>
      <c r="G200" s="1"/>
    </row>
    <row r="201" spans="1:7" x14ac:dyDescent="0.3">
      <c r="A201" s="24"/>
      <c r="B201" s="1"/>
      <c r="C201" s="31"/>
      <c r="D201" s="21"/>
      <c r="E201" s="1"/>
      <c r="F201" s="1"/>
      <c r="G201" s="1"/>
    </row>
    <row r="202" spans="1:7" x14ac:dyDescent="0.3">
      <c r="A202" s="24"/>
      <c r="B202" s="1"/>
      <c r="C202" s="31"/>
      <c r="D202" s="21"/>
      <c r="E202" s="1"/>
      <c r="F202" s="1"/>
      <c r="G202" s="1"/>
    </row>
    <row r="203" spans="1:7" x14ac:dyDescent="0.3">
      <c r="A203" s="24"/>
      <c r="B203" s="1"/>
      <c r="C203" s="31"/>
      <c r="D203" s="21"/>
      <c r="E203" s="1"/>
      <c r="F203" s="1"/>
      <c r="G203" s="1"/>
    </row>
    <row r="204" spans="1:7" x14ac:dyDescent="0.3">
      <c r="A204" s="24"/>
      <c r="B204" s="1"/>
      <c r="C204" s="31"/>
      <c r="D204" s="21"/>
      <c r="E204" s="1"/>
      <c r="F204" s="1"/>
      <c r="G204" s="1"/>
    </row>
    <row r="205" spans="1:7" x14ac:dyDescent="0.3">
      <c r="A205" s="24"/>
      <c r="B205" s="1"/>
      <c r="C205" s="31"/>
      <c r="D205" s="21"/>
      <c r="E205" s="1"/>
      <c r="F205" s="1"/>
      <c r="G205" s="1"/>
    </row>
    <row r="206" spans="1:7" x14ac:dyDescent="0.3">
      <c r="A206" s="24"/>
      <c r="B206" s="1"/>
      <c r="C206" s="31"/>
      <c r="D206" s="21"/>
      <c r="E206" s="1"/>
      <c r="F206" s="1"/>
      <c r="G206" s="1"/>
    </row>
    <row r="207" spans="1:7" x14ac:dyDescent="0.3">
      <c r="A207" s="24"/>
      <c r="B207" s="1"/>
      <c r="C207" s="31"/>
      <c r="D207" s="21"/>
      <c r="E207" s="1"/>
      <c r="F207" s="1"/>
      <c r="G207" s="1"/>
    </row>
    <row r="208" spans="1:7" x14ac:dyDescent="0.3">
      <c r="A208" s="24"/>
      <c r="B208" s="1"/>
      <c r="C208" s="31"/>
      <c r="D208" s="21"/>
      <c r="E208" s="1"/>
      <c r="F208" s="1"/>
      <c r="G208" s="1"/>
    </row>
    <row r="209" spans="1:7" x14ac:dyDescent="0.3">
      <c r="A209" s="24"/>
      <c r="B209" s="1"/>
      <c r="C209" s="31"/>
      <c r="D209" s="21"/>
      <c r="E209" s="1"/>
      <c r="F209" s="1"/>
      <c r="G209" s="1"/>
    </row>
    <row r="210" spans="1:7" x14ac:dyDescent="0.3">
      <c r="A210" s="24"/>
      <c r="B210" s="1"/>
      <c r="C210" s="31"/>
      <c r="D210" s="21"/>
      <c r="E210" s="1"/>
      <c r="F210" s="1"/>
      <c r="G210" s="1"/>
    </row>
    <row r="211" spans="1:7" x14ac:dyDescent="0.3">
      <c r="A211" s="24"/>
      <c r="B211" s="1"/>
      <c r="C211" s="31"/>
      <c r="D211" s="21"/>
      <c r="E211" s="1"/>
      <c r="F211" s="1"/>
      <c r="G211" s="1"/>
    </row>
    <row r="212" spans="1:7" x14ac:dyDescent="0.3">
      <c r="A212" s="24"/>
      <c r="B212" s="1"/>
      <c r="C212" s="31"/>
      <c r="D212" s="21"/>
      <c r="E212" s="1"/>
      <c r="F212" s="1"/>
      <c r="G212" s="1"/>
    </row>
    <row r="213" spans="1:7" x14ac:dyDescent="0.3">
      <c r="A213" s="24"/>
      <c r="B213" s="1"/>
      <c r="C213" s="31"/>
      <c r="D213" s="21"/>
      <c r="E213" s="1"/>
      <c r="F213" s="1"/>
      <c r="G213" s="1"/>
    </row>
    <row r="214" spans="1:7" x14ac:dyDescent="0.3">
      <c r="A214" s="24"/>
      <c r="B214" s="1"/>
      <c r="C214" s="31"/>
      <c r="D214" s="21"/>
      <c r="E214" s="1"/>
      <c r="F214" s="1"/>
      <c r="G214" s="1"/>
    </row>
    <row r="215" spans="1:7" x14ac:dyDescent="0.3">
      <c r="A215" s="24"/>
      <c r="B215" s="1"/>
      <c r="C215" s="31"/>
      <c r="D215" s="21"/>
      <c r="E215" s="1"/>
      <c r="F215" s="1"/>
      <c r="G215" s="1"/>
    </row>
    <row r="216" spans="1:7" x14ac:dyDescent="0.3">
      <c r="A216" s="24"/>
      <c r="B216" s="1"/>
      <c r="C216" s="31"/>
      <c r="D216" s="21"/>
      <c r="E216" s="1"/>
      <c r="F216" s="1"/>
      <c r="G216" s="1"/>
    </row>
    <row r="217" spans="1:7" x14ac:dyDescent="0.3">
      <c r="A217" s="24"/>
      <c r="B217" s="1"/>
      <c r="C217" s="31"/>
      <c r="D217" s="21"/>
      <c r="E217" s="1"/>
      <c r="F217" s="1"/>
      <c r="G217" s="1"/>
    </row>
    <row r="218" spans="1:7" x14ac:dyDescent="0.3">
      <c r="A218" s="24"/>
      <c r="B218" s="1"/>
      <c r="C218" s="31"/>
      <c r="D218" s="21"/>
      <c r="E218" s="1"/>
      <c r="F218" s="1"/>
      <c r="G218" s="1"/>
    </row>
    <row r="219" spans="1:7" x14ac:dyDescent="0.3">
      <c r="A219" s="24"/>
      <c r="B219" s="1"/>
      <c r="C219" s="31"/>
      <c r="D219" s="21"/>
      <c r="E219" s="1"/>
      <c r="F219" s="1"/>
      <c r="G219" s="1"/>
    </row>
    <row r="220" spans="1:7" x14ac:dyDescent="0.3">
      <c r="A220" s="24"/>
      <c r="B220" s="1"/>
      <c r="C220" s="31"/>
      <c r="D220" s="21"/>
      <c r="E220" s="1"/>
      <c r="F220" s="1"/>
      <c r="G220" s="1"/>
    </row>
    <row r="221" spans="1:7" x14ac:dyDescent="0.3">
      <c r="A221" s="24"/>
      <c r="B221" s="1"/>
      <c r="C221" s="31"/>
      <c r="D221" s="21"/>
      <c r="E221" s="1"/>
      <c r="F221" s="1"/>
      <c r="G221" s="1"/>
    </row>
    <row r="222" spans="1:7" x14ac:dyDescent="0.3">
      <c r="A222" s="24"/>
      <c r="B222" s="1"/>
      <c r="C222" s="31"/>
      <c r="D222" s="21"/>
      <c r="E222" s="1"/>
      <c r="F222" s="1"/>
      <c r="G222" s="1"/>
    </row>
    <row r="223" spans="1:7" x14ac:dyDescent="0.3">
      <c r="A223" s="24"/>
      <c r="B223" s="1"/>
      <c r="C223" s="31"/>
      <c r="D223" s="21"/>
      <c r="E223" s="1"/>
      <c r="F223" s="1"/>
      <c r="G223" s="1"/>
    </row>
    <row r="224" spans="1:7" x14ac:dyDescent="0.3">
      <c r="A224" s="24"/>
      <c r="B224" s="1"/>
      <c r="C224" s="31"/>
      <c r="D224" s="21"/>
      <c r="E224" s="1"/>
      <c r="F224" s="1"/>
      <c r="G224" s="1"/>
    </row>
    <row r="225" spans="1:7" x14ac:dyDescent="0.3">
      <c r="A225" s="24"/>
      <c r="B225" s="1"/>
      <c r="C225" s="31"/>
      <c r="D225" s="21"/>
      <c r="E225" s="1"/>
      <c r="F225" s="1"/>
      <c r="G225" s="1"/>
    </row>
    <row r="226" spans="1:7" x14ac:dyDescent="0.3">
      <c r="A226" s="24"/>
      <c r="B226" s="1"/>
      <c r="C226" s="31"/>
      <c r="D226" s="21"/>
      <c r="E226" s="1"/>
      <c r="F226" s="1"/>
      <c r="G226" s="1"/>
    </row>
    <row r="227" spans="1:7" x14ac:dyDescent="0.3">
      <c r="A227" s="24"/>
      <c r="B227" s="1"/>
      <c r="C227" s="31"/>
      <c r="D227" s="21"/>
      <c r="E227" s="1"/>
      <c r="F227" s="1"/>
      <c r="G227" s="1"/>
    </row>
    <row r="228" spans="1:7" x14ac:dyDescent="0.3">
      <c r="A228" s="24"/>
      <c r="B228" s="1"/>
      <c r="C228" s="31"/>
      <c r="D228" s="21"/>
      <c r="E228" s="1"/>
      <c r="F228" s="1"/>
      <c r="G228" s="1"/>
    </row>
    <row r="229" spans="1:7" x14ac:dyDescent="0.3">
      <c r="A229" s="24"/>
      <c r="B229" s="1"/>
      <c r="C229" s="31"/>
      <c r="D229" s="21"/>
      <c r="E229" s="1"/>
      <c r="F229" s="1"/>
      <c r="G229" s="1"/>
    </row>
    <row r="230" spans="1:7" x14ac:dyDescent="0.3">
      <c r="A230" s="24"/>
      <c r="B230" s="1"/>
      <c r="C230" s="31"/>
      <c r="D230" s="21"/>
      <c r="E230" s="1"/>
      <c r="F230" s="1"/>
      <c r="G230" s="1"/>
    </row>
    <row r="231" spans="1:7" x14ac:dyDescent="0.3">
      <c r="A231" s="24"/>
      <c r="B231" s="1"/>
      <c r="C231" s="31"/>
      <c r="D231" s="21"/>
      <c r="E231" s="1"/>
      <c r="F231" s="1"/>
      <c r="G231" s="1"/>
    </row>
    <row r="232" spans="1:7" x14ac:dyDescent="0.3">
      <c r="A232" s="24"/>
      <c r="B232" s="1"/>
      <c r="C232" s="31"/>
      <c r="D232" s="21"/>
      <c r="E232" s="1"/>
      <c r="F232" s="1"/>
      <c r="G232" s="1"/>
    </row>
    <row r="233" spans="1:7" x14ac:dyDescent="0.3">
      <c r="A233" s="24"/>
      <c r="B233" s="1"/>
      <c r="C233" s="31"/>
      <c r="D233" s="21"/>
      <c r="E233" s="1"/>
      <c r="F233" s="1"/>
      <c r="G233" s="1"/>
    </row>
    <row r="234" spans="1:7" x14ac:dyDescent="0.3">
      <c r="A234" s="24"/>
      <c r="B234" s="1"/>
      <c r="C234" s="31"/>
      <c r="D234" s="21"/>
      <c r="E234" s="1"/>
      <c r="F234" s="1"/>
      <c r="G234" s="1"/>
    </row>
    <row r="235" spans="1:7" x14ac:dyDescent="0.3">
      <c r="A235" s="24"/>
      <c r="B235" s="1"/>
      <c r="C235" s="31"/>
      <c r="D235" s="21"/>
      <c r="E235" s="1"/>
      <c r="F235" s="1"/>
      <c r="G235" s="1"/>
    </row>
    <row r="236" spans="1:7" x14ac:dyDescent="0.3">
      <c r="A236" s="24"/>
      <c r="B236" s="1"/>
      <c r="C236" s="31"/>
      <c r="D236" s="21"/>
      <c r="E236" s="1"/>
      <c r="F236" s="1"/>
      <c r="G236" s="1"/>
    </row>
    <row r="237" spans="1:7" x14ac:dyDescent="0.3">
      <c r="A237" s="24"/>
      <c r="B237" s="1"/>
      <c r="C237" s="31"/>
      <c r="D237" s="21"/>
      <c r="E237" s="1"/>
      <c r="F237" s="1"/>
      <c r="G237" s="1"/>
    </row>
    <row r="238" spans="1:7" x14ac:dyDescent="0.3">
      <c r="A238" s="24"/>
      <c r="B238" s="1"/>
      <c r="C238" s="31"/>
      <c r="D238" s="21"/>
      <c r="E238" s="1"/>
      <c r="F238" s="1"/>
      <c r="G238" s="1"/>
    </row>
    <row r="239" spans="1:7" x14ac:dyDescent="0.3">
      <c r="A239" s="24"/>
      <c r="B239" s="1"/>
      <c r="C239" s="31"/>
      <c r="D239" s="21"/>
      <c r="E239" s="1"/>
      <c r="F239" s="1"/>
      <c r="G239" s="1"/>
    </row>
    <row r="240" spans="1:7" x14ac:dyDescent="0.3">
      <c r="A240" s="24"/>
      <c r="B240" s="1"/>
      <c r="C240" s="31"/>
      <c r="D240" s="21"/>
      <c r="E240" s="1"/>
      <c r="F240" s="1"/>
      <c r="G240" s="1"/>
    </row>
    <row r="241" spans="1:7" x14ac:dyDescent="0.3">
      <c r="A241" s="24"/>
      <c r="B241" s="1"/>
      <c r="C241" s="31"/>
      <c r="D241" s="21"/>
      <c r="E241" s="1"/>
      <c r="F241" s="1"/>
      <c r="G241" s="1"/>
    </row>
    <row r="242" spans="1:7" x14ac:dyDescent="0.3">
      <c r="A242" s="24"/>
      <c r="B242" s="1"/>
      <c r="C242" s="31"/>
      <c r="D242" s="21"/>
      <c r="E242" s="1"/>
      <c r="F242" s="1"/>
      <c r="G242" s="1"/>
    </row>
    <row r="243" spans="1:7" x14ac:dyDescent="0.3">
      <c r="A243" s="24"/>
      <c r="B243" s="1"/>
      <c r="C243" s="31"/>
      <c r="D243" s="21"/>
      <c r="E243" s="1"/>
      <c r="F243" s="1"/>
      <c r="G243" s="1"/>
    </row>
    <row r="244" spans="1:7" x14ac:dyDescent="0.3">
      <c r="A244" s="24"/>
      <c r="B244" s="1"/>
      <c r="C244" s="31"/>
      <c r="D244" s="21"/>
      <c r="E244" s="1"/>
      <c r="F244" s="1"/>
      <c r="G244" s="1"/>
    </row>
    <row r="245" spans="1:7" x14ac:dyDescent="0.3">
      <c r="A245" s="24"/>
      <c r="B245" s="1"/>
      <c r="C245" s="31"/>
      <c r="D245" s="21"/>
      <c r="E245" s="1"/>
      <c r="F245" s="1"/>
      <c r="G245" s="1"/>
    </row>
    <row r="246" spans="1:7" x14ac:dyDescent="0.3">
      <c r="A246" s="24"/>
      <c r="B246" s="1"/>
      <c r="C246" s="31"/>
      <c r="D246" s="21"/>
      <c r="E246" s="1"/>
      <c r="F246" s="1"/>
      <c r="G246" s="1"/>
    </row>
    <row r="247" spans="1:7" x14ac:dyDescent="0.3">
      <c r="A247" s="24"/>
      <c r="B247" s="1"/>
      <c r="C247" s="31"/>
      <c r="D247" s="21"/>
      <c r="E247" s="1"/>
      <c r="F247" s="1"/>
      <c r="G247" s="1"/>
    </row>
    <row r="248" spans="1:7" x14ac:dyDescent="0.3">
      <c r="A248" s="24"/>
      <c r="B248" s="1"/>
      <c r="C248" s="31"/>
      <c r="D248" s="21"/>
      <c r="E248" s="1"/>
      <c r="F248" s="1"/>
      <c r="G248" s="1"/>
    </row>
    <row r="249" spans="1:7" x14ac:dyDescent="0.3">
      <c r="A249" s="24"/>
      <c r="B249" s="1"/>
      <c r="C249" s="31"/>
      <c r="D249" s="21"/>
      <c r="E249" s="1"/>
      <c r="F249" s="1"/>
      <c r="G249" s="1"/>
    </row>
    <row r="250" spans="1:7" x14ac:dyDescent="0.3">
      <c r="A250" s="24"/>
      <c r="B250" s="1"/>
      <c r="C250" s="31"/>
      <c r="D250" s="21"/>
      <c r="E250" s="1"/>
      <c r="F250" s="1"/>
      <c r="G250" s="1"/>
    </row>
    <row r="251" spans="1:7" x14ac:dyDescent="0.3">
      <c r="A251" s="24"/>
      <c r="B251" s="1"/>
      <c r="C251" s="31"/>
      <c r="D251" s="21"/>
      <c r="E251" s="1"/>
      <c r="F251" s="1"/>
      <c r="G251" s="1"/>
    </row>
    <row r="252" spans="1:7" x14ac:dyDescent="0.3">
      <c r="A252" s="24"/>
      <c r="B252" s="1"/>
      <c r="C252" s="31"/>
      <c r="D252" s="21"/>
      <c r="E252" s="1"/>
      <c r="F252" s="1"/>
      <c r="G252" s="1"/>
    </row>
    <row r="253" spans="1:7" x14ac:dyDescent="0.3">
      <c r="A253" s="24"/>
      <c r="B253" s="1"/>
      <c r="C253" s="31"/>
      <c r="D253" s="21"/>
      <c r="E253" s="1"/>
      <c r="F253" s="1"/>
      <c r="G253" s="1"/>
    </row>
    <row r="254" spans="1:7" x14ac:dyDescent="0.3">
      <c r="A254" s="24"/>
      <c r="B254" s="1"/>
      <c r="C254" s="31"/>
      <c r="D254" s="21"/>
      <c r="E254" s="1"/>
      <c r="F254" s="1"/>
      <c r="G254" s="1"/>
    </row>
    <row r="255" spans="1:7" x14ac:dyDescent="0.3">
      <c r="A255" s="24"/>
      <c r="B255" s="1"/>
      <c r="C255" s="31"/>
      <c r="D255" s="21"/>
      <c r="E255" s="1"/>
      <c r="F255" s="1"/>
      <c r="G255" s="1"/>
    </row>
    <row r="256" spans="1:7" x14ac:dyDescent="0.3">
      <c r="A256" s="24"/>
      <c r="B256" s="1"/>
      <c r="C256" s="31"/>
      <c r="D256" s="21"/>
      <c r="E256" s="1"/>
      <c r="F256" s="1"/>
      <c r="G256" s="1"/>
    </row>
    <row r="257" spans="1:7" x14ac:dyDescent="0.3">
      <c r="A257" s="24"/>
      <c r="B257" s="1"/>
      <c r="C257" s="31"/>
      <c r="D257" s="21"/>
      <c r="E257" s="1"/>
      <c r="F257" s="1"/>
      <c r="G257" s="1"/>
    </row>
    <row r="258" spans="1:7" x14ac:dyDescent="0.3">
      <c r="B258" s="1"/>
    </row>
    <row r="259" spans="1:7" x14ac:dyDescent="0.3">
      <c r="B259" s="1"/>
    </row>
    <row r="260" spans="1:7" x14ac:dyDescent="0.3">
      <c r="B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9E89-5665-45CD-B335-0FA661058F36}">
  <sheetPr codeName="Sheet11"/>
  <dimension ref="A1:AN288"/>
  <sheetViews>
    <sheetView rightToLeft="1" workbookViewId="0">
      <pane xSplit="1" ySplit="1" topLeftCell="M2" activePane="bottomRight" state="frozen"/>
      <selection activeCell="D96" sqref="D96"/>
      <selection pane="topRight" activeCell="D96" sqref="D96"/>
      <selection pane="bottomLeft" activeCell="D96" sqref="D96"/>
      <selection pane="bottomRight" activeCell="T4" sqref="T4"/>
    </sheetView>
  </sheetViews>
  <sheetFormatPr defaultColWidth="8.77734375" defaultRowHeight="14.4" x14ac:dyDescent="0.3"/>
  <cols>
    <col min="1" max="1" width="52.21875" style="8" customWidth="1"/>
    <col min="2" max="2" width="10" style="2" customWidth="1"/>
    <col min="3" max="3" width="10.4414062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30</v>
      </c>
      <c r="B2" s="6" t="s">
        <v>15</v>
      </c>
      <c r="C2" s="5" t="s">
        <v>15</v>
      </c>
      <c r="D2" s="59" t="s">
        <v>15</v>
      </c>
      <c r="E2" s="13" t="s">
        <v>363</v>
      </c>
      <c r="F2" s="50" t="s">
        <v>15</v>
      </c>
      <c r="G2" s="50" t="s">
        <v>422</v>
      </c>
      <c r="H2" s="50" t="s">
        <v>421</v>
      </c>
      <c r="I2" s="50" t="s">
        <v>440</v>
      </c>
      <c r="J2" s="50" t="s">
        <v>914</v>
      </c>
      <c r="K2" s="50" t="s">
        <v>950</v>
      </c>
      <c r="L2" s="50" t="s">
        <v>923</v>
      </c>
      <c r="M2" s="50" t="s">
        <v>228</v>
      </c>
      <c r="N2" s="50" t="s">
        <v>1513</v>
      </c>
      <c r="O2" s="50" t="s">
        <v>1169</v>
      </c>
      <c r="P2" s="29"/>
      <c r="Q2" s="50" t="s">
        <v>1015</v>
      </c>
      <c r="R2" s="50" t="s">
        <v>2031</v>
      </c>
      <c r="S2" s="50" t="s">
        <v>34</v>
      </c>
      <c r="T2" s="3"/>
      <c r="U2" s="3"/>
      <c r="V2" s="50" t="s">
        <v>287</v>
      </c>
      <c r="W2" s="3"/>
      <c r="X2" s="3"/>
      <c r="Y2" s="3"/>
      <c r="Z2" s="50" t="s">
        <v>515</v>
      </c>
      <c r="AA2" s="3"/>
      <c r="AB2" s="3"/>
      <c r="AC2" s="3"/>
      <c r="AD2" s="3"/>
      <c r="AE2" s="3"/>
      <c r="AF2" s="50" t="s">
        <v>1449</v>
      </c>
      <c r="AG2" s="3" t="s">
        <v>1070</v>
      </c>
      <c r="AH2" s="3"/>
      <c r="AJ2" s="2">
        <f>COUNTA(B2:AH2)</f>
        <v>21</v>
      </c>
      <c r="AL2" s="2">
        <f>COUNTA(F2:O2,R2:S2)</f>
        <v>12</v>
      </c>
      <c r="AN2" s="2">
        <f>COUNTIF(AL2:AL118,"&gt;=2")</f>
        <v>32</v>
      </c>
    </row>
    <row r="3" spans="1:40" x14ac:dyDescent="0.3">
      <c r="A3" s="5" t="s">
        <v>1533</v>
      </c>
      <c r="B3" s="6"/>
      <c r="C3" s="5"/>
      <c r="D3" s="1"/>
      <c r="E3" s="1"/>
      <c r="F3" s="1"/>
      <c r="G3" s="1"/>
      <c r="N3" s="54" t="s">
        <v>1536</v>
      </c>
      <c r="S3" s="54" t="s">
        <v>16</v>
      </c>
      <c r="T3" s="54" t="s">
        <v>982</v>
      </c>
      <c r="U3" s="54" t="s">
        <v>2479</v>
      </c>
      <c r="V3" s="54" t="s">
        <v>59</v>
      </c>
      <c r="Y3" s="1" t="s">
        <v>1677</v>
      </c>
      <c r="AJ3" s="2">
        <f t="shared" ref="AJ3:AJ66" si="0">COUNTA(B3:AH3)</f>
        <v>6</v>
      </c>
      <c r="AL3" s="2">
        <f t="shared" ref="AL3:AL66" si="1">COUNTA(F3:O3,R3:S3)</f>
        <v>2</v>
      </c>
    </row>
    <row r="4" spans="1:40" x14ac:dyDescent="0.3">
      <c r="A4" s="5" t="s">
        <v>2242</v>
      </c>
      <c r="B4" s="6"/>
      <c r="C4" s="5"/>
      <c r="D4" s="1"/>
      <c r="E4" s="13"/>
      <c r="F4" s="3"/>
      <c r="G4" s="3"/>
      <c r="H4" s="3"/>
      <c r="I4" s="3"/>
      <c r="J4" s="3"/>
      <c r="K4" s="3"/>
      <c r="L4" s="3"/>
      <c r="M4" s="3"/>
      <c r="N4" s="3"/>
      <c r="O4" s="54" t="s">
        <v>923</v>
      </c>
      <c r="Q4" s="54" t="s">
        <v>1021</v>
      </c>
      <c r="R4" s="54" t="s">
        <v>2037</v>
      </c>
      <c r="S4" s="54" t="s">
        <v>15</v>
      </c>
      <c r="T4" s="54" t="s">
        <v>3306</v>
      </c>
      <c r="V4" s="54" t="s">
        <v>13</v>
      </c>
      <c r="Z4" s="54" t="s">
        <v>44</v>
      </c>
      <c r="AD4" s="54" t="s">
        <v>1506</v>
      </c>
      <c r="AE4" s="1" t="s">
        <v>443</v>
      </c>
      <c r="AJ4" s="2">
        <f t="shared" si="0"/>
        <v>9</v>
      </c>
      <c r="AL4" s="2">
        <f t="shared" si="1"/>
        <v>3</v>
      </c>
    </row>
    <row r="5" spans="1:40" x14ac:dyDescent="0.3">
      <c r="A5" s="5" t="s">
        <v>646</v>
      </c>
      <c r="B5" s="76" t="s">
        <v>63</v>
      </c>
      <c r="C5" s="5"/>
      <c r="D5" s="59" t="s">
        <v>63</v>
      </c>
      <c r="E5" s="1"/>
      <c r="F5" s="66" t="s">
        <v>63</v>
      </c>
      <c r="G5" s="1" t="s">
        <v>230</v>
      </c>
      <c r="AJ5" s="2">
        <f t="shared" si="0"/>
        <v>4</v>
      </c>
      <c r="AL5" s="2">
        <f t="shared" si="1"/>
        <v>2</v>
      </c>
    </row>
    <row r="6" spans="1:40" x14ac:dyDescent="0.3">
      <c r="A6" s="5" t="s">
        <v>645</v>
      </c>
      <c r="B6" s="6"/>
      <c r="C6" s="5"/>
      <c r="D6" s="1"/>
      <c r="E6" s="1"/>
      <c r="F6" s="10"/>
      <c r="G6" s="1"/>
      <c r="H6" s="54" t="s">
        <v>64</v>
      </c>
      <c r="I6" s="54" t="s">
        <v>735</v>
      </c>
      <c r="J6" s="54" t="s">
        <v>951</v>
      </c>
      <c r="K6" s="54" t="s">
        <v>917</v>
      </c>
      <c r="L6" s="54" t="s">
        <v>932</v>
      </c>
      <c r="M6" s="54" t="s">
        <v>1300</v>
      </c>
      <c r="N6" s="54" t="s">
        <v>1539</v>
      </c>
      <c r="O6" s="54" t="s">
        <v>925</v>
      </c>
      <c r="Q6" s="54" t="s">
        <v>1196</v>
      </c>
      <c r="R6" s="54" t="s">
        <v>2039</v>
      </c>
      <c r="S6" s="54" t="s">
        <v>192</v>
      </c>
      <c r="T6" s="1" t="s">
        <v>1988</v>
      </c>
      <c r="AJ6" s="2">
        <f t="shared" si="0"/>
        <v>12</v>
      </c>
      <c r="AL6" s="2">
        <f t="shared" si="1"/>
        <v>10</v>
      </c>
    </row>
    <row r="7" spans="1:40" x14ac:dyDescent="0.3">
      <c r="A7" s="5" t="s">
        <v>736</v>
      </c>
      <c r="B7" s="6"/>
      <c r="C7" s="5"/>
      <c r="D7" s="1"/>
      <c r="E7" s="1"/>
      <c r="F7" s="10"/>
      <c r="G7" s="1"/>
      <c r="I7" s="54" t="s">
        <v>737</v>
      </c>
      <c r="J7" s="54" t="s">
        <v>952</v>
      </c>
      <c r="M7" s="1" t="s">
        <v>1301</v>
      </c>
      <c r="AJ7" s="2">
        <f t="shared" si="0"/>
        <v>3</v>
      </c>
      <c r="AL7" s="2">
        <f t="shared" si="1"/>
        <v>3</v>
      </c>
    </row>
    <row r="8" spans="1:40" x14ac:dyDescent="0.3">
      <c r="A8" s="5" t="s">
        <v>644</v>
      </c>
      <c r="B8" s="6"/>
      <c r="C8" s="5"/>
      <c r="D8" s="1"/>
      <c r="E8" s="1"/>
      <c r="F8" s="10"/>
      <c r="G8" s="1"/>
      <c r="H8" s="54" t="s">
        <v>444</v>
      </c>
      <c r="I8" s="54" t="s">
        <v>738</v>
      </c>
      <c r="J8" s="1" t="s">
        <v>953</v>
      </c>
      <c r="AJ8" s="2">
        <f t="shared" si="0"/>
        <v>3</v>
      </c>
      <c r="AL8" s="2">
        <f t="shared" si="1"/>
        <v>3</v>
      </c>
    </row>
    <row r="9" spans="1:40" x14ac:dyDescent="0.3">
      <c r="A9" s="5" t="s">
        <v>736</v>
      </c>
      <c r="B9" s="6"/>
      <c r="C9" s="5"/>
      <c r="D9" s="1"/>
      <c r="E9" s="1"/>
      <c r="F9" s="10"/>
      <c r="G9" s="1"/>
      <c r="I9" s="54" t="s">
        <v>739</v>
      </c>
      <c r="J9" s="1" t="s">
        <v>954</v>
      </c>
      <c r="AJ9" s="2">
        <f t="shared" si="0"/>
        <v>2</v>
      </c>
      <c r="AL9" s="2">
        <f t="shared" si="1"/>
        <v>2</v>
      </c>
    </row>
    <row r="10" spans="1:40" x14ac:dyDescent="0.3">
      <c r="A10" s="5" t="s">
        <v>2966</v>
      </c>
      <c r="B10" s="6"/>
      <c r="C10" s="5"/>
      <c r="D10" s="1"/>
      <c r="E10" s="1"/>
      <c r="F10" s="10"/>
      <c r="G10" s="1"/>
      <c r="AE10" s="1" t="s">
        <v>57</v>
      </c>
      <c r="AJ10" s="2">
        <f t="shared" si="0"/>
        <v>1</v>
      </c>
      <c r="AL10" s="2">
        <f t="shared" si="1"/>
        <v>0</v>
      </c>
    </row>
    <row r="11" spans="1:40" ht="28.8" x14ac:dyDescent="0.3">
      <c r="A11" s="5" t="s">
        <v>180</v>
      </c>
      <c r="B11" s="6" t="s">
        <v>181</v>
      </c>
      <c r="C11" s="5"/>
      <c r="D11" s="1"/>
      <c r="E11" s="10"/>
      <c r="F11" s="85" t="s">
        <v>181</v>
      </c>
      <c r="G11" s="10" t="s">
        <v>181</v>
      </c>
      <c r="H11" s="10" t="s">
        <v>181</v>
      </c>
      <c r="I11" s="53" t="s">
        <v>181</v>
      </c>
      <c r="J11" s="61" t="s">
        <v>876</v>
      </c>
      <c r="M11" s="53" t="s">
        <v>410</v>
      </c>
      <c r="AE11" s="1" t="s">
        <v>1263</v>
      </c>
      <c r="AJ11" s="2">
        <f t="shared" si="0"/>
        <v>8</v>
      </c>
      <c r="AL11" s="2">
        <f t="shared" si="1"/>
        <v>6</v>
      </c>
    </row>
    <row r="12" spans="1:40" ht="28.8" x14ac:dyDescent="0.3">
      <c r="A12" s="5" t="s">
        <v>182</v>
      </c>
      <c r="B12" s="1" t="s">
        <v>183</v>
      </c>
      <c r="C12" s="5"/>
      <c r="D12" s="1"/>
      <c r="E12" s="10"/>
      <c r="F12" s="85" t="s">
        <v>183</v>
      </c>
      <c r="G12" s="10" t="s">
        <v>183</v>
      </c>
      <c r="H12" s="10" t="s">
        <v>183</v>
      </c>
      <c r="I12" s="53" t="s">
        <v>183</v>
      </c>
      <c r="J12" s="61" t="s">
        <v>877</v>
      </c>
      <c r="K12" s="53" t="s">
        <v>876</v>
      </c>
      <c r="M12" s="53" t="s">
        <v>181</v>
      </c>
      <c r="AE12" s="1" t="s">
        <v>1779</v>
      </c>
      <c r="AJ12" s="2">
        <f t="shared" si="0"/>
        <v>9</v>
      </c>
      <c r="AL12" s="2">
        <f t="shared" si="1"/>
        <v>7</v>
      </c>
    </row>
    <row r="13" spans="1:40" ht="28.8" x14ac:dyDescent="0.3">
      <c r="A13" s="5" t="s">
        <v>191</v>
      </c>
      <c r="B13" s="1"/>
      <c r="C13" s="5"/>
      <c r="D13" s="1"/>
      <c r="E13" s="1"/>
      <c r="F13" s="61" t="s">
        <v>192</v>
      </c>
      <c r="G13" s="61" t="s">
        <v>64</v>
      </c>
      <c r="H13" s="61" t="s">
        <v>431</v>
      </c>
      <c r="I13" s="1" t="s">
        <v>110</v>
      </c>
      <c r="AJ13" s="2">
        <f t="shared" si="0"/>
        <v>4</v>
      </c>
      <c r="AL13" s="2">
        <f t="shared" si="1"/>
        <v>4</v>
      </c>
    </row>
    <row r="14" spans="1:40" ht="43.2" x14ac:dyDescent="0.3">
      <c r="A14" s="5" t="s">
        <v>414</v>
      </c>
      <c r="B14" s="53" t="s">
        <v>3244</v>
      </c>
      <c r="C14" s="5"/>
      <c r="D14" s="1"/>
      <c r="E14" s="1"/>
      <c r="F14" s="1"/>
      <c r="G14" s="66" t="s">
        <v>17</v>
      </c>
      <c r="H14" s="61" t="s">
        <v>192</v>
      </c>
      <c r="I14" s="53" t="s">
        <v>425</v>
      </c>
      <c r="J14" s="10" t="s">
        <v>907</v>
      </c>
      <c r="AJ14" s="2">
        <f t="shared" si="0"/>
        <v>5</v>
      </c>
      <c r="AL14" s="2">
        <f t="shared" si="1"/>
        <v>4</v>
      </c>
    </row>
    <row r="15" spans="1:40" ht="28.8" x14ac:dyDescent="0.3">
      <c r="A15" s="5" t="s">
        <v>487</v>
      </c>
      <c r="B15" s="5"/>
      <c r="C15" s="5"/>
      <c r="D15" s="1"/>
      <c r="E15" s="1"/>
      <c r="F15" s="1"/>
      <c r="G15" s="66" t="s">
        <v>243</v>
      </c>
      <c r="H15" s="61" t="s">
        <v>242</v>
      </c>
      <c r="I15" s="61" t="s">
        <v>519</v>
      </c>
      <c r="J15" s="61" t="s">
        <v>980</v>
      </c>
      <c r="K15" s="61" t="s">
        <v>932</v>
      </c>
      <c r="M15" s="53" t="s">
        <v>1368</v>
      </c>
      <c r="N15" s="53" t="s">
        <v>1542</v>
      </c>
      <c r="O15" s="53" t="s">
        <v>931</v>
      </c>
      <c r="P15" s="30" t="s">
        <v>522</v>
      </c>
      <c r="AJ15" s="2">
        <f t="shared" si="0"/>
        <v>9</v>
      </c>
      <c r="AL15" s="2">
        <f t="shared" si="1"/>
        <v>8</v>
      </c>
    </row>
    <row r="16" spans="1:40" ht="28.8" x14ac:dyDescent="0.3">
      <c r="A16" s="5" t="s">
        <v>488</v>
      </c>
      <c r="B16" s="1"/>
      <c r="C16" s="5"/>
      <c r="D16" s="1"/>
      <c r="E16" s="1"/>
      <c r="F16" s="1"/>
      <c r="G16" s="66" t="s">
        <v>104</v>
      </c>
      <c r="H16" s="66" t="s">
        <v>243</v>
      </c>
      <c r="I16" s="61" t="s">
        <v>520</v>
      </c>
      <c r="J16" s="61" t="s">
        <v>981</v>
      </c>
      <c r="K16" s="61" t="s">
        <v>933</v>
      </c>
      <c r="M16" s="53" t="s">
        <v>1369</v>
      </c>
      <c r="N16" s="53" t="s">
        <v>1543</v>
      </c>
      <c r="O16" s="1" t="s">
        <v>933</v>
      </c>
      <c r="AJ16" s="2">
        <f t="shared" si="0"/>
        <v>8</v>
      </c>
      <c r="AL16" s="2">
        <f t="shared" si="1"/>
        <v>8</v>
      </c>
    </row>
    <row r="17" spans="1:38" x14ac:dyDescent="0.3">
      <c r="A17" s="5" t="s">
        <v>489</v>
      </c>
      <c r="B17" s="1"/>
      <c r="C17" s="5"/>
      <c r="D17" s="1"/>
      <c r="E17" s="1"/>
      <c r="F17" s="1"/>
      <c r="G17" s="66" t="s">
        <v>490</v>
      </c>
      <c r="H17" s="66" t="s">
        <v>104</v>
      </c>
      <c r="I17" s="61" t="s">
        <v>522</v>
      </c>
      <c r="J17" s="61" t="s">
        <v>983</v>
      </c>
      <c r="K17" s="61" t="s">
        <v>1170</v>
      </c>
      <c r="M17" s="53" t="s">
        <v>1371</v>
      </c>
      <c r="N17" s="53" t="s">
        <v>1545</v>
      </c>
      <c r="O17" s="1" t="s">
        <v>1170</v>
      </c>
      <c r="AJ17" s="2">
        <f t="shared" si="0"/>
        <v>8</v>
      </c>
      <c r="AL17" s="2">
        <f t="shared" si="1"/>
        <v>8</v>
      </c>
    </row>
    <row r="18" spans="1:38" x14ac:dyDescent="0.3">
      <c r="A18" s="5" t="s">
        <v>491</v>
      </c>
      <c r="B18" s="1"/>
      <c r="C18" s="5"/>
      <c r="D18" s="1"/>
      <c r="E18" s="1"/>
      <c r="F18" s="1"/>
      <c r="G18" s="66" t="s">
        <v>245</v>
      </c>
      <c r="H18" s="66" t="s">
        <v>490</v>
      </c>
      <c r="I18" s="61" t="s">
        <v>524</v>
      </c>
      <c r="J18" s="61" t="s">
        <v>984</v>
      </c>
      <c r="K18" s="61" t="s">
        <v>935</v>
      </c>
      <c r="M18" s="53" t="s">
        <v>1372</v>
      </c>
      <c r="N18" s="53" t="s">
        <v>1546</v>
      </c>
      <c r="O18" s="1" t="s">
        <v>935</v>
      </c>
      <c r="AJ18" s="2">
        <f t="shared" si="0"/>
        <v>8</v>
      </c>
      <c r="AL18" s="2">
        <f t="shared" si="1"/>
        <v>8</v>
      </c>
    </row>
    <row r="19" spans="1:38" x14ac:dyDescent="0.3">
      <c r="A19" s="5" t="s">
        <v>492</v>
      </c>
      <c r="B19" s="1"/>
      <c r="C19" s="5"/>
      <c r="D19" s="1"/>
      <c r="E19" s="1"/>
      <c r="F19" s="1"/>
      <c r="G19" s="66" t="s">
        <v>247</v>
      </c>
      <c r="H19" s="66" t="s">
        <v>245</v>
      </c>
      <c r="I19" s="10"/>
      <c r="J19" s="10"/>
      <c r="K19" s="10"/>
      <c r="AJ19" s="2">
        <f t="shared" si="0"/>
        <v>2</v>
      </c>
      <c r="AL19" s="2">
        <f t="shared" si="1"/>
        <v>2</v>
      </c>
    </row>
    <row r="20" spans="1:38" x14ac:dyDescent="0.3">
      <c r="A20" s="5" t="s">
        <v>493</v>
      </c>
      <c r="B20" s="1"/>
      <c r="C20" s="5"/>
      <c r="D20" s="1"/>
      <c r="E20" s="1"/>
      <c r="F20" s="1"/>
      <c r="G20" s="66" t="s">
        <v>249</v>
      </c>
      <c r="H20" s="66" t="s">
        <v>247</v>
      </c>
      <c r="I20" s="61" t="s">
        <v>525</v>
      </c>
      <c r="J20" s="61" t="s">
        <v>985</v>
      </c>
      <c r="K20" s="61" t="s">
        <v>937</v>
      </c>
      <c r="M20" s="53" t="s">
        <v>1373</v>
      </c>
      <c r="N20" s="53" t="s">
        <v>1547</v>
      </c>
      <c r="O20" s="1" t="s">
        <v>937</v>
      </c>
      <c r="AJ20" s="2">
        <f t="shared" si="0"/>
        <v>8</v>
      </c>
      <c r="AL20" s="2">
        <f t="shared" si="1"/>
        <v>8</v>
      </c>
    </row>
    <row r="21" spans="1:38" x14ac:dyDescent="0.3">
      <c r="A21" s="5" t="s">
        <v>494</v>
      </c>
      <c r="B21" s="1"/>
      <c r="C21" s="5"/>
      <c r="D21" s="1"/>
      <c r="E21" s="1"/>
      <c r="F21" s="1"/>
      <c r="G21" s="66" t="s">
        <v>251</v>
      </c>
      <c r="H21" s="10"/>
      <c r="I21" s="61" t="s">
        <v>276</v>
      </c>
      <c r="J21" s="61" t="s">
        <v>986</v>
      </c>
      <c r="K21" s="10"/>
      <c r="AJ21" s="2">
        <f t="shared" si="0"/>
        <v>3</v>
      </c>
      <c r="AL21" s="2">
        <f t="shared" si="1"/>
        <v>3</v>
      </c>
    </row>
    <row r="22" spans="1:38" x14ac:dyDescent="0.3">
      <c r="A22" s="5" t="s">
        <v>651</v>
      </c>
      <c r="B22" s="1"/>
      <c r="C22" s="5"/>
      <c r="D22" s="1"/>
      <c r="E22" s="1"/>
      <c r="F22" s="1"/>
      <c r="G22" s="10"/>
      <c r="H22" s="66" t="s">
        <v>249</v>
      </c>
      <c r="I22" s="10"/>
      <c r="J22" s="10"/>
      <c r="K22" s="61" t="s">
        <v>938</v>
      </c>
      <c r="M22" s="53" t="s">
        <v>1376</v>
      </c>
      <c r="N22" s="53" t="s">
        <v>1549</v>
      </c>
      <c r="O22" s="1" t="s">
        <v>940</v>
      </c>
      <c r="AJ22" s="2">
        <f t="shared" si="0"/>
        <v>5</v>
      </c>
      <c r="AL22" s="2">
        <f t="shared" si="1"/>
        <v>5</v>
      </c>
    </row>
    <row r="23" spans="1:38" x14ac:dyDescent="0.3">
      <c r="A23" s="5" t="s">
        <v>652</v>
      </c>
      <c r="B23" s="1"/>
      <c r="C23" s="5"/>
      <c r="D23" s="1"/>
      <c r="E23" s="1"/>
      <c r="F23" s="1"/>
      <c r="G23" s="10"/>
      <c r="H23" s="66" t="s">
        <v>251</v>
      </c>
      <c r="I23" s="10"/>
      <c r="J23" s="10"/>
      <c r="K23" s="10"/>
      <c r="AJ23" s="2">
        <f t="shared" si="0"/>
        <v>1</v>
      </c>
      <c r="AL23" s="2">
        <f t="shared" si="1"/>
        <v>1</v>
      </c>
    </row>
    <row r="24" spans="1:38" x14ac:dyDescent="0.3">
      <c r="A24" s="5" t="s">
        <v>653</v>
      </c>
      <c r="B24" s="1"/>
      <c r="C24" s="5"/>
      <c r="D24" s="1"/>
      <c r="E24" s="1"/>
      <c r="F24" s="1"/>
      <c r="G24" s="10"/>
      <c r="H24" s="66" t="s">
        <v>253</v>
      </c>
      <c r="I24" s="10"/>
      <c r="J24" s="10"/>
      <c r="K24" s="10"/>
      <c r="AJ24" s="2">
        <f t="shared" si="0"/>
        <v>1</v>
      </c>
      <c r="AL24" s="2">
        <f t="shared" si="1"/>
        <v>1</v>
      </c>
    </row>
    <row r="25" spans="1:38" x14ac:dyDescent="0.3">
      <c r="A25" s="5" t="s">
        <v>495</v>
      </c>
      <c r="B25" s="1"/>
      <c r="C25" s="5"/>
      <c r="D25" s="1"/>
      <c r="E25" s="1"/>
      <c r="F25" s="1"/>
      <c r="G25" s="66" t="s">
        <v>253</v>
      </c>
      <c r="H25" s="66" t="s">
        <v>497</v>
      </c>
      <c r="I25" s="61" t="s">
        <v>278</v>
      </c>
      <c r="J25" s="61" t="s">
        <v>987</v>
      </c>
      <c r="K25" s="61" t="s">
        <v>940</v>
      </c>
      <c r="M25" s="53" t="s">
        <v>1377</v>
      </c>
      <c r="N25" s="53" t="s">
        <v>1550</v>
      </c>
      <c r="O25" s="1" t="s">
        <v>941</v>
      </c>
      <c r="AJ25" s="2">
        <f t="shared" si="0"/>
        <v>8</v>
      </c>
      <c r="AL25" s="2">
        <f t="shared" si="1"/>
        <v>8</v>
      </c>
    </row>
    <row r="26" spans="1:38" x14ac:dyDescent="0.3">
      <c r="A26" s="5" t="s">
        <v>496</v>
      </c>
      <c r="B26" s="5"/>
      <c r="C26" s="5"/>
      <c r="D26" s="1"/>
      <c r="E26" s="1"/>
      <c r="F26" s="1"/>
      <c r="G26" s="66" t="s">
        <v>497</v>
      </c>
      <c r="H26" s="66" t="s">
        <v>499</v>
      </c>
      <c r="I26" s="61" t="s">
        <v>118</v>
      </c>
      <c r="J26" s="61" t="s">
        <v>988</v>
      </c>
      <c r="K26" s="61" t="s">
        <v>941</v>
      </c>
      <c r="M26" s="53" t="s">
        <v>1378</v>
      </c>
      <c r="N26" s="53" t="s">
        <v>1551</v>
      </c>
      <c r="AJ26" s="2">
        <f t="shared" si="0"/>
        <v>7</v>
      </c>
      <c r="AL26" s="2">
        <f t="shared" si="1"/>
        <v>7</v>
      </c>
    </row>
    <row r="27" spans="1:38" x14ac:dyDescent="0.3">
      <c r="A27" s="5" t="s">
        <v>655</v>
      </c>
      <c r="B27" s="5"/>
      <c r="C27" s="5"/>
      <c r="D27" s="1"/>
      <c r="E27" s="1"/>
      <c r="F27" s="1"/>
      <c r="G27" s="10"/>
      <c r="H27" s="66" t="s">
        <v>500</v>
      </c>
      <c r="I27" s="61" t="s">
        <v>120</v>
      </c>
      <c r="J27" s="61" t="s">
        <v>989</v>
      </c>
      <c r="K27" s="61" t="s">
        <v>943</v>
      </c>
      <c r="M27" s="53" t="s">
        <v>1379</v>
      </c>
      <c r="N27" s="53" t="s">
        <v>1552</v>
      </c>
      <c r="O27" s="1" t="s">
        <v>943</v>
      </c>
      <c r="AJ27" s="2">
        <f t="shared" si="0"/>
        <v>7</v>
      </c>
      <c r="AL27" s="2">
        <f t="shared" si="1"/>
        <v>7</v>
      </c>
    </row>
    <row r="28" spans="1:38" x14ac:dyDescent="0.3">
      <c r="A28" s="5" t="s">
        <v>654</v>
      </c>
      <c r="B28" s="5"/>
      <c r="C28" s="5"/>
      <c r="D28" s="1"/>
      <c r="E28" s="1"/>
      <c r="F28" s="1"/>
      <c r="G28" s="10"/>
      <c r="H28" s="66" t="s">
        <v>501</v>
      </c>
      <c r="I28" s="10"/>
      <c r="J28" s="10"/>
      <c r="K28" s="10"/>
      <c r="AJ28" s="2">
        <f t="shared" si="0"/>
        <v>1</v>
      </c>
      <c r="AL28" s="2">
        <f t="shared" si="1"/>
        <v>1</v>
      </c>
    </row>
    <row r="29" spans="1:38" x14ac:dyDescent="0.3">
      <c r="A29" s="5" t="s">
        <v>751</v>
      </c>
      <c r="B29" s="5"/>
      <c r="C29" s="5"/>
      <c r="D29" s="1"/>
      <c r="E29" s="1"/>
      <c r="F29" s="1"/>
      <c r="G29" s="10"/>
      <c r="H29" s="10"/>
      <c r="I29" s="61" t="s">
        <v>521</v>
      </c>
      <c r="J29" s="61" t="s">
        <v>982</v>
      </c>
      <c r="K29" s="61" t="s">
        <v>936</v>
      </c>
      <c r="M29" s="53" t="s">
        <v>1370</v>
      </c>
      <c r="N29" s="53" t="s">
        <v>1544</v>
      </c>
      <c r="O29" s="1" t="s">
        <v>936</v>
      </c>
      <c r="AJ29" s="2">
        <f t="shared" si="0"/>
        <v>6</v>
      </c>
      <c r="AL29" s="2">
        <f t="shared" si="1"/>
        <v>6</v>
      </c>
    </row>
    <row r="30" spans="1:38" x14ac:dyDescent="0.3">
      <c r="A30" s="5" t="s">
        <v>752</v>
      </c>
      <c r="B30" s="5"/>
      <c r="C30" s="5"/>
      <c r="D30" s="1"/>
      <c r="E30" s="1"/>
      <c r="F30" s="1"/>
      <c r="G30" s="10"/>
      <c r="H30" s="10"/>
      <c r="I30" s="61" t="s">
        <v>281</v>
      </c>
      <c r="J30" s="61" t="s">
        <v>990</v>
      </c>
      <c r="M30" s="53" t="s">
        <v>1380</v>
      </c>
      <c r="N30" s="53" t="s">
        <v>1553</v>
      </c>
      <c r="AJ30" s="2">
        <f t="shared" si="0"/>
        <v>4</v>
      </c>
      <c r="AL30" s="2">
        <f t="shared" si="1"/>
        <v>4</v>
      </c>
    </row>
    <row r="31" spans="1:38" x14ac:dyDescent="0.3">
      <c r="A31" s="5" t="s">
        <v>1374</v>
      </c>
      <c r="B31" s="5"/>
      <c r="C31" s="5"/>
      <c r="D31" s="1"/>
      <c r="E31" s="1"/>
      <c r="F31" s="1"/>
      <c r="G31" s="10"/>
      <c r="H31" s="10"/>
      <c r="I31" s="10"/>
      <c r="J31" s="10"/>
      <c r="M31" s="53" t="s">
        <v>1375</v>
      </c>
      <c r="N31" s="53" t="s">
        <v>1548</v>
      </c>
      <c r="O31" s="1" t="s">
        <v>938</v>
      </c>
      <c r="AJ31" s="2">
        <f t="shared" si="0"/>
        <v>3</v>
      </c>
      <c r="AL31" s="2">
        <f t="shared" si="1"/>
        <v>3</v>
      </c>
    </row>
    <row r="32" spans="1:38" ht="28.8" x14ac:dyDescent="0.3">
      <c r="A32" s="5" t="s">
        <v>498</v>
      </c>
      <c r="B32" s="5"/>
      <c r="C32" s="5"/>
      <c r="D32" s="1"/>
      <c r="E32" s="1"/>
      <c r="F32" s="1"/>
      <c r="G32" s="10" t="s">
        <v>499</v>
      </c>
      <c r="AJ32" s="2">
        <f t="shared" si="0"/>
        <v>1</v>
      </c>
      <c r="AL32" s="2">
        <f t="shared" si="1"/>
        <v>1</v>
      </c>
    </row>
    <row r="33" spans="1:38" ht="28.8" x14ac:dyDescent="0.3">
      <c r="A33" s="5" t="s">
        <v>1859</v>
      </c>
      <c r="B33" s="5"/>
      <c r="C33" s="5"/>
      <c r="D33" s="1"/>
      <c r="E33" s="1"/>
      <c r="F33" s="1"/>
      <c r="G33" s="10"/>
      <c r="P33" s="30" t="s">
        <v>532</v>
      </c>
      <c r="AJ33" s="2">
        <f t="shared" si="0"/>
        <v>1</v>
      </c>
      <c r="AL33" s="2">
        <f t="shared" si="1"/>
        <v>0</v>
      </c>
    </row>
    <row r="34" spans="1:38" x14ac:dyDescent="0.3">
      <c r="A34" s="5" t="s">
        <v>509</v>
      </c>
      <c r="B34" s="5"/>
      <c r="C34" s="5"/>
      <c r="D34" s="1"/>
      <c r="E34" s="1"/>
      <c r="F34" s="1"/>
      <c r="G34" s="53" t="s">
        <v>510</v>
      </c>
      <c r="H34" s="1" t="s">
        <v>659</v>
      </c>
      <c r="AJ34" s="2">
        <f t="shared" si="0"/>
        <v>2</v>
      </c>
      <c r="AL34" s="2">
        <f t="shared" si="1"/>
        <v>2</v>
      </c>
    </row>
    <row r="35" spans="1:38" ht="43.2" x14ac:dyDescent="0.3">
      <c r="A35" s="5" t="s">
        <v>650</v>
      </c>
      <c r="B35" s="5"/>
      <c r="C35" s="5"/>
      <c r="D35" s="1"/>
      <c r="E35" s="1"/>
      <c r="F35" s="1"/>
      <c r="G35" s="1"/>
      <c r="H35" s="10" t="s">
        <v>101</v>
      </c>
      <c r="AJ35" s="2">
        <f t="shared" si="0"/>
        <v>1</v>
      </c>
      <c r="AL35" s="2">
        <f t="shared" si="1"/>
        <v>1</v>
      </c>
    </row>
    <row r="36" spans="1:38" ht="28.8" x14ac:dyDescent="0.3">
      <c r="A36" s="5" t="s">
        <v>1381</v>
      </c>
      <c r="B36" s="5"/>
      <c r="C36" s="5"/>
      <c r="D36" s="1"/>
      <c r="E36" s="1"/>
      <c r="F36" s="1"/>
      <c r="G36" s="1"/>
      <c r="M36" s="53" t="s">
        <v>1382</v>
      </c>
      <c r="N36" s="53" t="s">
        <v>1554</v>
      </c>
      <c r="O36" s="1" t="s">
        <v>944</v>
      </c>
      <c r="AJ36" s="2">
        <f t="shared" si="0"/>
        <v>3</v>
      </c>
      <c r="AL36" s="2">
        <f t="shared" si="1"/>
        <v>3</v>
      </c>
    </row>
    <row r="37" spans="1:38" x14ac:dyDescent="0.3">
      <c r="A37" s="5" t="s">
        <v>1383</v>
      </c>
      <c r="B37" s="5"/>
      <c r="C37" s="5"/>
      <c r="D37" s="1"/>
      <c r="E37" s="1"/>
      <c r="F37" s="1"/>
      <c r="G37" s="1"/>
      <c r="M37" s="53" t="s">
        <v>1385</v>
      </c>
      <c r="N37" s="53" t="s">
        <v>1555</v>
      </c>
      <c r="O37" s="53" t="s">
        <v>1364</v>
      </c>
      <c r="Q37" s="53" t="s">
        <v>1056</v>
      </c>
      <c r="R37" s="53" t="s">
        <v>2168</v>
      </c>
      <c r="S37" s="1" t="s">
        <v>886</v>
      </c>
      <c r="AJ37" s="2">
        <f t="shared" si="0"/>
        <v>6</v>
      </c>
      <c r="AL37" s="2">
        <f t="shared" si="1"/>
        <v>5</v>
      </c>
    </row>
    <row r="38" spans="1:38" x14ac:dyDescent="0.3">
      <c r="A38" s="5" t="s">
        <v>1386</v>
      </c>
      <c r="B38" s="5"/>
      <c r="C38" s="5"/>
      <c r="D38" s="1"/>
      <c r="E38" s="1"/>
      <c r="F38" s="1"/>
      <c r="G38" s="1"/>
      <c r="M38" s="53" t="s">
        <v>1384</v>
      </c>
      <c r="N38" s="53" t="s">
        <v>1556</v>
      </c>
      <c r="O38" s="53" t="s">
        <v>1365</v>
      </c>
      <c r="Q38" s="53" t="s">
        <v>1441</v>
      </c>
      <c r="R38" s="53" t="s">
        <v>2169</v>
      </c>
      <c r="S38" s="1" t="s">
        <v>889</v>
      </c>
      <c r="AJ38" s="2">
        <f t="shared" si="0"/>
        <v>6</v>
      </c>
      <c r="AL38" s="2">
        <f t="shared" si="1"/>
        <v>5</v>
      </c>
    </row>
    <row r="39" spans="1:38" ht="28.8" x14ac:dyDescent="0.3">
      <c r="A39" s="5" t="s">
        <v>1857</v>
      </c>
      <c r="B39" s="5"/>
      <c r="C39" s="5"/>
      <c r="D39" s="1"/>
      <c r="E39" s="1"/>
      <c r="F39" s="1"/>
      <c r="G39" s="1"/>
      <c r="P39" s="30" t="s">
        <v>120</v>
      </c>
      <c r="AJ39" s="2">
        <f t="shared" si="0"/>
        <v>1</v>
      </c>
      <c r="AL39" s="2">
        <f t="shared" si="1"/>
        <v>0</v>
      </c>
    </row>
    <row r="40" spans="1:38" ht="28.8" x14ac:dyDescent="0.3">
      <c r="A40" s="5" t="s">
        <v>1858</v>
      </c>
      <c r="B40" s="5"/>
      <c r="C40" s="5"/>
      <c r="D40" s="1"/>
      <c r="E40" s="1"/>
      <c r="F40" s="1"/>
      <c r="G40" s="1"/>
      <c r="P40" s="30" t="s">
        <v>281</v>
      </c>
      <c r="AJ40" s="2">
        <f t="shared" si="0"/>
        <v>1</v>
      </c>
      <c r="AL40" s="2">
        <f t="shared" si="1"/>
        <v>0</v>
      </c>
    </row>
    <row r="41" spans="1:38" ht="28.8" x14ac:dyDescent="0.3">
      <c r="A41" s="5" t="s">
        <v>1907</v>
      </c>
      <c r="B41" s="5"/>
      <c r="C41" s="5"/>
      <c r="D41" s="1"/>
      <c r="E41" s="1"/>
      <c r="F41" s="1"/>
      <c r="G41" s="1"/>
      <c r="P41" s="30" t="s">
        <v>901</v>
      </c>
      <c r="AJ41" s="2">
        <f t="shared" si="0"/>
        <v>1</v>
      </c>
      <c r="AL41" s="2">
        <f t="shared" si="1"/>
        <v>0</v>
      </c>
    </row>
    <row r="42" spans="1:38" ht="28.8" x14ac:dyDescent="0.3">
      <c r="A42" s="5" t="s">
        <v>2189</v>
      </c>
      <c r="B42" s="5"/>
      <c r="C42" s="5"/>
      <c r="D42" s="1"/>
      <c r="E42" s="1"/>
      <c r="F42" s="1"/>
      <c r="G42" s="1"/>
      <c r="Q42" s="53" t="s">
        <v>367</v>
      </c>
      <c r="R42" s="1" t="s">
        <v>2191</v>
      </c>
      <c r="AJ42" s="2">
        <f t="shared" si="0"/>
        <v>2</v>
      </c>
      <c r="AL42" s="2">
        <f t="shared" si="1"/>
        <v>1</v>
      </c>
    </row>
    <row r="43" spans="1:38" ht="28.8" x14ac:dyDescent="0.3">
      <c r="A43" s="5" t="s">
        <v>2190</v>
      </c>
      <c r="B43" s="5"/>
      <c r="C43" s="5"/>
      <c r="D43" s="1"/>
      <c r="E43" s="1"/>
      <c r="F43" s="1"/>
      <c r="G43" s="1"/>
      <c r="Q43" s="53" t="s">
        <v>1068</v>
      </c>
      <c r="R43" s="1" t="s">
        <v>2192</v>
      </c>
      <c r="AJ43" s="2">
        <f t="shared" si="0"/>
        <v>2</v>
      </c>
      <c r="AL43" s="2">
        <f t="shared" si="1"/>
        <v>1</v>
      </c>
    </row>
    <row r="44" spans="1:38" ht="28.8" x14ac:dyDescent="0.3">
      <c r="A44" s="5" t="s">
        <v>2187</v>
      </c>
      <c r="B44" s="5"/>
      <c r="C44" s="5"/>
      <c r="D44" s="1"/>
      <c r="E44" s="1"/>
      <c r="F44" s="1"/>
      <c r="G44" s="1"/>
      <c r="Q44" s="53" t="s">
        <v>1452</v>
      </c>
      <c r="R44" s="1" t="s">
        <v>2193</v>
      </c>
      <c r="AJ44" s="2">
        <f t="shared" si="0"/>
        <v>2</v>
      </c>
      <c r="AL44" s="2">
        <f t="shared" si="1"/>
        <v>1</v>
      </c>
    </row>
    <row r="45" spans="1:38" ht="28.8" x14ac:dyDescent="0.3">
      <c r="A45" s="5" t="s">
        <v>2203</v>
      </c>
      <c r="B45" s="5"/>
      <c r="C45" s="5"/>
      <c r="D45" s="1"/>
      <c r="E45" s="1"/>
      <c r="F45" s="1"/>
      <c r="G45" s="1"/>
      <c r="Q45" s="53" t="s">
        <v>1074</v>
      </c>
      <c r="R45" s="1" t="s">
        <v>2205</v>
      </c>
      <c r="AJ45" s="2">
        <f t="shared" si="0"/>
        <v>2</v>
      </c>
      <c r="AL45" s="2">
        <f t="shared" si="1"/>
        <v>1</v>
      </c>
    </row>
    <row r="46" spans="1:38" ht="28.8" x14ac:dyDescent="0.3">
      <c r="A46" s="5" t="s">
        <v>2204</v>
      </c>
      <c r="B46" s="5"/>
      <c r="C46" s="5"/>
      <c r="D46" s="1"/>
      <c r="E46" s="1"/>
      <c r="F46" s="1"/>
      <c r="G46" s="1"/>
      <c r="Q46" s="53" t="s">
        <v>1455</v>
      </c>
      <c r="R46" s="1" t="s">
        <v>2206</v>
      </c>
      <c r="AJ46" s="2">
        <f t="shared" si="0"/>
        <v>2</v>
      </c>
      <c r="AL46" s="2">
        <f t="shared" si="1"/>
        <v>1</v>
      </c>
    </row>
    <row r="47" spans="1:38" ht="28.8" x14ac:dyDescent="0.3">
      <c r="A47" s="5" t="s">
        <v>2187</v>
      </c>
      <c r="B47" s="5"/>
      <c r="C47" s="5"/>
      <c r="D47" s="1"/>
      <c r="E47" s="1"/>
      <c r="F47" s="1"/>
      <c r="G47" s="1"/>
      <c r="Q47" s="53" t="s">
        <v>1076</v>
      </c>
      <c r="R47" s="1" t="s">
        <v>2207</v>
      </c>
      <c r="AJ47" s="2">
        <f t="shared" si="0"/>
        <v>2</v>
      </c>
      <c r="AL47" s="2">
        <f t="shared" si="1"/>
        <v>1</v>
      </c>
    </row>
    <row r="48" spans="1:38" ht="28.8" x14ac:dyDescent="0.3">
      <c r="A48" s="5" t="s">
        <v>2239</v>
      </c>
      <c r="B48" s="5"/>
      <c r="C48" s="5"/>
      <c r="D48" s="1"/>
      <c r="E48" s="1"/>
      <c r="F48" s="1"/>
      <c r="G48" s="1"/>
      <c r="S48" s="53" t="s">
        <v>13</v>
      </c>
      <c r="T48" s="53" t="s">
        <v>975</v>
      </c>
      <c r="V48" s="53" t="s">
        <v>10</v>
      </c>
      <c r="Z48" s="1" t="s">
        <v>15</v>
      </c>
      <c r="AJ48" s="2">
        <f t="shared" si="0"/>
        <v>4</v>
      </c>
      <c r="AL48" s="2">
        <f t="shared" si="1"/>
        <v>1</v>
      </c>
    </row>
    <row r="49" spans="1:38" ht="28.8" x14ac:dyDescent="0.3">
      <c r="A49" s="5" t="s">
        <v>2286</v>
      </c>
      <c r="B49" s="5"/>
      <c r="C49" s="5"/>
      <c r="D49" s="1"/>
      <c r="E49" s="1"/>
      <c r="F49" s="1"/>
      <c r="G49" s="1"/>
      <c r="S49" s="1" t="s">
        <v>891</v>
      </c>
      <c r="AJ49" s="2">
        <f t="shared" si="0"/>
        <v>1</v>
      </c>
      <c r="AL49" s="2">
        <f t="shared" si="1"/>
        <v>1</v>
      </c>
    </row>
    <row r="50" spans="1:38" ht="28.8" x14ac:dyDescent="0.3">
      <c r="A50" s="5" t="s">
        <v>2287</v>
      </c>
      <c r="B50" s="5"/>
      <c r="C50" s="5"/>
      <c r="D50" s="1"/>
      <c r="E50" s="1"/>
      <c r="F50" s="1"/>
      <c r="G50" s="1"/>
      <c r="S50" s="1" t="s">
        <v>892</v>
      </c>
      <c r="AJ50" s="2">
        <f t="shared" si="0"/>
        <v>1</v>
      </c>
      <c r="AL50" s="2">
        <f t="shared" si="1"/>
        <v>1</v>
      </c>
    </row>
    <row r="51" spans="1:38" ht="28.8" x14ac:dyDescent="0.3">
      <c r="A51" s="5" t="s">
        <v>2288</v>
      </c>
      <c r="B51" s="5"/>
      <c r="C51" s="5"/>
      <c r="D51" s="1"/>
      <c r="E51" s="1"/>
      <c r="F51" s="1"/>
      <c r="G51" s="1"/>
      <c r="S51" s="1" t="s">
        <v>893</v>
      </c>
      <c r="AJ51" s="2">
        <f t="shared" si="0"/>
        <v>1</v>
      </c>
      <c r="AL51" s="2">
        <f t="shared" si="1"/>
        <v>1</v>
      </c>
    </row>
    <row r="52" spans="1:38" ht="28.8" x14ac:dyDescent="0.3">
      <c r="A52" s="5" t="s">
        <v>2289</v>
      </c>
      <c r="B52" s="5"/>
      <c r="C52" s="5"/>
      <c r="D52" s="1"/>
      <c r="E52" s="1"/>
      <c r="F52" s="1"/>
      <c r="G52" s="1"/>
      <c r="S52" s="1" t="s">
        <v>894</v>
      </c>
      <c r="AJ52" s="2">
        <f t="shared" si="0"/>
        <v>1</v>
      </c>
      <c r="AL52" s="2">
        <f t="shared" si="1"/>
        <v>1</v>
      </c>
    </row>
    <row r="53" spans="1:38" ht="28.8" x14ac:dyDescent="0.3">
      <c r="A53" s="5" t="s">
        <v>2290</v>
      </c>
      <c r="B53" s="5"/>
      <c r="C53" s="5"/>
      <c r="D53" s="1"/>
      <c r="E53" s="1"/>
      <c r="F53" s="1"/>
      <c r="G53" s="1"/>
      <c r="S53" s="1" t="s">
        <v>895</v>
      </c>
      <c r="AJ53" s="2">
        <f t="shared" si="0"/>
        <v>1</v>
      </c>
      <c r="AL53" s="2">
        <f t="shared" si="1"/>
        <v>1</v>
      </c>
    </row>
    <row r="54" spans="1:38" ht="28.8" x14ac:dyDescent="0.3">
      <c r="A54" s="5" t="s">
        <v>2291</v>
      </c>
      <c r="B54" s="5"/>
      <c r="C54" s="5"/>
      <c r="D54" s="1"/>
      <c r="E54" s="1"/>
      <c r="F54" s="1"/>
      <c r="G54" s="1"/>
      <c r="S54" s="1" t="s">
        <v>896</v>
      </c>
      <c r="AJ54" s="2">
        <f t="shared" si="0"/>
        <v>1</v>
      </c>
      <c r="AL54" s="2">
        <f t="shared" si="1"/>
        <v>1</v>
      </c>
    </row>
    <row r="55" spans="1:38" ht="28.8" x14ac:dyDescent="0.3">
      <c r="A55" s="5" t="s">
        <v>2296</v>
      </c>
      <c r="B55" s="5"/>
      <c r="C55" s="5"/>
      <c r="D55" s="1"/>
      <c r="E55" s="1"/>
      <c r="F55" s="1"/>
      <c r="G55" s="1"/>
      <c r="S55" s="1" t="s">
        <v>929</v>
      </c>
      <c r="AJ55" s="2">
        <f t="shared" si="0"/>
        <v>1</v>
      </c>
      <c r="AL55" s="2">
        <f t="shared" si="1"/>
        <v>1</v>
      </c>
    </row>
    <row r="56" spans="1:38" ht="28.8" x14ac:dyDescent="0.3">
      <c r="A56" s="5" t="s">
        <v>2297</v>
      </c>
      <c r="B56" s="5"/>
      <c r="C56" s="5"/>
      <c r="D56" s="1"/>
      <c r="E56" s="1"/>
      <c r="F56" s="1"/>
      <c r="G56" s="1"/>
      <c r="S56" s="1" t="s">
        <v>930</v>
      </c>
      <c r="AJ56" s="2">
        <f t="shared" si="0"/>
        <v>1</v>
      </c>
      <c r="AL56" s="2">
        <f t="shared" si="1"/>
        <v>1</v>
      </c>
    </row>
    <row r="57" spans="1:38" ht="28.8" x14ac:dyDescent="0.3">
      <c r="A57" s="5" t="s">
        <v>2298</v>
      </c>
      <c r="B57" s="5"/>
      <c r="C57" s="5"/>
      <c r="D57" s="1"/>
      <c r="E57" s="1"/>
      <c r="F57" s="1"/>
      <c r="G57" s="1"/>
      <c r="S57" s="1" t="s">
        <v>931</v>
      </c>
      <c r="AJ57" s="2">
        <f t="shared" si="0"/>
        <v>1</v>
      </c>
      <c r="AL57" s="2">
        <f t="shared" si="1"/>
        <v>1</v>
      </c>
    </row>
    <row r="58" spans="1:38" ht="28.8" x14ac:dyDescent="0.3">
      <c r="A58" s="5" t="s">
        <v>2299</v>
      </c>
      <c r="B58" s="5"/>
      <c r="C58" s="5"/>
      <c r="D58" s="1"/>
      <c r="E58" s="1"/>
      <c r="F58" s="1"/>
      <c r="G58" s="1"/>
      <c r="S58" s="1" t="s">
        <v>932</v>
      </c>
      <c r="AJ58" s="2">
        <f t="shared" si="0"/>
        <v>1</v>
      </c>
      <c r="AL58" s="2">
        <f t="shared" si="1"/>
        <v>1</v>
      </c>
    </row>
    <row r="59" spans="1:38" x14ac:dyDescent="0.3">
      <c r="A59" s="5" t="s">
        <v>2305</v>
      </c>
      <c r="B59" s="5"/>
      <c r="C59" s="5"/>
      <c r="D59" s="1"/>
      <c r="E59" s="1"/>
      <c r="F59" s="1"/>
      <c r="G59" s="1"/>
      <c r="T59" s="53" t="s">
        <v>977</v>
      </c>
      <c r="U59" s="1" t="s">
        <v>1747</v>
      </c>
      <c r="AJ59" s="2">
        <f t="shared" si="0"/>
        <v>2</v>
      </c>
      <c r="AL59" s="2">
        <f t="shared" si="1"/>
        <v>0</v>
      </c>
    </row>
    <row r="60" spans="1:38" ht="28.8" x14ac:dyDescent="0.3">
      <c r="A60" s="5" t="s">
        <v>2306</v>
      </c>
      <c r="B60" s="5"/>
      <c r="C60" s="5"/>
      <c r="D60" s="1"/>
      <c r="E60" s="1"/>
      <c r="F60" s="1"/>
      <c r="G60" s="1"/>
      <c r="T60" s="53" t="s">
        <v>1256</v>
      </c>
      <c r="U60" s="1" t="s">
        <v>1748</v>
      </c>
      <c r="AJ60" s="2">
        <f t="shared" si="0"/>
        <v>2</v>
      </c>
      <c r="AL60" s="2">
        <f t="shared" si="1"/>
        <v>0</v>
      </c>
    </row>
    <row r="61" spans="1:38" x14ac:dyDescent="0.3">
      <c r="A61" s="5" t="s">
        <v>2307</v>
      </c>
      <c r="B61" s="5"/>
      <c r="C61" s="5"/>
      <c r="D61" s="1"/>
      <c r="E61" s="1"/>
      <c r="F61" s="1"/>
      <c r="G61" s="1"/>
      <c r="T61" s="54" t="s">
        <v>978</v>
      </c>
      <c r="U61" s="53" t="s">
        <v>1749</v>
      </c>
      <c r="V61" s="1" t="s">
        <v>521</v>
      </c>
      <c r="AJ61" s="2">
        <f t="shared" si="0"/>
        <v>3</v>
      </c>
      <c r="AL61" s="2">
        <f t="shared" si="1"/>
        <v>0</v>
      </c>
    </row>
    <row r="62" spans="1:38" ht="28.8" x14ac:dyDescent="0.3">
      <c r="A62" s="5" t="s">
        <v>2308</v>
      </c>
      <c r="B62" s="5"/>
      <c r="C62" s="5"/>
      <c r="D62" s="1"/>
      <c r="E62" s="1"/>
      <c r="F62" s="1"/>
      <c r="G62" s="1"/>
      <c r="T62" s="53" t="s">
        <v>1180</v>
      </c>
      <c r="U62" s="1" t="s">
        <v>2476</v>
      </c>
      <c r="AJ62" s="2">
        <f t="shared" si="0"/>
        <v>2</v>
      </c>
      <c r="AL62" s="2">
        <f t="shared" si="1"/>
        <v>0</v>
      </c>
    </row>
    <row r="63" spans="1:38" ht="28.8" x14ac:dyDescent="0.3">
      <c r="A63" s="5" t="s">
        <v>2309</v>
      </c>
      <c r="B63" s="5"/>
      <c r="C63" s="5"/>
      <c r="D63" s="1"/>
      <c r="E63" s="1"/>
      <c r="F63" s="1"/>
      <c r="G63" s="1"/>
      <c r="T63" s="53" t="s">
        <v>979</v>
      </c>
      <c r="U63" s="1" t="s">
        <v>2477</v>
      </c>
      <c r="AJ63" s="2">
        <f t="shared" si="0"/>
        <v>2</v>
      </c>
      <c r="AL63" s="2">
        <f t="shared" si="1"/>
        <v>0</v>
      </c>
    </row>
    <row r="64" spans="1:38" ht="28.8" x14ac:dyDescent="0.3">
      <c r="A64" s="5" t="s">
        <v>2310</v>
      </c>
      <c r="B64" s="5"/>
      <c r="C64" s="5"/>
      <c r="D64" s="1"/>
      <c r="E64" s="1"/>
      <c r="F64" s="1"/>
      <c r="G64" s="1"/>
      <c r="T64" s="53" t="s">
        <v>1258</v>
      </c>
      <c r="U64" s="1" t="s">
        <v>2478</v>
      </c>
      <c r="AJ64" s="2">
        <f t="shared" si="0"/>
        <v>2</v>
      </c>
      <c r="AL64" s="2">
        <f t="shared" si="1"/>
        <v>0</v>
      </c>
    </row>
    <row r="65" spans="1:38" ht="28.8" x14ac:dyDescent="0.3">
      <c r="A65" s="5" t="s">
        <v>2547</v>
      </c>
      <c r="B65" s="5"/>
      <c r="C65" s="5"/>
      <c r="D65" s="1"/>
      <c r="E65" s="1"/>
      <c r="F65" s="1"/>
      <c r="G65" s="1"/>
      <c r="V65" s="1" t="s">
        <v>515</v>
      </c>
      <c r="AJ65" s="2">
        <f t="shared" si="0"/>
        <v>1</v>
      </c>
      <c r="AL65" s="2">
        <f t="shared" si="1"/>
        <v>0</v>
      </c>
    </row>
    <row r="66" spans="1:38" ht="28.8" x14ac:dyDescent="0.3">
      <c r="A66" s="5" t="s">
        <v>2548</v>
      </c>
      <c r="B66" s="5"/>
      <c r="C66" s="5"/>
      <c r="D66" s="1"/>
      <c r="E66" s="1"/>
      <c r="F66" s="1"/>
      <c r="G66" s="1"/>
      <c r="V66" s="1" t="s">
        <v>519</v>
      </c>
      <c r="AJ66" s="2">
        <f t="shared" si="0"/>
        <v>1</v>
      </c>
      <c r="AL66" s="2">
        <f t="shared" si="1"/>
        <v>0</v>
      </c>
    </row>
    <row r="67" spans="1:38" ht="28.8" x14ac:dyDescent="0.3">
      <c r="A67" s="5" t="s">
        <v>2549</v>
      </c>
      <c r="B67" s="5"/>
      <c r="C67" s="5"/>
      <c r="D67" s="1"/>
      <c r="E67" s="1"/>
      <c r="F67" s="1"/>
      <c r="G67" s="1"/>
      <c r="V67" s="1" t="s">
        <v>520</v>
      </c>
      <c r="AJ67" s="2">
        <f t="shared" ref="AJ67:AJ118" si="2">COUNTA(B67:AH67)</f>
        <v>1</v>
      </c>
      <c r="AL67" s="2">
        <f t="shared" ref="AL67:AL118" si="3">COUNTA(F67:O67,R67:S67)</f>
        <v>0</v>
      </c>
    </row>
    <row r="68" spans="1:38" ht="43.2" x14ac:dyDescent="0.3">
      <c r="A68" s="5" t="s">
        <v>2550</v>
      </c>
      <c r="B68" s="5"/>
      <c r="C68" s="5"/>
      <c r="D68" s="1"/>
      <c r="E68" s="1"/>
      <c r="F68" s="1"/>
      <c r="G68" s="1"/>
      <c r="V68" s="1" t="s">
        <v>522</v>
      </c>
      <c r="AJ68" s="2">
        <f t="shared" si="2"/>
        <v>1</v>
      </c>
      <c r="AL68" s="2">
        <f t="shared" si="3"/>
        <v>0</v>
      </c>
    </row>
    <row r="69" spans="1:38" ht="28.8" x14ac:dyDescent="0.3">
      <c r="A69" s="5" t="s">
        <v>1163</v>
      </c>
      <c r="B69" s="5"/>
      <c r="C69" s="5"/>
      <c r="D69" s="1"/>
      <c r="E69" s="1"/>
      <c r="F69" s="1"/>
      <c r="G69" s="1"/>
      <c r="K69" s="1" t="s">
        <v>910</v>
      </c>
      <c r="AJ69" s="2">
        <f t="shared" si="2"/>
        <v>1</v>
      </c>
      <c r="AL69" s="2">
        <f t="shared" si="3"/>
        <v>1</v>
      </c>
    </row>
    <row r="70" spans="1:38" ht="28.8" x14ac:dyDescent="0.3">
      <c r="A70" s="5" t="s">
        <v>1164</v>
      </c>
      <c r="B70" s="5"/>
      <c r="C70" s="5"/>
      <c r="D70" s="1"/>
      <c r="E70" s="1"/>
      <c r="F70" s="1"/>
      <c r="G70" s="1"/>
      <c r="K70" s="1" t="s">
        <v>911</v>
      </c>
      <c r="AJ70" s="2">
        <f t="shared" si="2"/>
        <v>1</v>
      </c>
      <c r="AL70" s="2">
        <f t="shared" si="3"/>
        <v>1</v>
      </c>
    </row>
    <row r="71" spans="1:38" ht="28.8" x14ac:dyDescent="0.3">
      <c r="A71" s="5" t="s">
        <v>1165</v>
      </c>
      <c r="B71" s="1"/>
      <c r="C71" s="5"/>
      <c r="D71" s="1"/>
      <c r="E71" s="1"/>
      <c r="F71" s="1"/>
      <c r="G71" s="1"/>
      <c r="K71" s="1" t="s">
        <v>912</v>
      </c>
      <c r="AJ71" s="2">
        <f t="shared" si="2"/>
        <v>1</v>
      </c>
      <c r="AL71" s="2">
        <f t="shared" si="3"/>
        <v>1</v>
      </c>
    </row>
    <row r="72" spans="1:38" ht="28.8" x14ac:dyDescent="0.3">
      <c r="A72" s="5" t="s">
        <v>1295</v>
      </c>
      <c r="B72" s="1"/>
      <c r="C72" s="5"/>
      <c r="D72" s="1"/>
      <c r="E72" s="1"/>
      <c r="F72" s="1"/>
      <c r="G72" s="1"/>
      <c r="M72" s="1" t="s">
        <v>490</v>
      </c>
      <c r="AJ72" s="2">
        <f t="shared" si="2"/>
        <v>1</v>
      </c>
      <c r="AL72" s="2">
        <f t="shared" si="3"/>
        <v>1</v>
      </c>
    </row>
    <row r="73" spans="1:38" ht="28.8" x14ac:dyDescent="0.3">
      <c r="A73" s="5" t="s">
        <v>1296</v>
      </c>
      <c r="B73" s="1"/>
      <c r="C73" s="5"/>
      <c r="D73" s="1"/>
      <c r="E73" s="1"/>
      <c r="F73" s="1"/>
      <c r="G73" s="1"/>
      <c r="M73" s="1" t="s">
        <v>245</v>
      </c>
      <c r="AJ73" s="2">
        <f t="shared" si="2"/>
        <v>1</v>
      </c>
      <c r="AL73" s="2">
        <f t="shared" si="3"/>
        <v>1</v>
      </c>
    </row>
    <row r="74" spans="1:38" ht="28.8" x14ac:dyDescent="0.3">
      <c r="A74" s="5" t="s">
        <v>1297</v>
      </c>
      <c r="B74" s="1"/>
      <c r="C74" s="5"/>
      <c r="D74" s="1"/>
      <c r="E74" s="1"/>
      <c r="F74" s="1"/>
      <c r="G74" s="1"/>
      <c r="M74" s="1" t="s">
        <v>247</v>
      </c>
      <c r="AJ74" s="2">
        <f t="shared" si="2"/>
        <v>1</v>
      </c>
      <c r="AL74" s="2">
        <f t="shared" si="3"/>
        <v>1</v>
      </c>
    </row>
    <row r="75" spans="1:38" ht="28.8" x14ac:dyDescent="0.3">
      <c r="A75" s="5" t="s">
        <v>1298</v>
      </c>
      <c r="B75" s="1"/>
      <c r="C75" s="5"/>
      <c r="D75" s="1"/>
      <c r="E75" s="1"/>
      <c r="F75" s="1"/>
      <c r="G75" s="1"/>
      <c r="M75" s="1" t="s">
        <v>249</v>
      </c>
      <c r="AJ75" s="2">
        <f t="shared" si="2"/>
        <v>1</v>
      </c>
      <c r="AL75" s="2">
        <f t="shared" si="3"/>
        <v>1</v>
      </c>
    </row>
    <row r="76" spans="1:38" ht="28.8" x14ac:dyDescent="0.3">
      <c r="A76" s="5" t="s">
        <v>1299</v>
      </c>
      <c r="B76" s="1"/>
      <c r="C76" s="5"/>
      <c r="D76" s="1"/>
      <c r="E76" s="1"/>
      <c r="F76" s="1"/>
      <c r="G76" s="1"/>
      <c r="M76" s="1" t="s">
        <v>251</v>
      </c>
      <c r="AJ76" s="2">
        <f t="shared" si="2"/>
        <v>1</v>
      </c>
      <c r="AL76" s="2">
        <f t="shared" si="3"/>
        <v>1</v>
      </c>
    </row>
    <row r="77" spans="1:38" x14ac:dyDescent="0.3">
      <c r="A77" s="5" t="s">
        <v>2338</v>
      </c>
      <c r="B77" s="1"/>
      <c r="C77" s="5"/>
      <c r="D77" s="1"/>
      <c r="E77" s="1"/>
      <c r="F77" s="1"/>
      <c r="G77" s="1"/>
      <c r="T77" s="54" t="s">
        <v>1030</v>
      </c>
      <c r="V77" s="53" t="s">
        <v>424</v>
      </c>
      <c r="AG77" s="53" t="s">
        <v>2301</v>
      </c>
      <c r="AH77" s="1" t="s">
        <v>917</v>
      </c>
      <c r="AJ77" s="2">
        <f t="shared" si="2"/>
        <v>4</v>
      </c>
      <c r="AL77" s="2">
        <f t="shared" si="3"/>
        <v>0</v>
      </c>
    </row>
    <row r="78" spans="1:38" x14ac:dyDescent="0.3">
      <c r="A78" s="5" t="s">
        <v>2339</v>
      </c>
      <c r="B78" s="1"/>
      <c r="C78" s="5"/>
      <c r="D78" s="1"/>
      <c r="E78" s="1"/>
      <c r="F78" s="1"/>
      <c r="G78" s="1"/>
      <c r="T78" s="54" t="s">
        <v>1197</v>
      </c>
      <c r="V78" s="53" t="s">
        <v>425</v>
      </c>
      <c r="AG78" s="53" t="s">
        <v>1966</v>
      </c>
      <c r="AH78" s="1" t="s">
        <v>916</v>
      </c>
      <c r="AJ78" s="2">
        <f t="shared" si="2"/>
        <v>4</v>
      </c>
      <c r="AL78" s="2">
        <f t="shared" si="3"/>
        <v>0</v>
      </c>
    </row>
    <row r="79" spans="1:38" x14ac:dyDescent="0.3">
      <c r="A79" s="5" t="s">
        <v>2340</v>
      </c>
      <c r="B79" s="1"/>
      <c r="C79" s="5"/>
      <c r="D79" s="1"/>
      <c r="E79" s="1"/>
      <c r="F79" s="1"/>
      <c r="G79" s="1"/>
      <c r="T79" s="54" t="s">
        <v>1035</v>
      </c>
      <c r="V79" s="53" t="s">
        <v>427</v>
      </c>
      <c r="AG79" s="53" t="s">
        <v>971</v>
      </c>
      <c r="AH79" s="1" t="s">
        <v>918</v>
      </c>
      <c r="AJ79" s="2">
        <f t="shared" si="2"/>
        <v>4</v>
      </c>
      <c r="AL79" s="2">
        <f t="shared" si="3"/>
        <v>0</v>
      </c>
    </row>
    <row r="80" spans="1:38" x14ac:dyDescent="0.3">
      <c r="A80" s="5" t="s">
        <v>3082</v>
      </c>
      <c r="B80" s="5"/>
      <c r="C80" s="5"/>
      <c r="D80" s="1"/>
      <c r="E80" s="1"/>
      <c r="F80" s="1"/>
      <c r="G80" s="1"/>
      <c r="AH80" s="1" t="s">
        <v>922</v>
      </c>
      <c r="AJ80" s="2">
        <f t="shared" si="2"/>
        <v>1</v>
      </c>
      <c r="AL80" s="2">
        <f t="shared" si="3"/>
        <v>0</v>
      </c>
    </row>
    <row r="81" spans="1:38" x14ac:dyDescent="0.3">
      <c r="A81" s="5" t="s">
        <v>3084</v>
      </c>
      <c r="B81" s="1"/>
      <c r="C81" s="5"/>
      <c r="D81" s="1"/>
      <c r="E81" s="1"/>
      <c r="F81" s="1"/>
      <c r="G81" s="1"/>
      <c r="AH81" s="1" t="s">
        <v>923</v>
      </c>
      <c r="AJ81" s="2">
        <f t="shared" si="2"/>
        <v>1</v>
      </c>
      <c r="AL81" s="2">
        <f t="shared" si="3"/>
        <v>0</v>
      </c>
    </row>
    <row r="82" spans="1:38" x14ac:dyDescent="0.3">
      <c r="A82" s="5" t="s">
        <v>3083</v>
      </c>
      <c r="B82" s="1"/>
      <c r="C82" s="5"/>
      <c r="D82" s="1"/>
      <c r="E82" s="1"/>
      <c r="F82" s="1"/>
      <c r="G82" s="1"/>
      <c r="AH82" s="1" t="s">
        <v>924</v>
      </c>
      <c r="AJ82" s="2">
        <f t="shared" si="2"/>
        <v>1</v>
      </c>
      <c r="AL82" s="2">
        <f t="shared" si="3"/>
        <v>0</v>
      </c>
    </row>
    <row r="83" spans="1:38" x14ac:dyDescent="0.3">
      <c r="A83" s="5" t="s">
        <v>2909</v>
      </c>
      <c r="B83" s="1"/>
      <c r="C83" s="5"/>
      <c r="D83" s="1"/>
      <c r="E83" s="1"/>
      <c r="F83" s="1"/>
      <c r="G83" s="1"/>
      <c r="AD83" s="1" t="s">
        <v>2910</v>
      </c>
      <c r="AJ83" s="2">
        <f t="shared" si="2"/>
        <v>1</v>
      </c>
      <c r="AL83" s="2">
        <f t="shared" si="3"/>
        <v>0</v>
      </c>
    </row>
    <row r="84" spans="1:38" x14ac:dyDescent="0.3">
      <c r="A84" s="5" t="s">
        <v>1630</v>
      </c>
      <c r="B84" s="1"/>
      <c r="C84" s="5"/>
      <c r="D84" s="1"/>
      <c r="E84" s="1"/>
      <c r="F84" s="1"/>
      <c r="G84" s="1"/>
      <c r="N84" s="54" t="s">
        <v>1631</v>
      </c>
      <c r="S84" s="53" t="s">
        <v>915</v>
      </c>
      <c r="T84" s="54" t="s">
        <v>2147</v>
      </c>
      <c r="U84" s="54" t="s">
        <v>2483</v>
      </c>
      <c r="V84" s="53" t="s">
        <v>300</v>
      </c>
      <c r="W84" s="54" t="s">
        <v>1058</v>
      </c>
      <c r="AB84" s="54" t="s">
        <v>2205</v>
      </c>
      <c r="AC84" s="54" t="s">
        <v>2018</v>
      </c>
      <c r="AF84" s="54" t="s">
        <v>1439</v>
      </c>
      <c r="AG84" s="1" t="s">
        <v>1201</v>
      </c>
      <c r="AJ84" s="2">
        <f t="shared" si="2"/>
        <v>10</v>
      </c>
      <c r="AL84" s="2">
        <f t="shared" si="3"/>
        <v>2</v>
      </c>
    </row>
    <row r="85" spans="1:38" x14ac:dyDescent="0.3">
      <c r="A85" s="5" t="s">
        <v>2577</v>
      </c>
      <c r="B85" s="1"/>
      <c r="C85" s="5"/>
      <c r="D85" s="1"/>
      <c r="E85" s="1"/>
      <c r="F85" s="1"/>
      <c r="G85" s="1"/>
      <c r="W85" s="1" t="s">
        <v>1445</v>
      </c>
      <c r="AJ85" s="2">
        <f t="shared" si="2"/>
        <v>1</v>
      </c>
      <c r="AL85" s="2">
        <f t="shared" si="3"/>
        <v>0</v>
      </c>
    </row>
    <row r="86" spans="1:38" x14ac:dyDescent="0.3">
      <c r="A86" s="5" t="s">
        <v>2484</v>
      </c>
      <c r="B86" s="1"/>
      <c r="C86" s="5"/>
      <c r="D86" s="1"/>
      <c r="E86" s="1"/>
      <c r="F86" s="1"/>
      <c r="G86" s="1"/>
      <c r="U86" s="1" t="s">
        <v>2486</v>
      </c>
      <c r="AJ86" s="2">
        <f t="shared" si="2"/>
        <v>1</v>
      </c>
      <c r="AL86" s="2">
        <f t="shared" si="3"/>
        <v>0</v>
      </c>
    </row>
    <row r="87" spans="1:38" x14ac:dyDescent="0.3">
      <c r="A87" s="5" t="s">
        <v>2485</v>
      </c>
      <c r="B87" s="1"/>
      <c r="C87" s="5"/>
      <c r="D87" s="1"/>
      <c r="E87" s="1"/>
      <c r="F87" s="1"/>
      <c r="G87" s="1"/>
      <c r="U87" s="1" t="s">
        <v>2487</v>
      </c>
      <c r="AJ87" s="2">
        <f t="shared" si="2"/>
        <v>1</v>
      </c>
      <c r="AL87" s="2">
        <f t="shared" si="3"/>
        <v>0</v>
      </c>
    </row>
    <row r="88" spans="1:38" x14ac:dyDescent="0.3">
      <c r="A88" s="5" t="s">
        <v>2488</v>
      </c>
      <c r="B88" s="1"/>
      <c r="C88" s="5"/>
      <c r="D88" s="1"/>
      <c r="E88" s="1"/>
      <c r="F88" s="1"/>
      <c r="G88" s="1"/>
      <c r="U88" s="54" t="s">
        <v>2489</v>
      </c>
      <c r="AD88" s="54" t="s">
        <v>2912</v>
      </c>
      <c r="AG88" s="1" t="s">
        <v>1038</v>
      </c>
      <c r="AJ88" s="2">
        <f t="shared" si="2"/>
        <v>3</v>
      </c>
      <c r="AL88" s="2">
        <f t="shared" si="3"/>
        <v>0</v>
      </c>
    </row>
    <row r="89" spans="1:38" ht="28.8" x14ac:dyDescent="0.3">
      <c r="A89" s="5" t="s">
        <v>3044</v>
      </c>
      <c r="B89" s="1"/>
      <c r="C89" s="5"/>
      <c r="D89" s="1"/>
      <c r="E89" s="1"/>
      <c r="F89" s="1"/>
      <c r="G89" s="1"/>
      <c r="AG89" s="1" t="s">
        <v>1245</v>
      </c>
      <c r="AJ89" s="2">
        <f t="shared" si="2"/>
        <v>1</v>
      </c>
      <c r="AL89" s="2">
        <f t="shared" si="3"/>
        <v>0</v>
      </c>
    </row>
    <row r="90" spans="1:38" ht="28.8" x14ac:dyDescent="0.3">
      <c r="A90" s="5" t="s">
        <v>2369</v>
      </c>
      <c r="B90" s="1"/>
      <c r="C90" s="5"/>
      <c r="D90" s="1"/>
      <c r="E90" s="1"/>
      <c r="F90" s="1"/>
      <c r="G90" s="1"/>
      <c r="T90" s="54" t="s">
        <v>2142</v>
      </c>
      <c r="U90" s="1" t="s">
        <v>2482</v>
      </c>
      <c r="AJ90" s="2">
        <f t="shared" si="2"/>
        <v>2</v>
      </c>
      <c r="AL90" s="2">
        <f t="shared" si="3"/>
        <v>0</v>
      </c>
    </row>
    <row r="91" spans="1:38" ht="43.2" x14ac:dyDescent="0.3">
      <c r="A91" s="5" t="s">
        <v>2032</v>
      </c>
      <c r="B91" s="1"/>
      <c r="C91" s="5"/>
      <c r="D91" s="1"/>
      <c r="E91" s="1"/>
      <c r="F91" s="1"/>
      <c r="G91" s="1"/>
      <c r="Q91" s="54" t="s">
        <v>1016</v>
      </c>
      <c r="R91" s="53" t="s">
        <v>2033</v>
      </c>
      <c r="S91" s="53" t="s">
        <v>33</v>
      </c>
      <c r="AE91" s="1" t="s">
        <v>58</v>
      </c>
      <c r="AJ91" s="2">
        <f t="shared" si="2"/>
        <v>4</v>
      </c>
      <c r="AL91" s="2">
        <f t="shared" si="3"/>
        <v>2</v>
      </c>
    </row>
    <row r="92" spans="1:38" ht="28.8" x14ac:dyDescent="0.3">
      <c r="A92" s="5" t="s">
        <v>2561</v>
      </c>
      <c r="B92" s="1"/>
      <c r="C92" s="5"/>
      <c r="D92" s="1"/>
      <c r="E92" s="1"/>
      <c r="F92" s="1"/>
      <c r="G92" s="1"/>
      <c r="V92" s="1" t="s">
        <v>553</v>
      </c>
      <c r="AJ92" s="2">
        <f t="shared" si="2"/>
        <v>1</v>
      </c>
      <c r="AL92" s="2">
        <f t="shared" si="3"/>
        <v>0</v>
      </c>
    </row>
    <row r="93" spans="1:38" ht="28.8" x14ac:dyDescent="0.3">
      <c r="A93" s="5" t="s">
        <v>3109</v>
      </c>
      <c r="B93" s="1"/>
      <c r="C93" s="5"/>
      <c r="D93" s="1"/>
      <c r="E93" s="1"/>
      <c r="F93" s="1"/>
      <c r="G93" s="1"/>
      <c r="AH93" s="1" t="s">
        <v>974</v>
      </c>
      <c r="AJ93" s="2">
        <f t="shared" si="2"/>
        <v>1</v>
      </c>
      <c r="AL93" s="2">
        <f t="shared" si="3"/>
        <v>0</v>
      </c>
    </row>
    <row r="94" spans="1:38" ht="28.8" x14ac:dyDescent="0.3">
      <c r="A94" s="5" t="s">
        <v>2563</v>
      </c>
      <c r="B94" s="1"/>
      <c r="C94" s="5"/>
      <c r="D94" s="1"/>
      <c r="E94" s="1"/>
      <c r="F94" s="1"/>
      <c r="G94" s="1"/>
      <c r="V94" s="54" t="s">
        <v>296</v>
      </c>
      <c r="AD94" s="1" t="s">
        <v>2911</v>
      </c>
      <c r="AJ94" s="2">
        <f t="shared" si="2"/>
        <v>2</v>
      </c>
      <c r="AL94" s="2">
        <f t="shared" si="3"/>
        <v>0</v>
      </c>
    </row>
    <row r="95" spans="1:38" ht="28.8" x14ac:dyDescent="0.3">
      <c r="A95" s="5" t="s">
        <v>2571</v>
      </c>
      <c r="B95" s="1"/>
      <c r="C95" s="5"/>
      <c r="D95" s="1"/>
      <c r="E95" s="1"/>
      <c r="F95" s="1"/>
      <c r="G95" s="1"/>
      <c r="W95" s="1" t="s">
        <v>1434</v>
      </c>
      <c r="AJ95" s="2">
        <f t="shared" si="2"/>
        <v>1</v>
      </c>
      <c r="AL95" s="2">
        <f t="shared" si="3"/>
        <v>0</v>
      </c>
    </row>
    <row r="96" spans="1:38" ht="28.8" x14ac:dyDescent="0.3">
      <c r="A96" s="5" t="s">
        <v>2891</v>
      </c>
      <c r="B96" s="1"/>
      <c r="C96" s="5"/>
      <c r="D96" s="1"/>
      <c r="E96" s="1"/>
      <c r="F96" s="1"/>
      <c r="G96" s="1"/>
      <c r="AD96" s="53" t="s">
        <v>2892</v>
      </c>
      <c r="AE96" s="1" t="s">
        <v>1247</v>
      </c>
      <c r="AJ96" s="2">
        <f t="shared" si="2"/>
        <v>2</v>
      </c>
      <c r="AL96" s="2">
        <f t="shared" si="3"/>
        <v>0</v>
      </c>
    </row>
    <row r="97" spans="1:38" ht="43.2" x14ac:dyDescent="0.3">
      <c r="A97" s="5" t="s">
        <v>2582</v>
      </c>
      <c r="B97" s="1"/>
      <c r="C97" s="5"/>
      <c r="D97" s="1"/>
      <c r="E97" s="1"/>
      <c r="F97" s="1"/>
      <c r="G97" s="1"/>
      <c r="Y97" s="1" t="s">
        <v>1675</v>
      </c>
      <c r="AB97" s="2"/>
      <c r="AJ97" s="2">
        <f t="shared" si="2"/>
        <v>1</v>
      </c>
      <c r="AL97" s="2">
        <f t="shared" si="3"/>
        <v>0</v>
      </c>
    </row>
    <row r="98" spans="1:38" ht="43.2" x14ac:dyDescent="0.3">
      <c r="A98" s="5" t="s">
        <v>2583</v>
      </c>
      <c r="B98" s="1"/>
      <c r="C98" s="5"/>
      <c r="D98" s="1"/>
      <c r="E98" s="1"/>
      <c r="F98" s="1"/>
      <c r="G98" s="1"/>
      <c r="Y98" s="1" t="s">
        <v>1676</v>
      </c>
      <c r="AJ98" s="2">
        <f t="shared" si="2"/>
        <v>1</v>
      </c>
      <c r="AL98" s="2">
        <f t="shared" si="3"/>
        <v>0</v>
      </c>
    </row>
    <row r="99" spans="1:38" x14ac:dyDescent="0.3">
      <c r="A99" s="5" t="s">
        <v>2863</v>
      </c>
      <c r="B99" s="1"/>
      <c r="C99" s="5"/>
      <c r="D99" s="1"/>
      <c r="E99" s="1"/>
      <c r="F99" s="1"/>
      <c r="G99" s="1"/>
      <c r="AD99" s="53" t="s">
        <v>1505</v>
      </c>
      <c r="AE99" s="1" t="s">
        <v>440</v>
      </c>
      <c r="AJ99" s="2">
        <f t="shared" si="2"/>
        <v>2</v>
      </c>
      <c r="AL99" s="2">
        <f t="shared" si="3"/>
        <v>0</v>
      </c>
    </row>
    <row r="100" spans="1:38" ht="28.8" x14ac:dyDescent="0.3">
      <c r="A100" s="5" t="s">
        <v>2949</v>
      </c>
      <c r="B100" s="1"/>
      <c r="C100" s="5"/>
      <c r="D100" s="1"/>
      <c r="E100" s="1"/>
      <c r="F100" s="1"/>
      <c r="G100" s="1"/>
      <c r="AD100" s="1" t="s">
        <v>2950</v>
      </c>
      <c r="AJ100" s="2">
        <f t="shared" si="2"/>
        <v>1</v>
      </c>
      <c r="AL100" s="2">
        <f t="shared" si="3"/>
        <v>0</v>
      </c>
    </row>
    <row r="101" spans="1:38" ht="28.8" x14ac:dyDescent="0.3">
      <c r="A101" s="5" t="s">
        <v>3060</v>
      </c>
      <c r="B101" s="1"/>
      <c r="C101" s="5"/>
      <c r="D101" s="1"/>
      <c r="E101" s="1"/>
      <c r="F101" s="1"/>
      <c r="G101" s="1"/>
      <c r="AG101" s="53" t="s">
        <v>1072</v>
      </c>
      <c r="AH101" s="1" t="s">
        <v>365</v>
      </c>
      <c r="AJ101" s="2">
        <f t="shared" si="2"/>
        <v>2</v>
      </c>
      <c r="AL101" s="2">
        <f t="shared" si="3"/>
        <v>0</v>
      </c>
    </row>
    <row r="102" spans="1:38" ht="28.8" x14ac:dyDescent="0.3">
      <c r="A102" s="5" t="s">
        <v>3110</v>
      </c>
      <c r="B102" s="1"/>
      <c r="C102" s="5"/>
      <c r="D102" s="1"/>
      <c r="E102" s="1"/>
      <c r="F102" s="1"/>
      <c r="G102" s="1"/>
      <c r="AH102" s="1" t="s">
        <v>1256</v>
      </c>
      <c r="AJ102" s="2">
        <f t="shared" si="2"/>
        <v>1</v>
      </c>
      <c r="AL102" s="2">
        <f t="shared" si="3"/>
        <v>0</v>
      </c>
    </row>
    <row r="103" spans="1:38" ht="28.8" x14ac:dyDescent="0.3">
      <c r="A103" s="5" t="s">
        <v>3111</v>
      </c>
      <c r="B103" s="1"/>
      <c r="C103" s="5"/>
      <c r="D103" s="1"/>
      <c r="E103" s="1"/>
      <c r="F103" s="1"/>
      <c r="G103" s="1"/>
      <c r="AH103" s="1" t="s">
        <v>978</v>
      </c>
      <c r="AJ103" s="2">
        <f t="shared" si="2"/>
        <v>1</v>
      </c>
      <c r="AL103" s="2">
        <f t="shared" si="3"/>
        <v>0</v>
      </c>
    </row>
    <row r="104" spans="1:38" ht="28.8" x14ac:dyDescent="0.3">
      <c r="A104" s="5" t="s">
        <v>3112</v>
      </c>
      <c r="B104" s="1"/>
      <c r="C104" s="5"/>
      <c r="D104" s="1"/>
      <c r="E104" s="1"/>
      <c r="F104" s="1"/>
      <c r="G104" s="1"/>
      <c r="AH104" s="1" t="s">
        <v>1180</v>
      </c>
      <c r="AJ104" s="2">
        <f t="shared" si="2"/>
        <v>1</v>
      </c>
      <c r="AL104" s="2">
        <f t="shared" si="3"/>
        <v>0</v>
      </c>
    </row>
    <row r="105" spans="1:38" ht="28.8" x14ac:dyDescent="0.3">
      <c r="A105" s="5" t="s">
        <v>3113</v>
      </c>
      <c r="B105" s="1"/>
      <c r="C105" s="5"/>
      <c r="D105" s="1"/>
      <c r="E105" s="1"/>
      <c r="F105" s="1"/>
      <c r="G105" s="1"/>
      <c r="AH105" s="1" t="s">
        <v>979</v>
      </c>
      <c r="AJ105" s="2">
        <f t="shared" si="2"/>
        <v>1</v>
      </c>
      <c r="AL105" s="2">
        <f t="shared" si="3"/>
        <v>0</v>
      </c>
    </row>
    <row r="106" spans="1:38" ht="28.8" x14ac:dyDescent="0.3">
      <c r="A106" s="5" t="s">
        <v>3114</v>
      </c>
      <c r="B106" s="1"/>
      <c r="C106" s="5"/>
      <c r="D106" s="1"/>
      <c r="E106" s="1"/>
      <c r="F106" s="1"/>
      <c r="G106" s="1"/>
      <c r="AH106" s="1" t="s">
        <v>1258</v>
      </c>
      <c r="AJ106" s="2">
        <f t="shared" si="2"/>
        <v>1</v>
      </c>
      <c r="AL106" s="2">
        <f t="shared" si="3"/>
        <v>0</v>
      </c>
    </row>
    <row r="107" spans="1:38" ht="28.8" x14ac:dyDescent="0.3">
      <c r="A107" s="5" t="s">
        <v>3115</v>
      </c>
      <c r="B107" s="1"/>
      <c r="C107" s="5"/>
      <c r="D107" s="1"/>
      <c r="E107" s="1"/>
      <c r="F107" s="1"/>
      <c r="G107" s="1"/>
      <c r="AH107" s="1" t="s">
        <v>980</v>
      </c>
      <c r="AJ107" s="2">
        <f t="shared" si="2"/>
        <v>1</v>
      </c>
      <c r="AL107" s="2">
        <f t="shared" si="3"/>
        <v>0</v>
      </c>
    </row>
    <row r="108" spans="1:38" ht="28.8" x14ac:dyDescent="0.3">
      <c r="A108" s="5" t="s">
        <v>3116</v>
      </c>
      <c r="B108" s="1"/>
      <c r="C108" s="5"/>
      <c r="D108" s="1"/>
      <c r="E108" s="1"/>
      <c r="F108" s="1"/>
      <c r="G108" s="1"/>
      <c r="AH108" s="1" t="s">
        <v>981</v>
      </c>
      <c r="AJ108" s="2">
        <f t="shared" si="2"/>
        <v>1</v>
      </c>
      <c r="AL108" s="2">
        <f t="shared" si="3"/>
        <v>0</v>
      </c>
    </row>
    <row r="109" spans="1:38" ht="28.8" x14ac:dyDescent="0.3">
      <c r="A109" s="5" t="s">
        <v>3118</v>
      </c>
      <c r="B109" s="1"/>
      <c r="C109" s="5"/>
      <c r="D109" s="1"/>
      <c r="E109" s="1"/>
      <c r="F109" s="1"/>
      <c r="G109" s="1"/>
      <c r="AH109" s="1" t="s">
        <v>1444</v>
      </c>
      <c r="AJ109" s="2">
        <f t="shared" si="2"/>
        <v>1</v>
      </c>
      <c r="AL109" s="2">
        <f t="shared" si="3"/>
        <v>0</v>
      </c>
    </row>
    <row r="110" spans="1:38" x14ac:dyDescent="0.3">
      <c r="A110" s="5" t="s">
        <v>3119</v>
      </c>
      <c r="B110" s="1"/>
      <c r="C110" s="5"/>
      <c r="D110" s="1"/>
      <c r="E110" s="1"/>
      <c r="F110" s="1"/>
      <c r="G110" s="1"/>
      <c r="AH110" s="1" t="s">
        <v>1058</v>
      </c>
      <c r="AJ110" s="2">
        <f t="shared" si="2"/>
        <v>1</v>
      </c>
      <c r="AL110" s="2">
        <f t="shared" si="3"/>
        <v>0</v>
      </c>
    </row>
    <row r="111" spans="1:38" x14ac:dyDescent="0.3">
      <c r="A111" s="5" t="s">
        <v>3121</v>
      </c>
      <c r="B111" s="1"/>
      <c r="C111" s="5"/>
      <c r="D111" s="1"/>
      <c r="E111" s="1"/>
      <c r="F111" s="1"/>
      <c r="G111" s="1"/>
      <c r="AH111" s="1" t="s">
        <v>1447</v>
      </c>
      <c r="AJ111" s="2">
        <f t="shared" si="2"/>
        <v>1</v>
      </c>
      <c r="AL111" s="2">
        <f t="shared" si="3"/>
        <v>0</v>
      </c>
    </row>
    <row r="112" spans="1:38" ht="28.8" x14ac:dyDescent="0.3">
      <c r="A112" s="5" t="s">
        <v>3122</v>
      </c>
      <c r="B112" s="1"/>
      <c r="C112" s="5"/>
      <c r="D112" s="1"/>
      <c r="E112" s="1"/>
      <c r="F112" s="1"/>
      <c r="G112" s="1"/>
      <c r="AH112" s="1" t="s">
        <v>1448</v>
      </c>
      <c r="AJ112" s="2">
        <f t="shared" si="2"/>
        <v>1</v>
      </c>
      <c r="AL112" s="2">
        <f t="shared" si="3"/>
        <v>0</v>
      </c>
    </row>
    <row r="113" spans="1:38" ht="28.8" x14ac:dyDescent="0.3">
      <c r="A113" s="5" t="s">
        <v>3123</v>
      </c>
      <c r="B113" s="1"/>
      <c r="C113" s="5"/>
      <c r="D113" s="1"/>
      <c r="E113" s="1"/>
      <c r="F113" s="1"/>
      <c r="G113" s="1"/>
      <c r="AH113" s="1" t="s">
        <v>1449</v>
      </c>
      <c r="AJ113" s="2">
        <f t="shared" si="2"/>
        <v>1</v>
      </c>
      <c r="AL113" s="2">
        <f t="shared" si="3"/>
        <v>0</v>
      </c>
    </row>
    <row r="114" spans="1:38" x14ac:dyDescent="0.3">
      <c r="A114" s="5" t="s">
        <v>3125</v>
      </c>
      <c r="B114" s="1"/>
      <c r="C114" s="5"/>
      <c r="D114" s="1"/>
      <c r="E114" s="1"/>
      <c r="F114" s="1"/>
      <c r="G114" s="1"/>
      <c r="AH114" s="1" t="s">
        <v>1067</v>
      </c>
      <c r="AJ114" s="2">
        <f t="shared" si="2"/>
        <v>1</v>
      </c>
      <c r="AL114" s="2">
        <f t="shared" si="3"/>
        <v>0</v>
      </c>
    </row>
    <row r="115" spans="1:38" x14ac:dyDescent="0.3">
      <c r="A115" s="5" t="s">
        <v>3124</v>
      </c>
      <c r="B115" s="1"/>
      <c r="C115" s="5"/>
      <c r="D115" s="1"/>
      <c r="E115" s="1"/>
      <c r="F115" s="1"/>
      <c r="G115" s="1"/>
      <c r="AH115" s="1" t="s">
        <v>367</v>
      </c>
      <c r="AJ115" s="2">
        <f t="shared" si="2"/>
        <v>1</v>
      </c>
      <c r="AL115" s="2">
        <f t="shared" si="3"/>
        <v>0</v>
      </c>
    </row>
    <row r="116" spans="1:38" x14ac:dyDescent="0.3">
      <c r="A116" s="5" t="s">
        <v>3126</v>
      </c>
      <c r="B116" s="1"/>
      <c r="C116" s="5"/>
      <c r="D116" s="1"/>
      <c r="E116" s="1"/>
      <c r="F116" s="1"/>
      <c r="G116" s="1"/>
      <c r="AH116" s="1" t="s">
        <v>1068</v>
      </c>
      <c r="AJ116" s="2">
        <f t="shared" si="2"/>
        <v>1</v>
      </c>
      <c r="AL116" s="2">
        <f t="shared" si="3"/>
        <v>0</v>
      </c>
    </row>
    <row r="117" spans="1:38" x14ac:dyDescent="0.3">
      <c r="A117" s="5" t="s">
        <v>3127</v>
      </c>
      <c r="B117" s="1"/>
      <c r="C117" s="5"/>
      <c r="D117" s="1"/>
      <c r="E117" s="1"/>
      <c r="F117" s="1"/>
      <c r="G117" s="1"/>
      <c r="AH117" s="1" t="s">
        <v>1069</v>
      </c>
      <c r="AJ117" s="2">
        <f t="shared" si="2"/>
        <v>1</v>
      </c>
      <c r="AL117" s="2">
        <f t="shared" si="3"/>
        <v>0</v>
      </c>
    </row>
    <row r="118" spans="1:38" ht="28.8" x14ac:dyDescent="0.3">
      <c r="A118" s="5" t="s">
        <v>3145</v>
      </c>
      <c r="B118" s="1"/>
      <c r="C118" s="5" t="s">
        <v>3146</v>
      </c>
      <c r="D118" s="1"/>
      <c r="E118" s="1"/>
      <c r="F118" s="1"/>
      <c r="G118" s="1"/>
      <c r="AJ118" s="2">
        <f t="shared" si="2"/>
        <v>1</v>
      </c>
      <c r="AL118" s="2">
        <f t="shared" si="3"/>
        <v>0</v>
      </c>
    </row>
    <row r="119" spans="1:38" ht="43.2" x14ac:dyDescent="0.3">
      <c r="A119" s="5" t="s">
        <v>3290</v>
      </c>
      <c r="B119" s="1" t="s">
        <v>3291</v>
      </c>
      <c r="C119" s="5"/>
      <c r="D119" s="1"/>
      <c r="E119" s="1"/>
      <c r="F119" s="1"/>
      <c r="G119" s="1"/>
    </row>
    <row r="120" spans="1:38" x14ac:dyDescent="0.3">
      <c r="A120" s="5"/>
      <c r="B120" s="1"/>
      <c r="C120" s="5"/>
      <c r="D120" s="1"/>
      <c r="E120" s="1"/>
      <c r="F120" s="1"/>
      <c r="G120" s="1"/>
    </row>
    <row r="121" spans="1:38" x14ac:dyDescent="0.3">
      <c r="A121" s="5"/>
      <c r="B121" s="1"/>
      <c r="C121" s="5"/>
      <c r="D121" s="1"/>
      <c r="E121" s="1"/>
      <c r="F121" s="1"/>
      <c r="G121" s="1"/>
    </row>
    <row r="122" spans="1:38" x14ac:dyDescent="0.3">
      <c r="A122" s="5"/>
      <c r="B122" s="1"/>
      <c r="C122" s="5"/>
      <c r="D122" s="1"/>
      <c r="E122" s="1"/>
      <c r="F122" s="1"/>
      <c r="G122" s="1"/>
    </row>
    <row r="123" spans="1:38" x14ac:dyDescent="0.3">
      <c r="A123" s="5"/>
      <c r="B123" s="1"/>
      <c r="C123" s="5"/>
      <c r="D123" s="1"/>
      <c r="E123" s="1"/>
      <c r="F123" s="1"/>
      <c r="G123" s="1"/>
    </row>
    <row r="124" spans="1:38" x14ac:dyDescent="0.3">
      <c r="A124" s="5"/>
      <c r="B124" s="1"/>
      <c r="C124" s="5"/>
      <c r="D124" s="1"/>
      <c r="E124" s="1"/>
      <c r="F124" s="1"/>
      <c r="G124" s="1"/>
    </row>
    <row r="125" spans="1:38" x14ac:dyDescent="0.3">
      <c r="A125" s="5"/>
      <c r="B125" s="1"/>
      <c r="C125" s="5"/>
      <c r="D125" s="1"/>
      <c r="E125" s="1"/>
      <c r="F125" s="1"/>
      <c r="G125" s="1"/>
    </row>
    <row r="126" spans="1:38" x14ac:dyDescent="0.3">
      <c r="A126" s="5"/>
      <c r="B126" s="1"/>
      <c r="C126" s="5"/>
      <c r="D126" s="1"/>
      <c r="E126" s="1"/>
      <c r="F126" s="1"/>
      <c r="G126" s="1"/>
    </row>
    <row r="127" spans="1:38" x14ac:dyDescent="0.3">
      <c r="A127" s="5"/>
      <c r="B127" s="1"/>
      <c r="C127" s="5"/>
      <c r="D127" s="1"/>
      <c r="E127" s="1"/>
      <c r="F127" s="1"/>
      <c r="G127" s="1"/>
    </row>
    <row r="128" spans="1:38"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A278" s="5"/>
      <c r="B278" s="1"/>
      <c r="C278" s="5"/>
      <c r="D278" s="1"/>
      <c r="E278" s="1"/>
      <c r="F278" s="1"/>
      <c r="G278" s="1"/>
    </row>
    <row r="279" spans="1:7" x14ac:dyDescent="0.3">
      <c r="A279" s="5"/>
      <c r="B279" s="1"/>
      <c r="C279" s="5"/>
      <c r="D279" s="1"/>
      <c r="E279" s="1"/>
      <c r="F279" s="1"/>
      <c r="G279" s="1"/>
    </row>
    <row r="280" spans="1:7" x14ac:dyDescent="0.3">
      <c r="A280" s="5"/>
      <c r="B280" s="1"/>
      <c r="C280" s="5"/>
      <c r="D280" s="1"/>
      <c r="E280" s="1"/>
      <c r="F280" s="1"/>
      <c r="G280" s="1"/>
    </row>
    <row r="281" spans="1:7" x14ac:dyDescent="0.3">
      <c r="A281" s="5"/>
      <c r="B281" s="1"/>
      <c r="C281" s="5"/>
      <c r="D281" s="1"/>
      <c r="E281" s="1"/>
      <c r="F281" s="1"/>
      <c r="G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1" type="noConversion"/>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B6AD-67D6-4986-A5EB-911A8C0E37C1}">
  <sheetPr codeName="Sheet12"/>
  <dimension ref="A1:AN288"/>
  <sheetViews>
    <sheetView rightToLeft="1" workbookViewId="0">
      <pane xSplit="1" ySplit="1" topLeftCell="M20" activePane="bottomRight" state="frozen"/>
      <selection activeCell="A6" sqref="A6"/>
      <selection pane="topRight" activeCell="A6" sqref="A6"/>
      <selection pane="bottomLeft" activeCell="A6" sqref="A6"/>
      <selection pane="bottomRight" activeCell="M23" sqref="M23"/>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57.6" x14ac:dyDescent="0.3">
      <c r="A2" s="5" t="s">
        <v>27</v>
      </c>
      <c r="B2" s="51" t="s">
        <v>3240</v>
      </c>
      <c r="C2" s="71" t="s">
        <v>3204</v>
      </c>
      <c r="D2" s="59" t="s">
        <v>12</v>
      </c>
      <c r="E2" s="3"/>
      <c r="F2" s="68" t="s">
        <v>12</v>
      </c>
      <c r="G2" s="68" t="s">
        <v>189</v>
      </c>
      <c r="H2" s="68" t="s">
        <v>190</v>
      </c>
      <c r="I2" s="50" t="s">
        <v>17</v>
      </c>
      <c r="J2" s="50" t="s">
        <v>897</v>
      </c>
      <c r="K2" s="50" t="s">
        <v>895</v>
      </c>
      <c r="L2" s="50" t="s">
        <v>909</v>
      </c>
      <c r="M2" s="50" t="s">
        <v>428</v>
      </c>
      <c r="N2" s="50" t="s">
        <v>1079</v>
      </c>
      <c r="O2" s="50" t="s">
        <v>948</v>
      </c>
      <c r="P2" s="29"/>
      <c r="Q2" s="50" t="s">
        <v>1077</v>
      </c>
      <c r="R2" s="3" t="s">
        <v>2208</v>
      </c>
      <c r="S2" s="3"/>
      <c r="T2" s="3"/>
      <c r="U2" s="3"/>
      <c r="V2" s="3"/>
      <c r="W2" s="3"/>
      <c r="X2" s="3"/>
      <c r="Y2" s="3"/>
      <c r="Z2" s="3"/>
      <c r="AA2" s="3"/>
      <c r="AB2" s="3"/>
      <c r="AC2" s="3"/>
      <c r="AD2" s="3"/>
      <c r="AE2" s="3"/>
      <c r="AF2" s="3"/>
      <c r="AG2" s="3"/>
      <c r="AH2" s="3"/>
      <c r="AJ2" s="2">
        <f>COUNTA(B2:AH2)</f>
        <v>15</v>
      </c>
      <c r="AL2" s="2">
        <f>COUNTA(F2:O2,R2:S2)</f>
        <v>11</v>
      </c>
      <c r="AN2" s="2">
        <f>COUNTIF(AL2:AL38,"&gt;=2")</f>
        <v>7</v>
      </c>
    </row>
    <row r="3" spans="1:40" x14ac:dyDescent="0.3">
      <c r="A3" s="5" t="s">
        <v>28</v>
      </c>
      <c r="B3" s="51" t="s">
        <v>3241</v>
      </c>
      <c r="C3" s="71" t="s">
        <v>3205</v>
      </c>
      <c r="D3" s="59" t="s">
        <v>13</v>
      </c>
      <c r="E3" s="1"/>
      <c r="F3" s="61" t="s">
        <v>13</v>
      </c>
      <c r="G3" s="61" t="s">
        <v>190</v>
      </c>
      <c r="H3" s="61" t="s">
        <v>14</v>
      </c>
      <c r="I3" s="53" t="s">
        <v>192</v>
      </c>
      <c r="J3" s="53" t="s">
        <v>898</v>
      </c>
      <c r="K3" s="53" t="s">
        <v>896</v>
      </c>
      <c r="L3" s="53" t="s">
        <v>910</v>
      </c>
      <c r="M3" s="53" t="s">
        <v>431</v>
      </c>
      <c r="N3" s="53" t="s">
        <v>1080</v>
      </c>
      <c r="O3" s="53" t="s">
        <v>950</v>
      </c>
      <c r="Q3" s="53" t="s">
        <v>1082</v>
      </c>
      <c r="R3" s="1" t="s">
        <v>2209</v>
      </c>
      <c r="AJ3" s="2">
        <f t="shared" ref="AJ3:AJ38" si="0">COUNTA(B3:AH3)</f>
        <v>15</v>
      </c>
      <c r="AL3" s="2">
        <f t="shared" ref="AL3:AL38" si="1">COUNTA(F3:O3,R3:S3)</f>
        <v>11</v>
      </c>
    </row>
    <row r="4" spans="1:40" x14ac:dyDescent="0.3">
      <c r="A4" s="5" t="s">
        <v>188</v>
      </c>
      <c r="B4" s="51" t="s">
        <v>3242</v>
      </c>
      <c r="C4" s="5"/>
      <c r="D4" s="1"/>
      <c r="E4" s="1"/>
      <c r="F4" s="61" t="s">
        <v>189</v>
      </c>
      <c r="G4" s="61" t="s">
        <v>14</v>
      </c>
      <c r="H4" s="61" t="s">
        <v>15</v>
      </c>
      <c r="I4" s="53" t="s">
        <v>194</v>
      </c>
      <c r="J4" s="53" t="s">
        <v>880</v>
      </c>
      <c r="K4" s="53" t="s">
        <v>897</v>
      </c>
      <c r="L4" s="53" t="s">
        <v>911</v>
      </c>
      <c r="M4" s="53" t="s">
        <v>432</v>
      </c>
      <c r="N4" s="53" t="s">
        <v>1081</v>
      </c>
      <c r="O4" s="53" t="s">
        <v>951</v>
      </c>
      <c r="Q4" s="53" t="s">
        <v>1083</v>
      </c>
      <c r="R4" s="1" t="s">
        <v>2210</v>
      </c>
      <c r="AJ4" s="2">
        <f t="shared" si="0"/>
        <v>13</v>
      </c>
      <c r="AL4" s="2">
        <f t="shared" si="1"/>
        <v>11</v>
      </c>
    </row>
    <row r="5" spans="1:40" x14ac:dyDescent="0.3">
      <c r="A5" s="5" t="s">
        <v>1278</v>
      </c>
      <c r="B5" s="5"/>
      <c r="C5" s="5"/>
      <c r="D5" s="1"/>
      <c r="E5" s="1"/>
      <c r="F5" s="61" t="s">
        <v>190</v>
      </c>
      <c r="G5" s="61" t="s">
        <v>15</v>
      </c>
      <c r="H5" s="61" t="s">
        <v>16</v>
      </c>
      <c r="I5" s="53" t="s">
        <v>44</v>
      </c>
      <c r="J5" s="53" t="s">
        <v>899</v>
      </c>
      <c r="K5" s="53" t="s">
        <v>898</v>
      </c>
      <c r="L5" s="53" t="s">
        <v>912</v>
      </c>
      <c r="M5" s="53" t="s">
        <v>433</v>
      </c>
      <c r="N5" s="53" t="s">
        <v>1086</v>
      </c>
      <c r="O5" s="53" t="s">
        <v>952</v>
      </c>
      <c r="Q5" s="53" t="s">
        <v>1084</v>
      </c>
      <c r="R5" s="1" t="s">
        <v>2211</v>
      </c>
      <c r="AJ5" s="2">
        <f t="shared" si="0"/>
        <v>12</v>
      </c>
      <c r="AL5" s="2">
        <f t="shared" si="1"/>
        <v>11</v>
      </c>
    </row>
    <row r="6" spans="1:40" ht="28.8" x14ac:dyDescent="0.3">
      <c r="A6" s="5" t="s">
        <v>31</v>
      </c>
      <c r="B6" s="6" t="s">
        <v>16</v>
      </c>
      <c r="C6" s="5" t="s">
        <v>16</v>
      </c>
      <c r="D6" s="54" t="s">
        <v>16</v>
      </c>
      <c r="E6" s="67" t="s">
        <v>364</v>
      </c>
      <c r="F6" s="53" t="s">
        <v>16</v>
      </c>
      <c r="G6" s="53" t="s">
        <v>421</v>
      </c>
      <c r="H6" s="53" t="s">
        <v>39</v>
      </c>
      <c r="I6" s="53" t="s">
        <v>437</v>
      </c>
      <c r="J6" s="53" t="s">
        <v>913</v>
      </c>
      <c r="K6" s="1" t="s">
        <v>948</v>
      </c>
      <c r="L6" s="53" t="s">
        <v>948</v>
      </c>
      <c r="M6" s="53" t="s">
        <v>1391</v>
      </c>
      <c r="N6" s="53" t="s">
        <v>1562</v>
      </c>
      <c r="O6" s="53" t="s">
        <v>953</v>
      </c>
      <c r="Q6" s="53" t="s">
        <v>1440</v>
      </c>
      <c r="R6" s="53" t="s">
        <v>2167</v>
      </c>
      <c r="V6" s="53" t="s">
        <v>285</v>
      </c>
      <c r="Z6" s="53" t="s">
        <v>517</v>
      </c>
      <c r="AF6" s="53" t="s">
        <v>365</v>
      </c>
      <c r="AG6" s="1" t="s">
        <v>1069</v>
      </c>
      <c r="AJ6" s="2">
        <f t="shared" si="0"/>
        <v>20</v>
      </c>
      <c r="AL6" s="2">
        <f t="shared" si="1"/>
        <v>11</v>
      </c>
    </row>
    <row r="7" spans="1:40" x14ac:dyDescent="0.3">
      <c r="A7" s="5" t="s">
        <v>288</v>
      </c>
      <c r="B7" s="6"/>
      <c r="C7" s="5"/>
      <c r="D7" s="1"/>
      <c r="E7" s="1"/>
      <c r="F7" s="10" t="s">
        <v>289</v>
      </c>
      <c r="G7" s="1"/>
      <c r="AJ7" s="2">
        <f t="shared" si="0"/>
        <v>1</v>
      </c>
      <c r="AL7" s="2">
        <f t="shared" si="1"/>
        <v>1</v>
      </c>
    </row>
    <row r="8" spans="1:40" x14ac:dyDescent="0.3">
      <c r="A8" s="5" t="s">
        <v>291</v>
      </c>
      <c r="B8" s="6"/>
      <c r="C8" s="5"/>
      <c r="D8" s="1"/>
      <c r="E8" s="1"/>
      <c r="F8" s="10" t="s">
        <v>290</v>
      </c>
      <c r="G8" s="1"/>
      <c r="AJ8" s="2">
        <f t="shared" si="0"/>
        <v>1</v>
      </c>
      <c r="AL8" s="2">
        <f t="shared" si="1"/>
        <v>1</v>
      </c>
    </row>
    <row r="9" spans="1:40" ht="43.2" x14ac:dyDescent="0.3">
      <c r="A9" s="5" t="s">
        <v>413</v>
      </c>
      <c r="B9" s="6"/>
      <c r="C9" s="5"/>
      <c r="D9" s="1"/>
      <c r="E9" s="1"/>
      <c r="F9" s="1"/>
      <c r="G9" s="66" t="s">
        <v>16</v>
      </c>
      <c r="H9" s="61" t="s">
        <v>17</v>
      </c>
      <c r="I9" s="84" t="s">
        <v>424</v>
      </c>
      <c r="J9" s="53" t="s">
        <v>906</v>
      </c>
      <c r="L9" s="53" t="s">
        <v>913</v>
      </c>
      <c r="M9" s="54" t="s">
        <v>12</v>
      </c>
      <c r="N9" s="1" t="s">
        <v>362</v>
      </c>
      <c r="AJ9" s="2">
        <f t="shared" si="0"/>
        <v>7</v>
      </c>
      <c r="AL9" s="2">
        <f t="shared" si="1"/>
        <v>7</v>
      </c>
    </row>
    <row r="10" spans="1:40" ht="28.8" x14ac:dyDescent="0.3">
      <c r="A10" s="5" t="s">
        <v>429</v>
      </c>
      <c r="B10" s="83" t="s">
        <v>428</v>
      </c>
      <c r="C10" s="5"/>
      <c r="D10" s="1"/>
      <c r="E10" s="1"/>
      <c r="F10" s="1"/>
      <c r="G10" s="85" t="s">
        <v>428</v>
      </c>
      <c r="H10" s="61" t="s">
        <v>428</v>
      </c>
      <c r="I10" s="12" t="s">
        <v>444</v>
      </c>
      <c r="AJ10" s="2">
        <f t="shared" si="0"/>
        <v>4</v>
      </c>
      <c r="AL10" s="2">
        <f t="shared" si="1"/>
        <v>3</v>
      </c>
    </row>
    <row r="11" spans="1:40" ht="28.8" x14ac:dyDescent="0.3">
      <c r="A11" s="5" t="s">
        <v>618</v>
      </c>
      <c r="B11" s="6"/>
      <c r="C11" s="5"/>
      <c r="D11" s="1"/>
      <c r="E11" s="1"/>
      <c r="F11" s="1"/>
      <c r="G11" s="1"/>
      <c r="H11" s="10" t="s">
        <v>440</v>
      </c>
      <c r="AJ11" s="2">
        <f t="shared" si="0"/>
        <v>1</v>
      </c>
      <c r="AL11" s="2">
        <f t="shared" si="1"/>
        <v>1</v>
      </c>
    </row>
    <row r="12" spans="1:40" ht="28.8" x14ac:dyDescent="0.3">
      <c r="A12" s="5" t="s">
        <v>1268</v>
      </c>
      <c r="B12" s="1"/>
      <c r="C12" s="5"/>
      <c r="D12" s="1"/>
      <c r="E12" s="1"/>
      <c r="F12" s="1"/>
      <c r="G12" s="1"/>
      <c r="H12" s="10"/>
      <c r="M12" s="1" t="s">
        <v>11</v>
      </c>
      <c r="AJ12" s="2">
        <f t="shared" si="0"/>
        <v>1</v>
      </c>
      <c r="AL12" s="2">
        <f t="shared" si="1"/>
        <v>1</v>
      </c>
    </row>
    <row r="13" spans="1:40" ht="57.6" x14ac:dyDescent="0.3">
      <c r="A13" s="5" t="s">
        <v>614</v>
      </c>
      <c r="B13" s="1"/>
      <c r="C13" s="5"/>
      <c r="D13" s="1"/>
      <c r="E13" s="1"/>
      <c r="F13" s="1"/>
      <c r="G13" s="1"/>
      <c r="H13" s="10" t="s">
        <v>44</v>
      </c>
      <c r="AJ13" s="2">
        <f t="shared" si="0"/>
        <v>1</v>
      </c>
      <c r="AL13" s="2">
        <f t="shared" si="1"/>
        <v>1</v>
      </c>
    </row>
    <row r="14" spans="1:40" ht="28.8" x14ac:dyDescent="0.3">
      <c r="A14" s="5" t="s">
        <v>1166</v>
      </c>
      <c r="B14" s="1"/>
      <c r="C14" s="5"/>
      <c r="D14" s="1"/>
      <c r="E14" s="1"/>
      <c r="F14" s="1"/>
      <c r="G14" s="1"/>
      <c r="K14" s="1" t="s">
        <v>913</v>
      </c>
      <c r="AJ14" s="2">
        <f t="shared" si="0"/>
        <v>1</v>
      </c>
      <c r="AL14" s="2">
        <f t="shared" si="1"/>
        <v>1</v>
      </c>
    </row>
    <row r="15" spans="1:40" ht="28.8" x14ac:dyDescent="0.3">
      <c r="A15" s="5" t="s">
        <v>1167</v>
      </c>
      <c r="B15" s="5"/>
      <c r="C15" s="5"/>
      <c r="D15" s="1"/>
      <c r="E15" s="1"/>
      <c r="F15" s="1"/>
      <c r="G15" s="1"/>
      <c r="K15" s="1" t="s">
        <v>914</v>
      </c>
      <c r="AJ15" s="2">
        <f t="shared" si="0"/>
        <v>1</v>
      </c>
      <c r="AL15" s="2">
        <f t="shared" si="1"/>
        <v>1</v>
      </c>
    </row>
    <row r="16" spans="1:40" ht="28.8" x14ac:dyDescent="0.3">
      <c r="A16" s="5" t="s">
        <v>1168</v>
      </c>
      <c r="B16" s="1"/>
      <c r="C16" s="5"/>
      <c r="D16" s="1"/>
      <c r="E16" s="1"/>
      <c r="F16" s="1"/>
      <c r="G16" s="1"/>
      <c r="K16" s="1" t="s">
        <v>915</v>
      </c>
      <c r="AJ16" s="2">
        <f t="shared" si="0"/>
        <v>1</v>
      </c>
      <c r="AL16" s="2">
        <f t="shared" si="1"/>
        <v>1</v>
      </c>
    </row>
    <row r="17" spans="1:38" ht="57.6" x14ac:dyDescent="0.3">
      <c r="A17" s="5" t="s">
        <v>1481</v>
      </c>
      <c r="B17" s="1"/>
      <c r="C17" s="5"/>
      <c r="D17" s="1"/>
      <c r="E17" s="1"/>
      <c r="F17" s="1"/>
      <c r="G17" s="1"/>
      <c r="M17" s="1" t="s">
        <v>1485</v>
      </c>
      <c r="AJ17" s="2">
        <f t="shared" si="0"/>
        <v>1</v>
      </c>
      <c r="AL17" s="2">
        <f t="shared" si="1"/>
        <v>1</v>
      </c>
    </row>
    <row r="18" spans="1:38" x14ac:dyDescent="0.3">
      <c r="A18" s="5" t="s">
        <v>1482</v>
      </c>
      <c r="B18" s="1"/>
      <c r="C18" s="5"/>
      <c r="D18" s="1"/>
      <c r="E18" s="1"/>
      <c r="F18" s="1"/>
      <c r="G18" s="1"/>
      <c r="M18" s="1" t="s">
        <v>1486</v>
      </c>
      <c r="AJ18" s="2">
        <f t="shared" si="0"/>
        <v>1</v>
      </c>
      <c r="AL18" s="2">
        <f t="shared" si="1"/>
        <v>1</v>
      </c>
    </row>
    <row r="19" spans="1:38" x14ac:dyDescent="0.3">
      <c r="A19" s="5" t="s">
        <v>1483</v>
      </c>
      <c r="B19" s="1"/>
      <c r="C19" s="5"/>
      <c r="D19" s="1"/>
      <c r="E19" s="1"/>
      <c r="F19" s="1"/>
      <c r="G19" s="1"/>
      <c r="M19" s="1" t="s">
        <v>1487</v>
      </c>
      <c r="AJ19" s="2">
        <f t="shared" si="0"/>
        <v>1</v>
      </c>
      <c r="AL19" s="2">
        <f t="shared" si="1"/>
        <v>1</v>
      </c>
    </row>
    <row r="20" spans="1:38" x14ac:dyDescent="0.3">
      <c r="A20" s="5" t="s">
        <v>1484</v>
      </c>
      <c r="B20" s="1"/>
      <c r="C20" s="5"/>
      <c r="D20" s="1"/>
      <c r="E20" s="1"/>
      <c r="F20" s="1"/>
      <c r="G20" s="1"/>
      <c r="M20" s="1" t="s">
        <v>1488</v>
      </c>
      <c r="AJ20" s="2">
        <f t="shared" si="0"/>
        <v>1</v>
      </c>
      <c r="AL20" s="2">
        <f t="shared" si="1"/>
        <v>1</v>
      </c>
    </row>
    <row r="21" spans="1:38" ht="28.8" x14ac:dyDescent="0.3">
      <c r="A21" s="5" t="s">
        <v>1704</v>
      </c>
      <c r="B21" s="1"/>
      <c r="C21" s="5"/>
      <c r="D21" s="1"/>
      <c r="E21" s="1"/>
      <c r="F21" s="1"/>
      <c r="G21" s="1"/>
      <c r="O21" s="1" t="s">
        <v>954</v>
      </c>
      <c r="AJ21" s="2">
        <f t="shared" si="0"/>
        <v>1</v>
      </c>
      <c r="AL21" s="2">
        <f t="shared" si="1"/>
        <v>1</v>
      </c>
    </row>
    <row r="22" spans="1:38" ht="28.8" x14ac:dyDescent="0.3">
      <c r="A22" s="5" t="s">
        <v>1705</v>
      </c>
      <c r="B22" s="1"/>
      <c r="C22" s="5"/>
      <c r="D22" s="1"/>
      <c r="E22" s="1"/>
      <c r="F22" s="1"/>
      <c r="G22" s="1"/>
      <c r="O22" s="1" t="s">
        <v>955</v>
      </c>
      <c r="AJ22" s="2">
        <f t="shared" si="0"/>
        <v>1</v>
      </c>
      <c r="AL22" s="2">
        <f t="shared" si="1"/>
        <v>1</v>
      </c>
    </row>
    <row r="23" spans="1:38" ht="28.8" x14ac:dyDescent="0.3">
      <c r="A23" s="5" t="s">
        <v>1706</v>
      </c>
      <c r="B23" s="1"/>
      <c r="C23" s="5"/>
      <c r="D23" s="1"/>
      <c r="E23" s="1"/>
      <c r="F23" s="1"/>
      <c r="G23" s="1"/>
      <c r="O23" s="1" t="s">
        <v>956</v>
      </c>
      <c r="AJ23" s="2">
        <f t="shared" si="0"/>
        <v>1</v>
      </c>
      <c r="AL23" s="2">
        <f t="shared" si="1"/>
        <v>1</v>
      </c>
    </row>
    <row r="24" spans="1:38" ht="28.8" x14ac:dyDescent="0.3">
      <c r="A24" s="5" t="s">
        <v>1707</v>
      </c>
      <c r="B24" s="1"/>
      <c r="C24" s="5"/>
      <c r="D24" s="1"/>
      <c r="E24" s="1"/>
      <c r="F24" s="1"/>
      <c r="G24" s="1"/>
      <c r="O24" s="1" t="s">
        <v>957</v>
      </c>
      <c r="AJ24" s="2">
        <f t="shared" si="0"/>
        <v>1</v>
      </c>
      <c r="AL24" s="2">
        <f t="shared" si="1"/>
        <v>1</v>
      </c>
    </row>
    <row r="25" spans="1:38" x14ac:dyDescent="0.3">
      <c r="A25" s="5" t="s">
        <v>1762</v>
      </c>
      <c r="B25" s="1"/>
      <c r="C25" s="5"/>
      <c r="D25" s="1"/>
      <c r="E25" s="1"/>
      <c r="F25" s="1"/>
      <c r="G25" s="1"/>
      <c r="O25" s="1" t="s">
        <v>1320</v>
      </c>
      <c r="AJ25" s="2">
        <f t="shared" si="0"/>
        <v>1</v>
      </c>
      <c r="AL25" s="2">
        <f t="shared" si="1"/>
        <v>1</v>
      </c>
    </row>
    <row r="26" spans="1:38" ht="28.8" x14ac:dyDescent="0.3">
      <c r="A26" s="5" t="s">
        <v>1764</v>
      </c>
      <c r="B26" s="5"/>
      <c r="C26" s="5"/>
      <c r="D26" s="1"/>
      <c r="E26" s="1"/>
      <c r="F26" s="1"/>
      <c r="G26" s="1"/>
      <c r="O26" s="1" t="s">
        <v>1323</v>
      </c>
      <c r="AJ26" s="2">
        <f t="shared" si="0"/>
        <v>1</v>
      </c>
      <c r="AL26" s="2">
        <f t="shared" si="1"/>
        <v>1</v>
      </c>
    </row>
    <row r="27" spans="1:38" ht="28.8" x14ac:dyDescent="0.3">
      <c r="A27" s="5" t="s">
        <v>1766</v>
      </c>
      <c r="B27" s="5"/>
      <c r="C27" s="5"/>
      <c r="D27" s="1"/>
      <c r="E27" s="1"/>
      <c r="F27" s="1"/>
      <c r="G27" s="1"/>
      <c r="O27" s="1" t="s">
        <v>1351</v>
      </c>
      <c r="AJ27" s="2">
        <f t="shared" si="0"/>
        <v>1</v>
      </c>
      <c r="AL27" s="2">
        <f t="shared" si="1"/>
        <v>1</v>
      </c>
    </row>
    <row r="28" spans="1:38" ht="28.8" x14ac:dyDescent="0.3">
      <c r="A28" s="5" t="s">
        <v>1767</v>
      </c>
      <c r="B28" s="5"/>
      <c r="C28" s="5"/>
      <c r="D28" s="1"/>
      <c r="E28" s="1"/>
      <c r="F28" s="1"/>
      <c r="G28" s="1"/>
      <c r="O28" s="1" t="s">
        <v>1354</v>
      </c>
      <c r="AJ28" s="2">
        <f t="shared" si="0"/>
        <v>1</v>
      </c>
      <c r="AL28" s="2">
        <f t="shared" si="1"/>
        <v>1</v>
      </c>
    </row>
    <row r="29" spans="1:38" x14ac:dyDescent="0.3">
      <c r="A29" s="5" t="s">
        <v>2183</v>
      </c>
      <c r="B29" s="5"/>
      <c r="C29" s="5"/>
      <c r="D29" s="1"/>
      <c r="E29" s="1"/>
      <c r="F29" s="1"/>
      <c r="G29" s="1"/>
      <c r="Q29" s="54" t="s">
        <v>1449</v>
      </c>
      <c r="R29" s="1" t="s">
        <v>2185</v>
      </c>
      <c r="AJ29" s="2">
        <f t="shared" si="0"/>
        <v>2</v>
      </c>
      <c r="AL29" s="2">
        <f t="shared" si="1"/>
        <v>1</v>
      </c>
    </row>
    <row r="30" spans="1:38" ht="28.8" x14ac:dyDescent="0.3">
      <c r="A30" s="5" t="s">
        <v>2184</v>
      </c>
      <c r="B30" s="5"/>
      <c r="C30" s="5"/>
      <c r="D30" s="1"/>
      <c r="E30" s="1"/>
      <c r="F30" s="1"/>
      <c r="G30" s="1"/>
      <c r="Q30" s="54" t="s">
        <v>1067</v>
      </c>
      <c r="R30" s="1" t="s">
        <v>2186</v>
      </c>
      <c r="AJ30" s="2">
        <f t="shared" si="0"/>
        <v>2</v>
      </c>
      <c r="AL30" s="2">
        <f t="shared" si="1"/>
        <v>1</v>
      </c>
    </row>
    <row r="31" spans="1:38" ht="28.8" x14ac:dyDescent="0.3">
      <c r="A31" s="5" t="s">
        <v>2187</v>
      </c>
      <c r="B31" s="5"/>
      <c r="C31" s="5"/>
      <c r="D31" s="1"/>
      <c r="E31" s="1"/>
      <c r="F31" s="1"/>
      <c r="G31" s="1"/>
      <c r="Q31" s="54" t="s">
        <v>366</v>
      </c>
      <c r="R31" s="1" t="s">
        <v>2188</v>
      </c>
      <c r="AJ31" s="2">
        <f t="shared" si="0"/>
        <v>2</v>
      </c>
      <c r="AL31" s="2">
        <f t="shared" si="1"/>
        <v>1</v>
      </c>
    </row>
    <row r="32" spans="1:38" x14ac:dyDescent="0.3">
      <c r="A32" s="5" t="s">
        <v>2333</v>
      </c>
      <c r="B32" s="5"/>
      <c r="C32" s="5"/>
      <c r="D32" s="1"/>
      <c r="E32" s="1"/>
      <c r="F32" s="1"/>
      <c r="G32" s="1"/>
      <c r="T32" s="54" t="s">
        <v>1011</v>
      </c>
      <c r="AH32" s="1" t="s">
        <v>1084</v>
      </c>
      <c r="AJ32" s="2">
        <f t="shared" si="0"/>
        <v>2</v>
      </c>
      <c r="AL32" s="2">
        <f t="shared" si="1"/>
        <v>0</v>
      </c>
    </row>
    <row r="33" spans="1:38" ht="28.8" x14ac:dyDescent="0.3">
      <c r="A33" s="5" t="s">
        <v>2334</v>
      </c>
      <c r="B33" s="5"/>
      <c r="C33" s="5"/>
      <c r="D33" s="1"/>
      <c r="E33" s="1"/>
      <c r="F33" s="1"/>
      <c r="G33" s="1"/>
      <c r="T33" s="1" t="s">
        <v>1012</v>
      </c>
      <c r="AJ33" s="2">
        <f t="shared" si="0"/>
        <v>1</v>
      </c>
      <c r="AL33" s="2">
        <f t="shared" si="1"/>
        <v>0</v>
      </c>
    </row>
    <row r="34" spans="1:38" ht="28.8" x14ac:dyDescent="0.3">
      <c r="A34" s="5" t="s">
        <v>2554</v>
      </c>
      <c r="B34" s="5"/>
      <c r="C34" s="5"/>
      <c r="D34" s="1"/>
      <c r="E34" s="1"/>
      <c r="F34" s="1"/>
      <c r="G34" s="1"/>
      <c r="V34" s="1" t="s">
        <v>118</v>
      </c>
      <c r="AJ34" s="2">
        <f t="shared" si="0"/>
        <v>1</v>
      </c>
      <c r="AL34" s="2">
        <f t="shared" si="1"/>
        <v>0</v>
      </c>
    </row>
    <row r="35" spans="1:38" x14ac:dyDescent="0.3">
      <c r="A35" s="5" t="s">
        <v>3022</v>
      </c>
      <c r="B35" s="5"/>
      <c r="C35" s="5"/>
      <c r="D35" s="1"/>
      <c r="E35" s="1"/>
      <c r="F35" s="1"/>
      <c r="G35" s="1"/>
      <c r="AG35" s="54" t="s">
        <v>977</v>
      </c>
      <c r="AH35" s="1" t="s">
        <v>1179</v>
      </c>
      <c r="AJ35" s="2">
        <f t="shared" si="0"/>
        <v>2</v>
      </c>
      <c r="AL35" s="2">
        <f t="shared" si="1"/>
        <v>0</v>
      </c>
    </row>
    <row r="36" spans="1:38" ht="28.8" x14ac:dyDescent="0.3">
      <c r="A36" s="5" t="s">
        <v>3105</v>
      </c>
      <c r="B36" s="5"/>
      <c r="C36" s="5"/>
      <c r="D36" s="1"/>
      <c r="E36" s="1"/>
      <c r="F36" s="1"/>
      <c r="G36" s="1"/>
      <c r="AH36" s="1" t="s">
        <v>971</v>
      </c>
      <c r="AJ36" s="2">
        <f t="shared" si="0"/>
        <v>1</v>
      </c>
      <c r="AL36" s="2">
        <f t="shared" si="1"/>
        <v>0</v>
      </c>
    </row>
    <row r="37" spans="1:38" x14ac:dyDescent="0.3">
      <c r="A37" s="5" t="s">
        <v>3106</v>
      </c>
      <c r="B37" s="5"/>
      <c r="C37" s="5"/>
      <c r="D37" s="1"/>
      <c r="E37" s="1"/>
      <c r="F37" s="1"/>
      <c r="G37" s="1"/>
      <c r="AH37" s="1" t="s">
        <v>972</v>
      </c>
      <c r="AJ37" s="2">
        <f t="shared" si="0"/>
        <v>1</v>
      </c>
      <c r="AL37" s="2">
        <f t="shared" si="1"/>
        <v>0</v>
      </c>
    </row>
    <row r="38" spans="1:38" ht="28.8" x14ac:dyDescent="0.3">
      <c r="A38" s="5" t="s">
        <v>3120</v>
      </c>
      <c r="B38" s="5"/>
      <c r="C38" s="5"/>
      <c r="D38" s="1"/>
      <c r="E38" s="1"/>
      <c r="F38" s="1"/>
      <c r="G38" s="1"/>
      <c r="AH38" s="1" t="s">
        <v>362</v>
      </c>
      <c r="AJ38" s="2">
        <f t="shared" si="0"/>
        <v>1</v>
      </c>
      <c r="AL38" s="2">
        <f t="shared" si="1"/>
        <v>0</v>
      </c>
    </row>
    <row r="39" spans="1:38" x14ac:dyDescent="0.3">
      <c r="A39" s="5"/>
      <c r="B39" s="5"/>
      <c r="C39" s="5"/>
      <c r="D39" s="1"/>
      <c r="E39" s="1"/>
      <c r="F39" s="1"/>
      <c r="G39" s="1"/>
    </row>
    <row r="40" spans="1:38" x14ac:dyDescent="0.3">
      <c r="A40" s="5"/>
      <c r="B40" s="5"/>
      <c r="C40" s="5"/>
      <c r="D40" s="1"/>
      <c r="E40" s="1"/>
      <c r="F40" s="1"/>
      <c r="G40" s="1"/>
    </row>
    <row r="41" spans="1:38" x14ac:dyDescent="0.3">
      <c r="A41" s="5"/>
      <c r="B41" s="5"/>
      <c r="C41" s="5"/>
      <c r="D41" s="1"/>
      <c r="E41" s="1"/>
      <c r="F41" s="1"/>
      <c r="G41" s="1"/>
    </row>
    <row r="42" spans="1:38" x14ac:dyDescent="0.3">
      <c r="A42" s="5"/>
      <c r="B42" s="5"/>
      <c r="C42" s="5"/>
      <c r="D42" s="1"/>
      <c r="E42" s="1"/>
      <c r="F42" s="1"/>
      <c r="G42" s="1"/>
    </row>
    <row r="43" spans="1:38" x14ac:dyDescent="0.3">
      <c r="A43" s="5"/>
      <c r="B43" s="5"/>
      <c r="C43" s="5"/>
      <c r="D43" s="1"/>
      <c r="E43" s="1"/>
      <c r="F43" s="1"/>
      <c r="G43" s="1"/>
    </row>
    <row r="44" spans="1:38" x14ac:dyDescent="0.3">
      <c r="A44" s="5"/>
      <c r="B44" s="5"/>
      <c r="C44" s="5"/>
      <c r="D44" s="1"/>
      <c r="E44" s="1"/>
      <c r="F44" s="1"/>
      <c r="G44" s="1"/>
    </row>
    <row r="45" spans="1:38" x14ac:dyDescent="0.3">
      <c r="A45" s="5"/>
      <c r="B45" s="5"/>
      <c r="C45" s="5"/>
      <c r="D45" s="1"/>
      <c r="E45" s="1"/>
      <c r="F45" s="1"/>
      <c r="G45" s="1"/>
    </row>
    <row r="46" spans="1:38" x14ac:dyDescent="0.3">
      <c r="A46" s="5"/>
      <c r="B46" s="5"/>
      <c r="C46" s="5"/>
      <c r="D46" s="1"/>
      <c r="E46" s="1"/>
      <c r="F46" s="1"/>
      <c r="G46" s="1"/>
    </row>
    <row r="47" spans="1:38" x14ac:dyDescent="0.3">
      <c r="A47" s="5"/>
      <c r="B47" s="5"/>
      <c r="C47" s="5"/>
      <c r="D47" s="1"/>
      <c r="E47" s="1"/>
      <c r="F47" s="1"/>
      <c r="G47" s="1"/>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F5F9-6900-433A-88CC-FD41F9FDCD6D}">
  <sheetPr codeName="Sheet13"/>
  <dimension ref="A1:AN288"/>
  <sheetViews>
    <sheetView rightToLeft="1" workbookViewId="0">
      <pane xSplit="1" ySplit="1" topLeftCell="E17" activePane="bottomRight" state="frozen"/>
      <selection activeCell="A6" sqref="A6"/>
      <selection pane="topRight" activeCell="A6" sqref="A6"/>
      <selection pane="bottomLeft" activeCell="A6" sqref="A6"/>
      <selection pane="bottomRight" activeCell="R19" sqref="R19"/>
    </sheetView>
  </sheetViews>
  <sheetFormatPr defaultColWidth="8.77734375" defaultRowHeight="14.4" x14ac:dyDescent="0.3"/>
  <cols>
    <col min="1" max="1" width="52.21875" style="8" customWidth="1"/>
    <col min="2" max="2" width="10" style="2" customWidth="1"/>
    <col min="3" max="3" width="11.4414062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1840</v>
      </c>
      <c r="B2" s="83" t="s">
        <v>64</v>
      </c>
      <c r="C2" s="76" t="s">
        <v>64</v>
      </c>
      <c r="D2" s="59" t="s">
        <v>64</v>
      </c>
      <c r="E2" s="3"/>
      <c r="F2" s="86" t="s">
        <v>64</v>
      </c>
      <c r="G2" s="56" t="s">
        <v>232</v>
      </c>
      <c r="H2" s="56" t="s">
        <v>82</v>
      </c>
      <c r="I2" s="56" t="s">
        <v>740</v>
      </c>
      <c r="J2" s="56" t="s">
        <v>955</v>
      </c>
      <c r="K2" s="56" t="s">
        <v>916</v>
      </c>
      <c r="L2" s="56" t="s">
        <v>933</v>
      </c>
      <c r="M2" s="56" t="s">
        <v>1302</v>
      </c>
      <c r="N2" s="56" t="s">
        <v>1540</v>
      </c>
      <c r="O2" s="56" t="s">
        <v>926</v>
      </c>
      <c r="P2" s="29"/>
      <c r="Q2" s="56" t="s">
        <v>1024</v>
      </c>
      <c r="R2" s="56" t="s">
        <v>2040</v>
      </c>
      <c r="S2" s="56" t="s">
        <v>194</v>
      </c>
      <c r="T2" s="3" t="s">
        <v>1252</v>
      </c>
      <c r="U2" s="3"/>
      <c r="V2" s="3"/>
      <c r="W2" s="3"/>
      <c r="X2" s="3"/>
      <c r="Y2" s="3"/>
      <c r="Z2" s="3"/>
      <c r="AA2" s="3"/>
      <c r="AB2" s="3"/>
      <c r="AC2" s="3"/>
      <c r="AD2" s="3"/>
      <c r="AE2" s="3"/>
      <c r="AF2" s="3"/>
      <c r="AG2" s="3"/>
      <c r="AH2" s="3"/>
      <c r="AJ2" s="2">
        <f>COUNTA(B2:AH2)</f>
        <v>17</v>
      </c>
      <c r="AL2" s="2">
        <f>COUNTA(F2:O2,R2:S2)</f>
        <v>12</v>
      </c>
      <c r="AN2" s="2">
        <f>COUNTIF(AL2:AL142,"&gt;=2")</f>
        <v>24</v>
      </c>
    </row>
    <row r="3" spans="1:40" x14ac:dyDescent="0.3">
      <c r="A3" s="5" t="s">
        <v>736</v>
      </c>
      <c r="B3" s="6"/>
      <c r="C3" s="5"/>
      <c r="D3" s="1"/>
      <c r="E3" s="3"/>
      <c r="F3" s="11"/>
      <c r="G3" s="3"/>
      <c r="H3" s="3"/>
      <c r="I3" s="56" t="s">
        <v>741</v>
      </c>
      <c r="J3" s="54" t="s">
        <v>956</v>
      </c>
      <c r="M3" s="1" t="s">
        <v>1303</v>
      </c>
      <c r="AJ3" s="2">
        <f t="shared" ref="AJ3:AJ66" si="0">COUNTA(B3:AH3)</f>
        <v>3</v>
      </c>
      <c r="AL3" s="2">
        <f t="shared" ref="AL3:AL66" si="1">COUNTA(F3:O3,R3:S3)</f>
        <v>3</v>
      </c>
    </row>
    <row r="4" spans="1:40" ht="28.8" x14ac:dyDescent="0.3">
      <c r="A4" s="5" t="s">
        <v>1703</v>
      </c>
      <c r="B4" s="6"/>
      <c r="C4" s="5"/>
      <c r="D4" s="1"/>
      <c r="E4" s="1"/>
      <c r="F4" s="1"/>
      <c r="G4" s="1"/>
      <c r="N4" s="53" t="s">
        <v>1538</v>
      </c>
      <c r="S4" s="53" t="s">
        <v>17</v>
      </c>
      <c r="T4" s="53" t="s">
        <v>983</v>
      </c>
      <c r="U4" s="53" t="s">
        <v>2480</v>
      </c>
      <c r="W4" s="54" t="s">
        <v>1441</v>
      </c>
      <c r="Z4" s="53" t="s">
        <v>525</v>
      </c>
      <c r="AA4" s="53" t="s">
        <v>2711</v>
      </c>
      <c r="AB4" s="54" t="s">
        <v>2200</v>
      </c>
      <c r="AC4" s="1" t="s">
        <v>2006</v>
      </c>
      <c r="AJ4" s="2">
        <f t="shared" si="0"/>
        <v>9</v>
      </c>
      <c r="AL4" s="2">
        <f t="shared" si="1"/>
        <v>2</v>
      </c>
    </row>
    <row r="5" spans="1:40" ht="28.8" x14ac:dyDescent="0.3">
      <c r="A5" s="5" t="s">
        <v>2243</v>
      </c>
      <c r="B5" s="5"/>
      <c r="C5" s="5"/>
      <c r="D5" s="1"/>
      <c r="E5" s="3"/>
      <c r="F5" s="11"/>
      <c r="G5" s="3"/>
      <c r="H5" s="3"/>
      <c r="I5" s="3"/>
      <c r="O5" s="54" t="s">
        <v>924</v>
      </c>
      <c r="P5" s="54" t="s">
        <v>930</v>
      </c>
      <c r="Q5" s="54" t="s">
        <v>1023</v>
      </c>
      <c r="R5" s="54" t="s">
        <v>2038</v>
      </c>
      <c r="T5" s="1" t="s">
        <v>974</v>
      </c>
      <c r="AJ5" s="2">
        <f t="shared" si="0"/>
        <v>5</v>
      </c>
      <c r="AL5" s="2">
        <f t="shared" si="1"/>
        <v>2</v>
      </c>
    </row>
    <row r="6" spans="1:40" ht="28.8" x14ac:dyDescent="0.3">
      <c r="A6" s="5" t="s">
        <v>184</v>
      </c>
      <c r="B6" s="6" t="s">
        <v>185</v>
      </c>
      <c r="C6" s="5"/>
      <c r="D6" s="1"/>
      <c r="E6" s="10"/>
      <c r="F6" s="10" t="s">
        <v>185</v>
      </c>
      <c r="G6" s="1"/>
      <c r="AJ6" s="2">
        <f t="shared" si="0"/>
        <v>2</v>
      </c>
      <c r="AL6" s="2">
        <f t="shared" si="1"/>
        <v>1</v>
      </c>
    </row>
    <row r="7" spans="1:40" ht="28.8" x14ac:dyDescent="0.3">
      <c r="A7" s="5" t="s">
        <v>186</v>
      </c>
      <c r="B7" s="10" t="s">
        <v>187</v>
      </c>
      <c r="C7" s="5"/>
      <c r="D7" s="1"/>
      <c r="E7" s="1"/>
      <c r="F7" s="66" t="s">
        <v>187</v>
      </c>
      <c r="G7" s="61" t="s">
        <v>12</v>
      </c>
      <c r="H7" s="61" t="s">
        <v>13</v>
      </c>
      <c r="I7" s="53" t="s">
        <v>16</v>
      </c>
      <c r="J7" s="53" t="s">
        <v>896</v>
      </c>
      <c r="K7" s="53" t="s">
        <v>894</v>
      </c>
      <c r="L7" s="54" t="s">
        <v>895</v>
      </c>
      <c r="M7" s="54" t="s">
        <v>44</v>
      </c>
      <c r="N7" s="53" t="s">
        <v>1077</v>
      </c>
      <c r="O7" s="1" t="s">
        <v>916</v>
      </c>
      <c r="AJ7" s="2">
        <f t="shared" si="0"/>
        <v>11</v>
      </c>
      <c r="AL7" s="2">
        <f t="shared" si="1"/>
        <v>10</v>
      </c>
    </row>
    <row r="8" spans="1:40" ht="28.8" x14ac:dyDescent="0.3">
      <c r="A8" s="5" t="s">
        <v>412</v>
      </c>
      <c r="B8" s="6"/>
      <c r="C8" s="5"/>
      <c r="D8" s="1"/>
      <c r="E8" s="1"/>
      <c r="F8" s="1"/>
      <c r="G8" s="61" t="s">
        <v>13</v>
      </c>
      <c r="H8" s="10" t="s">
        <v>189</v>
      </c>
      <c r="AJ8" s="2">
        <f t="shared" si="0"/>
        <v>2</v>
      </c>
      <c r="AL8" s="2">
        <f t="shared" si="1"/>
        <v>2</v>
      </c>
    </row>
    <row r="9" spans="1:40" ht="57.6" x14ac:dyDescent="0.3">
      <c r="A9" s="5" t="s">
        <v>415</v>
      </c>
      <c r="B9" s="6"/>
      <c r="C9" s="5"/>
      <c r="D9" s="1"/>
      <c r="E9" s="1"/>
      <c r="F9" s="1"/>
      <c r="G9" s="66" t="s">
        <v>192</v>
      </c>
      <c r="H9" s="61" t="s">
        <v>194</v>
      </c>
      <c r="I9" s="53" t="s">
        <v>427</v>
      </c>
      <c r="J9" s="61" t="s">
        <v>908</v>
      </c>
      <c r="N9" s="54" t="s">
        <v>1087</v>
      </c>
      <c r="O9" s="53" t="s">
        <v>911</v>
      </c>
      <c r="P9" s="53" t="s">
        <v>133</v>
      </c>
      <c r="Q9" s="53" t="s">
        <v>993</v>
      </c>
      <c r="R9" s="1" t="s">
        <v>1982</v>
      </c>
      <c r="AJ9" s="2">
        <f t="shared" si="0"/>
        <v>9</v>
      </c>
      <c r="AL9" s="2">
        <f t="shared" si="1"/>
        <v>7</v>
      </c>
    </row>
    <row r="10" spans="1:40" ht="43.2" x14ac:dyDescent="0.3">
      <c r="A10" s="5" t="s">
        <v>1866</v>
      </c>
      <c r="B10" s="6"/>
      <c r="C10" s="5"/>
      <c r="D10" s="1"/>
      <c r="E10" s="1"/>
      <c r="F10" s="1"/>
      <c r="G10" s="10"/>
      <c r="H10" s="10"/>
      <c r="J10" s="10"/>
      <c r="P10" s="30" t="s">
        <v>289</v>
      </c>
      <c r="AJ10" s="2">
        <f t="shared" si="0"/>
        <v>1</v>
      </c>
      <c r="AL10" s="2">
        <f t="shared" si="1"/>
        <v>0</v>
      </c>
    </row>
    <row r="11" spans="1:40" ht="28.8" x14ac:dyDescent="0.3">
      <c r="A11" s="5" t="s">
        <v>1867</v>
      </c>
      <c r="B11" s="6"/>
      <c r="C11" s="5"/>
      <c r="D11" s="1"/>
      <c r="E11" s="1"/>
      <c r="F11" s="1"/>
      <c r="G11" s="10"/>
      <c r="H11" s="10"/>
      <c r="J11" s="10"/>
      <c r="P11" s="30" t="s">
        <v>290</v>
      </c>
      <c r="AJ11" s="2">
        <f t="shared" si="0"/>
        <v>1</v>
      </c>
      <c r="AL11" s="2">
        <f t="shared" si="1"/>
        <v>0</v>
      </c>
    </row>
    <row r="12" spans="1:40" x14ac:dyDescent="0.3">
      <c r="A12" s="5" t="s">
        <v>417</v>
      </c>
      <c r="B12" s="1"/>
      <c r="C12" s="5"/>
      <c r="D12" s="1"/>
      <c r="E12" s="1"/>
      <c r="F12" s="1"/>
      <c r="G12" s="10" t="s">
        <v>33</v>
      </c>
      <c r="AJ12" s="2">
        <f t="shared" si="0"/>
        <v>1</v>
      </c>
      <c r="AL12" s="2">
        <f t="shared" si="1"/>
        <v>1</v>
      </c>
    </row>
    <row r="13" spans="1:40" x14ac:dyDescent="0.3">
      <c r="A13" s="5" t="s">
        <v>712</v>
      </c>
      <c r="B13" s="1"/>
      <c r="C13" s="5"/>
      <c r="D13" s="1"/>
      <c r="E13" s="1"/>
      <c r="F13" s="1"/>
      <c r="G13" s="10"/>
      <c r="I13" s="1" t="s">
        <v>713</v>
      </c>
      <c r="AJ13" s="2">
        <f t="shared" si="0"/>
        <v>1</v>
      </c>
      <c r="AL13" s="2">
        <f t="shared" si="1"/>
        <v>1</v>
      </c>
    </row>
    <row r="14" spans="1:40" ht="28.8" x14ac:dyDescent="0.3">
      <c r="A14" s="5" t="s">
        <v>714</v>
      </c>
      <c r="B14" s="1"/>
      <c r="C14" s="5"/>
      <c r="D14" s="1"/>
      <c r="E14" s="1"/>
      <c r="F14" s="1"/>
      <c r="G14" s="10"/>
      <c r="I14" s="1" t="s">
        <v>715</v>
      </c>
      <c r="AJ14" s="2">
        <f t="shared" si="0"/>
        <v>1</v>
      </c>
      <c r="AL14" s="2">
        <f t="shared" si="1"/>
        <v>1</v>
      </c>
    </row>
    <row r="15" spans="1:40" ht="43.2" x14ac:dyDescent="0.3">
      <c r="A15" s="5" t="s">
        <v>430</v>
      </c>
      <c r="B15" s="5"/>
      <c r="C15" s="5"/>
      <c r="D15" s="1"/>
      <c r="E15" s="1"/>
      <c r="F15" s="1"/>
      <c r="G15" s="61" t="s">
        <v>431</v>
      </c>
      <c r="H15" s="61" t="s">
        <v>427</v>
      </c>
      <c r="I15" s="1" t="s">
        <v>64</v>
      </c>
      <c r="AJ15" s="2">
        <f t="shared" si="0"/>
        <v>3</v>
      </c>
      <c r="AL15" s="2">
        <f t="shared" si="1"/>
        <v>3</v>
      </c>
    </row>
    <row r="16" spans="1:40" ht="28.8" x14ac:dyDescent="0.3">
      <c r="A16" s="5" t="s">
        <v>434</v>
      </c>
      <c r="B16" s="1"/>
      <c r="C16" s="5"/>
      <c r="D16" s="1"/>
      <c r="E16" s="1"/>
      <c r="F16" s="1"/>
      <c r="G16" s="10" t="s">
        <v>432</v>
      </c>
      <c r="AJ16" s="2">
        <f t="shared" si="0"/>
        <v>1</v>
      </c>
      <c r="AL16" s="2">
        <f t="shared" si="1"/>
        <v>1</v>
      </c>
    </row>
    <row r="17" spans="1:38" ht="43.2" x14ac:dyDescent="0.3">
      <c r="A17" s="5" t="s">
        <v>435</v>
      </c>
      <c r="B17" s="1"/>
      <c r="C17" s="5"/>
      <c r="D17" s="1"/>
      <c r="E17" s="1"/>
      <c r="F17" s="1"/>
      <c r="G17" s="10" t="s">
        <v>433</v>
      </c>
      <c r="H17" s="10" t="s">
        <v>433</v>
      </c>
      <c r="AJ17" s="2">
        <f t="shared" si="0"/>
        <v>2</v>
      </c>
      <c r="AL17" s="2">
        <f t="shared" si="1"/>
        <v>2</v>
      </c>
    </row>
    <row r="18" spans="1:38" ht="28.8" x14ac:dyDescent="0.3">
      <c r="A18" s="5" t="s">
        <v>616</v>
      </c>
      <c r="B18" s="1"/>
      <c r="C18" s="5"/>
      <c r="D18" s="1"/>
      <c r="E18" s="1"/>
      <c r="F18" s="1"/>
      <c r="G18" s="1"/>
      <c r="H18" s="10" t="s">
        <v>432</v>
      </c>
      <c r="I18" s="12" t="s">
        <v>649</v>
      </c>
      <c r="AJ18" s="2">
        <f t="shared" si="0"/>
        <v>2</v>
      </c>
      <c r="AL18" s="2">
        <f t="shared" si="1"/>
        <v>2</v>
      </c>
    </row>
    <row r="19" spans="1:38" x14ac:dyDescent="0.3">
      <c r="A19" s="5" t="s">
        <v>3081</v>
      </c>
      <c r="B19" s="1"/>
      <c r="C19" s="5"/>
      <c r="D19" s="1"/>
      <c r="E19" s="1"/>
      <c r="F19" s="1"/>
      <c r="G19" s="1"/>
      <c r="I19" s="66" t="s">
        <v>185</v>
      </c>
      <c r="J19" s="61" t="s">
        <v>878</v>
      </c>
      <c r="N19" s="53" t="s">
        <v>1441</v>
      </c>
      <c r="O19" s="53" t="s">
        <v>1676</v>
      </c>
      <c r="P19" s="53" t="s">
        <v>1779</v>
      </c>
      <c r="Q19" s="53" t="s">
        <v>1966</v>
      </c>
      <c r="R19" s="53" t="s">
        <v>1967</v>
      </c>
      <c r="T19" s="53" t="s">
        <v>1194</v>
      </c>
      <c r="V19" s="54" t="s">
        <v>37</v>
      </c>
      <c r="AH19" s="1" t="s">
        <v>909</v>
      </c>
      <c r="AJ19" s="2">
        <f t="shared" si="0"/>
        <v>10</v>
      </c>
      <c r="AL19" s="2">
        <f t="shared" si="1"/>
        <v>5</v>
      </c>
    </row>
    <row r="20" spans="1:38" x14ac:dyDescent="0.3">
      <c r="A20" s="5" t="s">
        <v>708</v>
      </c>
      <c r="B20" s="1"/>
      <c r="C20" s="5"/>
      <c r="D20" s="1"/>
      <c r="E20" s="1"/>
      <c r="F20" s="1"/>
      <c r="G20" s="1"/>
      <c r="I20" s="66" t="s">
        <v>10</v>
      </c>
      <c r="J20" s="61" t="s">
        <v>879</v>
      </c>
      <c r="N20" s="53" t="s">
        <v>1443</v>
      </c>
      <c r="O20" s="53" t="s">
        <v>1677</v>
      </c>
      <c r="P20" s="53" t="s">
        <v>1263</v>
      </c>
      <c r="Q20" s="53" t="s">
        <v>971</v>
      </c>
      <c r="R20" s="53" t="s">
        <v>1968</v>
      </c>
      <c r="T20" s="53" t="s">
        <v>1021</v>
      </c>
      <c r="V20" s="54" t="s">
        <v>39</v>
      </c>
      <c r="AH20" s="1" t="s">
        <v>910</v>
      </c>
      <c r="AJ20" s="2">
        <f t="shared" si="0"/>
        <v>10</v>
      </c>
      <c r="AL20" s="2">
        <f t="shared" si="1"/>
        <v>5</v>
      </c>
    </row>
    <row r="21" spans="1:38" x14ac:dyDescent="0.3">
      <c r="A21" s="5" t="s">
        <v>709</v>
      </c>
      <c r="B21" s="1"/>
      <c r="C21" s="5"/>
      <c r="D21" s="1"/>
      <c r="E21" s="1"/>
      <c r="F21" s="1"/>
      <c r="G21" s="1"/>
      <c r="I21" s="66" t="s">
        <v>11</v>
      </c>
      <c r="J21" s="61" t="s">
        <v>883</v>
      </c>
      <c r="N21" s="53" t="s">
        <v>1057</v>
      </c>
      <c r="O21" s="53" t="s">
        <v>873</v>
      </c>
      <c r="P21" s="53" t="s">
        <v>1264</v>
      </c>
      <c r="Q21" s="53" t="s">
        <v>972</v>
      </c>
      <c r="R21" s="53" t="s">
        <v>1969</v>
      </c>
      <c r="T21" s="53" t="s">
        <v>1023</v>
      </c>
      <c r="V21" s="54" t="s">
        <v>421</v>
      </c>
      <c r="AH21" s="1" t="s">
        <v>911</v>
      </c>
      <c r="AJ21" s="2">
        <f t="shared" si="0"/>
        <v>10</v>
      </c>
      <c r="AL21" s="2">
        <f t="shared" si="1"/>
        <v>5</v>
      </c>
    </row>
    <row r="22" spans="1:38" x14ac:dyDescent="0.3">
      <c r="A22" s="5" t="s">
        <v>2335</v>
      </c>
      <c r="B22" s="1"/>
      <c r="C22" s="5"/>
      <c r="D22" s="1"/>
      <c r="E22" s="1"/>
      <c r="F22" s="1"/>
      <c r="G22" s="1"/>
      <c r="I22" s="10"/>
      <c r="J22" s="10"/>
      <c r="T22" s="1" t="s">
        <v>1024</v>
      </c>
      <c r="AJ22" s="2">
        <f t="shared" si="0"/>
        <v>1</v>
      </c>
      <c r="AL22" s="2">
        <f t="shared" si="1"/>
        <v>0</v>
      </c>
    </row>
    <row r="23" spans="1:38" x14ac:dyDescent="0.3">
      <c r="A23" s="5" t="s">
        <v>2336</v>
      </c>
      <c r="B23" s="1"/>
      <c r="C23" s="5"/>
      <c r="D23" s="1"/>
      <c r="E23" s="1"/>
      <c r="F23" s="1"/>
      <c r="G23" s="1"/>
      <c r="I23" s="10"/>
      <c r="J23" s="10"/>
      <c r="T23" s="1" t="s">
        <v>1026</v>
      </c>
      <c r="AJ23" s="2">
        <f t="shared" si="0"/>
        <v>1</v>
      </c>
      <c r="AL23" s="2">
        <f t="shared" si="1"/>
        <v>0</v>
      </c>
    </row>
    <row r="24" spans="1:38" x14ac:dyDescent="0.3">
      <c r="A24" s="5" t="s">
        <v>2337</v>
      </c>
      <c r="B24" s="1"/>
      <c r="C24" s="5"/>
      <c r="D24" s="1"/>
      <c r="E24" s="1"/>
      <c r="F24" s="1"/>
      <c r="G24" s="1"/>
      <c r="I24" s="10"/>
      <c r="J24" s="10"/>
      <c r="T24" s="1" t="s">
        <v>1027</v>
      </c>
      <c r="AJ24" s="2">
        <f t="shared" si="0"/>
        <v>1</v>
      </c>
      <c r="AL24" s="2">
        <f t="shared" si="1"/>
        <v>0</v>
      </c>
    </row>
    <row r="25" spans="1:38" ht="43.2" x14ac:dyDescent="0.3">
      <c r="A25" s="5" t="s">
        <v>719</v>
      </c>
      <c r="B25" s="1"/>
      <c r="C25" s="5"/>
      <c r="D25" s="1"/>
      <c r="E25" s="1"/>
      <c r="F25" s="1"/>
      <c r="G25" s="1"/>
      <c r="I25" s="61" t="s">
        <v>34</v>
      </c>
      <c r="J25" s="61" t="s">
        <v>881</v>
      </c>
      <c r="O25" s="1" t="s">
        <v>1319</v>
      </c>
      <c r="AJ25" s="2">
        <f t="shared" si="0"/>
        <v>3</v>
      </c>
      <c r="AL25" s="2">
        <f t="shared" si="1"/>
        <v>3</v>
      </c>
    </row>
    <row r="26" spans="1:38" x14ac:dyDescent="0.3">
      <c r="A26" s="5" t="s">
        <v>720</v>
      </c>
      <c r="B26" s="5"/>
      <c r="C26" s="5"/>
      <c r="D26" s="1"/>
      <c r="E26" s="1"/>
      <c r="F26" s="1"/>
      <c r="G26" s="1"/>
      <c r="I26" s="61" t="s">
        <v>39</v>
      </c>
      <c r="J26" s="10" t="s">
        <v>903</v>
      </c>
      <c r="AJ26" s="2">
        <f t="shared" si="0"/>
        <v>2</v>
      </c>
      <c r="AL26" s="2">
        <f t="shared" si="1"/>
        <v>2</v>
      </c>
    </row>
    <row r="27" spans="1:38" x14ac:dyDescent="0.3">
      <c r="A27" s="5" t="s">
        <v>717</v>
      </c>
      <c r="B27" s="5"/>
      <c r="C27" s="5"/>
      <c r="D27" s="1"/>
      <c r="E27" s="1"/>
      <c r="F27" s="1"/>
      <c r="G27" s="61" t="s">
        <v>39</v>
      </c>
      <c r="I27" s="61" t="s">
        <v>422</v>
      </c>
      <c r="J27" s="61" t="s">
        <v>904</v>
      </c>
      <c r="O27" s="1" t="s">
        <v>1330</v>
      </c>
      <c r="AJ27" s="2">
        <f t="shared" si="0"/>
        <v>4</v>
      </c>
      <c r="AL27" s="2">
        <f t="shared" si="1"/>
        <v>4</v>
      </c>
    </row>
    <row r="28" spans="1:38" ht="28.8" x14ac:dyDescent="0.3">
      <c r="A28" s="5" t="s">
        <v>1208</v>
      </c>
      <c r="B28" s="5"/>
      <c r="C28" s="5"/>
      <c r="D28" s="1"/>
      <c r="E28" s="1"/>
      <c r="F28" s="1"/>
      <c r="G28" s="1"/>
      <c r="L28" s="54" t="s">
        <v>876</v>
      </c>
      <c r="M28" s="54" t="s">
        <v>189</v>
      </c>
      <c r="N28" s="1" t="s">
        <v>367</v>
      </c>
      <c r="AJ28" s="2">
        <f t="shared" si="0"/>
        <v>3</v>
      </c>
      <c r="AL28" s="2">
        <f t="shared" si="1"/>
        <v>3</v>
      </c>
    </row>
    <row r="29" spans="1:38" ht="43.2" x14ac:dyDescent="0.3">
      <c r="A29" s="5" t="s">
        <v>1270</v>
      </c>
      <c r="B29" s="5"/>
      <c r="C29" s="5"/>
      <c r="D29" s="1"/>
      <c r="E29" s="1"/>
      <c r="F29" s="1"/>
      <c r="G29" s="1"/>
      <c r="M29" s="1" t="s">
        <v>190</v>
      </c>
      <c r="AJ29" s="2">
        <f t="shared" si="0"/>
        <v>1</v>
      </c>
      <c r="AL29" s="2">
        <f t="shared" si="1"/>
        <v>1</v>
      </c>
    </row>
    <row r="30" spans="1:38" ht="28.8" x14ac:dyDescent="0.3">
      <c r="A30" s="5" t="s">
        <v>1266</v>
      </c>
      <c r="B30" s="5"/>
      <c r="C30" s="5"/>
      <c r="D30" s="1"/>
      <c r="E30" s="1"/>
      <c r="F30" s="1"/>
      <c r="G30" s="1"/>
      <c r="M30" s="1" t="s">
        <v>183</v>
      </c>
      <c r="AJ30" s="2">
        <f t="shared" si="0"/>
        <v>1</v>
      </c>
      <c r="AL30" s="2">
        <f t="shared" si="1"/>
        <v>1</v>
      </c>
    </row>
    <row r="31" spans="1:38" ht="43.2" x14ac:dyDescent="0.3">
      <c r="A31" s="5" t="s">
        <v>1267</v>
      </c>
      <c r="B31" s="5"/>
      <c r="C31" s="5"/>
      <c r="D31" s="1"/>
      <c r="E31" s="1"/>
      <c r="F31" s="1"/>
      <c r="G31" s="1"/>
      <c r="M31" s="1" t="s">
        <v>185</v>
      </c>
      <c r="AJ31" s="2">
        <f t="shared" si="0"/>
        <v>1</v>
      </c>
      <c r="AL31" s="2">
        <f t="shared" si="1"/>
        <v>1</v>
      </c>
    </row>
    <row r="32" spans="1:38" ht="28.8" x14ac:dyDescent="0.3">
      <c r="A32" s="24" t="s">
        <v>1493</v>
      </c>
      <c r="B32" s="5"/>
      <c r="C32" s="31"/>
      <c r="D32" s="1"/>
      <c r="E32" s="1"/>
      <c r="F32" s="1"/>
      <c r="G32" s="1"/>
      <c r="N32" s="1" t="s">
        <v>366</v>
      </c>
      <c r="AJ32" s="2">
        <f t="shared" si="0"/>
        <v>1</v>
      </c>
      <c r="AL32" s="2">
        <f t="shared" si="1"/>
        <v>1</v>
      </c>
    </row>
    <row r="33" spans="1:38" ht="28.8" x14ac:dyDescent="0.3">
      <c r="A33" s="5" t="s">
        <v>1682</v>
      </c>
      <c r="B33" s="5"/>
      <c r="C33" s="5"/>
      <c r="D33" s="1"/>
      <c r="E33" s="1"/>
      <c r="F33" s="1"/>
      <c r="G33" s="1"/>
      <c r="O33" s="53" t="s">
        <v>889</v>
      </c>
      <c r="P33" s="53" t="s">
        <v>10</v>
      </c>
      <c r="Q33" s="53" t="s">
        <v>976</v>
      </c>
      <c r="R33" s="1" t="s">
        <v>1980</v>
      </c>
      <c r="AJ33" s="2">
        <f t="shared" si="0"/>
        <v>4</v>
      </c>
      <c r="AL33" s="2">
        <f t="shared" si="1"/>
        <v>2</v>
      </c>
    </row>
    <row r="34" spans="1:38" x14ac:dyDescent="0.3">
      <c r="A34" s="5" t="s">
        <v>3013</v>
      </c>
      <c r="B34" s="5"/>
      <c r="C34" s="5"/>
      <c r="D34" s="1"/>
      <c r="E34" s="1"/>
      <c r="F34" s="1"/>
      <c r="G34" s="1"/>
      <c r="AF34" s="53" t="s">
        <v>1067</v>
      </c>
      <c r="AG34" s="53" t="s">
        <v>1073</v>
      </c>
      <c r="AH34" s="1" t="s">
        <v>364</v>
      </c>
      <c r="AJ34" s="2">
        <f t="shared" si="0"/>
        <v>3</v>
      </c>
      <c r="AL34" s="2">
        <f t="shared" si="1"/>
        <v>0</v>
      </c>
    </row>
    <row r="35" spans="1:38" ht="28.8" x14ac:dyDescent="0.3">
      <c r="A35" s="5" t="s">
        <v>1686</v>
      </c>
      <c r="B35" s="5"/>
      <c r="C35" s="5"/>
      <c r="D35" s="1"/>
      <c r="E35" s="1"/>
      <c r="F35" s="1"/>
      <c r="G35" s="1"/>
      <c r="O35" s="1" t="s">
        <v>898</v>
      </c>
      <c r="AJ35" s="2">
        <f t="shared" si="0"/>
        <v>1</v>
      </c>
      <c r="AL35" s="2">
        <f t="shared" si="1"/>
        <v>1</v>
      </c>
    </row>
    <row r="36" spans="1:38" x14ac:dyDescent="0.3">
      <c r="A36" s="5" t="s">
        <v>1687</v>
      </c>
      <c r="B36" s="5"/>
      <c r="C36" s="5"/>
      <c r="D36" s="1"/>
      <c r="E36" s="1"/>
      <c r="F36" s="1"/>
      <c r="G36" s="1"/>
      <c r="O36" s="1" t="s">
        <v>880</v>
      </c>
      <c r="AJ36" s="2">
        <f t="shared" si="0"/>
        <v>1</v>
      </c>
      <c r="AL36" s="2">
        <f t="shared" si="1"/>
        <v>1</v>
      </c>
    </row>
    <row r="37" spans="1:38" x14ac:dyDescent="0.3">
      <c r="A37" s="5" t="s">
        <v>1688</v>
      </c>
      <c r="B37" s="5"/>
      <c r="C37" s="5"/>
      <c r="D37" s="1"/>
      <c r="E37" s="1"/>
      <c r="F37" s="1"/>
      <c r="G37" s="1"/>
      <c r="O37" s="1" t="s">
        <v>899</v>
      </c>
      <c r="AJ37" s="2">
        <f t="shared" si="0"/>
        <v>1</v>
      </c>
      <c r="AL37" s="2">
        <f t="shared" si="1"/>
        <v>1</v>
      </c>
    </row>
    <row r="38" spans="1:38" x14ac:dyDescent="0.3">
      <c r="A38" s="5" t="s">
        <v>1689</v>
      </c>
      <c r="B38" s="5"/>
      <c r="C38" s="5"/>
      <c r="D38" s="1"/>
      <c r="E38" s="1"/>
      <c r="F38" s="1"/>
      <c r="G38" s="1"/>
      <c r="O38" s="1" t="s">
        <v>900</v>
      </c>
      <c r="AJ38" s="2">
        <f t="shared" si="0"/>
        <v>1</v>
      </c>
      <c r="AL38" s="2">
        <f t="shared" si="1"/>
        <v>1</v>
      </c>
    </row>
    <row r="39" spans="1:38" x14ac:dyDescent="0.3">
      <c r="A39" s="5" t="s">
        <v>1690</v>
      </c>
      <c r="B39" s="5"/>
      <c r="C39" s="5"/>
      <c r="D39" s="1"/>
      <c r="E39" s="1"/>
      <c r="F39" s="1"/>
      <c r="G39" s="1"/>
      <c r="O39" s="1" t="s">
        <v>881</v>
      </c>
      <c r="AJ39" s="2">
        <f t="shared" si="0"/>
        <v>1</v>
      </c>
      <c r="AL39" s="2">
        <f t="shared" si="1"/>
        <v>1</v>
      </c>
    </row>
    <row r="40" spans="1:38" ht="28.8" x14ac:dyDescent="0.3">
      <c r="A40" s="5" t="s">
        <v>1691</v>
      </c>
      <c r="B40" s="5"/>
      <c r="C40" s="5"/>
      <c r="D40" s="1"/>
      <c r="E40" s="1"/>
      <c r="F40" s="1"/>
      <c r="G40" s="1"/>
      <c r="O40" s="53" t="s">
        <v>903</v>
      </c>
      <c r="P40" s="53" t="s">
        <v>499</v>
      </c>
      <c r="Q40" s="53" t="s">
        <v>984</v>
      </c>
      <c r="R40" s="1" t="s">
        <v>1987</v>
      </c>
      <c r="AJ40" s="2">
        <f t="shared" si="0"/>
        <v>4</v>
      </c>
      <c r="AL40" s="2">
        <f t="shared" si="1"/>
        <v>2</v>
      </c>
    </row>
    <row r="41" spans="1:38" x14ac:dyDescent="0.3">
      <c r="A41" s="5" t="s">
        <v>1697</v>
      </c>
      <c r="B41" s="5"/>
      <c r="C41" s="5"/>
      <c r="D41" s="1"/>
      <c r="E41" s="1"/>
      <c r="F41" s="1"/>
      <c r="G41" s="1"/>
      <c r="O41" s="1" t="s">
        <v>901</v>
      </c>
      <c r="AJ41" s="2">
        <f t="shared" si="0"/>
        <v>1</v>
      </c>
      <c r="AL41" s="2">
        <f t="shared" si="1"/>
        <v>1</v>
      </c>
    </row>
    <row r="42" spans="1:38" x14ac:dyDescent="0.3">
      <c r="A42" s="5" t="s">
        <v>1692</v>
      </c>
      <c r="B42" s="5"/>
      <c r="C42" s="5"/>
      <c r="D42" s="1"/>
      <c r="E42" s="1"/>
      <c r="F42" s="1"/>
      <c r="G42" s="1"/>
      <c r="O42" s="53" t="s">
        <v>902</v>
      </c>
      <c r="P42" s="53" t="s">
        <v>500</v>
      </c>
      <c r="Q42" s="53" t="s">
        <v>985</v>
      </c>
      <c r="R42" s="1" t="s">
        <v>1996</v>
      </c>
      <c r="AJ42" s="2">
        <f t="shared" si="0"/>
        <v>4</v>
      </c>
      <c r="AL42" s="2">
        <f t="shared" si="1"/>
        <v>2</v>
      </c>
    </row>
    <row r="43" spans="1:38" x14ac:dyDescent="0.3">
      <c r="A43" s="5" t="s">
        <v>1836</v>
      </c>
      <c r="B43" s="5"/>
      <c r="C43" s="5"/>
      <c r="D43" s="1"/>
      <c r="E43" s="1"/>
      <c r="F43" s="1"/>
      <c r="G43" s="1"/>
      <c r="O43" s="53" t="s">
        <v>904</v>
      </c>
      <c r="P43" s="53" t="s">
        <v>501</v>
      </c>
      <c r="Q43" s="53" t="s">
        <v>986</v>
      </c>
      <c r="R43" s="1" t="s">
        <v>1985</v>
      </c>
      <c r="AJ43" s="2">
        <f t="shared" si="0"/>
        <v>4</v>
      </c>
      <c r="AL43" s="2">
        <f t="shared" si="1"/>
        <v>2</v>
      </c>
    </row>
    <row r="44" spans="1:38" x14ac:dyDescent="0.3">
      <c r="A44" s="5" t="s">
        <v>1693</v>
      </c>
      <c r="B44" s="5"/>
      <c r="C44" s="5"/>
      <c r="D44" s="1"/>
      <c r="E44" s="1"/>
      <c r="F44" s="1"/>
      <c r="G44" s="1"/>
      <c r="O44" s="53" t="s">
        <v>906</v>
      </c>
      <c r="P44" s="53" t="s">
        <v>503</v>
      </c>
      <c r="Q44" s="53" t="s">
        <v>988</v>
      </c>
      <c r="R44" s="1" t="s">
        <v>1997</v>
      </c>
      <c r="AJ44" s="2">
        <f t="shared" si="0"/>
        <v>4</v>
      </c>
      <c r="AL44" s="2">
        <f t="shared" si="1"/>
        <v>2</v>
      </c>
    </row>
    <row r="45" spans="1:38" x14ac:dyDescent="0.3">
      <c r="A45" s="5" t="s">
        <v>1837</v>
      </c>
      <c r="B45" s="5"/>
      <c r="C45" s="5"/>
      <c r="D45" s="1"/>
      <c r="E45" s="1"/>
      <c r="F45" s="1"/>
      <c r="G45" s="1"/>
      <c r="P45" s="53" t="s">
        <v>504</v>
      </c>
      <c r="Q45" s="53" t="s">
        <v>989</v>
      </c>
      <c r="R45" s="1" t="s">
        <v>1998</v>
      </c>
      <c r="AJ45" s="2">
        <f t="shared" si="0"/>
        <v>3</v>
      </c>
      <c r="AL45" s="2">
        <f t="shared" si="1"/>
        <v>1</v>
      </c>
    </row>
    <row r="46" spans="1:38" x14ac:dyDescent="0.3">
      <c r="A46" s="5" t="s">
        <v>1694</v>
      </c>
      <c r="B46" s="5"/>
      <c r="C46" s="5"/>
      <c r="D46" s="1"/>
      <c r="E46" s="1"/>
      <c r="F46" s="1"/>
      <c r="G46" s="1"/>
      <c r="O46" s="1" t="s">
        <v>907</v>
      </c>
      <c r="AJ46" s="2">
        <f t="shared" si="0"/>
        <v>1</v>
      </c>
      <c r="AL46" s="2">
        <f t="shared" si="1"/>
        <v>1</v>
      </c>
    </row>
    <row r="47" spans="1:38" x14ac:dyDescent="0.3">
      <c r="A47" s="5" t="s">
        <v>1695</v>
      </c>
      <c r="B47" s="5"/>
      <c r="C47" s="5"/>
      <c r="D47" s="1"/>
      <c r="E47" s="1"/>
      <c r="F47" s="1"/>
      <c r="G47" s="1"/>
      <c r="O47" s="53" t="s">
        <v>908</v>
      </c>
      <c r="P47" s="53" t="s">
        <v>502</v>
      </c>
      <c r="Q47" s="53" t="s">
        <v>987</v>
      </c>
      <c r="R47" s="1" t="s">
        <v>1986</v>
      </c>
      <c r="AJ47" s="2">
        <f t="shared" si="0"/>
        <v>4</v>
      </c>
      <c r="AL47" s="2">
        <f t="shared" si="1"/>
        <v>2</v>
      </c>
    </row>
    <row r="48" spans="1:38" x14ac:dyDescent="0.3">
      <c r="A48" s="5" t="s">
        <v>1696</v>
      </c>
      <c r="B48" s="5"/>
      <c r="C48" s="5"/>
      <c r="D48" s="1"/>
      <c r="E48" s="1"/>
      <c r="F48" s="1"/>
      <c r="G48" s="1"/>
      <c r="O48" s="1" t="s">
        <v>909</v>
      </c>
      <c r="AJ48" s="2">
        <f t="shared" si="0"/>
        <v>1</v>
      </c>
      <c r="AL48" s="2">
        <f t="shared" si="1"/>
        <v>1</v>
      </c>
    </row>
    <row r="49" spans="1:38" x14ac:dyDescent="0.3">
      <c r="A49" s="5" t="s">
        <v>1838</v>
      </c>
      <c r="B49" s="5"/>
      <c r="C49" s="5"/>
      <c r="D49" s="1"/>
      <c r="E49" s="1"/>
      <c r="F49" s="1"/>
      <c r="G49" s="1"/>
      <c r="P49" s="53" t="s">
        <v>656</v>
      </c>
      <c r="Q49" s="53" t="s">
        <v>990</v>
      </c>
      <c r="R49" s="1" t="s">
        <v>1999</v>
      </c>
      <c r="AJ49" s="2">
        <f t="shared" si="0"/>
        <v>3</v>
      </c>
      <c r="AL49" s="2">
        <f t="shared" si="1"/>
        <v>1</v>
      </c>
    </row>
    <row r="50" spans="1:38" ht="57.6" x14ac:dyDescent="0.3">
      <c r="A50" s="5" t="s">
        <v>1698</v>
      </c>
      <c r="B50" s="5"/>
      <c r="C50" s="5"/>
      <c r="D50" s="1"/>
      <c r="E50" s="1"/>
      <c r="F50" s="1"/>
      <c r="G50" s="1"/>
      <c r="O50" s="53" t="s">
        <v>912</v>
      </c>
      <c r="P50" s="53" t="s">
        <v>187</v>
      </c>
      <c r="Q50" s="53" t="s">
        <v>995</v>
      </c>
      <c r="R50" s="1" t="s">
        <v>1983</v>
      </c>
      <c r="AJ50" s="2">
        <f t="shared" si="0"/>
        <v>4</v>
      </c>
      <c r="AL50" s="2">
        <f t="shared" si="1"/>
        <v>2</v>
      </c>
    </row>
    <row r="51" spans="1:38" ht="72" x14ac:dyDescent="0.3">
      <c r="A51" s="5" t="s">
        <v>1784</v>
      </c>
      <c r="B51" s="5"/>
      <c r="C51" s="5"/>
      <c r="D51" s="1"/>
      <c r="E51" s="1"/>
      <c r="F51" s="1"/>
      <c r="G51" s="1"/>
      <c r="P51" s="53" t="s">
        <v>11</v>
      </c>
      <c r="Q51" s="53" t="s">
        <v>994</v>
      </c>
      <c r="R51" s="1" t="s">
        <v>2002</v>
      </c>
      <c r="AJ51" s="2">
        <f t="shared" si="0"/>
        <v>3</v>
      </c>
      <c r="AL51" s="2">
        <f t="shared" si="1"/>
        <v>1</v>
      </c>
    </row>
    <row r="52" spans="1:38" ht="28.8" x14ac:dyDescent="0.3">
      <c r="A52" s="5" t="s">
        <v>1785</v>
      </c>
      <c r="B52" s="5"/>
      <c r="C52" s="5"/>
      <c r="D52" s="1"/>
      <c r="E52" s="1"/>
      <c r="F52" s="1"/>
      <c r="G52" s="1"/>
      <c r="P52" s="30" t="s">
        <v>12</v>
      </c>
      <c r="AJ52" s="2">
        <f t="shared" si="0"/>
        <v>1</v>
      </c>
      <c r="AL52" s="2">
        <f t="shared" si="1"/>
        <v>0</v>
      </c>
    </row>
    <row r="53" spans="1:38" ht="28.8" x14ac:dyDescent="0.3">
      <c r="A53" s="5" t="s">
        <v>1790</v>
      </c>
      <c r="B53" s="5"/>
      <c r="C53" s="5"/>
      <c r="D53" s="1"/>
      <c r="E53" s="1"/>
      <c r="F53" s="1"/>
      <c r="G53" s="1"/>
      <c r="P53" s="30" t="s">
        <v>16</v>
      </c>
      <c r="AJ53" s="2">
        <f t="shared" si="0"/>
        <v>1</v>
      </c>
      <c r="AL53" s="2">
        <f t="shared" si="1"/>
        <v>0</v>
      </c>
    </row>
    <row r="54" spans="1:38" ht="28.8" x14ac:dyDescent="0.3">
      <c r="A54" s="5" t="s">
        <v>1791</v>
      </c>
      <c r="B54" s="5"/>
      <c r="C54" s="5"/>
      <c r="D54" s="1"/>
      <c r="E54" s="1"/>
      <c r="F54" s="1"/>
      <c r="G54" s="1"/>
      <c r="P54" s="30" t="s">
        <v>17</v>
      </c>
      <c r="AJ54" s="2">
        <f t="shared" si="0"/>
        <v>1</v>
      </c>
      <c r="AL54" s="2">
        <f t="shared" si="1"/>
        <v>0</v>
      </c>
    </row>
    <row r="55" spans="1:38" ht="28.8" x14ac:dyDescent="0.3">
      <c r="A55" s="5" t="s">
        <v>1792</v>
      </c>
      <c r="B55" s="5"/>
      <c r="C55" s="5"/>
      <c r="D55" s="1"/>
      <c r="E55" s="1"/>
      <c r="F55" s="1"/>
      <c r="G55" s="1"/>
      <c r="P55" s="30" t="s">
        <v>192</v>
      </c>
      <c r="AJ55" s="2">
        <f t="shared" si="0"/>
        <v>1</v>
      </c>
      <c r="AL55" s="2">
        <f t="shared" si="1"/>
        <v>0</v>
      </c>
    </row>
    <row r="56" spans="1:38" ht="43.2" x14ac:dyDescent="0.3">
      <c r="A56" s="5" t="s">
        <v>1793</v>
      </c>
      <c r="B56" s="5"/>
      <c r="C56" s="5"/>
      <c r="D56" s="1"/>
      <c r="E56" s="1"/>
      <c r="F56" s="1"/>
      <c r="G56" s="1"/>
      <c r="P56" s="30" t="s">
        <v>194</v>
      </c>
      <c r="AJ56" s="2">
        <f t="shared" si="0"/>
        <v>1</v>
      </c>
      <c r="AL56" s="2">
        <f t="shared" si="1"/>
        <v>0</v>
      </c>
    </row>
    <row r="57" spans="1:38" ht="43.2" x14ac:dyDescent="0.3">
      <c r="A57" s="5" t="s">
        <v>1795</v>
      </c>
      <c r="B57" s="5"/>
      <c r="C57" s="5"/>
      <c r="D57" s="1"/>
      <c r="E57" s="1"/>
      <c r="F57" s="1"/>
      <c r="G57" s="1"/>
      <c r="P57" s="30" t="s">
        <v>37</v>
      </c>
      <c r="AJ57" s="2">
        <f t="shared" si="0"/>
        <v>1</v>
      </c>
      <c r="AL57" s="2">
        <f t="shared" si="1"/>
        <v>0</v>
      </c>
    </row>
    <row r="58" spans="1:38" x14ac:dyDescent="0.3">
      <c r="A58" s="5" t="s">
        <v>1796</v>
      </c>
      <c r="B58" s="5"/>
      <c r="C58" s="5"/>
      <c r="D58" s="1"/>
      <c r="E58" s="1"/>
      <c r="F58" s="1"/>
      <c r="G58" s="1"/>
      <c r="P58" s="30" t="s">
        <v>39</v>
      </c>
      <c r="AJ58" s="2">
        <f t="shared" si="0"/>
        <v>1</v>
      </c>
      <c r="AL58" s="2">
        <f t="shared" si="1"/>
        <v>0</v>
      </c>
    </row>
    <row r="59" spans="1:38" ht="28.8" x14ac:dyDescent="0.3">
      <c r="A59" s="5" t="s">
        <v>1797</v>
      </c>
      <c r="B59" s="5"/>
      <c r="C59" s="5"/>
      <c r="D59" s="1"/>
      <c r="E59" s="1"/>
      <c r="F59" s="1"/>
      <c r="G59" s="1"/>
      <c r="P59" s="30" t="s">
        <v>421</v>
      </c>
      <c r="AJ59" s="2">
        <f t="shared" si="0"/>
        <v>1</v>
      </c>
      <c r="AL59" s="2">
        <f t="shared" si="1"/>
        <v>0</v>
      </c>
    </row>
    <row r="60" spans="1:38" x14ac:dyDescent="0.3">
      <c r="A60" s="5" t="s">
        <v>1798</v>
      </c>
      <c r="B60" s="5"/>
      <c r="C60" s="5"/>
      <c r="D60" s="1"/>
      <c r="E60" s="1"/>
      <c r="F60" s="1"/>
      <c r="G60" s="1"/>
      <c r="P60" s="30" t="s">
        <v>422</v>
      </c>
      <c r="AJ60" s="2">
        <f t="shared" si="0"/>
        <v>1</v>
      </c>
      <c r="AL60" s="2">
        <f t="shared" si="1"/>
        <v>0</v>
      </c>
    </row>
    <row r="61" spans="1:38" x14ac:dyDescent="0.3">
      <c r="A61" s="5" t="s">
        <v>1799</v>
      </c>
      <c r="B61" s="5"/>
      <c r="C61" s="5"/>
      <c r="D61" s="1"/>
      <c r="E61" s="1"/>
      <c r="F61" s="1"/>
      <c r="G61" s="1"/>
      <c r="P61" s="30" t="s">
        <v>424</v>
      </c>
      <c r="AJ61" s="2">
        <f t="shared" si="0"/>
        <v>1</v>
      </c>
      <c r="AL61" s="2">
        <f t="shared" si="1"/>
        <v>0</v>
      </c>
    </row>
    <row r="62" spans="1:38" x14ac:dyDescent="0.3">
      <c r="A62" s="5" t="s">
        <v>1800</v>
      </c>
      <c r="B62" s="5"/>
      <c r="C62" s="5"/>
      <c r="D62" s="1"/>
      <c r="E62" s="1"/>
      <c r="F62" s="1"/>
      <c r="G62" s="1"/>
      <c r="P62" s="30" t="s">
        <v>425</v>
      </c>
      <c r="AJ62" s="2">
        <f t="shared" si="0"/>
        <v>1</v>
      </c>
      <c r="AL62" s="2">
        <f t="shared" si="1"/>
        <v>0</v>
      </c>
    </row>
    <row r="63" spans="1:38" ht="43.2" x14ac:dyDescent="0.3">
      <c r="A63" s="5" t="s">
        <v>1801</v>
      </c>
      <c r="B63" s="5"/>
      <c r="C63" s="5"/>
      <c r="D63" s="1"/>
      <c r="E63" s="1"/>
      <c r="F63" s="1"/>
      <c r="G63" s="1"/>
      <c r="P63" s="30" t="s">
        <v>427</v>
      </c>
      <c r="AJ63" s="2">
        <f t="shared" si="0"/>
        <v>1</v>
      </c>
      <c r="AL63" s="2">
        <f t="shared" si="1"/>
        <v>0</v>
      </c>
    </row>
    <row r="64" spans="1:38" ht="28.8" x14ac:dyDescent="0.3">
      <c r="A64" s="5" t="s">
        <v>1802</v>
      </c>
      <c r="B64" s="5"/>
      <c r="C64" s="5"/>
      <c r="D64" s="1"/>
      <c r="E64" s="1"/>
      <c r="F64" s="1"/>
      <c r="G64" s="1"/>
      <c r="P64" s="30" t="s">
        <v>428</v>
      </c>
      <c r="AJ64" s="2">
        <f t="shared" si="0"/>
        <v>1</v>
      </c>
      <c r="AL64" s="2">
        <f t="shared" si="1"/>
        <v>0</v>
      </c>
    </row>
    <row r="65" spans="1:38" ht="43.2" x14ac:dyDescent="0.3">
      <c r="A65" s="5" t="s">
        <v>1803</v>
      </c>
      <c r="B65" s="5"/>
      <c r="C65" s="5"/>
      <c r="D65" s="1"/>
      <c r="E65" s="1"/>
      <c r="F65" s="1"/>
      <c r="G65" s="1"/>
      <c r="P65" s="30" t="s">
        <v>432</v>
      </c>
      <c r="AJ65" s="2">
        <f t="shared" si="0"/>
        <v>1</v>
      </c>
      <c r="AL65" s="2">
        <f t="shared" si="1"/>
        <v>0</v>
      </c>
    </row>
    <row r="66" spans="1:38" x14ac:dyDescent="0.3">
      <c r="A66" s="5" t="s">
        <v>1804</v>
      </c>
      <c r="B66" s="5"/>
      <c r="C66" s="5"/>
      <c r="D66" s="1"/>
      <c r="E66" s="1"/>
      <c r="F66" s="1"/>
      <c r="G66" s="1"/>
      <c r="P66" s="30" t="s">
        <v>433</v>
      </c>
      <c r="AJ66" s="2">
        <f t="shared" si="0"/>
        <v>1</v>
      </c>
      <c r="AL66" s="2">
        <f t="shared" si="1"/>
        <v>0</v>
      </c>
    </row>
    <row r="67" spans="1:38" x14ac:dyDescent="0.3">
      <c r="A67" s="5" t="s">
        <v>1805</v>
      </c>
      <c r="B67" s="5"/>
      <c r="C67" s="5"/>
      <c r="D67" s="1"/>
      <c r="E67" s="1"/>
      <c r="F67" s="1"/>
      <c r="G67" s="1"/>
      <c r="P67" s="30" t="s">
        <v>437</v>
      </c>
      <c r="AJ67" s="2">
        <f t="shared" ref="AJ67:AJ130" si="2">COUNTA(B67:AH67)</f>
        <v>1</v>
      </c>
      <c r="AL67" s="2">
        <f t="shared" ref="AL67:AL130" si="3">COUNTA(F67:O67,R67:S67)</f>
        <v>0</v>
      </c>
    </row>
    <row r="68" spans="1:38" ht="28.8" x14ac:dyDescent="0.3">
      <c r="A68" s="5" t="s">
        <v>1806</v>
      </c>
      <c r="B68" s="5"/>
      <c r="C68" s="5"/>
      <c r="D68" s="1"/>
      <c r="E68" s="1"/>
      <c r="F68" s="1"/>
      <c r="G68" s="1"/>
      <c r="P68" s="30" t="s">
        <v>440</v>
      </c>
      <c r="AJ68" s="2">
        <f t="shared" si="2"/>
        <v>1</v>
      </c>
      <c r="AL68" s="2">
        <f t="shared" si="3"/>
        <v>0</v>
      </c>
    </row>
    <row r="69" spans="1:38" ht="28.8" x14ac:dyDescent="0.3">
      <c r="A69" s="5" t="s">
        <v>1807</v>
      </c>
      <c r="B69" s="5"/>
      <c r="C69" s="5"/>
      <c r="D69" s="1"/>
      <c r="E69" s="1"/>
      <c r="F69" s="1"/>
      <c r="G69" s="1"/>
      <c r="P69" s="30" t="s">
        <v>441</v>
      </c>
      <c r="AJ69" s="2">
        <f t="shared" si="2"/>
        <v>1</v>
      </c>
      <c r="AL69" s="2">
        <f t="shared" si="3"/>
        <v>0</v>
      </c>
    </row>
    <row r="70" spans="1:38" x14ac:dyDescent="0.3">
      <c r="A70" s="5" t="s">
        <v>1808</v>
      </c>
      <c r="B70" s="5"/>
      <c r="C70" s="5"/>
      <c r="D70" s="1"/>
      <c r="E70" s="1"/>
      <c r="F70" s="1"/>
      <c r="G70" s="1"/>
      <c r="P70" s="30" t="s">
        <v>442</v>
      </c>
      <c r="AJ70" s="2">
        <f t="shared" si="2"/>
        <v>1</v>
      </c>
      <c r="AL70" s="2">
        <f t="shared" si="3"/>
        <v>0</v>
      </c>
    </row>
    <row r="71" spans="1:38" x14ac:dyDescent="0.3">
      <c r="A71" s="5" t="s">
        <v>1809</v>
      </c>
      <c r="B71" s="1"/>
      <c r="C71" s="5"/>
      <c r="D71" s="1"/>
      <c r="E71" s="1"/>
      <c r="F71" s="1"/>
      <c r="G71" s="1"/>
      <c r="P71" s="30" t="s">
        <v>443</v>
      </c>
      <c r="AJ71" s="2">
        <f t="shared" si="2"/>
        <v>1</v>
      </c>
      <c r="AL71" s="2">
        <f t="shared" si="3"/>
        <v>0</v>
      </c>
    </row>
    <row r="72" spans="1:38" x14ac:dyDescent="0.3">
      <c r="A72" s="5" t="s">
        <v>1810</v>
      </c>
      <c r="B72" s="1"/>
      <c r="C72" s="5"/>
      <c r="D72" s="1"/>
      <c r="E72" s="1"/>
      <c r="F72" s="1"/>
      <c r="G72" s="1"/>
      <c r="P72" s="30" t="s">
        <v>57</v>
      </c>
      <c r="AJ72" s="2">
        <f t="shared" si="2"/>
        <v>1</v>
      </c>
      <c r="AL72" s="2">
        <f t="shared" si="3"/>
        <v>0</v>
      </c>
    </row>
    <row r="73" spans="1:38" x14ac:dyDescent="0.3">
      <c r="A73" s="5" t="s">
        <v>1811</v>
      </c>
      <c r="B73" s="1"/>
      <c r="C73" s="5"/>
      <c r="D73" s="1"/>
      <c r="E73" s="1"/>
      <c r="F73" s="1"/>
      <c r="G73" s="1"/>
      <c r="P73" s="30" t="s">
        <v>62</v>
      </c>
      <c r="AJ73" s="2">
        <f t="shared" si="2"/>
        <v>1</v>
      </c>
      <c r="AL73" s="2">
        <f t="shared" si="3"/>
        <v>0</v>
      </c>
    </row>
    <row r="74" spans="1:38" x14ac:dyDescent="0.3">
      <c r="A74" s="5" t="s">
        <v>1812</v>
      </c>
      <c r="B74" s="1"/>
      <c r="C74" s="5"/>
      <c r="D74" s="1"/>
      <c r="E74" s="1"/>
      <c r="F74" s="1"/>
      <c r="G74" s="1"/>
      <c r="P74" s="30" t="s">
        <v>63</v>
      </c>
      <c r="AJ74" s="2">
        <f t="shared" si="2"/>
        <v>1</v>
      </c>
      <c r="AL74" s="2">
        <f t="shared" si="3"/>
        <v>0</v>
      </c>
    </row>
    <row r="75" spans="1:38" x14ac:dyDescent="0.3">
      <c r="A75" s="5" t="s">
        <v>1813</v>
      </c>
      <c r="B75" s="1"/>
      <c r="C75" s="5"/>
      <c r="D75" s="1"/>
      <c r="E75" s="1"/>
      <c r="F75" s="1"/>
      <c r="G75" s="1"/>
      <c r="P75" s="30" t="s">
        <v>64</v>
      </c>
      <c r="AJ75" s="2">
        <f t="shared" si="2"/>
        <v>1</v>
      </c>
      <c r="AL75" s="2">
        <f t="shared" si="3"/>
        <v>0</v>
      </c>
    </row>
    <row r="76" spans="1:38" ht="43.2" x14ac:dyDescent="0.3">
      <c r="A76" s="5" t="s">
        <v>1814</v>
      </c>
      <c r="B76" s="1"/>
      <c r="C76" s="5"/>
      <c r="D76" s="1"/>
      <c r="E76" s="1"/>
      <c r="F76" s="1"/>
      <c r="G76" s="1"/>
      <c r="P76" s="53" t="s">
        <v>444</v>
      </c>
      <c r="Q76" s="53" t="s">
        <v>1069</v>
      </c>
      <c r="R76" s="1" t="s">
        <v>2195</v>
      </c>
      <c r="AJ76" s="2">
        <f t="shared" si="2"/>
        <v>3</v>
      </c>
      <c r="AL76" s="2">
        <f t="shared" si="3"/>
        <v>1</v>
      </c>
    </row>
    <row r="77" spans="1:38" ht="28.8" x14ac:dyDescent="0.3">
      <c r="A77" s="5" t="s">
        <v>2194</v>
      </c>
      <c r="B77" s="1"/>
      <c r="C77" s="5"/>
      <c r="D77" s="1"/>
      <c r="E77" s="1"/>
      <c r="F77" s="1"/>
      <c r="G77" s="1"/>
      <c r="Q77" s="53" t="s">
        <v>1070</v>
      </c>
      <c r="R77" s="1" t="s">
        <v>2196</v>
      </c>
      <c r="AJ77" s="2">
        <f t="shared" si="2"/>
        <v>2</v>
      </c>
      <c r="AL77" s="2">
        <f t="shared" si="3"/>
        <v>1</v>
      </c>
    </row>
    <row r="78" spans="1:38" ht="28.8" x14ac:dyDescent="0.3">
      <c r="A78" s="5" t="s">
        <v>2187</v>
      </c>
      <c r="B78" s="1"/>
      <c r="C78" s="5"/>
      <c r="D78" s="1"/>
      <c r="E78" s="1"/>
      <c r="F78" s="1"/>
      <c r="G78" s="1"/>
      <c r="Q78" s="53" t="s">
        <v>1072</v>
      </c>
      <c r="R78" s="1" t="s">
        <v>2197</v>
      </c>
      <c r="AJ78" s="2">
        <f t="shared" si="2"/>
        <v>2</v>
      </c>
      <c r="AL78" s="2">
        <f t="shared" si="3"/>
        <v>1</v>
      </c>
    </row>
    <row r="79" spans="1:38" ht="28.8" x14ac:dyDescent="0.3">
      <c r="A79" s="5" t="s">
        <v>1815</v>
      </c>
      <c r="B79" s="1"/>
      <c r="C79" s="5"/>
      <c r="D79" s="1"/>
      <c r="E79" s="1"/>
      <c r="F79" s="1"/>
      <c r="G79" s="1"/>
      <c r="P79" s="30" t="s">
        <v>110</v>
      </c>
      <c r="AJ79" s="2">
        <f t="shared" si="2"/>
        <v>1</v>
      </c>
      <c r="AL79" s="2">
        <f t="shared" si="3"/>
        <v>0</v>
      </c>
    </row>
    <row r="80" spans="1:38" x14ac:dyDescent="0.3">
      <c r="A80" s="5" t="s">
        <v>1816</v>
      </c>
      <c r="B80" s="5"/>
      <c r="C80" s="5"/>
      <c r="D80" s="1"/>
      <c r="E80" s="1"/>
      <c r="F80" s="1"/>
      <c r="G80" s="1"/>
      <c r="P80" s="30" t="s">
        <v>649</v>
      </c>
      <c r="AJ80" s="2">
        <f t="shared" si="2"/>
        <v>1</v>
      </c>
      <c r="AL80" s="2">
        <f t="shared" si="3"/>
        <v>0</v>
      </c>
    </row>
    <row r="81" spans="1:38" x14ac:dyDescent="0.3">
      <c r="A81" s="5" t="s">
        <v>1817</v>
      </c>
      <c r="B81" s="1"/>
      <c r="C81" s="5"/>
      <c r="D81" s="1"/>
      <c r="E81" s="1"/>
      <c r="F81" s="1"/>
      <c r="G81" s="1"/>
      <c r="P81" s="30" t="s">
        <v>222</v>
      </c>
      <c r="AJ81" s="2">
        <f t="shared" si="2"/>
        <v>1</v>
      </c>
      <c r="AL81" s="2">
        <f t="shared" si="3"/>
        <v>0</v>
      </c>
    </row>
    <row r="82" spans="1:38" x14ac:dyDescent="0.3">
      <c r="A82" s="5" t="s">
        <v>1818</v>
      </c>
      <c r="B82" s="1"/>
      <c r="C82" s="5"/>
      <c r="D82" s="1"/>
      <c r="E82" s="1"/>
      <c r="F82" s="1"/>
      <c r="G82" s="1"/>
      <c r="P82" s="30" t="s">
        <v>224</v>
      </c>
      <c r="AJ82" s="2">
        <f t="shared" si="2"/>
        <v>1</v>
      </c>
      <c r="AL82" s="2">
        <f t="shared" si="3"/>
        <v>0</v>
      </c>
    </row>
    <row r="83" spans="1:38" x14ac:dyDescent="0.3">
      <c r="A83" s="5" t="s">
        <v>1819</v>
      </c>
      <c r="B83" s="1"/>
      <c r="C83" s="5"/>
      <c r="D83" s="1"/>
      <c r="E83" s="1"/>
      <c r="F83" s="1"/>
      <c r="G83" s="1"/>
      <c r="P83" s="30" t="s">
        <v>226</v>
      </c>
      <c r="AJ83" s="2">
        <f t="shared" si="2"/>
        <v>1</v>
      </c>
      <c r="AL83" s="2">
        <f t="shared" si="3"/>
        <v>0</v>
      </c>
    </row>
    <row r="84" spans="1:38" x14ac:dyDescent="0.3">
      <c r="A84" s="5" t="s">
        <v>1820</v>
      </c>
      <c r="B84" s="1"/>
      <c r="C84" s="5"/>
      <c r="D84" s="1"/>
      <c r="E84" s="1"/>
      <c r="F84" s="1"/>
      <c r="G84" s="1"/>
      <c r="P84" s="30" t="s">
        <v>228</v>
      </c>
      <c r="AJ84" s="2">
        <f t="shared" si="2"/>
        <v>1</v>
      </c>
      <c r="AL84" s="2">
        <f t="shared" si="3"/>
        <v>0</v>
      </c>
    </row>
    <row r="85" spans="1:38" ht="28.8" x14ac:dyDescent="0.3">
      <c r="A85" s="5" t="s">
        <v>1821</v>
      </c>
      <c r="B85" s="1"/>
      <c r="C85" s="5"/>
      <c r="D85" s="1"/>
      <c r="E85" s="1"/>
      <c r="F85" s="1"/>
      <c r="G85" s="1"/>
      <c r="P85" s="30" t="s">
        <v>230</v>
      </c>
      <c r="AJ85" s="2">
        <f t="shared" si="2"/>
        <v>1</v>
      </c>
      <c r="AL85" s="2">
        <f t="shared" si="3"/>
        <v>0</v>
      </c>
    </row>
    <row r="86" spans="1:38" ht="43.2" x14ac:dyDescent="0.3">
      <c r="A86" s="5" t="s">
        <v>1823</v>
      </c>
      <c r="B86" s="1"/>
      <c r="C86" s="5"/>
      <c r="D86" s="1"/>
      <c r="E86" s="1"/>
      <c r="F86" s="1"/>
      <c r="G86" s="1"/>
      <c r="P86" s="30" t="s">
        <v>240</v>
      </c>
      <c r="AJ86" s="2">
        <f t="shared" si="2"/>
        <v>1</v>
      </c>
      <c r="AL86" s="2">
        <f t="shared" si="3"/>
        <v>0</v>
      </c>
    </row>
    <row r="87" spans="1:38" ht="28.8" x14ac:dyDescent="0.3">
      <c r="A87" s="5" t="s">
        <v>1824</v>
      </c>
      <c r="B87" s="1"/>
      <c r="C87" s="5"/>
      <c r="D87" s="1"/>
      <c r="E87" s="1"/>
      <c r="F87" s="1"/>
      <c r="G87" s="1"/>
      <c r="P87" s="30" t="s">
        <v>96</v>
      </c>
      <c r="AJ87" s="2">
        <f t="shared" si="2"/>
        <v>1</v>
      </c>
      <c r="AL87" s="2">
        <f t="shared" si="3"/>
        <v>0</v>
      </c>
    </row>
    <row r="88" spans="1:38" ht="28.8" x14ac:dyDescent="0.3">
      <c r="A88" s="5" t="s">
        <v>1825</v>
      </c>
      <c r="B88" s="1"/>
      <c r="C88" s="5"/>
      <c r="D88" s="1"/>
      <c r="E88" s="1"/>
      <c r="F88" s="1"/>
      <c r="G88" s="1"/>
      <c r="P88" s="30" t="s">
        <v>97</v>
      </c>
      <c r="AJ88" s="2">
        <f t="shared" si="2"/>
        <v>1</v>
      </c>
      <c r="AL88" s="2">
        <f t="shared" si="3"/>
        <v>0</v>
      </c>
    </row>
    <row r="89" spans="1:38" ht="28.8" x14ac:dyDescent="0.3">
      <c r="A89" s="5" t="s">
        <v>1826</v>
      </c>
      <c r="B89" s="1"/>
      <c r="C89" s="5"/>
      <c r="D89" s="1"/>
      <c r="E89" s="1"/>
      <c r="F89" s="1"/>
      <c r="G89" s="1"/>
      <c r="P89" s="53" t="s">
        <v>241</v>
      </c>
      <c r="Q89" s="53" t="s">
        <v>980</v>
      </c>
      <c r="R89" s="1" t="s">
        <v>1984</v>
      </c>
      <c r="AJ89" s="2">
        <f t="shared" si="2"/>
        <v>3</v>
      </c>
      <c r="AL89" s="2">
        <f t="shared" si="3"/>
        <v>1</v>
      </c>
    </row>
    <row r="90" spans="1:38" x14ac:dyDescent="0.3">
      <c r="A90" s="5" t="s">
        <v>1660</v>
      </c>
      <c r="B90" s="1"/>
      <c r="C90" s="5"/>
      <c r="D90" s="1"/>
      <c r="E90" s="1"/>
      <c r="F90" s="1"/>
      <c r="G90" s="1"/>
      <c r="P90" s="53" t="s">
        <v>1827</v>
      </c>
      <c r="Q90" s="53" t="s">
        <v>981</v>
      </c>
      <c r="R90" s="1" t="s">
        <v>1994</v>
      </c>
      <c r="AJ90" s="2">
        <f t="shared" si="2"/>
        <v>3</v>
      </c>
      <c r="AL90" s="2">
        <f t="shared" si="3"/>
        <v>1</v>
      </c>
    </row>
    <row r="91" spans="1:38" x14ac:dyDescent="0.3">
      <c r="A91" s="5" t="s">
        <v>1839</v>
      </c>
      <c r="B91" s="1"/>
      <c r="C91" s="5"/>
      <c r="D91" s="1"/>
      <c r="E91" s="1"/>
      <c r="F91" s="1"/>
      <c r="G91" s="1"/>
      <c r="P91" s="30" t="s">
        <v>506</v>
      </c>
      <c r="AJ91" s="2">
        <f t="shared" si="2"/>
        <v>1</v>
      </c>
      <c r="AL91" s="2">
        <f t="shared" si="3"/>
        <v>0</v>
      </c>
    </row>
    <row r="92" spans="1:38" ht="43.2" x14ac:dyDescent="0.3">
      <c r="A92" s="5" t="s">
        <v>1841</v>
      </c>
      <c r="B92" s="1"/>
      <c r="C92" s="5"/>
      <c r="D92" s="1"/>
      <c r="E92" s="1"/>
      <c r="F92" s="1"/>
      <c r="G92" s="1"/>
      <c r="P92" s="30" t="s">
        <v>508</v>
      </c>
      <c r="AJ92" s="2">
        <f t="shared" si="2"/>
        <v>1</v>
      </c>
      <c r="AL92" s="2">
        <f t="shared" si="3"/>
        <v>0</v>
      </c>
    </row>
    <row r="93" spans="1:38" ht="28.8" x14ac:dyDescent="0.3">
      <c r="A93" s="5" t="s">
        <v>1842</v>
      </c>
      <c r="B93" s="1"/>
      <c r="C93" s="5"/>
      <c r="D93" s="1"/>
      <c r="E93" s="1"/>
      <c r="F93" s="1"/>
      <c r="G93" s="1"/>
      <c r="P93" s="30" t="s">
        <v>510</v>
      </c>
      <c r="AJ93" s="2">
        <f t="shared" si="2"/>
        <v>1</v>
      </c>
      <c r="AL93" s="2">
        <f t="shared" si="3"/>
        <v>0</v>
      </c>
    </row>
    <row r="94" spans="1:38" ht="28.8" x14ac:dyDescent="0.3">
      <c r="A94" s="5" t="s">
        <v>1843</v>
      </c>
      <c r="B94" s="1"/>
      <c r="C94" s="5"/>
      <c r="D94" s="1"/>
      <c r="E94" s="1"/>
      <c r="F94" s="1"/>
      <c r="G94" s="1"/>
      <c r="P94" s="30" t="s">
        <v>264</v>
      </c>
      <c r="AJ94" s="2">
        <f t="shared" si="2"/>
        <v>1</v>
      </c>
      <c r="AL94" s="2">
        <f t="shared" si="3"/>
        <v>0</v>
      </c>
    </row>
    <row r="95" spans="1:38" x14ac:dyDescent="0.3">
      <c r="A95" s="5" t="s">
        <v>1844</v>
      </c>
      <c r="B95" s="1"/>
      <c r="C95" s="5"/>
      <c r="D95" s="1"/>
      <c r="E95" s="1"/>
      <c r="F95" s="1"/>
      <c r="G95" s="1"/>
      <c r="P95" s="30" t="s">
        <v>265</v>
      </c>
      <c r="AJ95" s="2">
        <f t="shared" si="2"/>
        <v>1</v>
      </c>
      <c r="AL95" s="2">
        <f t="shared" si="3"/>
        <v>0</v>
      </c>
    </row>
    <row r="96" spans="1:38" x14ac:dyDescent="0.3">
      <c r="A96" s="5" t="s">
        <v>1845</v>
      </c>
      <c r="B96" s="1"/>
      <c r="C96" s="5"/>
      <c r="D96" s="1"/>
      <c r="E96" s="1"/>
      <c r="F96" s="1"/>
      <c r="G96" s="1"/>
      <c r="P96" s="30" t="s">
        <v>267</v>
      </c>
      <c r="AJ96" s="2">
        <f t="shared" si="2"/>
        <v>1</v>
      </c>
      <c r="AL96" s="2">
        <f t="shared" si="3"/>
        <v>0</v>
      </c>
    </row>
    <row r="97" spans="1:38" x14ac:dyDescent="0.3">
      <c r="A97" s="5" t="s">
        <v>1846</v>
      </c>
      <c r="B97" s="1"/>
      <c r="C97" s="5"/>
      <c r="D97" s="1"/>
      <c r="E97" s="1"/>
      <c r="F97" s="1"/>
      <c r="G97" s="1"/>
      <c r="P97" s="30" t="s">
        <v>517</v>
      </c>
      <c r="AJ97" s="2">
        <f t="shared" si="2"/>
        <v>1</v>
      </c>
      <c r="AL97" s="2">
        <f t="shared" si="3"/>
        <v>0</v>
      </c>
    </row>
    <row r="98" spans="1:38" x14ac:dyDescent="0.3">
      <c r="A98" s="5" t="s">
        <v>1847</v>
      </c>
      <c r="B98" s="1"/>
      <c r="C98" s="5"/>
      <c r="D98" s="1"/>
      <c r="E98" s="1"/>
      <c r="F98" s="1"/>
      <c r="G98" s="1"/>
      <c r="P98" s="30" t="s">
        <v>515</v>
      </c>
      <c r="AJ98" s="2">
        <f t="shared" si="2"/>
        <v>1</v>
      </c>
      <c r="AL98" s="2">
        <f t="shared" si="3"/>
        <v>0</v>
      </c>
    </row>
    <row r="99" spans="1:38" x14ac:dyDescent="0.3">
      <c r="A99" s="5" t="s">
        <v>1848</v>
      </c>
      <c r="B99" s="1"/>
      <c r="C99" s="5"/>
      <c r="D99" s="1"/>
      <c r="E99" s="1"/>
      <c r="F99" s="1"/>
      <c r="G99" s="1"/>
      <c r="P99" s="30" t="s">
        <v>519</v>
      </c>
      <c r="AJ99" s="2">
        <f t="shared" si="2"/>
        <v>1</v>
      </c>
      <c r="AL99" s="2">
        <f t="shared" si="3"/>
        <v>0</v>
      </c>
    </row>
    <row r="100" spans="1:38" ht="28.8" x14ac:dyDescent="0.3">
      <c r="A100" s="5" t="s">
        <v>1849</v>
      </c>
      <c r="B100" s="1"/>
      <c r="C100" s="5"/>
      <c r="D100" s="1"/>
      <c r="E100" s="1"/>
      <c r="F100" s="1"/>
      <c r="G100" s="1"/>
      <c r="P100" s="30" t="s">
        <v>520</v>
      </c>
      <c r="AJ100" s="2">
        <f t="shared" si="2"/>
        <v>1</v>
      </c>
      <c r="AL100" s="2">
        <f t="shared" si="3"/>
        <v>0</v>
      </c>
    </row>
    <row r="101" spans="1:38" ht="28.8" x14ac:dyDescent="0.3">
      <c r="A101" s="5" t="s">
        <v>1850</v>
      </c>
      <c r="B101" s="1"/>
      <c r="C101" s="5"/>
      <c r="D101" s="1"/>
      <c r="E101" s="1"/>
      <c r="F101" s="1"/>
      <c r="G101" s="1"/>
      <c r="P101" s="30" t="s">
        <v>1851</v>
      </c>
      <c r="AJ101" s="2">
        <f t="shared" si="2"/>
        <v>1</v>
      </c>
      <c r="AL101" s="2">
        <f t="shared" si="3"/>
        <v>0</v>
      </c>
    </row>
    <row r="102" spans="1:38" ht="28.8" x14ac:dyDescent="0.3">
      <c r="A102" s="5" t="s">
        <v>1852</v>
      </c>
      <c r="B102" s="1"/>
      <c r="C102" s="5"/>
      <c r="D102" s="1"/>
      <c r="E102" s="1"/>
      <c r="F102" s="1"/>
      <c r="G102" s="1"/>
      <c r="P102" s="30" t="s">
        <v>524</v>
      </c>
      <c r="AJ102" s="2">
        <f t="shared" si="2"/>
        <v>1</v>
      </c>
      <c r="AL102" s="2">
        <f t="shared" si="3"/>
        <v>0</v>
      </c>
    </row>
    <row r="103" spans="1:38" ht="28.8" x14ac:dyDescent="0.3">
      <c r="A103" s="5" t="s">
        <v>1853</v>
      </c>
      <c r="B103" s="1"/>
      <c r="C103" s="5"/>
      <c r="D103" s="1"/>
      <c r="E103" s="1"/>
      <c r="F103" s="1"/>
      <c r="G103" s="1"/>
      <c r="P103" s="30" t="s">
        <v>525</v>
      </c>
      <c r="AJ103" s="2">
        <f t="shared" si="2"/>
        <v>1</v>
      </c>
      <c r="AL103" s="2">
        <f t="shared" si="3"/>
        <v>0</v>
      </c>
    </row>
    <row r="104" spans="1:38" ht="28.8" x14ac:dyDescent="0.3">
      <c r="A104" s="5" t="s">
        <v>1860</v>
      </c>
      <c r="B104" s="1"/>
      <c r="C104" s="5"/>
      <c r="D104" s="1"/>
      <c r="E104" s="1"/>
      <c r="F104" s="1"/>
      <c r="G104" s="1"/>
      <c r="P104" s="53" t="s">
        <v>533</v>
      </c>
      <c r="Q104" s="53" t="s">
        <v>998</v>
      </c>
      <c r="R104" s="1" t="s">
        <v>2005</v>
      </c>
      <c r="AJ104" s="2">
        <f t="shared" si="2"/>
        <v>3</v>
      </c>
      <c r="AL104" s="2">
        <f t="shared" si="3"/>
        <v>1</v>
      </c>
    </row>
    <row r="105" spans="1:38" ht="28.8" x14ac:dyDescent="0.3">
      <c r="A105" s="5" t="s">
        <v>1861</v>
      </c>
      <c r="B105" s="1"/>
      <c r="C105" s="5"/>
      <c r="D105" s="1"/>
      <c r="E105" s="1"/>
      <c r="F105" s="1"/>
      <c r="G105" s="1"/>
      <c r="P105" s="30" t="s">
        <v>127</v>
      </c>
      <c r="AJ105" s="2">
        <f t="shared" si="2"/>
        <v>1</v>
      </c>
      <c r="AL105" s="2">
        <f t="shared" si="3"/>
        <v>0</v>
      </c>
    </row>
    <row r="106" spans="1:38" x14ac:dyDescent="0.3">
      <c r="A106" s="5" t="s">
        <v>1862</v>
      </c>
      <c r="B106" s="1"/>
      <c r="C106" s="5"/>
      <c r="D106" s="1"/>
      <c r="E106" s="1"/>
      <c r="F106" s="1"/>
      <c r="G106" s="1"/>
      <c r="P106" s="30" t="s">
        <v>283</v>
      </c>
      <c r="AJ106" s="2">
        <f t="shared" si="2"/>
        <v>1</v>
      </c>
      <c r="AL106" s="2">
        <f t="shared" si="3"/>
        <v>0</v>
      </c>
    </row>
    <row r="107" spans="1:38" ht="28.8" x14ac:dyDescent="0.3">
      <c r="A107" s="5" t="s">
        <v>1890</v>
      </c>
      <c r="B107" s="1"/>
      <c r="C107" s="5"/>
      <c r="D107" s="1"/>
      <c r="E107" s="1"/>
      <c r="F107" s="1"/>
      <c r="G107" s="1"/>
      <c r="P107" s="30" t="s">
        <v>879</v>
      </c>
      <c r="AJ107" s="2">
        <f t="shared" si="2"/>
        <v>1</v>
      </c>
      <c r="AL107" s="2">
        <f t="shared" si="3"/>
        <v>0</v>
      </c>
    </row>
    <row r="108" spans="1:38" ht="28.8" x14ac:dyDescent="0.3">
      <c r="A108" s="5" t="s">
        <v>1863</v>
      </c>
      <c r="B108" s="1"/>
      <c r="C108" s="5"/>
      <c r="D108" s="1"/>
      <c r="E108" s="1"/>
      <c r="F108" s="1"/>
      <c r="G108" s="1"/>
      <c r="P108" s="30" t="s">
        <v>285</v>
      </c>
      <c r="AJ108" s="2">
        <f t="shared" si="2"/>
        <v>1</v>
      </c>
      <c r="AL108" s="2">
        <f t="shared" si="3"/>
        <v>0</v>
      </c>
    </row>
    <row r="109" spans="1:38" ht="28.8" x14ac:dyDescent="0.3">
      <c r="A109" s="5" t="s">
        <v>1864</v>
      </c>
      <c r="B109" s="1"/>
      <c r="C109" s="5"/>
      <c r="D109" s="1"/>
      <c r="E109" s="1"/>
      <c r="F109" s="1"/>
      <c r="G109" s="1"/>
      <c r="P109" s="30" t="s">
        <v>287</v>
      </c>
      <c r="AJ109" s="2">
        <f t="shared" si="2"/>
        <v>1</v>
      </c>
      <c r="AL109" s="2">
        <f t="shared" si="3"/>
        <v>0</v>
      </c>
    </row>
    <row r="110" spans="1:38" ht="100.8" x14ac:dyDescent="0.3">
      <c r="A110" s="5" t="s">
        <v>1865</v>
      </c>
      <c r="B110" s="1"/>
      <c r="C110" s="5"/>
      <c r="D110" s="1"/>
      <c r="E110" s="1"/>
      <c r="F110" s="1"/>
      <c r="G110" s="1"/>
      <c r="P110" s="53" t="s">
        <v>59</v>
      </c>
      <c r="Q110" s="53" t="s">
        <v>992</v>
      </c>
      <c r="R110" s="1" t="s">
        <v>2001</v>
      </c>
      <c r="AJ110" s="2">
        <f t="shared" si="2"/>
        <v>3</v>
      </c>
      <c r="AL110" s="2">
        <f t="shared" si="3"/>
        <v>1</v>
      </c>
    </row>
    <row r="111" spans="1:38" x14ac:dyDescent="0.3">
      <c r="A111" s="5" t="s">
        <v>1893</v>
      </c>
      <c r="B111" s="1"/>
      <c r="C111" s="5"/>
      <c r="D111" s="1"/>
      <c r="E111" s="1"/>
      <c r="F111" s="1"/>
      <c r="G111" s="1"/>
      <c r="P111" s="30" t="s">
        <v>889</v>
      </c>
      <c r="AJ111" s="2">
        <f t="shared" si="2"/>
        <v>1</v>
      </c>
      <c r="AL111" s="2">
        <f t="shared" si="3"/>
        <v>0</v>
      </c>
    </row>
    <row r="112" spans="1:38" ht="28.8" x14ac:dyDescent="0.3">
      <c r="A112" s="5" t="s">
        <v>1891</v>
      </c>
      <c r="B112" s="1"/>
      <c r="C112" s="5"/>
      <c r="D112" s="1"/>
      <c r="E112" s="1"/>
      <c r="F112" s="1"/>
      <c r="G112" s="1"/>
      <c r="P112" s="30" t="s">
        <v>883</v>
      </c>
      <c r="AJ112" s="2">
        <f t="shared" si="2"/>
        <v>1</v>
      </c>
      <c r="AL112" s="2">
        <f t="shared" si="3"/>
        <v>0</v>
      </c>
    </row>
    <row r="113" spans="1:38" ht="43.2" x14ac:dyDescent="0.3">
      <c r="A113" s="5" t="s">
        <v>1880</v>
      </c>
      <c r="B113" s="1"/>
      <c r="C113" s="5"/>
      <c r="D113" s="1"/>
      <c r="E113" s="1"/>
      <c r="F113" s="1"/>
      <c r="G113" s="1"/>
      <c r="P113" s="30" t="s">
        <v>1674</v>
      </c>
      <c r="AJ113" s="2">
        <f t="shared" si="2"/>
        <v>1</v>
      </c>
      <c r="AL113" s="2">
        <f t="shared" si="3"/>
        <v>0</v>
      </c>
    </row>
    <row r="114" spans="1:38" ht="28.8" x14ac:dyDescent="0.3">
      <c r="A114" s="5" t="s">
        <v>1881</v>
      </c>
      <c r="B114" s="1"/>
      <c r="C114" s="5"/>
      <c r="D114" s="1"/>
      <c r="E114" s="1"/>
      <c r="F114" s="1"/>
      <c r="G114" s="1"/>
      <c r="P114" s="53" t="s">
        <v>1675</v>
      </c>
      <c r="Q114" s="53" t="s">
        <v>997</v>
      </c>
      <c r="R114" s="1" t="s">
        <v>2004</v>
      </c>
      <c r="AJ114" s="2">
        <f t="shared" si="2"/>
        <v>3</v>
      </c>
      <c r="AL114" s="2">
        <f t="shared" si="3"/>
        <v>1</v>
      </c>
    </row>
    <row r="115" spans="1:38" ht="57.6" x14ac:dyDescent="0.3">
      <c r="A115" s="5" t="s">
        <v>1882</v>
      </c>
      <c r="B115" s="1"/>
      <c r="C115" s="5"/>
      <c r="D115" s="1"/>
      <c r="E115" s="1"/>
      <c r="F115" s="1"/>
      <c r="G115" s="1"/>
      <c r="P115" s="30" t="s">
        <v>1677</v>
      </c>
      <c r="AJ115" s="2">
        <f t="shared" si="2"/>
        <v>1</v>
      </c>
      <c r="AL115" s="2">
        <f t="shared" si="3"/>
        <v>0</v>
      </c>
    </row>
    <row r="116" spans="1:38" x14ac:dyDescent="0.3">
      <c r="A116" s="5" t="s">
        <v>1883</v>
      </c>
      <c r="B116" s="1"/>
      <c r="C116" s="5"/>
      <c r="D116" s="1"/>
      <c r="E116" s="1"/>
      <c r="F116" s="1"/>
      <c r="G116" s="1"/>
      <c r="P116" s="30" t="s">
        <v>873</v>
      </c>
      <c r="AJ116" s="2">
        <f t="shared" si="2"/>
        <v>1</v>
      </c>
      <c r="AL116" s="2">
        <f t="shared" si="3"/>
        <v>0</v>
      </c>
    </row>
    <row r="117" spans="1:38" x14ac:dyDescent="0.3">
      <c r="A117" s="5" t="s">
        <v>1884</v>
      </c>
      <c r="B117" s="1"/>
      <c r="C117" s="5"/>
      <c r="D117" s="1"/>
      <c r="E117" s="1"/>
      <c r="F117" s="1"/>
      <c r="G117" s="1"/>
      <c r="P117" s="30" t="s">
        <v>874</v>
      </c>
      <c r="AJ117" s="2">
        <f t="shared" si="2"/>
        <v>1</v>
      </c>
      <c r="AL117" s="2">
        <f t="shared" si="3"/>
        <v>0</v>
      </c>
    </row>
    <row r="118" spans="1:38" x14ac:dyDescent="0.3">
      <c r="A118" s="5" t="s">
        <v>1885</v>
      </c>
      <c r="B118" s="1"/>
      <c r="C118" s="5"/>
      <c r="D118" s="1"/>
      <c r="E118" s="1"/>
      <c r="F118" s="1"/>
      <c r="G118" s="1"/>
      <c r="P118" s="30" t="s">
        <v>875</v>
      </c>
      <c r="AJ118" s="2">
        <f t="shared" si="2"/>
        <v>1</v>
      </c>
      <c r="AL118" s="2">
        <f t="shared" si="3"/>
        <v>0</v>
      </c>
    </row>
    <row r="119" spans="1:38" x14ac:dyDescent="0.3">
      <c r="A119" s="5" t="s">
        <v>1886</v>
      </c>
      <c r="B119" s="1"/>
      <c r="C119" s="5"/>
      <c r="D119" s="1"/>
      <c r="E119" s="1"/>
      <c r="F119" s="1"/>
      <c r="G119" s="1"/>
      <c r="P119" s="30" t="s">
        <v>1678</v>
      </c>
      <c r="AJ119" s="2">
        <f t="shared" si="2"/>
        <v>1</v>
      </c>
      <c r="AL119" s="2">
        <f t="shared" si="3"/>
        <v>0</v>
      </c>
    </row>
    <row r="120" spans="1:38" ht="28.8" x14ac:dyDescent="0.3">
      <c r="A120" s="5" t="s">
        <v>1887</v>
      </c>
      <c r="B120" s="1"/>
      <c r="C120" s="5"/>
      <c r="D120" s="1"/>
      <c r="E120" s="1"/>
      <c r="F120" s="1"/>
      <c r="G120" s="1"/>
      <c r="P120" s="30" t="s">
        <v>876</v>
      </c>
      <c r="AJ120" s="2">
        <f t="shared" si="2"/>
        <v>1</v>
      </c>
      <c r="AL120" s="2">
        <f t="shared" si="3"/>
        <v>0</v>
      </c>
    </row>
    <row r="121" spans="1:38" ht="28.8" x14ac:dyDescent="0.3">
      <c r="A121" s="5" t="s">
        <v>1888</v>
      </c>
      <c r="B121" s="1"/>
      <c r="C121" s="5"/>
      <c r="D121" s="1"/>
      <c r="E121" s="1"/>
      <c r="F121" s="1"/>
      <c r="G121" s="1"/>
      <c r="P121" s="30" t="s">
        <v>877</v>
      </c>
      <c r="AJ121" s="2">
        <f t="shared" si="2"/>
        <v>1</v>
      </c>
      <c r="AL121" s="2">
        <f t="shared" si="3"/>
        <v>0</v>
      </c>
    </row>
    <row r="122" spans="1:38" ht="28.8" x14ac:dyDescent="0.3">
      <c r="A122" s="5" t="s">
        <v>1889</v>
      </c>
      <c r="B122" s="1"/>
      <c r="C122" s="5"/>
      <c r="D122" s="1"/>
      <c r="E122" s="1"/>
      <c r="F122" s="1"/>
      <c r="G122" s="1"/>
      <c r="P122" s="30" t="s">
        <v>878</v>
      </c>
      <c r="AJ122" s="2">
        <f t="shared" si="2"/>
        <v>1</v>
      </c>
      <c r="AL122" s="2">
        <f t="shared" si="3"/>
        <v>0</v>
      </c>
    </row>
    <row r="123" spans="1:38" x14ac:dyDescent="0.3">
      <c r="A123" s="5" t="s">
        <v>1918</v>
      </c>
      <c r="B123" s="1"/>
      <c r="C123" s="5"/>
      <c r="D123" s="1"/>
      <c r="E123" s="1"/>
      <c r="F123" s="1"/>
      <c r="G123" s="1"/>
      <c r="P123" s="30" t="s">
        <v>917</v>
      </c>
      <c r="AJ123" s="2">
        <f t="shared" si="2"/>
        <v>1</v>
      </c>
      <c r="AL123" s="2">
        <f t="shared" si="3"/>
        <v>0</v>
      </c>
    </row>
    <row r="124" spans="1:38" x14ac:dyDescent="0.3">
      <c r="A124" s="5" t="s">
        <v>1919</v>
      </c>
      <c r="B124" s="1"/>
      <c r="C124" s="5"/>
      <c r="D124" s="1"/>
      <c r="E124" s="1"/>
      <c r="F124" s="1"/>
      <c r="G124" s="1"/>
      <c r="P124" s="30" t="s">
        <v>916</v>
      </c>
      <c r="AJ124" s="2">
        <f t="shared" si="2"/>
        <v>1</v>
      </c>
      <c r="AL124" s="2">
        <f t="shared" si="3"/>
        <v>0</v>
      </c>
    </row>
    <row r="125" spans="1:38" ht="28.8" x14ac:dyDescent="0.3">
      <c r="A125" s="5" t="s">
        <v>1920</v>
      </c>
      <c r="B125" s="1"/>
      <c r="C125" s="5"/>
      <c r="D125" s="1"/>
      <c r="E125" s="1"/>
      <c r="F125" s="1"/>
      <c r="G125" s="1"/>
      <c r="P125" s="30" t="s">
        <v>918</v>
      </c>
      <c r="AJ125" s="2">
        <f t="shared" si="2"/>
        <v>1</v>
      </c>
      <c r="AL125" s="2">
        <f t="shared" si="3"/>
        <v>0</v>
      </c>
    </row>
    <row r="126" spans="1:38" ht="28.8" x14ac:dyDescent="0.3">
      <c r="A126" s="5" t="s">
        <v>1921</v>
      </c>
      <c r="B126" s="1"/>
      <c r="C126" s="5"/>
      <c r="D126" s="1"/>
      <c r="E126" s="1"/>
      <c r="F126" s="1"/>
      <c r="G126" s="1"/>
      <c r="P126" s="30" t="s">
        <v>919</v>
      </c>
      <c r="AJ126" s="2">
        <f t="shared" si="2"/>
        <v>1</v>
      </c>
      <c r="AL126" s="2">
        <f t="shared" si="3"/>
        <v>0</v>
      </c>
    </row>
    <row r="127" spans="1:38" ht="28.8" x14ac:dyDescent="0.3">
      <c r="A127" s="5" t="s">
        <v>1922</v>
      </c>
      <c r="B127" s="1"/>
      <c r="C127" s="5"/>
      <c r="D127" s="1"/>
      <c r="E127" s="1"/>
      <c r="F127" s="1"/>
      <c r="G127" s="1"/>
      <c r="P127" s="30" t="s">
        <v>920</v>
      </c>
      <c r="AJ127" s="2">
        <f t="shared" si="2"/>
        <v>1</v>
      </c>
      <c r="AL127" s="2">
        <f t="shared" si="3"/>
        <v>0</v>
      </c>
    </row>
    <row r="128" spans="1:38" x14ac:dyDescent="0.3">
      <c r="A128" s="5" t="s">
        <v>2198</v>
      </c>
      <c r="B128" s="1"/>
      <c r="C128" s="5"/>
      <c r="D128" s="1"/>
      <c r="E128" s="1"/>
      <c r="F128" s="1"/>
      <c r="G128" s="1"/>
      <c r="Q128" s="53" t="s">
        <v>1453</v>
      </c>
      <c r="R128" s="1" t="s">
        <v>2200</v>
      </c>
      <c r="AJ128" s="2">
        <f t="shared" si="2"/>
        <v>2</v>
      </c>
      <c r="AL128" s="2">
        <f t="shared" si="3"/>
        <v>1</v>
      </c>
    </row>
    <row r="129" spans="1:38" x14ac:dyDescent="0.3">
      <c r="A129" s="5" t="s">
        <v>2199</v>
      </c>
      <c r="B129" s="1"/>
      <c r="C129" s="5"/>
      <c r="D129" s="1"/>
      <c r="E129" s="1"/>
      <c r="F129" s="1"/>
      <c r="G129" s="1"/>
      <c r="Q129" s="53" t="s">
        <v>1073</v>
      </c>
      <c r="R129" s="1" t="s">
        <v>2201</v>
      </c>
      <c r="AJ129" s="2">
        <f t="shared" si="2"/>
        <v>2</v>
      </c>
      <c r="AL129" s="2">
        <f t="shared" si="3"/>
        <v>1</v>
      </c>
    </row>
    <row r="130" spans="1:38" ht="28.8" x14ac:dyDescent="0.3">
      <c r="A130" s="5" t="s">
        <v>2187</v>
      </c>
      <c r="B130" s="1"/>
      <c r="C130" s="5"/>
      <c r="D130" s="1"/>
      <c r="E130" s="1"/>
      <c r="F130" s="1"/>
      <c r="G130" s="1"/>
      <c r="Q130" s="53" t="s">
        <v>1454</v>
      </c>
      <c r="R130" s="1" t="s">
        <v>2202</v>
      </c>
      <c r="AJ130" s="2">
        <f t="shared" si="2"/>
        <v>2</v>
      </c>
      <c r="AL130" s="2">
        <f t="shared" si="3"/>
        <v>1</v>
      </c>
    </row>
    <row r="131" spans="1:38" ht="28.8" x14ac:dyDescent="0.3">
      <c r="A131" s="5" t="s">
        <v>2415</v>
      </c>
      <c r="B131" s="1"/>
      <c r="C131" s="5"/>
      <c r="D131" s="1"/>
      <c r="E131" s="1"/>
      <c r="F131" s="1"/>
      <c r="G131" s="1"/>
      <c r="U131" s="1" t="s">
        <v>873</v>
      </c>
      <c r="AJ131" s="2">
        <f t="shared" ref="AJ131:AJ142" si="4">COUNTA(B131:AH131)</f>
        <v>1</v>
      </c>
      <c r="AL131" s="2">
        <f t="shared" ref="AL131:AL142" si="5">COUNTA(F131:O131,R131:S131)</f>
        <v>0</v>
      </c>
    </row>
    <row r="132" spans="1:38" ht="28.8" x14ac:dyDescent="0.3">
      <c r="A132" s="5" t="s">
        <v>2416</v>
      </c>
      <c r="B132" s="1"/>
      <c r="C132" s="5"/>
      <c r="D132" s="1"/>
      <c r="E132" s="1"/>
      <c r="F132" s="1"/>
      <c r="G132" s="1"/>
      <c r="U132" s="1" t="s">
        <v>874</v>
      </c>
      <c r="AJ132" s="2">
        <f t="shared" si="4"/>
        <v>1</v>
      </c>
      <c r="AL132" s="2">
        <f t="shared" si="5"/>
        <v>0</v>
      </c>
    </row>
    <row r="133" spans="1:38" ht="43.2" x14ac:dyDescent="0.3">
      <c r="A133" s="5" t="s">
        <v>2776</v>
      </c>
      <c r="B133" s="1"/>
      <c r="C133" s="5"/>
      <c r="D133" s="1"/>
      <c r="E133" s="1"/>
      <c r="F133" s="1"/>
      <c r="G133" s="1"/>
      <c r="AB133" s="1" t="s">
        <v>2196</v>
      </c>
      <c r="AJ133" s="2">
        <f t="shared" si="4"/>
        <v>1</v>
      </c>
      <c r="AL133" s="2">
        <f t="shared" si="5"/>
        <v>0</v>
      </c>
    </row>
    <row r="134" spans="1:38" ht="43.2" x14ac:dyDescent="0.3">
      <c r="A134" s="5" t="s">
        <v>2793</v>
      </c>
      <c r="B134" s="1"/>
      <c r="C134" s="5"/>
      <c r="D134" s="1"/>
      <c r="E134" s="1"/>
      <c r="F134" s="1"/>
      <c r="G134" s="1"/>
      <c r="AC134" s="1" t="s">
        <v>1965</v>
      </c>
      <c r="AJ134" s="2">
        <f t="shared" si="4"/>
        <v>1</v>
      </c>
      <c r="AL134" s="2">
        <f t="shared" si="5"/>
        <v>0</v>
      </c>
    </row>
    <row r="135" spans="1:38" ht="28.8" x14ac:dyDescent="0.3">
      <c r="A135" s="5" t="s">
        <v>2794</v>
      </c>
      <c r="B135" s="1"/>
      <c r="C135" s="5"/>
      <c r="D135" s="1"/>
      <c r="E135" s="1"/>
      <c r="F135" s="1"/>
      <c r="G135" s="1"/>
      <c r="AC135" s="1" t="s">
        <v>1967</v>
      </c>
      <c r="AJ135" s="2">
        <f t="shared" si="4"/>
        <v>1</v>
      </c>
      <c r="AL135" s="2">
        <f t="shared" si="5"/>
        <v>0</v>
      </c>
    </row>
    <row r="136" spans="1:38" ht="28.8" x14ac:dyDescent="0.3">
      <c r="A136" s="5" t="s">
        <v>2893</v>
      </c>
      <c r="B136" s="1"/>
      <c r="C136" s="5"/>
      <c r="D136" s="1"/>
      <c r="E136" s="1"/>
      <c r="F136" s="1"/>
      <c r="G136" s="1"/>
      <c r="AD136" s="53" t="s">
        <v>2894</v>
      </c>
      <c r="AE136" s="1" t="s">
        <v>1172</v>
      </c>
      <c r="AJ136" s="2">
        <f t="shared" si="4"/>
        <v>2</v>
      </c>
      <c r="AL136" s="2">
        <f t="shared" si="5"/>
        <v>0</v>
      </c>
    </row>
    <row r="137" spans="1:38" ht="28.8" x14ac:dyDescent="0.3">
      <c r="A137" s="5" t="s">
        <v>2009</v>
      </c>
      <c r="B137" s="1"/>
      <c r="C137" s="5"/>
      <c r="D137" s="1"/>
      <c r="E137" s="1"/>
      <c r="F137" s="1"/>
      <c r="G137" s="1"/>
      <c r="Q137" s="53" t="s">
        <v>1002</v>
      </c>
      <c r="R137" s="1" t="s">
        <v>2013</v>
      </c>
      <c r="AJ137" s="2">
        <f t="shared" si="4"/>
        <v>2</v>
      </c>
      <c r="AL137" s="2">
        <f t="shared" si="5"/>
        <v>1</v>
      </c>
    </row>
    <row r="138" spans="1:38" ht="28.8" x14ac:dyDescent="0.3">
      <c r="A138" s="5" t="s">
        <v>2010</v>
      </c>
      <c r="B138" s="1"/>
      <c r="C138" s="5"/>
      <c r="D138" s="1"/>
      <c r="E138" s="1"/>
      <c r="F138" s="1"/>
      <c r="G138" s="1"/>
      <c r="Q138" s="53" t="s">
        <v>1003</v>
      </c>
      <c r="R138" s="1" t="s">
        <v>2014</v>
      </c>
      <c r="AJ138" s="2">
        <f t="shared" si="4"/>
        <v>2</v>
      </c>
      <c r="AL138" s="2">
        <f t="shared" si="5"/>
        <v>1</v>
      </c>
    </row>
    <row r="139" spans="1:38" ht="28.8" x14ac:dyDescent="0.3">
      <c r="A139" s="5" t="s">
        <v>2011</v>
      </c>
      <c r="B139" s="1"/>
      <c r="C139" s="5"/>
      <c r="D139" s="1"/>
      <c r="E139" s="1"/>
      <c r="F139" s="1"/>
      <c r="G139" s="1"/>
      <c r="Q139" s="53" t="s">
        <v>1190</v>
      </c>
      <c r="R139" s="1" t="s">
        <v>2015</v>
      </c>
      <c r="AJ139" s="2">
        <f t="shared" si="4"/>
        <v>2</v>
      </c>
      <c r="AL139" s="2">
        <f t="shared" si="5"/>
        <v>1</v>
      </c>
    </row>
    <row r="140" spans="1:38" ht="28.8" x14ac:dyDescent="0.3">
      <c r="A140" s="5" t="s">
        <v>2012</v>
      </c>
      <c r="B140" s="1"/>
      <c r="C140" s="5"/>
      <c r="D140" s="1"/>
      <c r="E140" s="1"/>
      <c r="F140" s="1"/>
      <c r="G140" s="1"/>
      <c r="Q140" s="53" t="s">
        <v>1005</v>
      </c>
      <c r="R140" s="1" t="s">
        <v>2016</v>
      </c>
      <c r="AJ140" s="2">
        <f t="shared" si="4"/>
        <v>2</v>
      </c>
      <c r="AL140" s="2">
        <f t="shared" si="5"/>
        <v>1</v>
      </c>
    </row>
    <row r="141" spans="1:38" ht="28.8" x14ac:dyDescent="0.3">
      <c r="A141" s="5" t="s">
        <v>2021</v>
      </c>
      <c r="B141" s="1"/>
      <c r="C141" s="5"/>
      <c r="D141" s="1"/>
      <c r="E141" s="1"/>
      <c r="F141" s="1"/>
      <c r="G141" s="1"/>
      <c r="Q141" s="53" t="s">
        <v>1007</v>
      </c>
      <c r="R141" s="1" t="s">
        <v>2022</v>
      </c>
      <c r="AJ141" s="2">
        <f t="shared" si="4"/>
        <v>2</v>
      </c>
      <c r="AL141" s="2">
        <f t="shared" si="5"/>
        <v>1</v>
      </c>
    </row>
    <row r="142" spans="1:38" ht="28.8" x14ac:dyDescent="0.3">
      <c r="A142" s="5" t="s">
        <v>3117</v>
      </c>
      <c r="B142" s="1"/>
      <c r="C142" s="5"/>
      <c r="D142" s="1"/>
      <c r="E142" s="1"/>
      <c r="F142" s="1"/>
      <c r="G142" s="1"/>
      <c r="AH142" s="1" t="s">
        <v>1057</v>
      </c>
      <c r="AJ142" s="2">
        <f t="shared" si="4"/>
        <v>1</v>
      </c>
      <c r="AL142" s="2">
        <f t="shared" si="5"/>
        <v>0</v>
      </c>
    </row>
    <row r="143" spans="1:38" x14ac:dyDescent="0.3">
      <c r="A143" s="5"/>
      <c r="B143" s="1"/>
      <c r="C143" s="5"/>
      <c r="D143" s="1"/>
      <c r="E143" s="1"/>
      <c r="F143" s="1"/>
      <c r="G143" s="1"/>
    </row>
    <row r="144" spans="1:38"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B275" s="1"/>
    </row>
    <row r="276" spans="1:7" x14ac:dyDescent="0.3">
      <c r="B276" s="1"/>
    </row>
    <row r="277" spans="1:7" x14ac:dyDescent="0.3">
      <c r="B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1" type="noConversion"/>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0CBEF-E4FB-4736-9EB7-85522F26B655}">
  <sheetPr codeName="Sheet14"/>
  <dimension ref="A1:AN288"/>
  <sheetViews>
    <sheetView rightToLeft="1" workbookViewId="0">
      <pane xSplit="1" ySplit="1" topLeftCell="E41" activePane="bottomRight" state="frozen"/>
      <selection activeCell="A6" sqref="A6"/>
      <selection pane="topRight" activeCell="A6" sqref="A6"/>
      <selection pane="bottomLeft" activeCell="A6" sqref="A6"/>
      <selection pane="bottomRight" activeCell="N46" sqref="N46"/>
    </sheetView>
  </sheetViews>
  <sheetFormatPr defaultColWidth="8.77734375" defaultRowHeight="14.4" x14ac:dyDescent="0.3"/>
  <cols>
    <col min="1" max="1" width="52.21875" style="25" customWidth="1"/>
    <col min="2" max="2" width="10" style="2" customWidth="1"/>
    <col min="3" max="3" width="10.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22" t="s">
        <v>0</v>
      </c>
      <c r="B1" s="4">
        <v>2022</v>
      </c>
      <c r="C1" s="34">
        <v>2021</v>
      </c>
      <c r="D1" s="20">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23" t="s">
        <v>25</v>
      </c>
      <c r="B2" s="83" t="s">
        <v>10</v>
      </c>
      <c r="C2" s="39" t="s">
        <v>10</v>
      </c>
      <c r="D2" s="87" t="s">
        <v>10</v>
      </c>
      <c r="E2" s="10"/>
      <c r="F2" s="61" t="s">
        <v>10</v>
      </c>
      <c r="G2" s="61" t="s">
        <v>185</v>
      </c>
      <c r="H2" s="66" t="s">
        <v>11</v>
      </c>
      <c r="I2" s="53" t="s">
        <v>189</v>
      </c>
      <c r="J2" s="1" t="s">
        <v>892</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COUNTIF(AL2:AL126,"&gt;=2")</f>
        <v>35</v>
      </c>
    </row>
    <row r="3" spans="1:40" ht="28.8" x14ac:dyDescent="0.3">
      <c r="A3" s="24" t="s">
        <v>2514</v>
      </c>
      <c r="B3" s="6"/>
      <c r="C3" s="31"/>
      <c r="D3" s="21"/>
      <c r="E3" s="1"/>
      <c r="F3" s="1"/>
      <c r="G3" s="1"/>
      <c r="O3" s="54" t="s">
        <v>919</v>
      </c>
      <c r="Q3" s="54" t="s">
        <v>1010</v>
      </c>
      <c r="R3" s="54" t="s">
        <v>2025</v>
      </c>
      <c r="S3" s="54" t="s">
        <v>12</v>
      </c>
      <c r="V3" s="54" t="s">
        <v>185</v>
      </c>
      <c r="Z3" s="54" t="s">
        <v>13</v>
      </c>
      <c r="AD3" s="54" t="s">
        <v>1510</v>
      </c>
      <c r="AE3" s="1" t="s">
        <v>649</v>
      </c>
      <c r="AJ3" s="2">
        <f t="shared" ref="AJ3:AJ66" si="0">COUNTA(B3:AH3)</f>
        <v>8</v>
      </c>
      <c r="AL3" s="2">
        <f t="shared" ref="AL3:AL66" si="1">COUNTA(F3:O3,R3:S3)</f>
        <v>3</v>
      </c>
    </row>
    <row r="4" spans="1:40" x14ac:dyDescent="0.3">
      <c r="A4" s="5" t="s">
        <v>1532</v>
      </c>
      <c r="B4" s="6"/>
      <c r="C4" s="5"/>
      <c r="D4" s="1"/>
      <c r="E4" s="1"/>
      <c r="F4" s="1"/>
      <c r="G4" s="1"/>
      <c r="N4" s="1" t="s">
        <v>1535</v>
      </c>
      <c r="AJ4" s="2">
        <f t="shared" si="0"/>
        <v>1</v>
      </c>
      <c r="AL4" s="2">
        <f t="shared" si="1"/>
        <v>1</v>
      </c>
    </row>
    <row r="5" spans="1:40" ht="28.8" x14ac:dyDescent="0.3">
      <c r="A5" s="5" t="s">
        <v>1534</v>
      </c>
      <c r="B5" s="5"/>
      <c r="C5" s="5"/>
      <c r="D5" s="1"/>
      <c r="E5" s="1"/>
      <c r="F5" s="1"/>
      <c r="G5" s="1"/>
      <c r="N5" s="1" t="s">
        <v>1537</v>
      </c>
      <c r="AJ5" s="2">
        <f t="shared" si="0"/>
        <v>1</v>
      </c>
      <c r="AL5" s="2">
        <f t="shared" si="1"/>
        <v>1</v>
      </c>
    </row>
    <row r="6" spans="1:40" ht="28.8" x14ac:dyDescent="0.3">
      <c r="A6" s="31" t="s">
        <v>2969</v>
      </c>
      <c r="B6" s="6"/>
      <c r="C6" s="31"/>
      <c r="D6" s="21"/>
      <c r="E6" s="1"/>
      <c r="F6" s="1"/>
      <c r="G6" s="1"/>
      <c r="AE6" s="1" t="s">
        <v>222</v>
      </c>
      <c r="AJ6" s="2">
        <f t="shared" si="0"/>
        <v>1</v>
      </c>
      <c r="AL6" s="2">
        <f t="shared" si="1"/>
        <v>0</v>
      </c>
    </row>
    <row r="7" spans="1:40" ht="28.8" x14ac:dyDescent="0.3">
      <c r="A7" s="24" t="s">
        <v>26</v>
      </c>
      <c r="B7" s="6"/>
      <c r="C7" s="31"/>
      <c r="D7" s="21" t="s">
        <v>11</v>
      </c>
      <c r="E7" s="10"/>
      <c r="F7" s="10" t="s">
        <v>11</v>
      </c>
      <c r="G7" s="61" t="s">
        <v>11</v>
      </c>
      <c r="H7" s="61" t="s">
        <v>12</v>
      </c>
      <c r="I7" s="61" t="s">
        <v>15</v>
      </c>
      <c r="J7" s="61" t="s">
        <v>895</v>
      </c>
      <c r="K7" s="53" t="s">
        <v>891</v>
      </c>
      <c r="M7" s="53" t="s">
        <v>194</v>
      </c>
      <c r="N7" s="53" t="s">
        <v>1456</v>
      </c>
      <c r="O7" s="53" t="s">
        <v>890</v>
      </c>
      <c r="P7" s="53" t="s">
        <v>234</v>
      </c>
      <c r="Q7" s="53" t="s">
        <v>1988</v>
      </c>
      <c r="R7" s="1" t="s">
        <v>1981</v>
      </c>
      <c r="AJ7" s="2">
        <f t="shared" si="0"/>
        <v>13</v>
      </c>
      <c r="AL7" s="2">
        <f t="shared" si="1"/>
        <v>10</v>
      </c>
    </row>
    <row r="8" spans="1:40" ht="28.8" x14ac:dyDescent="0.3">
      <c r="A8" s="24" t="s">
        <v>29</v>
      </c>
      <c r="B8" s="6" t="s">
        <v>14</v>
      </c>
      <c r="C8" s="31" t="s">
        <v>14</v>
      </c>
      <c r="D8" s="21" t="s">
        <v>14</v>
      </c>
      <c r="E8" s="12" t="s">
        <v>362</v>
      </c>
      <c r="F8" s="53" t="s">
        <v>14</v>
      </c>
      <c r="G8" s="53" t="s">
        <v>194</v>
      </c>
      <c r="H8" s="53" t="s">
        <v>33</v>
      </c>
      <c r="I8" s="53" t="s">
        <v>428</v>
      </c>
      <c r="J8" s="53" t="s">
        <v>909</v>
      </c>
      <c r="K8" s="53" t="s">
        <v>878</v>
      </c>
      <c r="M8" s="53" t="s">
        <v>14</v>
      </c>
      <c r="N8" s="53" t="s">
        <v>1453</v>
      </c>
      <c r="O8" s="53" t="s">
        <v>878</v>
      </c>
      <c r="P8" s="53" t="s">
        <v>14</v>
      </c>
      <c r="Q8" s="53" t="s">
        <v>975</v>
      </c>
      <c r="R8" s="1" t="s">
        <v>1977</v>
      </c>
      <c r="AJ8" s="2">
        <f t="shared" si="0"/>
        <v>16</v>
      </c>
      <c r="AL8" s="2">
        <f t="shared" si="1"/>
        <v>10</v>
      </c>
    </row>
    <row r="9" spans="1:40" x14ac:dyDescent="0.3">
      <c r="A9" s="23" t="s">
        <v>3238</v>
      </c>
      <c r="B9" s="51" t="s">
        <v>3239</v>
      </c>
      <c r="C9" s="35"/>
      <c r="D9" s="21"/>
      <c r="E9" s="1"/>
      <c r="F9" s="1"/>
      <c r="G9" s="61" t="s">
        <v>10</v>
      </c>
      <c r="H9" s="61" t="s">
        <v>187</v>
      </c>
      <c r="I9" s="53" t="s">
        <v>190</v>
      </c>
      <c r="J9" s="1" t="s">
        <v>893</v>
      </c>
      <c r="K9" s="53" t="s">
        <v>893</v>
      </c>
      <c r="L9" s="53" t="s">
        <v>895</v>
      </c>
      <c r="M9" s="53" t="s">
        <v>192</v>
      </c>
      <c r="N9" s="53" t="s">
        <v>1076</v>
      </c>
      <c r="O9" s="53" t="s">
        <v>910</v>
      </c>
      <c r="P9" s="53" t="s">
        <v>512</v>
      </c>
      <c r="Q9" s="53" t="s">
        <v>991</v>
      </c>
      <c r="R9" s="1" t="s">
        <v>2000</v>
      </c>
      <c r="AJ9" s="2">
        <f t="shared" si="0"/>
        <v>13</v>
      </c>
      <c r="AL9" s="2">
        <f t="shared" si="1"/>
        <v>10</v>
      </c>
    </row>
    <row r="10" spans="1:40" x14ac:dyDescent="0.3">
      <c r="A10" s="23" t="s">
        <v>411</v>
      </c>
      <c r="B10" s="6"/>
      <c r="C10" s="35"/>
      <c r="D10" s="21"/>
      <c r="E10" s="1"/>
      <c r="F10" s="1"/>
      <c r="G10" s="10" t="s">
        <v>187</v>
      </c>
      <c r="AJ10" s="2">
        <f t="shared" si="0"/>
        <v>1</v>
      </c>
      <c r="AL10" s="2">
        <f t="shared" si="1"/>
        <v>1</v>
      </c>
    </row>
    <row r="11" spans="1:40" ht="43.2" x14ac:dyDescent="0.3">
      <c r="A11" s="24" t="s">
        <v>416</v>
      </c>
      <c r="B11" s="6"/>
      <c r="C11" s="31"/>
      <c r="D11" s="21"/>
      <c r="E11" s="1"/>
      <c r="F11" s="1"/>
      <c r="G11" s="61" t="s">
        <v>44</v>
      </c>
      <c r="H11" s="61" t="s">
        <v>34</v>
      </c>
      <c r="I11" s="61" t="s">
        <v>431</v>
      </c>
      <c r="J11" s="10" t="s">
        <v>910</v>
      </c>
      <c r="AJ11" s="2">
        <f t="shared" si="0"/>
        <v>4</v>
      </c>
      <c r="AL11" s="2">
        <f t="shared" si="1"/>
        <v>4</v>
      </c>
    </row>
    <row r="12" spans="1:40" ht="28.8" x14ac:dyDescent="0.3">
      <c r="A12" s="24" t="s">
        <v>615</v>
      </c>
      <c r="B12" s="1"/>
      <c r="C12" s="31"/>
      <c r="D12" s="21"/>
      <c r="E12" s="1"/>
      <c r="F12" s="1"/>
      <c r="G12" s="10"/>
      <c r="H12" s="61" t="s">
        <v>37</v>
      </c>
      <c r="I12" s="61" t="s">
        <v>433</v>
      </c>
      <c r="J12" s="61" t="s">
        <v>912</v>
      </c>
      <c r="N12" s="1" t="s">
        <v>1452</v>
      </c>
      <c r="AJ12" s="2">
        <f t="shared" si="0"/>
        <v>4</v>
      </c>
      <c r="AL12" s="2">
        <f t="shared" si="1"/>
        <v>4</v>
      </c>
    </row>
    <row r="13" spans="1:40" ht="43.2" x14ac:dyDescent="0.3">
      <c r="A13" s="24" t="s">
        <v>418</v>
      </c>
      <c r="B13" s="1"/>
      <c r="C13" s="31"/>
      <c r="D13" s="21"/>
      <c r="E13" s="1"/>
      <c r="F13" s="1"/>
      <c r="G13" s="61" t="s">
        <v>34</v>
      </c>
      <c r="I13" s="61" t="s">
        <v>33</v>
      </c>
      <c r="J13" s="66" t="s">
        <v>900</v>
      </c>
      <c r="O13" s="1" t="s">
        <v>1324</v>
      </c>
      <c r="AJ13" s="2">
        <f t="shared" si="0"/>
        <v>4</v>
      </c>
      <c r="AL13" s="2">
        <f t="shared" si="1"/>
        <v>4</v>
      </c>
    </row>
    <row r="14" spans="1:40" x14ac:dyDescent="0.3">
      <c r="A14" s="24" t="s">
        <v>419</v>
      </c>
      <c r="B14" s="1"/>
      <c r="C14" s="31"/>
      <c r="D14" s="21"/>
      <c r="E14" s="1"/>
      <c r="F14" s="1"/>
      <c r="G14" s="61" t="s">
        <v>36</v>
      </c>
      <c r="I14" s="61" t="s">
        <v>421</v>
      </c>
      <c r="J14" s="66" t="s">
        <v>901</v>
      </c>
      <c r="O14" s="1" t="s">
        <v>1321</v>
      </c>
      <c r="AJ14" s="2">
        <f t="shared" si="0"/>
        <v>4</v>
      </c>
      <c r="AL14" s="2">
        <f t="shared" si="1"/>
        <v>4</v>
      </c>
    </row>
    <row r="15" spans="1:40" x14ac:dyDescent="0.3">
      <c r="A15" s="24" t="s">
        <v>420</v>
      </c>
      <c r="B15" s="5"/>
      <c r="C15" s="31"/>
      <c r="D15" s="21"/>
      <c r="E15" s="1"/>
      <c r="F15" s="1"/>
      <c r="G15" s="61" t="s">
        <v>37</v>
      </c>
      <c r="I15" s="10"/>
      <c r="J15" s="10" t="s">
        <v>902</v>
      </c>
      <c r="AJ15" s="2">
        <f t="shared" si="0"/>
        <v>2</v>
      </c>
      <c r="AL15" s="2">
        <f t="shared" si="1"/>
        <v>2</v>
      </c>
    </row>
    <row r="16" spans="1:40" x14ac:dyDescent="0.3">
      <c r="A16" s="24" t="s">
        <v>718</v>
      </c>
      <c r="B16" s="1"/>
      <c r="C16" s="31"/>
      <c r="D16" s="21"/>
      <c r="E16" s="1"/>
      <c r="F16" s="1"/>
      <c r="G16" s="10"/>
      <c r="I16" s="61" t="s">
        <v>37</v>
      </c>
      <c r="J16" s="10" t="s">
        <v>882</v>
      </c>
      <c r="AJ16" s="2">
        <f t="shared" si="0"/>
        <v>2</v>
      </c>
      <c r="AL16" s="2">
        <f t="shared" si="1"/>
        <v>2</v>
      </c>
    </row>
    <row r="17" spans="1:38" ht="28.8" x14ac:dyDescent="0.3">
      <c r="A17" s="24" t="s">
        <v>436</v>
      </c>
      <c r="B17" s="1"/>
      <c r="C17" s="31"/>
      <c r="D17" s="21"/>
      <c r="E17" s="1"/>
      <c r="F17" s="1"/>
      <c r="G17" s="10" t="s">
        <v>437</v>
      </c>
      <c r="AJ17" s="2">
        <f t="shared" si="0"/>
        <v>1</v>
      </c>
      <c r="AL17" s="2">
        <f t="shared" si="1"/>
        <v>1</v>
      </c>
    </row>
    <row r="18" spans="1:38" ht="28.8" x14ac:dyDescent="0.3">
      <c r="A18" s="24" t="s">
        <v>710</v>
      </c>
      <c r="B18" s="1"/>
      <c r="C18" s="31"/>
      <c r="D18" s="21"/>
      <c r="E18" s="1"/>
      <c r="F18" s="1"/>
      <c r="G18" s="1"/>
      <c r="I18" s="61" t="s">
        <v>187</v>
      </c>
      <c r="J18" s="61" t="s">
        <v>890</v>
      </c>
      <c r="N18" s="53" t="s">
        <v>1444</v>
      </c>
      <c r="O18" s="53" t="s">
        <v>895</v>
      </c>
      <c r="P18" s="53" t="s">
        <v>100</v>
      </c>
      <c r="Q18" s="53" t="s">
        <v>1180</v>
      </c>
      <c r="R18" s="1" t="s">
        <v>1992</v>
      </c>
      <c r="AJ18" s="2">
        <f t="shared" si="0"/>
        <v>7</v>
      </c>
      <c r="AL18" s="2">
        <f t="shared" si="1"/>
        <v>5</v>
      </c>
    </row>
    <row r="19" spans="1:38" ht="28.8" x14ac:dyDescent="0.3">
      <c r="A19" s="24" t="s">
        <v>711</v>
      </c>
      <c r="B19" s="1"/>
      <c r="C19" s="31"/>
      <c r="D19" s="21"/>
      <c r="E19" s="1"/>
      <c r="F19" s="1"/>
      <c r="G19" s="1"/>
      <c r="I19" s="61" t="s">
        <v>12</v>
      </c>
      <c r="J19" s="61" t="s">
        <v>891</v>
      </c>
      <c r="N19" s="53" t="s">
        <v>1445</v>
      </c>
      <c r="O19" s="53" t="s">
        <v>896</v>
      </c>
      <c r="P19" s="53" t="s">
        <v>101</v>
      </c>
      <c r="Q19" s="53" t="s">
        <v>979</v>
      </c>
      <c r="R19" s="1" t="s">
        <v>1993</v>
      </c>
      <c r="AJ19" s="2">
        <f t="shared" si="0"/>
        <v>7</v>
      </c>
      <c r="AL19" s="2">
        <f t="shared" si="1"/>
        <v>5</v>
      </c>
    </row>
    <row r="20" spans="1:38" ht="28.8" x14ac:dyDescent="0.3">
      <c r="A20" s="24" t="s">
        <v>716</v>
      </c>
      <c r="B20" s="1"/>
      <c r="C20" s="31"/>
      <c r="D20" s="21"/>
      <c r="E20" s="1"/>
      <c r="F20" s="1"/>
      <c r="G20" s="1"/>
      <c r="I20" s="66" t="s">
        <v>14</v>
      </c>
      <c r="J20" s="61" t="s">
        <v>894</v>
      </c>
      <c r="K20" s="53" t="s">
        <v>892</v>
      </c>
      <c r="L20" s="54" t="s">
        <v>889</v>
      </c>
      <c r="N20" s="1" t="s">
        <v>1072</v>
      </c>
      <c r="AJ20" s="2">
        <f t="shared" si="0"/>
        <v>5</v>
      </c>
      <c r="AL20" s="2">
        <f t="shared" si="1"/>
        <v>5</v>
      </c>
    </row>
    <row r="21" spans="1:38" ht="28.8" x14ac:dyDescent="0.3">
      <c r="A21" s="24" t="s">
        <v>721</v>
      </c>
      <c r="B21" s="1"/>
      <c r="C21" s="31"/>
      <c r="D21" s="21"/>
      <c r="E21" s="1"/>
      <c r="F21" s="1"/>
      <c r="G21" s="1"/>
      <c r="I21" s="66" t="s">
        <v>432</v>
      </c>
      <c r="J21" s="61" t="s">
        <v>911</v>
      </c>
      <c r="L21" s="53" t="s">
        <v>894</v>
      </c>
      <c r="M21" s="53" t="s">
        <v>34</v>
      </c>
      <c r="N21" s="53" t="s">
        <v>1085</v>
      </c>
      <c r="O21" s="54" t="s">
        <v>877</v>
      </c>
      <c r="P21" s="30" t="s">
        <v>15</v>
      </c>
      <c r="AJ21" s="2">
        <f t="shared" si="0"/>
        <v>7</v>
      </c>
      <c r="AL21" s="2">
        <f t="shared" si="1"/>
        <v>6</v>
      </c>
    </row>
    <row r="22" spans="1:38" ht="28.8" x14ac:dyDescent="0.3">
      <c r="A22" s="24" t="s">
        <v>1502</v>
      </c>
      <c r="B22" s="1"/>
      <c r="C22" s="31"/>
      <c r="D22" s="21"/>
      <c r="E22" s="1"/>
      <c r="F22" s="1"/>
      <c r="G22" s="1"/>
      <c r="I22" s="10"/>
      <c r="J22" s="10"/>
      <c r="N22" s="1" t="s">
        <v>1078</v>
      </c>
      <c r="AJ22" s="2">
        <f t="shared" si="0"/>
        <v>1</v>
      </c>
      <c r="AL22" s="2">
        <f t="shared" si="1"/>
        <v>1</v>
      </c>
    </row>
    <row r="23" spans="1:38" ht="28.8" x14ac:dyDescent="0.3">
      <c r="A23" s="24" t="s">
        <v>723</v>
      </c>
      <c r="B23" s="1"/>
      <c r="C23" s="31"/>
      <c r="D23" s="21"/>
      <c r="E23" s="1"/>
      <c r="F23" s="1"/>
      <c r="G23" s="1"/>
      <c r="I23" s="66" t="s">
        <v>57</v>
      </c>
      <c r="J23" s="54" t="s">
        <v>918</v>
      </c>
      <c r="M23" s="54" t="s">
        <v>187</v>
      </c>
      <c r="N23" s="1" t="s">
        <v>363</v>
      </c>
      <c r="AJ23" s="2">
        <f t="shared" si="0"/>
        <v>4</v>
      </c>
      <c r="AL23" s="2">
        <f t="shared" si="1"/>
        <v>4</v>
      </c>
    </row>
    <row r="24" spans="1:38" ht="28.8" x14ac:dyDescent="0.3">
      <c r="A24" s="24" t="s">
        <v>724</v>
      </c>
      <c r="B24" s="1"/>
      <c r="C24" s="31"/>
      <c r="D24" s="21"/>
      <c r="E24" s="1"/>
      <c r="F24" s="1"/>
      <c r="G24" s="1"/>
      <c r="I24" s="66" t="s">
        <v>62</v>
      </c>
      <c r="J24" s="53" t="s">
        <v>919</v>
      </c>
      <c r="K24" s="54" t="s">
        <v>877</v>
      </c>
      <c r="M24" s="54" t="s">
        <v>10</v>
      </c>
      <c r="N24" s="1" t="s">
        <v>1058</v>
      </c>
      <c r="AJ24" s="2">
        <f t="shared" si="0"/>
        <v>5</v>
      </c>
      <c r="AL24" s="2">
        <f t="shared" si="1"/>
        <v>5</v>
      </c>
    </row>
    <row r="25" spans="1:38" ht="28.8" x14ac:dyDescent="0.3">
      <c r="A25" s="24" t="s">
        <v>725</v>
      </c>
      <c r="B25" s="1"/>
      <c r="C25" s="31"/>
      <c r="D25" s="21"/>
      <c r="E25" s="1"/>
      <c r="F25" s="1"/>
      <c r="G25" s="1"/>
      <c r="I25" s="66" t="s">
        <v>63</v>
      </c>
      <c r="J25" s="61" t="s">
        <v>920</v>
      </c>
      <c r="L25" s="54" t="s">
        <v>893</v>
      </c>
      <c r="M25" s="54" t="s">
        <v>17</v>
      </c>
      <c r="N25" s="53" t="s">
        <v>1455</v>
      </c>
      <c r="O25" s="53" t="s">
        <v>891</v>
      </c>
      <c r="P25" s="53" t="s">
        <v>58</v>
      </c>
      <c r="Q25" s="53" t="s">
        <v>977</v>
      </c>
      <c r="R25" s="1" t="s">
        <v>1989</v>
      </c>
      <c r="AJ25" s="2">
        <f t="shared" si="0"/>
        <v>9</v>
      </c>
      <c r="AL25" s="2">
        <f t="shared" si="1"/>
        <v>7</v>
      </c>
    </row>
    <row r="26" spans="1:38" ht="28.8" x14ac:dyDescent="0.3">
      <c r="A26" s="24" t="s">
        <v>1150</v>
      </c>
      <c r="B26" s="5"/>
      <c r="C26" s="31"/>
      <c r="D26" s="21"/>
      <c r="E26" s="1"/>
      <c r="F26" s="1"/>
      <c r="G26" s="1"/>
      <c r="I26" s="10"/>
      <c r="J26" s="10"/>
      <c r="K26" s="1" t="s">
        <v>879</v>
      </c>
      <c r="AJ26" s="2">
        <f t="shared" si="0"/>
        <v>1</v>
      </c>
      <c r="AL26" s="2">
        <f t="shared" si="1"/>
        <v>1</v>
      </c>
    </row>
    <row r="27" spans="1:38" ht="28.8" x14ac:dyDescent="0.3">
      <c r="A27" s="24" t="s">
        <v>1151</v>
      </c>
      <c r="B27" s="5"/>
      <c r="C27" s="31"/>
      <c r="D27" s="21"/>
      <c r="E27" s="1"/>
      <c r="F27" s="1"/>
      <c r="G27" s="1"/>
      <c r="I27" s="10"/>
      <c r="J27" s="10"/>
      <c r="K27" s="1" t="s">
        <v>883</v>
      </c>
      <c r="AJ27" s="2">
        <f t="shared" si="0"/>
        <v>1</v>
      </c>
      <c r="AL27" s="2">
        <f t="shared" si="1"/>
        <v>1</v>
      </c>
    </row>
    <row r="28" spans="1:38" ht="28.8" x14ac:dyDescent="0.3">
      <c r="A28" s="24" t="s">
        <v>1152</v>
      </c>
      <c r="B28" s="5"/>
      <c r="C28" s="31"/>
      <c r="D28" s="21"/>
      <c r="E28" s="1"/>
      <c r="F28" s="1"/>
      <c r="G28" s="1"/>
      <c r="I28" s="10"/>
      <c r="J28" s="10"/>
      <c r="K28" s="1" t="s">
        <v>884</v>
      </c>
      <c r="AJ28" s="2">
        <f t="shared" si="0"/>
        <v>1</v>
      </c>
      <c r="AL28" s="2">
        <f t="shared" si="1"/>
        <v>1</v>
      </c>
    </row>
    <row r="29" spans="1:38" ht="28.8" x14ac:dyDescent="0.3">
      <c r="A29" s="24" t="s">
        <v>1153</v>
      </c>
      <c r="B29" s="5"/>
      <c r="C29" s="31"/>
      <c r="D29" s="21"/>
      <c r="E29" s="1"/>
      <c r="F29" s="1"/>
      <c r="G29" s="1"/>
      <c r="I29" s="10"/>
      <c r="J29" s="10"/>
      <c r="K29" s="1" t="s">
        <v>886</v>
      </c>
      <c r="AJ29" s="2">
        <f t="shared" si="0"/>
        <v>1</v>
      </c>
      <c r="AL29" s="2">
        <f t="shared" si="1"/>
        <v>1</v>
      </c>
    </row>
    <row r="30" spans="1:38" x14ac:dyDescent="0.3">
      <c r="A30" s="24" t="s">
        <v>1154</v>
      </c>
      <c r="B30" s="5"/>
      <c r="C30" s="31"/>
      <c r="D30" s="21"/>
      <c r="E30" s="1"/>
      <c r="F30" s="1"/>
      <c r="G30" s="1"/>
      <c r="I30" s="10"/>
      <c r="J30" s="10"/>
      <c r="K30" s="1" t="s">
        <v>889</v>
      </c>
      <c r="AJ30" s="2">
        <f t="shared" si="0"/>
        <v>1</v>
      </c>
      <c r="AL30" s="2">
        <f t="shared" si="1"/>
        <v>1</v>
      </c>
    </row>
    <row r="31" spans="1:38" ht="28.8" x14ac:dyDescent="0.3">
      <c r="A31" s="24" t="s">
        <v>1155</v>
      </c>
      <c r="B31" s="5"/>
      <c r="C31" s="31"/>
      <c r="D31" s="21"/>
      <c r="E31" s="1"/>
      <c r="F31" s="1"/>
      <c r="G31" s="1"/>
      <c r="I31" s="10"/>
      <c r="J31" s="10"/>
      <c r="K31" s="1" t="s">
        <v>890</v>
      </c>
      <c r="AJ31" s="2">
        <f t="shared" si="0"/>
        <v>1</v>
      </c>
      <c r="AL31" s="2">
        <f t="shared" si="1"/>
        <v>1</v>
      </c>
    </row>
    <row r="32" spans="1:38" ht="28.8" x14ac:dyDescent="0.3">
      <c r="A32" s="24" t="s">
        <v>1822</v>
      </c>
      <c r="B32" s="5"/>
      <c r="C32" s="31"/>
      <c r="D32" s="21"/>
      <c r="E32" s="1"/>
      <c r="F32" s="1"/>
      <c r="G32" s="1"/>
      <c r="I32" s="10"/>
      <c r="J32" s="10"/>
      <c r="P32" s="30" t="s">
        <v>239</v>
      </c>
      <c r="AJ32" s="2">
        <f t="shared" si="0"/>
        <v>1</v>
      </c>
      <c r="AL32" s="2">
        <f t="shared" si="1"/>
        <v>0</v>
      </c>
    </row>
    <row r="33" spans="1:38" ht="57.6" x14ac:dyDescent="0.3">
      <c r="A33" s="24" t="s">
        <v>23</v>
      </c>
      <c r="B33" s="5"/>
      <c r="C33" s="31"/>
      <c r="D33" s="21" t="s">
        <v>24</v>
      </c>
      <c r="E33" s="1"/>
      <c r="F33" s="1"/>
      <c r="G33" s="1"/>
      <c r="AJ33" s="2">
        <f t="shared" si="0"/>
        <v>1</v>
      </c>
      <c r="AL33" s="2">
        <f t="shared" si="1"/>
        <v>0</v>
      </c>
    </row>
    <row r="34" spans="1:38" ht="28.8" x14ac:dyDescent="0.3">
      <c r="A34" s="24" t="s">
        <v>885</v>
      </c>
      <c r="B34" s="5"/>
      <c r="C34" s="31"/>
      <c r="D34" s="21"/>
      <c r="E34" s="1"/>
      <c r="F34" s="1"/>
      <c r="G34" s="1"/>
      <c r="J34" s="1" t="s">
        <v>884</v>
      </c>
      <c r="AJ34" s="2">
        <f t="shared" si="0"/>
        <v>1</v>
      </c>
      <c r="AL34" s="2">
        <f t="shared" si="1"/>
        <v>1</v>
      </c>
    </row>
    <row r="35" spans="1:38" ht="43.2" x14ac:dyDescent="0.3">
      <c r="A35" s="24" t="s">
        <v>887</v>
      </c>
      <c r="B35" s="5"/>
      <c r="C35" s="31"/>
      <c r="D35" s="21"/>
      <c r="E35" s="1"/>
      <c r="F35" s="1"/>
      <c r="G35" s="1"/>
      <c r="J35" s="1" t="s">
        <v>886</v>
      </c>
      <c r="AJ35" s="2">
        <f t="shared" si="0"/>
        <v>1</v>
      </c>
      <c r="AL35" s="2">
        <f t="shared" si="1"/>
        <v>1</v>
      </c>
    </row>
    <row r="36" spans="1:38" ht="28.8" x14ac:dyDescent="0.3">
      <c r="A36" s="24" t="s">
        <v>888</v>
      </c>
      <c r="B36" s="5"/>
      <c r="C36" s="31"/>
      <c r="D36" s="21"/>
      <c r="E36" s="1"/>
      <c r="F36" s="1"/>
      <c r="G36" s="1"/>
      <c r="J36" s="10" t="s">
        <v>889</v>
      </c>
      <c r="AJ36" s="2">
        <f t="shared" si="0"/>
        <v>1</v>
      </c>
      <c r="AL36" s="2">
        <f t="shared" si="1"/>
        <v>1</v>
      </c>
    </row>
    <row r="37" spans="1:38" ht="57.6" x14ac:dyDescent="0.3">
      <c r="A37" s="24" t="s">
        <v>1209</v>
      </c>
      <c r="B37" s="5"/>
      <c r="C37" s="31"/>
      <c r="D37" s="21"/>
      <c r="E37" s="1"/>
      <c r="F37" s="1"/>
      <c r="G37" s="1"/>
      <c r="L37" s="1" t="s">
        <v>877</v>
      </c>
      <c r="AJ37" s="2">
        <f t="shared" si="0"/>
        <v>1</v>
      </c>
      <c r="AL37" s="2">
        <f t="shared" si="1"/>
        <v>1</v>
      </c>
    </row>
    <row r="38" spans="1:38" x14ac:dyDescent="0.3">
      <c r="A38" s="24" t="s">
        <v>1210</v>
      </c>
      <c r="B38" s="5"/>
      <c r="C38" s="31"/>
      <c r="D38" s="21"/>
      <c r="E38" s="1"/>
      <c r="F38" s="1"/>
      <c r="G38" s="1"/>
      <c r="L38" s="1" t="s">
        <v>878</v>
      </c>
      <c r="AJ38" s="2">
        <f t="shared" si="0"/>
        <v>1</v>
      </c>
      <c r="AL38" s="2">
        <f t="shared" si="1"/>
        <v>1</v>
      </c>
    </row>
    <row r="39" spans="1:38" x14ac:dyDescent="0.3">
      <c r="A39" s="24" t="s">
        <v>1211</v>
      </c>
      <c r="B39" s="5"/>
      <c r="C39" s="31"/>
      <c r="D39" s="21"/>
      <c r="E39" s="1"/>
      <c r="F39" s="1"/>
      <c r="G39" s="1"/>
      <c r="L39" s="1" t="s">
        <v>879</v>
      </c>
      <c r="AJ39" s="2">
        <f t="shared" si="0"/>
        <v>1</v>
      </c>
      <c r="AL39" s="2">
        <f t="shared" si="1"/>
        <v>1</v>
      </c>
    </row>
    <row r="40" spans="1:38" x14ac:dyDescent="0.3">
      <c r="A40" s="24" t="s">
        <v>1212</v>
      </c>
      <c r="B40" s="5"/>
      <c r="C40" s="31"/>
      <c r="D40" s="21"/>
      <c r="E40" s="1"/>
      <c r="F40" s="1"/>
      <c r="G40" s="1"/>
      <c r="L40" s="1" t="s">
        <v>883</v>
      </c>
      <c r="AJ40" s="2">
        <f t="shared" si="0"/>
        <v>1</v>
      </c>
      <c r="AL40" s="2">
        <f t="shared" si="1"/>
        <v>1</v>
      </c>
    </row>
    <row r="41" spans="1:38" x14ac:dyDescent="0.3">
      <c r="A41" s="24" t="s">
        <v>1213</v>
      </c>
      <c r="B41" s="5"/>
      <c r="C41" s="31"/>
      <c r="D41" s="21"/>
      <c r="E41" s="1"/>
      <c r="F41" s="1"/>
      <c r="G41" s="1"/>
      <c r="L41" s="1" t="s">
        <v>884</v>
      </c>
      <c r="AJ41" s="2">
        <f t="shared" si="0"/>
        <v>1</v>
      </c>
      <c r="AL41" s="2">
        <f t="shared" si="1"/>
        <v>1</v>
      </c>
    </row>
    <row r="42" spans="1:38" ht="86.4" x14ac:dyDescent="0.3">
      <c r="A42" s="24" t="s">
        <v>1214</v>
      </c>
      <c r="B42" s="5"/>
      <c r="C42" s="31"/>
      <c r="D42" s="21"/>
      <c r="E42" s="1"/>
      <c r="F42" s="1"/>
      <c r="G42" s="1"/>
      <c r="L42" s="1" t="s">
        <v>886</v>
      </c>
      <c r="AJ42" s="2">
        <f t="shared" si="0"/>
        <v>1</v>
      </c>
      <c r="AL42" s="2">
        <f t="shared" si="1"/>
        <v>1</v>
      </c>
    </row>
    <row r="43" spans="1:38" x14ac:dyDescent="0.3">
      <c r="A43" s="24" t="s">
        <v>2553</v>
      </c>
      <c r="B43" s="5"/>
      <c r="C43" s="31"/>
      <c r="D43" s="21"/>
      <c r="E43" s="1"/>
      <c r="F43" s="1"/>
      <c r="G43" s="1"/>
      <c r="V43" s="1" t="s">
        <v>278</v>
      </c>
      <c r="AJ43" s="2">
        <f t="shared" si="0"/>
        <v>1</v>
      </c>
      <c r="AL43" s="2">
        <f t="shared" si="1"/>
        <v>0</v>
      </c>
    </row>
    <row r="44" spans="1:38" ht="28.8" x14ac:dyDescent="0.3">
      <c r="A44" s="24" t="s">
        <v>1497</v>
      </c>
      <c r="B44" s="5"/>
      <c r="C44" s="31"/>
      <c r="D44" s="21"/>
      <c r="E44" s="1"/>
      <c r="F44" s="1"/>
      <c r="G44" s="1"/>
      <c r="L44" s="53" t="s">
        <v>890</v>
      </c>
      <c r="N44" s="1" t="s">
        <v>364</v>
      </c>
      <c r="AJ44" s="2">
        <f t="shared" si="0"/>
        <v>2</v>
      </c>
      <c r="AL44" s="2">
        <f t="shared" si="1"/>
        <v>2</v>
      </c>
    </row>
    <row r="45" spans="1:38" ht="43.2" x14ac:dyDescent="0.3">
      <c r="A45" s="24" t="s">
        <v>1215</v>
      </c>
      <c r="B45" s="5"/>
      <c r="C45" s="31"/>
      <c r="D45" s="21"/>
      <c r="E45" s="1"/>
      <c r="F45" s="1"/>
      <c r="G45" s="1"/>
      <c r="L45" s="53" t="s">
        <v>892</v>
      </c>
      <c r="N45" s="1" t="s">
        <v>1448</v>
      </c>
      <c r="AJ45" s="2">
        <f t="shared" si="0"/>
        <v>2</v>
      </c>
      <c r="AL45" s="2">
        <f t="shared" si="1"/>
        <v>2</v>
      </c>
    </row>
    <row r="46" spans="1:38" ht="28.8" x14ac:dyDescent="0.3">
      <c r="A46" s="24" t="s">
        <v>1496</v>
      </c>
      <c r="B46" s="5"/>
      <c r="C46" s="31"/>
      <c r="D46" s="21"/>
      <c r="E46" s="1"/>
      <c r="F46" s="1"/>
      <c r="G46" s="1"/>
      <c r="M46" s="53" t="s">
        <v>363</v>
      </c>
      <c r="N46" s="1" t="s">
        <v>1073</v>
      </c>
      <c r="AJ46" s="2">
        <f t="shared" si="0"/>
        <v>2</v>
      </c>
      <c r="AL46" s="2">
        <f t="shared" si="1"/>
        <v>2</v>
      </c>
    </row>
    <row r="47" spans="1:38" ht="43.2" x14ac:dyDescent="0.3">
      <c r="A47" s="24" t="s">
        <v>1498</v>
      </c>
      <c r="B47" s="5"/>
      <c r="C47" s="31"/>
      <c r="D47" s="21"/>
      <c r="E47" s="1"/>
      <c r="F47" s="1"/>
      <c r="G47" s="1"/>
      <c r="M47" s="53" t="s">
        <v>364</v>
      </c>
      <c r="N47" s="1" t="s">
        <v>1074</v>
      </c>
      <c r="AJ47" s="2">
        <f t="shared" si="0"/>
        <v>2</v>
      </c>
      <c r="AL47" s="2">
        <f t="shared" si="1"/>
        <v>2</v>
      </c>
    </row>
    <row r="48" spans="1:38" ht="28.8" x14ac:dyDescent="0.3">
      <c r="A48" s="24" t="s">
        <v>1479</v>
      </c>
      <c r="B48" s="5"/>
      <c r="C48" s="31"/>
      <c r="D48" s="21"/>
      <c r="E48" s="1"/>
      <c r="F48" s="1"/>
      <c r="G48" s="1"/>
      <c r="M48" s="1" t="s">
        <v>1144</v>
      </c>
      <c r="AJ48" s="2">
        <f t="shared" si="0"/>
        <v>1</v>
      </c>
      <c r="AL48" s="2">
        <f t="shared" si="1"/>
        <v>1</v>
      </c>
    </row>
    <row r="49" spans="1:38" ht="43.2" x14ac:dyDescent="0.3">
      <c r="A49" s="24" t="s">
        <v>1499</v>
      </c>
      <c r="B49" s="5"/>
      <c r="C49" s="31"/>
      <c r="D49" s="21"/>
      <c r="E49" s="1"/>
      <c r="F49" s="1"/>
      <c r="G49" s="1"/>
      <c r="M49" s="1" t="s">
        <v>1147</v>
      </c>
      <c r="AJ49" s="2">
        <f t="shared" si="0"/>
        <v>1</v>
      </c>
      <c r="AL49" s="2">
        <f t="shared" si="1"/>
        <v>1</v>
      </c>
    </row>
    <row r="50" spans="1:38" ht="72" x14ac:dyDescent="0.3">
      <c r="A50" s="24" t="s">
        <v>1216</v>
      </c>
      <c r="B50" s="5"/>
      <c r="C50" s="31"/>
      <c r="D50" s="21"/>
      <c r="E50" s="1"/>
      <c r="F50" s="1"/>
      <c r="G50" s="1"/>
      <c r="L50" s="1" t="s">
        <v>897</v>
      </c>
      <c r="AJ50" s="2">
        <f t="shared" si="0"/>
        <v>1</v>
      </c>
      <c r="AL50" s="2">
        <f t="shared" si="1"/>
        <v>1</v>
      </c>
    </row>
    <row r="51" spans="1:38" x14ac:dyDescent="0.3">
      <c r="A51" s="24" t="s">
        <v>1217</v>
      </c>
      <c r="B51" s="5"/>
      <c r="C51" s="31"/>
      <c r="D51" s="21"/>
      <c r="E51" s="1"/>
      <c r="F51" s="1"/>
      <c r="G51" s="1"/>
      <c r="L51" s="1" t="s">
        <v>898</v>
      </c>
      <c r="AJ51" s="2">
        <f t="shared" si="0"/>
        <v>1</v>
      </c>
      <c r="AL51" s="2">
        <f t="shared" si="1"/>
        <v>1</v>
      </c>
    </row>
    <row r="52" spans="1:38" x14ac:dyDescent="0.3">
      <c r="A52" s="24" t="s">
        <v>1218</v>
      </c>
      <c r="B52" s="5"/>
      <c r="C52" s="31"/>
      <c r="D52" s="21"/>
      <c r="E52" s="1"/>
      <c r="F52" s="1"/>
      <c r="G52" s="1"/>
      <c r="L52" s="1" t="s">
        <v>880</v>
      </c>
      <c r="AJ52" s="2">
        <f t="shared" si="0"/>
        <v>1</v>
      </c>
      <c r="AL52" s="2">
        <f t="shared" si="1"/>
        <v>1</v>
      </c>
    </row>
    <row r="53" spans="1:38" x14ac:dyDescent="0.3">
      <c r="A53" s="24" t="s">
        <v>1219</v>
      </c>
      <c r="B53" s="5"/>
      <c r="C53" s="31"/>
      <c r="D53" s="21"/>
      <c r="E53" s="1"/>
      <c r="F53" s="1"/>
      <c r="G53" s="1"/>
      <c r="L53" s="1" t="s">
        <v>899</v>
      </c>
      <c r="AJ53" s="2">
        <f t="shared" si="0"/>
        <v>1</v>
      </c>
      <c r="AL53" s="2">
        <f t="shared" si="1"/>
        <v>1</v>
      </c>
    </row>
    <row r="54" spans="1:38" ht="28.8" x14ac:dyDescent="0.3">
      <c r="A54" s="24" t="s">
        <v>1220</v>
      </c>
      <c r="B54" s="5"/>
      <c r="C54" s="31"/>
      <c r="D54" s="21"/>
      <c r="E54" s="1"/>
      <c r="F54" s="1"/>
      <c r="G54" s="1"/>
      <c r="L54" s="1" t="s">
        <v>900</v>
      </c>
      <c r="AJ54" s="2">
        <f t="shared" si="0"/>
        <v>1</v>
      </c>
      <c r="AL54" s="2">
        <f t="shared" si="1"/>
        <v>1</v>
      </c>
    </row>
    <row r="55" spans="1:38" x14ac:dyDescent="0.3">
      <c r="A55" s="24" t="s">
        <v>1226</v>
      </c>
      <c r="B55" s="5"/>
      <c r="C55" s="31"/>
      <c r="D55" s="21"/>
      <c r="E55" s="1"/>
      <c r="F55" s="1"/>
      <c r="G55" s="1"/>
      <c r="L55" s="1" t="s">
        <v>881</v>
      </c>
      <c r="AJ55" s="2">
        <f t="shared" si="0"/>
        <v>1</v>
      </c>
      <c r="AL55" s="2">
        <f t="shared" si="1"/>
        <v>1</v>
      </c>
    </row>
    <row r="56" spans="1:38" ht="28.8" x14ac:dyDescent="0.3">
      <c r="A56" s="24" t="s">
        <v>1221</v>
      </c>
      <c r="B56" s="5"/>
      <c r="C56" s="31"/>
      <c r="D56" s="21"/>
      <c r="E56" s="1"/>
      <c r="F56" s="1"/>
      <c r="G56" s="1"/>
      <c r="L56" s="1" t="s">
        <v>882</v>
      </c>
      <c r="AJ56" s="2">
        <f t="shared" si="0"/>
        <v>1</v>
      </c>
      <c r="AL56" s="2">
        <f t="shared" si="1"/>
        <v>1</v>
      </c>
    </row>
    <row r="57" spans="1:38" x14ac:dyDescent="0.3">
      <c r="A57" s="24" t="s">
        <v>1222</v>
      </c>
      <c r="B57" s="5"/>
      <c r="C57" s="31"/>
      <c r="D57" s="21"/>
      <c r="E57" s="1"/>
      <c r="F57" s="1"/>
      <c r="G57" s="1"/>
      <c r="L57" s="1" t="s">
        <v>903</v>
      </c>
      <c r="AJ57" s="2">
        <f t="shared" si="0"/>
        <v>1</v>
      </c>
      <c r="AL57" s="2">
        <f t="shared" si="1"/>
        <v>1</v>
      </c>
    </row>
    <row r="58" spans="1:38" x14ac:dyDescent="0.3">
      <c r="A58" s="24" t="s">
        <v>1223</v>
      </c>
      <c r="B58" s="5"/>
      <c r="C58" s="31"/>
      <c r="D58" s="21"/>
      <c r="E58" s="1"/>
      <c r="F58" s="1"/>
      <c r="G58" s="1"/>
      <c r="L58" s="1" t="s">
        <v>901</v>
      </c>
      <c r="AJ58" s="2">
        <f t="shared" si="0"/>
        <v>1</v>
      </c>
      <c r="AL58" s="2">
        <f t="shared" si="1"/>
        <v>1</v>
      </c>
    </row>
    <row r="59" spans="1:38" x14ac:dyDescent="0.3">
      <c r="A59" s="24" t="s">
        <v>1224</v>
      </c>
      <c r="B59" s="5"/>
      <c r="C59" s="31"/>
      <c r="D59" s="21"/>
      <c r="E59" s="1"/>
      <c r="F59" s="1"/>
      <c r="G59" s="1"/>
      <c r="L59" s="1" t="s">
        <v>902</v>
      </c>
      <c r="AJ59" s="2">
        <f t="shared" si="0"/>
        <v>1</v>
      </c>
      <c r="AL59" s="2">
        <f t="shared" si="1"/>
        <v>1</v>
      </c>
    </row>
    <row r="60" spans="1:38" x14ac:dyDescent="0.3">
      <c r="A60" s="24" t="s">
        <v>1225</v>
      </c>
      <c r="B60" s="5"/>
      <c r="C60" s="31"/>
      <c r="D60" s="21"/>
      <c r="E60" s="1"/>
      <c r="F60" s="1"/>
      <c r="G60" s="1"/>
      <c r="L60" s="1" t="s">
        <v>904</v>
      </c>
      <c r="AJ60" s="2">
        <f t="shared" si="0"/>
        <v>1</v>
      </c>
      <c r="AL60" s="2">
        <f t="shared" si="1"/>
        <v>1</v>
      </c>
    </row>
    <row r="61" spans="1:38" x14ac:dyDescent="0.3">
      <c r="A61" s="24" t="s">
        <v>1226</v>
      </c>
      <c r="B61" s="5"/>
      <c r="C61" s="31"/>
      <c r="D61" s="21"/>
      <c r="E61" s="1"/>
      <c r="F61" s="1"/>
      <c r="G61" s="1"/>
      <c r="L61" s="1" t="s">
        <v>906</v>
      </c>
      <c r="AJ61" s="2">
        <f t="shared" si="0"/>
        <v>1</v>
      </c>
      <c r="AL61" s="2">
        <f t="shared" si="1"/>
        <v>1</v>
      </c>
    </row>
    <row r="62" spans="1:38" x14ac:dyDescent="0.3">
      <c r="A62" s="24" t="s">
        <v>1269</v>
      </c>
      <c r="B62" s="5"/>
      <c r="C62" s="31"/>
      <c r="D62" s="21"/>
      <c r="E62" s="1"/>
      <c r="F62" s="1"/>
      <c r="G62" s="1"/>
      <c r="M62" s="53" t="s">
        <v>13</v>
      </c>
      <c r="N62" s="1" t="s">
        <v>1067</v>
      </c>
      <c r="AJ62" s="2">
        <f t="shared" si="0"/>
        <v>2</v>
      </c>
      <c r="AL62" s="2">
        <f t="shared" si="1"/>
        <v>2</v>
      </c>
    </row>
    <row r="63" spans="1:38" ht="28.8" x14ac:dyDescent="0.3">
      <c r="A63" s="24" t="s">
        <v>1271</v>
      </c>
      <c r="B63" s="5"/>
      <c r="C63" s="31"/>
      <c r="D63" s="21"/>
      <c r="E63" s="1"/>
      <c r="F63" s="1"/>
      <c r="G63" s="1"/>
      <c r="M63" s="54" t="s">
        <v>33</v>
      </c>
      <c r="N63" s="53" t="s">
        <v>1082</v>
      </c>
      <c r="O63" s="1" t="s">
        <v>1352</v>
      </c>
      <c r="AJ63" s="2">
        <f t="shared" si="0"/>
        <v>3</v>
      </c>
      <c r="AL63" s="2">
        <f t="shared" si="1"/>
        <v>3</v>
      </c>
    </row>
    <row r="64" spans="1:38" ht="28.8" x14ac:dyDescent="0.3">
      <c r="A64" s="24" t="s">
        <v>1480</v>
      </c>
      <c r="B64" s="5"/>
      <c r="C64" s="31"/>
      <c r="D64" s="21"/>
      <c r="E64" s="1"/>
      <c r="F64" s="1"/>
      <c r="G64" s="1"/>
      <c r="M64" s="1" t="s">
        <v>1148</v>
      </c>
      <c r="AJ64" s="2">
        <f t="shared" si="0"/>
        <v>1</v>
      </c>
      <c r="AL64" s="2">
        <f t="shared" si="1"/>
        <v>1</v>
      </c>
    </row>
    <row r="65" spans="1:38" ht="28.8" x14ac:dyDescent="0.3">
      <c r="A65" s="24" t="s">
        <v>1491</v>
      </c>
      <c r="B65" s="5"/>
      <c r="C65" s="31"/>
      <c r="D65" s="21"/>
      <c r="E65" s="1"/>
      <c r="F65" s="1"/>
      <c r="G65" s="1"/>
      <c r="N65" s="1" t="s">
        <v>365</v>
      </c>
      <c r="AJ65" s="2">
        <f t="shared" si="0"/>
        <v>1</v>
      </c>
      <c r="AL65" s="2">
        <f t="shared" si="1"/>
        <v>1</v>
      </c>
    </row>
    <row r="66" spans="1:38" x14ac:dyDescent="0.3">
      <c r="A66" s="24" t="s">
        <v>1492</v>
      </c>
      <c r="B66" s="5"/>
      <c r="C66" s="31"/>
      <c r="D66" s="21"/>
      <c r="E66" s="1"/>
      <c r="F66" s="1"/>
      <c r="G66" s="1"/>
      <c r="N66" s="1" t="s">
        <v>1449</v>
      </c>
      <c r="AJ66" s="2">
        <f t="shared" si="0"/>
        <v>1</v>
      </c>
      <c r="AL66" s="2">
        <f t="shared" si="1"/>
        <v>1</v>
      </c>
    </row>
    <row r="67" spans="1:38" ht="43.2" x14ac:dyDescent="0.3">
      <c r="A67" s="24" t="s">
        <v>1494</v>
      </c>
      <c r="B67" s="5"/>
      <c r="C67" s="31"/>
      <c r="D67" s="21"/>
      <c r="E67" s="1"/>
      <c r="F67" s="1"/>
      <c r="G67" s="1"/>
      <c r="N67" s="54" t="s">
        <v>1068</v>
      </c>
      <c r="O67" s="53" t="s">
        <v>879</v>
      </c>
      <c r="P67" s="53" t="s">
        <v>44</v>
      </c>
      <c r="Q67" s="53" t="s">
        <v>974</v>
      </c>
      <c r="R67" s="1" t="s">
        <v>1978</v>
      </c>
      <c r="AJ67" s="2">
        <f t="shared" ref="AJ67:AJ126" si="2">COUNTA(B67:AH67)</f>
        <v>5</v>
      </c>
      <c r="AL67" s="2">
        <f t="shared" ref="AL67:AL126" si="3">COUNTA(F67:O67,R67:S67)</f>
        <v>3</v>
      </c>
    </row>
    <row r="68" spans="1:38" ht="43.2" x14ac:dyDescent="0.3">
      <c r="A68" s="24" t="s">
        <v>1680</v>
      </c>
      <c r="B68" s="5"/>
      <c r="C68" s="31"/>
      <c r="D68" s="21"/>
      <c r="E68" s="1"/>
      <c r="F68" s="1"/>
      <c r="G68" s="1"/>
      <c r="O68" s="53" t="s">
        <v>883</v>
      </c>
      <c r="P68" s="53" t="s">
        <v>33</v>
      </c>
      <c r="Q68" s="53" t="s">
        <v>1252</v>
      </c>
      <c r="R68" s="1" t="s">
        <v>1976</v>
      </c>
      <c r="AJ68" s="2">
        <f t="shared" si="2"/>
        <v>4</v>
      </c>
      <c r="AL68" s="2">
        <f t="shared" si="3"/>
        <v>2</v>
      </c>
    </row>
    <row r="69" spans="1:38" x14ac:dyDescent="0.3">
      <c r="A69" s="24" t="s">
        <v>1495</v>
      </c>
      <c r="B69" s="5"/>
      <c r="C69" s="31"/>
      <c r="D69" s="21"/>
      <c r="E69" s="1"/>
      <c r="F69" s="1"/>
      <c r="G69" s="1"/>
      <c r="N69" s="1" t="s">
        <v>1069</v>
      </c>
      <c r="AJ69" s="2">
        <f t="shared" si="2"/>
        <v>1</v>
      </c>
      <c r="AL69" s="2">
        <f t="shared" si="3"/>
        <v>1</v>
      </c>
    </row>
    <row r="70" spans="1:38" ht="43.2" x14ac:dyDescent="0.3">
      <c r="A70" s="24" t="s">
        <v>1500</v>
      </c>
      <c r="B70" s="5"/>
      <c r="C70" s="31"/>
      <c r="D70" s="21"/>
      <c r="E70" s="1"/>
      <c r="F70" s="1"/>
      <c r="G70" s="1"/>
      <c r="N70" s="53" t="s">
        <v>1083</v>
      </c>
      <c r="O70" s="1" t="s">
        <v>915</v>
      </c>
      <c r="AJ70" s="2">
        <f t="shared" si="2"/>
        <v>2</v>
      </c>
      <c r="AL70" s="2">
        <f t="shared" si="3"/>
        <v>2</v>
      </c>
    </row>
    <row r="71" spans="1:38" ht="28.8" x14ac:dyDescent="0.3">
      <c r="A71" s="24" t="s">
        <v>1501</v>
      </c>
      <c r="B71" s="1"/>
      <c r="C71" s="31"/>
      <c r="D71" s="21"/>
      <c r="E71" s="1"/>
      <c r="F71" s="1"/>
      <c r="G71" s="1"/>
      <c r="N71" s="53" t="s">
        <v>1084</v>
      </c>
      <c r="O71" s="1" t="s">
        <v>1702</v>
      </c>
      <c r="AJ71" s="2">
        <f t="shared" si="2"/>
        <v>2</v>
      </c>
      <c r="AL71" s="2">
        <f t="shared" si="3"/>
        <v>2</v>
      </c>
    </row>
    <row r="72" spans="1:38" ht="28.8" x14ac:dyDescent="0.3">
      <c r="A72" s="24" t="s">
        <v>1701</v>
      </c>
      <c r="B72" s="1"/>
      <c r="C72" s="31"/>
      <c r="D72" s="21"/>
      <c r="E72" s="1"/>
      <c r="F72" s="1"/>
      <c r="G72" s="1"/>
      <c r="O72" s="53" t="s">
        <v>1678</v>
      </c>
      <c r="P72" s="53" t="s">
        <v>8</v>
      </c>
      <c r="Q72" s="53" t="s">
        <v>1172</v>
      </c>
      <c r="R72" s="53" t="s">
        <v>1972</v>
      </c>
      <c r="S72" s="1" t="s">
        <v>410</v>
      </c>
      <c r="AJ72" s="2">
        <f t="shared" si="2"/>
        <v>5</v>
      </c>
      <c r="AL72" s="2">
        <f t="shared" si="3"/>
        <v>3</v>
      </c>
    </row>
    <row r="73" spans="1:38" ht="28.8" x14ac:dyDescent="0.3">
      <c r="A73" s="24" t="s">
        <v>1679</v>
      </c>
      <c r="B73" s="1"/>
      <c r="C73" s="31"/>
      <c r="D73" s="21"/>
      <c r="E73" s="1"/>
      <c r="F73" s="1"/>
      <c r="G73" s="1"/>
      <c r="O73" s="53" t="s">
        <v>876</v>
      </c>
      <c r="P73" s="53" t="s">
        <v>9</v>
      </c>
      <c r="Q73" s="53" t="s">
        <v>973</v>
      </c>
      <c r="R73" s="53" t="s">
        <v>1973</v>
      </c>
      <c r="S73" s="1" t="s">
        <v>181</v>
      </c>
      <c r="AJ73" s="2">
        <f t="shared" si="2"/>
        <v>5</v>
      </c>
      <c r="AL73" s="2">
        <f t="shared" si="3"/>
        <v>3</v>
      </c>
    </row>
    <row r="74" spans="1:38" ht="28.8" x14ac:dyDescent="0.3">
      <c r="A74" s="24" t="s">
        <v>1599</v>
      </c>
      <c r="B74" s="1"/>
      <c r="C74" s="31"/>
      <c r="D74" s="21"/>
      <c r="E74" s="1"/>
      <c r="F74" s="1"/>
      <c r="G74" s="1"/>
      <c r="N74" s="1" t="s">
        <v>1600</v>
      </c>
      <c r="AJ74" s="2">
        <f t="shared" si="2"/>
        <v>1</v>
      </c>
      <c r="AL74" s="2">
        <f t="shared" si="3"/>
        <v>1</v>
      </c>
    </row>
    <row r="75" spans="1:38" x14ac:dyDescent="0.3">
      <c r="A75" s="24" t="s">
        <v>1601</v>
      </c>
      <c r="B75" s="1"/>
      <c r="C75" s="31"/>
      <c r="D75" s="21"/>
      <c r="E75" s="1"/>
      <c r="F75" s="1"/>
      <c r="G75" s="1"/>
      <c r="N75" s="1" t="s">
        <v>1602</v>
      </c>
      <c r="AJ75" s="2">
        <f t="shared" si="2"/>
        <v>1</v>
      </c>
      <c r="AL75" s="2">
        <f t="shared" si="3"/>
        <v>1</v>
      </c>
    </row>
    <row r="76" spans="1:38" ht="43.2" x14ac:dyDescent="0.3">
      <c r="A76" s="24" t="s">
        <v>1603</v>
      </c>
      <c r="B76" s="1"/>
      <c r="C76" s="31"/>
      <c r="D76" s="21"/>
      <c r="E76" s="1"/>
      <c r="F76" s="1"/>
      <c r="G76" s="1"/>
      <c r="N76" s="1" t="s">
        <v>1604</v>
      </c>
      <c r="AJ76" s="2">
        <f t="shared" si="2"/>
        <v>1</v>
      </c>
      <c r="AL76" s="2">
        <f t="shared" si="3"/>
        <v>1</v>
      </c>
    </row>
    <row r="77" spans="1:38" ht="28.8" x14ac:dyDescent="0.3">
      <c r="A77" s="24" t="s">
        <v>1683</v>
      </c>
      <c r="B77" s="1"/>
      <c r="C77" s="31"/>
      <c r="D77" s="21"/>
      <c r="E77" s="1"/>
      <c r="F77" s="1"/>
      <c r="G77" s="1"/>
      <c r="O77" s="53" t="s">
        <v>892</v>
      </c>
      <c r="P77" s="53" t="s">
        <v>98</v>
      </c>
      <c r="Q77" s="53" t="s">
        <v>1256</v>
      </c>
      <c r="R77" s="1" t="s">
        <v>1990</v>
      </c>
      <c r="AJ77" s="2">
        <f t="shared" si="2"/>
        <v>4</v>
      </c>
      <c r="AL77" s="2">
        <f t="shared" si="3"/>
        <v>2</v>
      </c>
    </row>
    <row r="78" spans="1:38" ht="28.8" x14ac:dyDescent="0.3">
      <c r="A78" s="24" t="s">
        <v>1684</v>
      </c>
      <c r="B78" s="1"/>
      <c r="C78" s="31"/>
      <c r="D78" s="21"/>
      <c r="E78" s="1"/>
      <c r="F78" s="1"/>
      <c r="G78" s="1"/>
      <c r="O78" s="53" t="s">
        <v>893</v>
      </c>
      <c r="P78" s="53" t="s">
        <v>99</v>
      </c>
      <c r="Q78" s="53" t="s">
        <v>978</v>
      </c>
      <c r="R78" s="1" t="s">
        <v>1991</v>
      </c>
      <c r="AJ78" s="2">
        <f t="shared" si="2"/>
        <v>4</v>
      </c>
      <c r="AL78" s="2">
        <f t="shared" si="3"/>
        <v>2</v>
      </c>
    </row>
    <row r="79" spans="1:38" ht="28.8" x14ac:dyDescent="0.3">
      <c r="A79" s="24" t="s">
        <v>1685</v>
      </c>
      <c r="B79" s="1"/>
      <c r="C79" s="31"/>
      <c r="D79" s="21"/>
      <c r="E79" s="1"/>
      <c r="F79" s="1"/>
      <c r="G79" s="1"/>
      <c r="O79" s="1" t="s">
        <v>894</v>
      </c>
      <c r="AJ79" s="2">
        <f t="shared" si="2"/>
        <v>1</v>
      </c>
      <c r="AL79" s="2">
        <f t="shared" si="3"/>
        <v>1</v>
      </c>
    </row>
    <row r="80" spans="1:38" x14ac:dyDescent="0.3">
      <c r="A80" s="24" t="s">
        <v>1786</v>
      </c>
      <c r="B80" s="5"/>
      <c r="C80" s="31"/>
      <c r="D80" s="21"/>
      <c r="E80" s="1"/>
      <c r="F80" s="1"/>
      <c r="G80" s="1"/>
      <c r="O80" s="1" t="s">
        <v>905</v>
      </c>
      <c r="AJ80" s="2">
        <f t="shared" si="2"/>
        <v>1</v>
      </c>
      <c r="AL80" s="2">
        <f t="shared" si="3"/>
        <v>1</v>
      </c>
    </row>
    <row r="81" spans="1:38" ht="28.8" x14ac:dyDescent="0.3">
      <c r="A81" s="24" t="s">
        <v>1699</v>
      </c>
      <c r="B81" s="1"/>
      <c r="C81" s="31"/>
      <c r="D81" s="21"/>
      <c r="E81" s="1"/>
      <c r="F81" s="1"/>
      <c r="G81" s="1"/>
      <c r="O81" s="53" t="s">
        <v>913</v>
      </c>
      <c r="P81" s="53" t="s">
        <v>298</v>
      </c>
      <c r="Q81" s="53" t="s">
        <v>996</v>
      </c>
      <c r="R81" s="1" t="s">
        <v>2003</v>
      </c>
      <c r="AJ81" s="2">
        <f t="shared" si="2"/>
        <v>4</v>
      </c>
      <c r="AL81" s="2">
        <f t="shared" si="3"/>
        <v>2</v>
      </c>
    </row>
    <row r="82" spans="1:38" x14ac:dyDescent="0.3">
      <c r="A82" s="24" t="s">
        <v>1700</v>
      </c>
      <c r="B82" s="1"/>
      <c r="C82" s="31"/>
      <c r="D82" s="21"/>
      <c r="E82" s="1"/>
      <c r="F82" s="1"/>
      <c r="G82" s="1"/>
      <c r="O82" s="1" t="s">
        <v>914</v>
      </c>
      <c r="AJ82" s="2">
        <f t="shared" si="2"/>
        <v>1</v>
      </c>
      <c r="AL82" s="2">
        <f t="shared" si="3"/>
        <v>1</v>
      </c>
    </row>
    <row r="83" spans="1:38" ht="28.8" x14ac:dyDescent="0.3">
      <c r="A83" s="24" t="s">
        <v>1736</v>
      </c>
      <c r="B83" s="1"/>
      <c r="C83" s="31"/>
      <c r="D83" s="21"/>
      <c r="E83" s="1"/>
      <c r="F83" s="1"/>
      <c r="G83" s="1"/>
      <c r="O83" s="1" t="s">
        <v>1737</v>
      </c>
      <c r="AJ83" s="2">
        <f t="shared" si="2"/>
        <v>1</v>
      </c>
      <c r="AL83" s="2">
        <f t="shared" si="3"/>
        <v>1</v>
      </c>
    </row>
    <row r="84" spans="1:38" ht="28.8" x14ac:dyDescent="0.3">
      <c r="A84" s="5" t="s">
        <v>1768</v>
      </c>
      <c r="B84" s="1"/>
      <c r="C84" s="33"/>
      <c r="D84" s="21"/>
      <c r="E84" s="1"/>
      <c r="F84" s="1"/>
      <c r="G84" s="1"/>
      <c r="O84" s="1" t="s">
        <v>1355</v>
      </c>
      <c r="AJ84" s="2">
        <f t="shared" si="2"/>
        <v>1</v>
      </c>
      <c r="AL84" s="2">
        <f t="shared" si="3"/>
        <v>1</v>
      </c>
    </row>
    <row r="85" spans="1:38" ht="28.8" x14ac:dyDescent="0.3">
      <c r="A85" s="24" t="s">
        <v>1780</v>
      </c>
      <c r="B85" s="1"/>
      <c r="C85" s="31"/>
      <c r="D85" s="21"/>
      <c r="E85" s="1"/>
      <c r="F85" s="1"/>
      <c r="G85" s="1"/>
      <c r="P85" s="30" t="s">
        <v>410</v>
      </c>
      <c r="AJ85" s="2">
        <f t="shared" si="2"/>
        <v>1</v>
      </c>
      <c r="AL85" s="2">
        <f t="shared" si="3"/>
        <v>0</v>
      </c>
    </row>
    <row r="86" spans="1:38" ht="43.2" x14ac:dyDescent="0.3">
      <c r="A86" s="24" t="s">
        <v>1781</v>
      </c>
      <c r="B86" s="1"/>
      <c r="C86" s="31"/>
      <c r="D86" s="21"/>
      <c r="E86" s="1"/>
      <c r="F86" s="1"/>
      <c r="G86" s="1"/>
      <c r="P86" s="30" t="s">
        <v>181</v>
      </c>
      <c r="AJ86" s="2">
        <f t="shared" si="2"/>
        <v>1</v>
      </c>
      <c r="AL86" s="2">
        <f t="shared" si="3"/>
        <v>0</v>
      </c>
    </row>
    <row r="87" spans="1:38" ht="43.2" x14ac:dyDescent="0.3">
      <c r="A87" s="24" t="s">
        <v>1782</v>
      </c>
      <c r="B87" s="1"/>
      <c r="C87" s="31"/>
      <c r="D87" s="21"/>
      <c r="E87" s="1"/>
      <c r="F87" s="1"/>
      <c r="G87" s="1"/>
      <c r="P87" s="30" t="s">
        <v>183</v>
      </c>
      <c r="AJ87" s="2">
        <f t="shared" si="2"/>
        <v>1</v>
      </c>
      <c r="AL87" s="2">
        <f t="shared" si="3"/>
        <v>0</v>
      </c>
    </row>
    <row r="88" spans="1:38" ht="43.2" x14ac:dyDescent="0.3">
      <c r="A88" s="24" t="s">
        <v>1783</v>
      </c>
      <c r="B88" s="1"/>
      <c r="C88" s="31"/>
      <c r="D88" s="21"/>
      <c r="E88" s="1"/>
      <c r="F88" s="1"/>
      <c r="G88" s="1"/>
      <c r="P88" s="30" t="s">
        <v>185</v>
      </c>
      <c r="AJ88" s="2">
        <f t="shared" si="2"/>
        <v>1</v>
      </c>
      <c r="AL88" s="2">
        <f t="shared" si="3"/>
        <v>0</v>
      </c>
    </row>
    <row r="89" spans="1:38" ht="28.8" x14ac:dyDescent="0.3">
      <c r="A89" s="24" t="s">
        <v>1789</v>
      </c>
      <c r="B89" s="1"/>
      <c r="C89" s="31"/>
      <c r="D89" s="21"/>
      <c r="E89" s="1"/>
      <c r="F89" s="1"/>
      <c r="G89" s="1"/>
      <c r="P89" s="30" t="s">
        <v>190</v>
      </c>
      <c r="AJ89" s="2">
        <f t="shared" si="2"/>
        <v>1</v>
      </c>
      <c r="AL89" s="2">
        <f t="shared" si="3"/>
        <v>0</v>
      </c>
    </row>
    <row r="90" spans="1:38" ht="28.8" x14ac:dyDescent="0.3">
      <c r="A90" s="24" t="s">
        <v>1828</v>
      </c>
      <c r="B90" s="1"/>
      <c r="C90" s="31"/>
      <c r="D90" s="21"/>
      <c r="E90" s="1"/>
      <c r="F90" s="1"/>
      <c r="G90" s="1"/>
      <c r="P90" s="30" t="s">
        <v>242</v>
      </c>
      <c r="AJ90" s="2">
        <f t="shared" si="2"/>
        <v>1</v>
      </c>
      <c r="AL90" s="2">
        <f t="shared" si="3"/>
        <v>0</v>
      </c>
    </row>
    <row r="91" spans="1:38" ht="28.8" x14ac:dyDescent="0.3">
      <c r="A91" s="24" t="s">
        <v>1829</v>
      </c>
      <c r="B91" s="1"/>
      <c r="C91" s="31"/>
      <c r="D91" s="21"/>
      <c r="E91" s="1"/>
      <c r="F91" s="1"/>
      <c r="G91" s="1"/>
      <c r="P91" s="30" t="s">
        <v>243</v>
      </c>
      <c r="AJ91" s="2">
        <f t="shared" si="2"/>
        <v>1</v>
      </c>
      <c r="AL91" s="2">
        <f t="shared" si="3"/>
        <v>0</v>
      </c>
    </row>
    <row r="92" spans="1:38" x14ac:dyDescent="0.3">
      <c r="A92" s="5" t="s">
        <v>1260</v>
      </c>
      <c r="B92" s="1"/>
      <c r="C92" s="5"/>
      <c r="D92" s="1"/>
      <c r="E92" s="1"/>
      <c r="F92" s="1"/>
      <c r="G92" s="1"/>
      <c r="L92" s="54" t="s">
        <v>1001</v>
      </c>
      <c r="M92" s="53" t="s">
        <v>1073</v>
      </c>
      <c r="N92" s="53" t="s">
        <v>1650</v>
      </c>
      <c r="O92" s="53" t="s">
        <v>1393</v>
      </c>
      <c r="P92" s="30" t="s">
        <v>962</v>
      </c>
      <c r="AJ92" s="2">
        <f t="shared" si="2"/>
        <v>5</v>
      </c>
      <c r="AL92" s="2">
        <f t="shared" si="3"/>
        <v>4</v>
      </c>
    </row>
    <row r="93" spans="1:38" x14ac:dyDescent="0.3">
      <c r="A93" s="1" t="s">
        <v>1945</v>
      </c>
      <c r="B93" s="1"/>
      <c r="C93" s="21"/>
      <c r="D93" s="21"/>
      <c r="E93" s="1"/>
      <c r="F93" s="1"/>
      <c r="G93" s="1"/>
      <c r="P93" s="30" t="s">
        <v>964</v>
      </c>
      <c r="AJ93" s="2">
        <f t="shared" si="2"/>
        <v>1</v>
      </c>
      <c r="AL93" s="2">
        <f t="shared" si="3"/>
        <v>0</v>
      </c>
    </row>
    <row r="94" spans="1:38" ht="43.2" x14ac:dyDescent="0.3">
      <c r="A94" s="24" t="s">
        <v>1974</v>
      </c>
      <c r="B94" s="1"/>
      <c r="C94" s="31"/>
      <c r="D94" s="21"/>
      <c r="E94" s="1"/>
      <c r="F94" s="1"/>
      <c r="G94" s="1"/>
      <c r="Q94" s="54" t="s">
        <v>1250</v>
      </c>
      <c r="R94" s="53" t="s">
        <v>1975</v>
      </c>
      <c r="S94" s="53" t="s">
        <v>183</v>
      </c>
      <c r="V94" s="53" t="s">
        <v>410</v>
      </c>
      <c r="W94" s="54" t="s">
        <v>1436</v>
      </c>
      <c r="Z94" s="1" t="s">
        <v>185</v>
      </c>
      <c r="AJ94" s="2">
        <f t="shared" si="2"/>
        <v>6</v>
      </c>
      <c r="AL94" s="2">
        <f t="shared" si="3"/>
        <v>2</v>
      </c>
    </row>
    <row r="95" spans="1:38" ht="28.8" x14ac:dyDescent="0.3">
      <c r="A95" s="24" t="s">
        <v>2007</v>
      </c>
      <c r="B95" s="1"/>
      <c r="C95" s="31"/>
      <c r="D95" s="21"/>
      <c r="E95" s="1"/>
      <c r="F95" s="1"/>
      <c r="G95" s="1"/>
      <c r="Q95" s="53" t="s">
        <v>1000</v>
      </c>
      <c r="R95" s="1" t="s">
        <v>2008</v>
      </c>
      <c r="AJ95" s="2">
        <f t="shared" si="2"/>
        <v>2</v>
      </c>
      <c r="AL95" s="2">
        <f t="shared" si="3"/>
        <v>1</v>
      </c>
    </row>
    <row r="96" spans="1:38" x14ac:dyDescent="0.3">
      <c r="A96" s="24" t="s">
        <v>2224</v>
      </c>
      <c r="B96" s="1"/>
      <c r="C96" s="31"/>
      <c r="D96" s="21"/>
      <c r="E96" s="1"/>
      <c r="F96" s="1"/>
      <c r="G96" s="1"/>
      <c r="Q96" s="53" t="s">
        <v>1090</v>
      </c>
      <c r="R96" s="1" t="s">
        <v>2225</v>
      </c>
      <c r="AJ96" s="2">
        <f t="shared" si="2"/>
        <v>2</v>
      </c>
      <c r="AL96" s="2">
        <f t="shared" si="3"/>
        <v>1</v>
      </c>
    </row>
    <row r="97" spans="1:38" x14ac:dyDescent="0.3">
      <c r="A97" s="5" t="s">
        <v>2302</v>
      </c>
      <c r="B97" s="1"/>
      <c r="C97" s="5"/>
      <c r="D97" s="1"/>
      <c r="E97" s="1"/>
      <c r="F97" s="1"/>
      <c r="G97" s="1"/>
      <c r="T97" s="1" t="s">
        <v>1244</v>
      </c>
      <c r="AJ97" s="2">
        <f t="shared" si="2"/>
        <v>1</v>
      </c>
      <c r="AL97" s="2">
        <f t="shared" si="3"/>
        <v>0</v>
      </c>
    </row>
    <row r="98" spans="1:38" ht="43.2" x14ac:dyDescent="0.3">
      <c r="A98" s="24" t="s">
        <v>2303</v>
      </c>
      <c r="B98" s="1"/>
      <c r="C98" s="31"/>
      <c r="D98" s="21"/>
      <c r="E98" s="1"/>
      <c r="F98" s="1"/>
      <c r="G98" s="1"/>
      <c r="T98" s="54" t="s">
        <v>1247</v>
      </c>
      <c r="AD98" s="54" t="s">
        <v>1503</v>
      </c>
      <c r="AE98" s="1" t="s">
        <v>444</v>
      </c>
      <c r="AJ98" s="2">
        <f t="shared" si="2"/>
        <v>3</v>
      </c>
      <c r="AL98" s="2">
        <f t="shared" si="3"/>
        <v>0</v>
      </c>
    </row>
    <row r="99" spans="1:38" ht="43.2" x14ac:dyDescent="0.3">
      <c r="A99" s="24" t="s">
        <v>2304</v>
      </c>
      <c r="B99" s="1"/>
      <c r="C99" s="31"/>
      <c r="D99" s="21"/>
      <c r="E99" s="1"/>
      <c r="F99" s="1"/>
      <c r="G99" s="1"/>
      <c r="T99" s="1" t="s">
        <v>1172</v>
      </c>
      <c r="AJ99" s="2">
        <f t="shared" si="2"/>
        <v>1</v>
      </c>
      <c r="AL99" s="2">
        <f t="shared" si="3"/>
        <v>0</v>
      </c>
    </row>
    <row r="100" spans="1:38" ht="28.8" x14ac:dyDescent="0.3">
      <c r="A100" s="5" t="s">
        <v>1160</v>
      </c>
      <c r="B100" s="1"/>
      <c r="C100" s="5"/>
      <c r="D100" s="1"/>
      <c r="E100" s="1"/>
      <c r="F100" s="1"/>
      <c r="G100" s="1"/>
      <c r="K100" s="1" t="s">
        <v>907</v>
      </c>
      <c r="AJ100" s="2">
        <f t="shared" si="2"/>
        <v>1</v>
      </c>
      <c r="AL100" s="2">
        <f t="shared" si="3"/>
        <v>1</v>
      </c>
    </row>
    <row r="101" spans="1:38" ht="28.8" x14ac:dyDescent="0.3">
      <c r="A101" s="5" t="s">
        <v>1161</v>
      </c>
      <c r="B101" s="1"/>
      <c r="C101" s="5"/>
      <c r="D101" s="1"/>
      <c r="E101" s="1"/>
      <c r="F101" s="1"/>
      <c r="G101" s="1"/>
      <c r="K101" s="1" t="s">
        <v>908</v>
      </c>
      <c r="AJ101" s="2">
        <f t="shared" si="2"/>
        <v>1</v>
      </c>
      <c r="AL101" s="2">
        <f t="shared" si="3"/>
        <v>1</v>
      </c>
    </row>
    <row r="102" spans="1:38" ht="28.8" x14ac:dyDescent="0.3">
      <c r="A102" s="5" t="s">
        <v>1162</v>
      </c>
      <c r="B102" s="1"/>
      <c r="C102" s="5"/>
      <c r="D102" s="1"/>
      <c r="E102" s="1"/>
      <c r="F102" s="1"/>
      <c r="G102" s="1"/>
      <c r="K102" s="1" t="s">
        <v>909</v>
      </c>
      <c r="AJ102" s="2">
        <f t="shared" si="2"/>
        <v>1</v>
      </c>
      <c r="AL102" s="2">
        <f t="shared" si="3"/>
        <v>1</v>
      </c>
    </row>
    <row r="103" spans="1:38" ht="28.8" x14ac:dyDescent="0.3">
      <c r="A103" s="5" t="s">
        <v>1290</v>
      </c>
      <c r="B103" s="1"/>
      <c r="C103" s="5"/>
      <c r="D103" s="1"/>
      <c r="E103" s="1"/>
      <c r="F103" s="1"/>
      <c r="G103" s="1"/>
      <c r="M103" s="1" t="s">
        <v>101</v>
      </c>
      <c r="AJ103" s="2">
        <f t="shared" si="2"/>
        <v>1</v>
      </c>
      <c r="AL103" s="2">
        <f t="shared" si="3"/>
        <v>1</v>
      </c>
    </row>
    <row r="104" spans="1:38" ht="28.8" x14ac:dyDescent="0.3">
      <c r="A104" s="5" t="s">
        <v>1291</v>
      </c>
      <c r="B104" s="1"/>
      <c r="C104" s="5"/>
      <c r="D104" s="1"/>
      <c r="E104" s="1"/>
      <c r="F104" s="1"/>
      <c r="G104" s="1"/>
      <c r="M104" s="1" t="s">
        <v>241</v>
      </c>
      <c r="AJ104" s="2">
        <f t="shared" si="2"/>
        <v>1</v>
      </c>
      <c r="AL104" s="2">
        <f t="shared" si="3"/>
        <v>1</v>
      </c>
    </row>
    <row r="105" spans="1:38" ht="28.8" x14ac:dyDescent="0.3">
      <c r="A105" s="5" t="s">
        <v>1292</v>
      </c>
      <c r="B105" s="1"/>
      <c r="C105" s="5"/>
      <c r="D105" s="1"/>
      <c r="E105" s="1"/>
      <c r="F105" s="1"/>
      <c r="G105" s="1"/>
      <c r="M105" s="1" t="s">
        <v>242</v>
      </c>
      <c r="AJ105" s="2">
        <f t="shared" si="2"/>
        <v>1</v>
      </c>
      <c r="AL105" s="2">
        <f t="shared" si="3"/>
        <v>1</v>
      </c>
    </row>
    <row r="106" spans="1:38" ht="28.8" x14ac:dyDescent="0.3">
      <c r="A106" s="5" t="s">
        <v>1293</v>
      </c>
      <c r="B106" s="1"/>
      <c r="C106" s="5"/>
      <c r="D106" s="1"/>
      <c r="E106" s="1"/>
      <c r="F106" s="1"/>
      <c r="G106" s="1"/>
      <c r="M106" s="1" t="s">
        <v>243</v>
      </c>
      <c r="AJ106" s="2">
        <f t="shared" si="2"/>
        <v>1</v>
      </c>
      <c r="AL106" s="2">
        <f t="shared" si="3"/>
        <v>1</v>
      </c>
    </row>
    <row r="107" spans="1:38" ht="28.8" x14ac:dyDescent="0.3">
      <c r="A107" s="5" t="s">
        <v>1294</v>
      </c>
      <c r="B107" s="1"/>
      <c r="C107" s="5"/>
      <c r="D107" s="1"/>
      <c r="E107" s="1"/>
      <c r="F107" s="1"/>
      <c r="G107" s="1"/>
      <c r="M107" s="1" t="s">
        <v>104</v>
      </c>
      <c r="AJ107" s="2">
        <f t="shared" si="2"/>
        <v>1</v>
      </c>
      <c r="AL107" s="2">
        <f t="shared" si="3"/>
        <v>1</v>
      </c>
    </row>
    <row r="108" spans="1:38" x14ac:dyDescent="0.3">
      <c r="A108" s="23" t="s">
        <v>2414</v>
      </c>
      <c r="B108" s="1"/>
      <c r="C108" s="35"/>
      <c r="D108" s="21"/>
      <c r="E108" s="1"/>
      <c r="F108" s="1"/>
      <c r="G108" s="1"/>
      <c r="U108" s="1" t="s">
        <v>1677</v>
      </c>
      <c r="AJ108" s="2">
        <f t="shared" si="2"/>
        <v>1</v>
      </c>
      <c r="AL108" s="2">
        <f t="shared" si="3"/>
        <v>0</v>
      </c>
    </row>
    <row r="109" spans="1:38" ht="28.8" x14ac:dyDescent="0.3">
      <c r="A109" s="24" t="s">
        <v>2588</v>
      </c>
      <c r="B109" s="1"/>
      <c r="C109" s="31"/>
      <c r="D109" s="21"/>
      <c r="E109" s="1"/>
      <c r="F109" s="1"/>
      <c r="G109" s="1"/>
      <c r="V109" s="54" t="s">
        <v>179</v>
      </c>
      <c r="Z109" s="1" t="s">
        <v>183</v>
      </c>
      <c r="AJ109" s="2">
        <f t="shared" si="2"/>
        <v>2</v>
      </c>
      <c r="AL109" s="2">
        <f t="shared" si="3"/>
        <v>0</v>
      </c>
    </row>
    <row r="110" spans="1:38" x14ac:dyDescent="0.3">
      <c r="A110" s="24" t="s">
        <v>2572</v>
      </c>
      <c r="B110" s="1"/>
      <c r="C110" s="31"/>
      <c r="D110" s="21"/>
      <c r="E110" s="1"/>
      <c r="F110" s="1"/>
      <c r="G110" s="1"/>
      <c r="W110" s="1" t="s">
        <v>1054</v>
      </c>
      <c r="AJ110" s="2">
        <f t="shared" si="2"/>
        <v>1</v>
      </c>
      <c r="AL110" s="2">
        <f t="shared" si="3"/>
        <v>0</v>
      </c>
    </row>
    <row r="111" spans="1:38" ht="57.6" x14ac:dyDescent="0.3">
      <c r="A111" s="24" t="s">
        <v>2580</v>
      </c>
      <c r="B111" s="1"/>
      <c r="C111" s="31"/>
      <c r="D111" s="21"/>
      <c r="E111" s="1"/>
      <c r="F111" s="1"/>
      <c r="G111" s="1"/>
      <c r="X111" s="1" t="s">
        <v>1964</v>
      </c>
      <c r="AJ111" s="2">
        <f t="shared" si="2"/>
        <v>1</v>
      </c>
      <c r="AL111" s="2">
        <f t="shared" si="3"/>
        <v>0</v>
      </c>
    </row>
    <row r="112" spans="1:38" ht="28.8" x14ac:dyDescent="0.3">
      <c r="A112" s="24" t="s">
        <v>2683</v>
      </c>
      <c r="B112" s="1"/>
      <c r="C112" s="31"/>
      <c r="D112" s="21"/>
      <c r="E112" s="1"/>
      <c r="F112" s="1"/>
      <c r="G112" s="1"/>
      <c r="AA112" s="1" t="s">
        <v>2684</v>
      </c>
      <c r="AJ112" s="2">
        <f t="shared" si="2"/>
        <v>1</v>
      </c>
      <c r="AL112" s="2">
        <f t="shared" si="3"/>
        <v>0</v>
      </c>
    </row>
    <row r="113" spans="1:38" ht="28.8" x14ac:dyDescent="0.3">
      <c r="A113" s="24" t="s">
        <v>2685</v>
      </c>
      <c r="B113" s="1"/>
      <c r="C113" s="31"/>
      <c r="D113" s="21"/>
      <c r="E113" s="1"/>
      <c r="F113" s="1"/>
      <c r="G113" s="1"/>
      <c r="AA113" s="1" t="s">
        <v>2686</v>
      </c>
      <c r="AJ113" s="2">
        <f t="shared" si="2"/>
        <v>1</v>
      </c>
      <c r="AL113" s="2">
        <f t="shared" si="3"/>
        <v>0</v>
      </c>
    </row>
    <row r="114" spans="1:38" x14ac:dyDescent="0.3">
      <c r="A114" s="24" t="s">
        <v>2687</v>
      </c>
      <c r="B114" s="1"/>
      <c r="C114" s="31"/>
      <c r="D114" s="21"/>
      <c r="E114" s="1"/>
      <c r="F114" s="1"/>
      <c r="G114" s="1"/>
      <c r="AA114" s="1" t="s">
        <v>2688</v>
      </c>
      <c r="AJ114" s="2">
        <f t="shared" si="2"/>
        <v>1</v>
      </c>
      <c r="AL114" s="2">
        <f t="shared" si="3"/>
        <v>0</v>
      </c>
    </row>
    <row r="115" spans="1:38" ht="28.8" x14ac:dyDescent="0.3">
      <c r="A115" s="24" t="s">
        <v>2689</v>
      </c>
      <c r="B115" s="1"/>
      <c r="C115" s="31"/>
      <c r="D115" s="21"/>
      <c r="E115" s="1"/>
      <c r="F115" s="1"/>
      <c r="G115" s="1"/>
      <c r="AA115" s="1" t="s">
        <v>2690</v>
      </c>
      <c r="AJ115" s="2">
        <f t="shared" si="2"/>
        <v>1</v>
      </c>
      <c r="AL115" s="2">
        <f t="shared" si="3"/>
        <v>0</v>
      </c>
    </row>
    <row r="116" spans="1:38" ht="28.8" x14ac:dyDescent="0.3">
      <c r="A116" s="24" t="s">
        <v>2691</v>
      </c>
      <c r="B116" s="1"/>
      <c r="C116" s="31"/>
      <c r="D116" s="21"/>
      <c r="E116" s="1"/>
      <c r="F116" s="1"/>
      <c r="G116" s="1"/>
      <c r="AA116" s="1" t="s">
        <v>2692</v>
      </c>
      <c r="AJ116" s="2">
        <f t="shared" si="2"/>
        <v>1</v>
      </c>
      <c r="AL116" s="2">
        <f t="shared" si="3"/>
        <v>0</v>
      </c>
    </row>
    <row r="117" spans="1:38" ht="28.8" x14ac:dyDescent="0.3">
      <c r="A117" s="24" t="s">
        <v>2773</v>
      </c>
      <c r="B117" s="1"/>
      <c r="C117" s="31"/>
      <c r="D117" s="21"/>
      <c r="E117" s="1"/>
      <c r="F117" s="1"/>
      <c r="G117" s="1"/>
      <c r="AB117" s="1" t="s">
        <v>2774</v>
      </c>
      <c r="AJ117" s="2">
        <f t="shared" si="2"/>
        <v>1</v>
      </c>
      <c r="AL117" s="2">
        <f t="shared" si="3"/>
        <v>0</v>
      </c>
    </row>
    <row r="118" spans="1:38" ht="28.8" x14ac:dyDescent="0.3">
      <c r="A118" s="24" t="s">
        <v>2775</v>
      </c>
      <c r="B118" s="1"/>
      <c r="C118" s="31"/>
      <c r="D118" s="21"/>
      <c r="E118" s="1"/>
      <c r="F118" s="1"/>
      <c r="G118" s="1"/>
      <c r="AB118" s="1" t="s">
        <v>2195</v>
      </c>
      <c r="AJ118" s="2">
        <f t="shared" si="2"/>
        <v>1</v>
      </c>
      <c r="AL118" s="2">
        <f t="shared" si="3"/>
        <v>0</v>
      </c>
    </row>
    <row r="119" spans="1:38" ht="28.8" x14ac:dyDescent="0.3">
      <c r="A119" s="24" t="s">
        <v>3061</v>
      </c>
      <c r="B119" s="1"/>
      <c r="C119" s="31"/>
      <c r="D119" s="21"/>
      <c r="E119" s="1"/>
      <c r="F119" s="1"/>
      <c r="G119" s="1"/>
      <c r="AG119" s="1" t="s">
        <v>1454</v>
      </c>
      <c r="AJ119" s="2">
        <f t="shared" si="2"/>
        <v>1</v>
      </c>
      <c r="AL119" s="2">
        <f t="shared" si="3"/>
        <v>0</v>
      </c>
    </row>
    <row r="120" spans="1:38" ht="28.8" x14ac:dyDescent="0.3">
      <c r="A120" s="24" t="s">
        <v>3108</v>
      </c>
      <c r="B120" s="1"/>
      <c r="C120" s="31"/>
      <c r="D120" s="21"/>
      <c r="E120" s="1"/>
      <c r="F120" s="1"/>
      <c r="G120" s="1"/>
      <c r="AH120" s="1" t="s">
        <v>1250</v>
      </c>
      <c r="AJ120" s="2">
        <f t="shared" si="2"/>
        <v>1</v>
      </c>
      <c r="AL120" s="2">
        <f t="shared" si="3"/>
        <v>0</v>
      </c>
    </row>
    <row r="121" spans="1:38" x14ac:dyDescent="0.3">
      <c r="A121" s="5" t="s">
        <v>3128</v>
      </c>
      <c r="B121" s="1"/>
      <c r="C121" s="33"/>
      <c r="D121" s="21"/>
      <c r="E121" s="1"/>
      <c r="F121" s="1"/>
      <c r="G121" s="1"/>
      <c r="AH121" s="1" t="s">
        <v>1070</v>
      </c>
      <c r="AJ121" s="2">
        <f t="shared" si="2"/>
        <v>1</v>
      </c>
      <c r="AL121" s="2">
        <f t="shared" si="3"/>
        <v>0</v>
      </c>
    </row>
    <row r="122" spans="1:38" x14ac:dyDescent="0.3">
      <c r="A122" s="5" t="s">
        <v>3129</v>
      </c>
      <c r="B122" s="1"/>
      <c r="C122" s="33"/>
      <c r="D122" s="21"/>
      <c r="E122" s="1"/>
      <c r="F122" s="1"/>
      <c r="G122" s="1"/>
      <c r="AH122" s="1" t="s">
        <v>1453</v>
      </c>
      <c r="AJ122" s="2">
        <f t="shared" si="2"/>
        <v>1</v>
      </c>
      <c r="AL122" s="2">
        <f t="shared" si="3"/>
        <v>0</v>
      </c>
    </row>
    <row r="123" spans="1:38" ht="28.8" x14ac:dyDescent="0.3">
      <c r="A123" s="5" t="s">
        <v>3130</v>
      </c>
      <c r="B123" s="1"/>
      <c r="C123" s="33"/>
      <c r="D123" s="21"/>
      <c r="E123" s="1"/>
      <c r="F123" s="1"/>
      <c r="G123" s="1"/>
      <c r="AH123" s="1" t="s">
        <v>1073</v>
      </c>
      <c r="AJ123" s="2">
        <f t="shared" si="2"/>
        <v>1</v>
      </c>
      <c r="AL123" s="2">
        <f t="shared" si="3"/>
        <v>0</v>
      </c>
    </row>
    <row r="124" spans="1:38" x14ac:dyDescent="0.3">
      <c r="A124" s="24" t="s">
        <v>3131</v>
      </c>
      <c r="B124" s="1"/>
      <c r="C124" s="31"/>
      <c r="D124" s="21"/>
      <c r="E124" s="1"/>
      <c r="F124" s="1"/>
      <c r="G124" s="1"/>
      <c r="AH124" s="1" t="s">
        <v>1074</v>
      </c>
      <c r="AJ124" s="2">
        <f t="shared" si="2"/>
        <v>1</v>
      </c>
      <c r="AL124" s="2">
        <f t="shared" si="3"/>
        <v>0</v>
      </c>
    </row>
    <row r="125" spans="1:38" x14ac:dyDescent="0.3">
      <c r="A125" s="24" t="s">
        <v>3132</v>
      </c>
      <c r="B125" s="1"/>
      <c r="C125" s="31"/>
      <c r="D125" s="21"/>
      <c r="E125" s="1"/>
      <c r="F125" s="1"/>
      <c r="G125" s="1"/>
      <c r="AH125" s="1" t="s">
        <v>1455</v>
      </c>
      <c r="AJ125" s="2">
        <f t="shared" si="2"/>
        <v>1</v>
      </c>
      <c r="AL125" s="2">
        <f t="shared" si="3"/>
        <v>0</v>
      </c>
    </row>
    <row r="126" spans="1:38" ht="28.8" x14ac:dyDescent="0.3">
      <c r="A126" s="24" t="s">
        <v>3133</v>
      </c>
      <c r="B126" s="1"/>
      <c r="C126" s="31"/>
      <c r="D126" s="21"/>
      <c r="E126" s="1"/>
      <c r="F126" s="1"/>
      <c r="G126" s="1"/>
      <c r="AH126" s="1" t="s">
        <v>1077</v>
      </c>
      <c r="AJ126" s="2">
        <f t="shared" si="2"/>
        <v>1</v>
      </c>
      <c r="AL126" s="2">
        <f t="shared" si="3"/>
        <v>0</v>
      </c>
    </row>
    <row r="127" spans="1:38" ht="28.8" x14ac:dyDescent="0.3">
      <c r="A127" s="24" t="s">
        <v>3243</v>
      </c>
      <c r="B127" s="39" t="s">
        <v>1827</v>
      </c>
      <c r="C127" s="31"/>
      <c r="D127" s="21"/>
      <c r="E127" s="1"/>
      <c r="F127" s="1"/>
      <c r="G127" s="1"/>
      <c r="AJ127" s="2">
        <f>COUNTA(B127:AH127)</f>
        <v>1</v>
      </c>
    </row>
    <row r="128" spans="1:38" x14ac:dyDescent="0.3">
      <c r="A128" s="24"/>
      <c r="B128" s="1"/>
      <c r="C128" s="31"/>
      <c r="D128" s="21"/>
      <c r="E128" s="1"/>
      <c r="F128" s="1"/>
      <c r="G128" s="1"/>
    </row>
    <row r="129" spans="1:7" x14ac:dyDescent="0.3">
      <c r="A129" s="24"/>
      <c r="B129" s="1"/>
      <c r="C129" s="31"/>
      <c r="D129" s="21"/>
      <c r="E129" s="1"/>
      <c r="F129" s="1"/>
      <c r="G129" s="1"/>
    </row>
    <row r="130" spans="1:7" x14ac:dyDescent="0.3">
      <c r="A130" s="24"/>
      <c r="B130" s="1"/>
      <c r="C130" s="31"/>
      <c r="D130" s="21"/>
      <c r="E130" s="1"/>
      <c r="F130" s="1"/>
      <c r="G130" s="1"/>
    </row>
    <row r="131" spans="1:7" x14ac:dyDescent="0.3">
      <c r="A131" s="24"/>
      <c r="B131" s="1"/>
      <c r="C131" s="31"/>
      <c r="D131" s="21"/>
      <c r="E131" s="1"/>
      <c r="F131" s="1"/>
      <c r="G131" s="1"/>
    </row>
    <row r="132" spans="1:7" x14ac:dyDescent="0.3">
      <c r="A132" s="24"/>
      <c r="B132" s="1"/>
      <c r="C132" s="31"/>
      <c r="D132" s="21"/>
      <c r="E132" s="1"/>
      <c r="F132" s="1"/>
      <c r="G132" s="1"/>
    </row>
    <row r="133" spans="1:7" x14ac:dyDescent="0.3">
      <c r="A133" s="24"/>
      <c r="B133" s="1"/>
      <c r="C133" s="31"/>
      <c r="D133" s="21"/>
      <c r="E133" s="1"/>
      <c r="F133" s="1"/>
      <c r="G133" s="1"/>
    </row>
    <row r="134" spans="1:7" x14ac:dyDescent="0.3">
      <c r="A134" s="24"/>
      <c r="B134" s="1"/>
      <c r="C134" s="31"/>
      <c r="D134" s="21"/>
      <c r="E134" s="1"/>
      <c r="F134" s="1"/>
      <c r="G134" s="1"/>
    </row>
    <row r="135" spans="1:7" x14ac:dyDescent="0.3">
      <c r="A135" s="23"/>
      <c r="B135" s="1"/>
      <c r="C135" s="35"/>
      <c r="D135" s="21"/>
      <c r="E135" s="1"/>
      <c r="F135" s="1"/>
      <c r="G135" s="1"/>
    </row>
    <row r="136" spans="1:7" x14ac:dyDescent="0.3">
      <c r="A136" s="23"/>
      <c r="B136" s="1"/>
      <c r="C136" s="35"/>
      <c r="D136" s="21"/>
      <c r="E136" s="1"/>
      <c r="F136" s="1"/>
      <c r="G136" s="1"/>
    </row>
    <row r="137" spans="1:7" x14ac:dyDescent="0.3">
      <c r="A137" s="23"/>
      <c r="B137" s="1"/>
      <c r="C137" s="35"/>
      <c r="D137" s="21"/>
      <c r="E137" s="1"/>
      <c r="F137" s="1"/>
      <c r="G137" s="1"/>
    </row>
    <row r="138" spans="1:7" x14ac:dyDescent="0.3">
      <c r="A138" s="23"/>
      <c r="B138" s="1"/>
      <c r="C138" s="35"/>
      <c r="D138" s="21"/>
      <c r="E138" s="1"/>
      <c r="F138" s="1"/>
      <c r="G138" s="1"/>
    </row>
    <row r="139" spans="1:7" x14ac:dyDescent="0.3">
      <c r="A139" s="23"/>
      <c r="B139" s="1"/>
      <c r="C139" s="35"/>
      <c r="D139" s="21"/>
      <c r="E139" s="1"/>
      <c r="F139" s="1"/>
      <c r="G139" s="1"/>
    </row>
    <row r="140" spans="1:7" x14ac:dyDescent="0.3">
      <c r="A140" s="23"/>
      <c r="B140" s="1"/>
      <c r="C140" s="35"/>
      <c r="D140" s="21"/>
      <c r="E140" s="1"/>
      <c r="F140" s="1"/>
      <c r="G140" s="1"/>
    </row>
    <row r="141" spans="1:7" x14ac:dyDescent="0.3">
      <c r="A141" s="23"/>
      <c r="B141" s="1"/>
      <c r="C141" s="35"/>
      <c r="D141" s="21"/>
      <c r="E141" s="1"/>
      <c r="F141" s="1"/>
      <c r="G141" s="1"/>
    </row>
    <row r="142" spans="1:7" x14ac:dyDescent="0.3">
      <c r="A142" s="23"/>
      <c r="B142" s="1"/>
      <c r="C142" s="35"/>
      <c r="D142" s="21"/>
      <c r="E142" s="1"/>
      <c r="F142" s="1"/>
      <c r="G142" s="1"/>
    </row>
    <row r="143" spans="1:7" x14ac:dyDescent="0.3">
      <c r="A143" s="23"/>
      <c r="B143" s="1"/>
      <c r="C143" s="35"/>
      <c r="D143" s="21"/>
      <c r="E143" s="1"/>
      <c r="F143" s="1"/>
      <c r="G143" s="1"/>
    </row>
    <row r="144" spans="1:7" x14ac:dyDescent="0.3">
      <c r="A144" s="23"/>
      <c r="B144" s="1"/>
      <c r="C144" s="35"/>
      <c r="D144" s="21"/>
      <c r="E144" s="1"/>
      <c r="F144" s="1"/>
      <c r="G144" s="1"/>
    </row>
    <row r="145" spans="1:7" x14ac:dyDescent="0.3">
      <c r="A145" s="23"/>
      <c r="B145" s="1"/>
      <c r="C145" s="35"/>
      <c r="D145" s="21"/>
      <c r="E145" s="1"/>
      <c r="F145" s="1"/>
      <c r="G145" s="1"/>
    </row>
    <row r="146" spans="1:7" x14ac:dyDescent="0.3">
      <c r="A146" s="23"/>
      <c r="B146" s="1"/>
      <c r="C146" s="35"/>
      <c r="D146" s="21"/>
      <c r="E146" s="1"/>
      <c r="F146" s="1"/>
      <c r="G146" s="1"/>
    </row>
    <row r="147" spans="1:7" x14ac:dyDescent="0.3">
      <c r="A147" s="23"/>
      <c r="B147" s="1"/>
      <c r="C147" s="35"/>
      <c r="D147" s="21"/>
      <c r="E147" s="1"/>
      <c r="F147" s="1"/>
      <c r="G147" s="1"/>
    </row>
    <row r="148" spans="1:7" x14ac:dyDescent="0.3">
      <c r="A148" s="23"/>
      <c r="B148" s="1"/>
      <c r="C148" s="35"/>
      <c r="D148" s="21"/>
      <c r="E148" s="1"/>
      <c r="F148" s="1"/>
      <c r="G148" s="1"/>
    </row>
    <row r="149" spans="1:7" x14ac:dyDescent="0.3">
      <c r="A149" s="23"/>
      <c r="B149" s="1"/>
      <c r="C149" s="35"/>
      <c r="D149" s="21"/>
      <c r="E149" s="1"/>
      <c r="F149" s="1"/>
      <c r="G149" s="1"/>
    </row>
    <row r="150" spans="1:7" x14ac:dyDescent="0.3">
      <c r="A150" s="23"/>
      <c r="B150" s="1"/>
      <c r="C150" s="35"/>
      <c r="D150" s="21"/>
      <c r="E150" s="1"/>
      <c r="F150" s="1"/>
      <c r="G150" s="1"/>
    </row>
    <row r="151" spans="1:7" x14ac:dyDescent="0.3">
      <c r="A151" s="23"/>
      <c r="B151" s="1"/>
      <c r="C151" s="35"/>
      <c r="D151" s="21"/>
      <c r="E151" s="1"/>
      <c r="F151" s="1"/>
      <c r="G151" s="1"/>
    </row>
    <row r="152" spans="1:7" x14ac:dyDescent="0.3">
      <c r="A152" s="23"/>
      <c r="B152" s="1"/>
      <c r="C152" s="35"/>
      <c r="D152" s="21"/>
      <c r="E152" s="1"/>
      <c r="F152" s="1"/>
      <c r="G152" s="1"/>
    </row>
    <row r="153" spans="1:7" x14ac:dyDescent="0.3">
      <c r="A153" s="23"/>
      <c r="B153" s="1"/>
      <c r="C153" s="35"/>
      <c r="D153" s="21"/>
      <c r="E153" s="1"/>
      <c r="F153" s="1"/>
      <c r="G153" s="1"/>
    </row>
    <row r="154" spans="1:7" x14ac:dyDescent="0.3">
      <c r="A154" s="23"/>
      <c r="B154" s="1"/>
      <c r="C154" s="35"/>
      <c r="D154" s="21"/>
      <c r="E154" s="1"/>
      <c r="F154" s="1"/>
      <c r="G154" s="1"/>
    </row>
    <row r="155" spans="1:7" x14ac:dyDescent="0.3">
      <c r="A155" s="23"/>
      <c r="B155" s="1"/>
      <c r="C155" s="35"/>
      <c r="D155" s="21"/>
      <c r="E155" s="1"/>
      <c r="F155" s="1"/>
      <c r="G155" s="1"/>
    </row>
    <row r="156" spans="1:7" x14ac:dyDescent="0.3">
      <c r="A156" s="23"/>
      <c r="B156" s="1"/>
      <c r="C156" s="35"/>
      <c r="D156" s="21"/>
      <c r="E156" s="1"/>
      <c r="F156" s="1"/>
      <c r="G156" s="1"/>
    </row>
    <row r="157" spans="1:7" x14ac:dyDescent="0.3">
      <c r="A157" s="23"/>
      <c r="B157" s="1"/>
      <c r="C157" s="35"/>
      <c r="D157" s="21"/>
      <c r="E157" s="1"/>
      <c r="F157" s="1"/>
      <c r="G157" s="1"/>
    </row>
    <row r="158" spans="1:7" x14ac:dyDescent="0.3">
      <c r="A158" s="23"/>
      <c r="B158" s="1"/>
      <c r="C158" s="35"/>
      <c r="D158" s="21"/>
      <c r="E158" s="1"/>
      <c r="F158" s="1"/>
      <c r="G158" s="1"/>
    </row>
    <row r="159" spans="1:7" x14ac:dyDescent="0.3">
      <c r="A159" s="23"/>
      <c r="B159" s="1"/>
      <c r="C159" s="35"/>
      <c r="D159" s="21"/>
      <c r="E159" s="1"/>
      <c r="F159" s="1"/>
      <c r="G159" s="1"/>
    </row>
    <row r="160" spans="1:7" x14ac:dyDescent="0.3">
      <c r="A160" s="23"/>
      <c r="B160" s="1"/>
      <c r="C160" s="35"/>
      <c r="D160" s="21"/>
      <c r="E160" s="1"/>
      <c r="F160" s="1"/>
      <c r="G160" s="1"/>
    </row>
    <row r="161" spans="1:7" x14ac:dyDescent="0.3">
      <c r="A161" s="23"/>
      <c r="B161" s="1"/>
      <c r="C161" s="35"/>
      <c r="D161" s="21"/>
      <c r="E161" s="1"/>
      <c r="F161" s="1"/>
      <c r="G161" s="1"/>
    </row>
    <row r="162" spans="1:7" x14ac:dyDescent="0.3">
      <c r="A162" s="23"/>
      <c r="B162" s="1"/>
      <c r="C162" s="35"/>
      <c r="D162" s="21"/>
      <c r="E162" s="1"/>
      <c r="F162" s="1"/>
      <c r="G162" s="1"/>
    </row>
    <row r="163" spans="1:7" x14ac:dyDescent="0.3">
      <c r="A163" s="23"/>
      <c r="B163" s="1"/>
      <c r="C163" s="35"/>
      <c r="D163" s="21"/>
      <c r="E163" s="1"/>
      <c r="F163" s="1"/>
      <c r="G163" s="1"/>
    </row>
    <row r="164" spans="1:7" x14ac:dyDescent="0.3">
      <c r="A164" s="23"/>
      <c r="B164" s="1"/>
      <c r="C164" s="35"/>
      <c r="D164" s="21"/>
      <c r="E164" s="1"/>
      <c r="F164" s="1"/>
      <c r="G164" s="1"/>
    </row>
    <row r="165" spans="1:7" x14ac:dyDescent="0.3">
      <c r="A165" s="23"/>
      <c r="B165" s="1"/>
      <c r="C165" s="35"/>
      <c r="D165" s="21"/>
      <c r="E165" s="1"/>
      <c r="F165" s="1"/>
      <c r="G165" s="1"/>
    </row>
    <row r="166" spans="1:7" x14ac:dyDescent="0.3">
      <c r="A166" s="23"/>
      <c r="B166" s="1"/>
      <c r="C166" s="35"/>
      <c r="D166" s="21"/>
      <c r="E166" s="1"/>
      <c r="F166" s="1"/>
      <c r="G166" s="1"/>
    </row>
    <row r="167" spans="1:7" x14ac:dyDescent="0.3">
      <c r="A167" s="23"/>
      <c r="B167" s="1"/>
      <c r="C167" s="35"/>
      <c r="D167" s="21"/>
      <c r="E167" s="1"/>
      <c r="F167" s="1"/>
      <c r="G167" s="1"/>
    </row>
    <row r="168" spans="1:7" x14ac:dyDescent="0.3">
      <c r="A168" s="23"/>
      <c r="B168" s="1"/>
      <c r="C168" s="35"/>
      <c r="D168" s="21"/>
      <c r="E168" s="1"/>
      <c r="F168" s="1"/>
      <c r="G168" s="1"/>
    </row>
    <row r="169" spans="1:7" x14ac:dyDescent="0.3">
      <c r="A169" s="23"/>
      <c r="B169" s="1"/>
      <c r="C169" s="35"/>
      <c r="D169" s="21"/>
      <c r="E169" s="1"/>
      <c r="F169" s="1"/>
      <c r="G169" s="1"/>
    </row>
    <row r="170" spans="1:7" x14ac:dyDescent="0.3">
      <c r="A170" s="23"/>
      <c r="B170" s="1"/>
      <c r="C170" s="35"/>
      <c r="D170" s="21"/>
      <c r="E170" s="1"/>
      <c r="F170" s="1"/>
      <c r="G170" s="1"/>
    </row>
    <row r="171" spans="1:7" x14ac:dyDescent="0.3">
      <c r="A171" s="23"/>
      <c r="B171" s="1"/>
      <c r="C171" s="35"/>
      <c r="D171" s="21"/>
      <c r="E171" s="1"/>
      <c r="F171" s="1"/>
      <c r="G171" s="1"/>
    </row>
    <row r="172" spans="1:7" x14ac:dyDescent="0.3">
      <c r="A172" s="23"/>
      <c r="B172" s="1"/>
      <c r="C172" s="35"/>
      <c r="D172" s="21"/>
      <c r="E172" s="1"/>
      <c r="F172" s="1"/>
      <c r="G172" s="1"/>
    </row>
    <row r="173" spans="1:7" x14ac:dyDescent="0.3">
      <c r="A173" s="23"/>
      <c r="B173" s="1"/>
      <c r="C173" s="35"/>
      <c r="D173" s="21"/>
      <c r="E173" s="1"/>
      <c r="F173" s="1"/>
      <c r="G173" s="1"/>
    </row>
    <row r="174" spans="1:7" x14ac:dyDescent="0.3">
      <c r="A174" s="23"/>
      <c r="B174" s="1"/>
      <c r="C174" s="35"/>
      <c r="D174" s="21"/>
      <c r="E174" s="1"/>
      <c r="F174" s="1"/>
      <c r="G174" s="1"/>
    </row>
    <row r="175" spans="1:7" x14ac:dyDescent="0.3">
      <c r="A175" s="23"/>
      <c r="B175" s="1"/>
      <c r="C175" s="35"/>
      <c r="D175" s="21"/>
      <c r="E175" s="1"/>
      <c r="F175" s="1"/>
      <c r="G175" s="1"/>
    </row>
    <row r="176" spans="1:7" x14ac:dyDescent="0.3">
      <c r="A176" s="23"/>
      <c r="B176" s="1"/>
      <c r="C176" s="35"/>
      <c r="D176" s="21"/>
      <c r="E176" s="1"/>
      <c r="F176" s="1"/>
      <c r="G176" s="1"/>
    </row>
    <row r="177" spans="1:7" x14ac:dyDescent="0.3">
      <c r="A177" s="23"/>
      <c r="B177" s="1"/>
      <c r="C177" s="35"/>
      <c r="D177" s="21"/>
      <c r="E177" s="1"/>
      <c r="F177" s="1"/>
      <c r="G177" s="1"/>
    </row>
    <row r="178" spans="1:7" x14ac:dyDescent="0.3">
      <c r="A178" s="23"/>
      <c r="B178" s="1"/>
      <c r="C178" s="35"/>
      <c r="D178" s="21"/>
      <c r="E178" s="1"/>
      <c r="F178" s="1"/>
      <c r="G178" s="1"/>
    </row>
    <row r="179" spans="1:7" x14ac:dyDescent="0.3">
      <c r="A179" s="23"/>
      <c r="B179" s="1"/>
      <c r="C179" s="35"/>
      <c r="D179" s="21"/>
      <c r="E179" s="1"/>
      <c r="F179" s="1"/>
      <c r="G179" s="1"/>
    </row>
    <row r="180" spans="1:7" x14ac:dyDescent="0.3">
      <c r="A180" s="23"/>
      <c r="B180" s="1"/>
      <c r="C180" s="35"/>
      <c r="D180" s="21"/>
      <c r="E180" s="1"/>
      <c r="F180" s="1"/>
      <c r="G180" s="1"/>
    </row>
    <row r="181" spans="1:7" x14ac:dyDescent="0.3">
      <c r="A181" s="23"/>
      <c r="B181" s="1"/>
      <c r="C181" s="35"/>
      <c r="D181" s="21"/>
      <c r="E181" s="1"/>
      <c r="F181" s="1"/>
      <c r="G181" s="1"/>
    </row>
    <row r="182" spans="1:7" x14ac:dyDescent="0.3">
      <c r="A182" s="23"/>
      <c r="B182" s="1"/>
      <c r="C182" s="35"/>
      <c r="D182" s="21"/>
      <c r="E182" s="1"/>
      <c r="F182" s="1"/>
      <c r="G182" s="1"/>
    </row>
    <row r="183" spans="1:7" x14ac:dyDescent="0.3">
      <c r="A183" s="23"/>
      <c r="B183" s="1"/>
      <c r="C183" s="35"/>
      <c r="D183" s="21"/>
      <c r="E183" s="1"/>
      <c r="F183" s="1"/>
      <c r="G183" s="1"/>
    </row>
    <row r="184" spans="1:7" x14ac:dyDescent="0.3">
      <c r="A184" s="23"/>
      <c r="B184" s="1"/>
      <c r="C184" s="35"/>
      <c r="D184" s="21"/>
      <c r="E184" s="1"/>
      <c r="F184" s="1"/>
      <c r="G184" s="1"/>
    </row>
    <row r="185" spans="1:7" x14ac:dyDescent="0.3">
      <c r="A185" s="23"/>
      <c r="B185" s="1"/>
      <c r="C185" s="35"/>
      <c r="D185" s="21"/>
      <c r="E185" s="1"/>
      <c r="F185" s="1"/>
      <c r="G185" s="1"/>
    </row>
    <row r="186" spans="1:7" x14ac:dyDescent="0.3">
      <c r="A186" s="23"/>
      <c r="B186" s="1"/>
      <c r="C186" s="35"/>
      <c r="D186" s="21"/>
      <c r="E186" s="1"/>
      <c r="F186" s="1"/>
      <c r="G186" s="1"/>
    </row>
    <row r="187" spans="1:7" x14ac:dyDescent="0.3">
      <c r="A187" s="23"/>
      <c r="B187" s="1"/>
      <c r="C187" s="35"/>
      <c r="D187" s="21"/>
      <c r="E187" s="1"/>
      <c r="F187" s="1"/>
      <c r="G187" s="1"/>
    </row>
    <row r="188" spans="1:7" x14ac:dyDescent="0.3">
      <c r="A188" s="23"/>
      <c r="B188" s="1"/>
      <c r="C188" s="35"/>
      <c r="D188" s="21"/>
      <c r="E188" s="1"/>
      <c r="F188" s="1"/>
      <c r="G188" s="1"/>
    </row>
    <row r="189" spans="1:7" x14ac:dyDescent="0.3">
      <c r="A189" s="23"/>
      <c r="B189" s="1"/>
      <c r="C189" s="35"/>
      <c r="D189" s="21"/>
      <c r="E189" s="1"/>
      <c r="F189" s="1"/>
      <c r="G189" s="1"/>
    </row>
    <row r="190" spans="1:7" x14ac:dyDescent="0.3">
      <c r="A190" s="23"/>
      <c r="B190" s="1"/>
      <c r="C190" s="35"/>
      <c r="D190" s="21"/>
      <c r="E190" s="1"/>
      <c r="F190" s="1"/>
      <c r="G190" s="1"/>
    </row>
    <row r="191" spans="1:7" x14ac:dyDescent="0.3">
      <c r="A191" s="23"/>
      <c r="B191" s="1"/>
      <c r="C191" s="35"/>
      <c r="D191" s="21"/>
      <c r="E191" s="1"/>
      <c r="F191" s="1"/>
      <c r="G191" s="1"/>
    </row>
    <row r="192" spans="1:7" x14ac:dyDescent="0.3">
      <c r="A192" s="23"/>
      <c r="B192" s="1"/>
      <c r="C192" s="35"/>
      <c r="D192" s="21"/>
      <c r="E192" s="1"/>
      <c r="F192" s="1"/>
      <c r="G192" s="1"/>
    </row>
    <row r="193" spans="1:7" x14ac:dyDescent="0.3">
      <c r="A193" s="23"/>
      <c r="B193" s="1"/>
      <c r="C193" s="35"/>
      <c r="D193" s="21"/>
      <c r="E193" s="1"/>
      <c r="F193" s="1"/>
      <c r="G193" s="1"/>
    </row>
    <row r="194" spans="1:7" x14ac:dyDescent="0.3">
      <c r="A194" s="23"/>
      <c r="B194" s="1"/>
      <c r="C194" s="35"/>
      <c r="D194" s="21"/>
      <c r="E194" s="1"/>
      <c r="F194" s="1"/>
      <c r="G194" s="1"/>
    </row>
    <row r="195" spans="1:7" x14ac:dyDescent="0.3">
      <c r="A195" s="23"/>
      <c r="B195" s="1"/>
      <c r="C195" s="35"/>
      <c r="D195" s="21"/>
      <c r="E195" s="1"/>
      <c r="F195" s="1"/>
      <c r="G195" s="1"/>
    </row>
    <row r="196" spans="1:7" x14ac:dyDescent="0.3">
      <c r="A196" s="23"/>
      <c r="B196" s="1"/>
      <c r="C196" s="35"/>
      <c r="D196" s="21"/>
      <c r="E196" s="1"/>
      <c r="F196" s="1"/>
      <c r="G196" s="1"/>
    </row>
    <row r="197" spans="1:7" x14ac:dyDescent="0.3">
      <c r="A197" s="23"/>
      <c r="B197" s="1"/>
      <c r="C197" s="35"/>
      <c r="D197" s="21"/>
      <c r="E197" s="1"/>
      <c r="F197" s="1"/>
      <c r="G197" s="1"/>
    </row>
    <row r="198" spans="1:7" x14ac:dyDescent="0.3">
      <c r="A198" s="23"/>
      <c r="B198" s="1"/>
      <c r="C198" s="35"/>
      <c r="D198" s="21"/>
      <c r="E198" s="1"/>
      <c r="F198" s="1"/>
      <c r="G198" s="1"/>
    </row>
    <row r="199" spans="1:7" x14ac:dyDescent="0.3">
      <c r="A199" s="23"/>
      <c r="B199" s="1"/>
      <c r="C199" s="35"/>
      <c r="D199" s="21"/>
      <c r="E199" s="1"/>
      <c r="F199" s="1"/>
      <c r="G199" s="1"/>
    </row>
    <row r="200" spans="1:7" x14ac:dyDescent="0.3">
      <c r="A200" s="23"/>
      <c r="B200" s="1"/>
      <c r="C200" s="35"/>
      <c r="D200" s="21"/>
      <c r="E200" s="1"/>
      <c r="F200" s="1"/>
      <c r="G200" s="1"/>
    </row>
    <row r="201" spans="1:7" x14ac:dyDescent="0.3">
      <c r="A201" s="23"/>
      <c r="B201" s="1"/>
      <c r="C201" s="35"/>
      <c r="D201" s="21"/>
      <c r="E201" s="1"/>
      <c r="F201" s="1"/>
      <c r="G201" s="1"/>
    </row>
    <row r="202" spans="1:7" x14ac:dyDescent="0.3">
      <c r="A202" s="23"/>
      <c r="B202" s="1"/>
      <c r="C202" s="35"/>
      <c r="D202" s="21"/>
      <c r="E202" s="1"/>
      <c r="F202" s="1"/>
      <c r="G202" s="1"/>
    </row>
    <row r="203" spans="1:7" x14ac:dyDescent="0.3">
      <c r="A203" s="23"/>
      <c r="B203" s="1"/>
      <c r="C203" s="35"/>
      <c r="D203" s="21"/>
      <c r="E203" s="1"/>
      <c r="F203" s="1"/>
      <c r="G203" s="1"/>
    </row>
    <row r="204" spans="1:7" x14ac:dyDescent="0.3">
      <c r="A204" s="23"/>
      <c r="B204" s="1"/>
      <c r="C204" s="35"/>
      <c r="D204" s="21"/>
      <c r="E204" s="1"/>
      <c r="F204" s="1"/>
      <c r="G204" s="1"/>
    </row>
    <row r="205" spans="1:7" x14ac:dyDescent="0.3">
      <c r="A205" s="23"/>
      <c r="B205" s="1"/>
      <c r="C205" s="35"/>
      <c r="D205" s="21"/>
      <c r="E205" s="1"/>
      <c r="F205" s="1"/>
      <c r="G205" s="1"/>
    </row>
    <row r="206" spans="1:7" x14ac:dyDescent="0.3">
      <c r="A206" s="23"/>
      <c r="B206" s="1"/>
      <c r="C206" s="35"/>
      <c r="D206" s="21"/>
      <c r="E206" s="1"/>
      <c r="F206" s="1"/>
      <c r="G206" s="1"/>
    </row>
    <row r="207" spans="1:7" x14ac:dyDescent="0.3">
      <c r="A207" s="23"/>
      <c r="B207" s="1"/>
      <c r="C207" s="35"/>
      <c r="D207" s="21"/>
      <c r="E207" s="1"/>
      <c r="F207" s="1"/>
      <c r="G207" s="1"/>
    </row>
    <row r="208" spans="1:7" x14ac:dyDescent="0.3">
      <c r="A208" s="23"/>
      <c r="B208" s="1"/>
      <c r="C208" s="35"/>
      <c r="D208" s="21"/>
      <c r="E208" s="1"/>
      <c r="F208" s="1"/>
      <c r="G208" s="1"/>
    </row>
    <row r="209" spans="1:7" x14ac:dyDescent="0.3">
      <c r="A209" s="23"/>
      <c r="B209" s="1"/>
      <c r="C209" s="35"/>
      <c r="D209" s="21"/>
      <c r="E209" s="1"/>
      <c r="F209" s="1"/>
      <c r="G209" s="1"/>
    </row>
    <row r="210" spans="1:7" x14ac:dyDescent="0.3">
      <c r="A210" s="23"/>
      <c r="B210" s="1"/>
      <c r="C210" s="35"/>
      <c r="D210" s="21"/>
      <c r="E210" s="1"/>
      <c r="F210" s="1"/>
      <c r="G210" s="1"/>
    </row>
    <row r="211" spans="1:7" x14ac:dyDescent="0.3">
      <c r="A211" s="23"/>
      <c r="B211" s="1"/>
      <c r="C211" s="35"/>
      <c r="D211" s="21"/>
      <c r="E211" s="1"/>
      <c r="F211" s="1"/>
      <c r="G211" s="1"/>
    </row>
    <row r="212" spans="1:7" x14ac:dyDescent="0.3">
      <c r="A212" s="23"/>
      <c r="B212" s="1"/>
      <c r="C212" s="35"/>
      <c r="D212" s="21"/>
      <c r="E212" s="1"/>
      <c r="F212" s="1"/>
      <c r="G212" s="1"/>
    </row>
    <row r="213" spans="1:7" x14ac:dyDescent="0.3">
      <c r="A213" s="23"/>
      <c r="B213" s="1"/>
      <c r="C213" s="35"/>
      <c r="D213" s="21"/>
      <c r="E213" s="1"/>
      <c r="F213" s="1"/>
      <c r="G213" s="1"/>
    </row>
    <row r="214" spans="1:7" x14ac:dyDescent="0.3">
      <c r="A214" s="23"/>
      <c r="B214" s="1"/>
      <c r="C214" s="35"/>
      <c r="D214" s="21"/>
      <c r="E214" s="1"/>
      <c r="F214" s="1"/>
      <c r="G214" s="1"/>
    </row>
    <row r="215" spans="1:7" x14ac:dyDescent="0.3">
      <c r="A215" s="23"/>
      <c r="B215" s="1"/>
      <c r="C215" s="35"/>
      <c r="D215" s="21"/>
      <c r="E215" s="1"/>
      <c r="F215" s="1"/>
      <c r="G215" s="1"/>
    </row>
    <row r="216" spans="1:7" x14ac:dyDescent="0.3">
      <c r="A216" s="23"/>
      <c r="B216" s="1"/>
      <c r="C216" s="35"/>
      <c r="D216" s="21"/>
      <c r="E216" s="1"/>
      <c r="F216" s="1"/>
      <c r="G216" s="1"/>
    </row>
    <row r="217" spans="1:7" x14ac:dyDescent="0.3">
      <c r="A217" s="23"/>
      <c r="B217" s="1"/>
      <c r="C217" s="35"/>
      <c r="D217" s="21"/>
      <c r="E217" s="1"/>
      <c r="F217" s="1"/>
      <c r="G217" s="1"/>
    </row>
    <row r="218" spans="1:7" x14ac:dyDescent="0.3">
      <c r="A218" s="23"/>
      <c r="B218" s="1"/>
      <c r="C218" s="35"/>
      <c r="D218" s="21"/>
      <c r="E218" s="1"/>
      <c r="F218" s="1"/>
      <c r="G218" s="1"/>
    </row>
    <row r="219" spans="1:7" x14ac:dyDescent="0.3">
      <c r="A219" s="23"/>
      <c r="B219" s="1"/>
      <c r="C219" s="35"/>
      <c r="D219" s="21"/>
      <c r="E219" s="1"/>
      <c r="F219" s="1"/>
      <c r="G219" s="1"/>
    </row>
    <row r="220" spans="1:7" x14ac:dyDescent="0.3">
      <c r="A220" s="23"/>
      <c r="B220" s="1"/>
      <c r="C220" s="35"/>
      <c r="D220" s="21"/>
      <c r="E220" s="1"/>
      <c r="F220" s="1"/>
      <c r="G220" s="1"/>
    </row>
    <row r="221" spans="1:7" x14ac:dyDescent="0.3">
      <c r="A221" s="23"/>
      <c r="B221" s="1"/>
      <c r="C221" s="35"/>
      <c r="D221" s="21"/>
      <c r="E221" s="1"/>
      <c r="F221" s="1"/>
      <c r="G221" s="1"/>
    </row>
    <row r="222" spans="1:7" x14ac:dyDescent="0.3">
      <c r="A222" s="23"/>
      <c r="B222" s="1"/>
      <c r="C222" s="35"/>
      <c r="D222" s="21"/>
      <c r="E222" s="1"/>
      <c r="F222" s="1"/>
      <c r="G222" s="1"/>
    </row>
    <row r="223" spans="1:7" x14ac:dyDescent="0.3">
      <c r="A223" s="23"/>
      <c r="B223" s="1"/>
      <c r="C223" s="35"/>
      <c r="D223" s="21"/>
      <c r="E223" s="1"/>
      <c r="F223" s="1"/>
      <c r="G223" s="1"/>
    </row>
    <row r="224" spans="1:7" x14ac:dyDescent="0.3">
      <c r="A224" s="23"/>
      <c r="B224" s="1"/>
      <c r="C224" s="35"/>
      <c r="D224" s="21"/>
      <c r="E224" s="1"/>
      <c r="F224" s="1"/>
      <c r="G224" s="1"/>
    </row>
    <row r="225" spans="1:7" x14ac:dyDescent="0.3">
      <c r="A225" s="23"/>
      <c r="B225" s="1"/>
      <c r="C225" s="35"/>
      <c r="D225" s="21"/>
      <c r="E225" s="1"/>
      <c r="F225" s="1"/>
      <c r="G225" s="1"/>
    </row>
    <row r="226" spans="1:7" x14ac:dyDescent="0.3">
      <c r="A226" s="23"/>
      <c r="B226" s="1"/>
      <c r="C226" s="35"/>
      <c r="D226" s="21"/>
      <c r="E226" s="1"/>
      <c r="F226" s="1"/>
      <c r="G226" s="1"/>
    </row>
    <row r="227" spans="1:7" x14ac:dyDescent="0.3">
      <c r="A227" s="23"/>
      <c r="B227" s="1"/>
      <c r="C227" s="35"/>
      <c r="D227" s="21"/>
      <c r="E227" s="1"/>
      <c r="F227" s="1"/>
      <c r="G227" s="1"/>
    </row>
    <row r="228" spans="1:7" x14ac:dyDescent="0.3">
      <c r="A228" s="23"/>
      <c r="B228" s="1"/>
      <c r="C228" s="35"/>
      <c r="D228" s="21"/>
      <c r="E228" s="1"/>
      <c r="F228" s="1"/>
      <c r="G228" s="1"/>
    </row>
    <row r="229" spans="1:7" x14ac:dyDescent="0.3">
      <c r="A229" s="23"/>
      <c r="B229" s="1"/>
      <c r="C229" s="35"/>
      <c r="D229" s="21"/>
      <c r="E229" s="1"/>
      <c r="F229" s="1"/>
      <c r="G229" s="1"/>
    </row>
    <row r="230" spans="1:7" x14ac:dyDescent="0.3">
      <c r="A230" s="23"/>
      <c r="B230" s="1"/>
      <c r="C230" s="35"/>
      <c r="D230" s="21"/>
      <c r="E230" s="1"/>
      <c r="F230" s="1"/>
      <c r="G230" s="1"/>
    </row>
    <row r="231" spans="1:7" x14ac:dyDescent="0.3">
      <c r="A231" s="23"/>
      <c r="B231" s="1"/>
      <c r="C231" s="35"/>
      <c r="D231" s="21"/>
      <c r="E231" s="1"/>
      <c r="F231" s="1"/>
      <c r="G231" s="1"/>
    </row>
    <row r="232" spans="1:7" x14ac:dyDescent="0.3">
      <c r="A232" s="23"/>
      <c r="B232" s="1"/>
      <c r="C232" s="35"/>
      <c r="D232" s="21"/>
      <c r="E232" s="1"/>
      <c r="F232" s="1"/>
      <c r="G232" s="1"/>
    </row>
    <row r="233" spans="1:7" x14ac:dyDescent="0.3">
      <c r="A233" s="23"/>
      <c r="B233" s="1"/>
      <c r="C233" s="35"/>
      <c r="D233" s="21"/>
      <c r="E233" s="1"/>
      <c r="F233" s="1"/>
      <c r="G233" s="1"/>
    </row>
    <row r="234" spans="1:7" x14ac:dyDescent="0.3">
      <c r="A234" s="23"/>
      <c r="B234" s="1"/>
      <c r="C234" s="35"/>
      <c r="D234" s="21"/>
      <c r="E234" s="1"/>
      <c r="F234" s="1"/>
      <c r="G234" s="1"/>
    </row>
    <row r="235" spans="1:7" x14ac:dyDescent="0.3">
      <c r="A235" s="23"/>
      <c r="B235" s="1"/>
      <c r="C235" s="35"/>
      <c r="D235" s="21"/>
      <c r="E235" s="1"/>
      <c r="F235" s="1"/>
      <c r="G235" s="1"/>
    </row>
    <row r="236" spans="1:7" x14ac:dyDescent="0.3">
      <c r="A236" s="23"/>
      <c r="B236" s="1"/>
      <c r="C236" s="35"/>
      <c r="D236" s="21"/>
      <c r="E236" s="1"/>
      <c r="F236" s="1"/>
      <c r="G236" s="1"/>
    </row>
    <row r="237" spans="1:7" x14ac:dyDescent="0.3">
      <c r="A237" s="23"/>
      <c r="B237" s="1"/>
      <c r="C237" s="35"/>
      <c r="D237" s="21"/>
      <c r="E237" s="1"/>
      <c r="F237" s="1"/>
      <c r="G237" s="1"/>
    </row>
    <row r="238" spans="1:7" x14ac:dyDescent="0.3">
      <c r="A238" s="23"/>
      <c r="B238" s="1"/>
      <c r="C238" s="35"/>
      <c r="D238" s="21"/>
      <c r="E238" s="1"/>
      <c r="F238" s="1"/>
      <c r="G238" s="1"/>
    </row>
    <row r="239" spans="1:7" x14ac:dyDescent="0.3">
      <c r="A239" s="23"/>
      <c r="B239" s="1"/>
      <c r="C239" s="35"/>
      <c r="D239" s="21"/>
      <c r="E239" s="1"/>
      <c r="F239" s="1"/>
      <c r="G239" s="1"/>
    </row>
    <row r="240" spans="1:7" x14ac:dyDescent="0.3">
      <c r="A240" s="23"/>
      <c r="B240" s="1"/>
      <c r="C240" s="35"/>
      <c r="D240" s="21"/>
      <c r="E240" s="1"/>
      <c r="F240" s="1"/>
      <c r="G240" s="1"/>
    </row>
    <row r="241" spans="1:7" x14ac:dyDescent="0.3">
      <c r="A241" s="23"/>
      <c r="B241" s="1"/>
      <c r="C241" s="35"/>
      <c r="D241" s="21"/>
      <c r="E241" s="1"/>
      <c r="F241" s="1"/>
      <c r="G241" s="1"/>
    </row>
    <row r="242" spans="1:7" x14ac:dyDescent="0.3">
      <c r="A242" s="23"/>
      <c r="B242" s="1"/>
      <c r="C242" s="35"/>
      <c r="D242" s="21"/>
      <c r="E242" s="1"/>
      <c r="F242" s="1"/>
      <c r="G242" s="1"/>
    </row>
    <row r="243" spans="1:7" x14ac:dyDescent="0.3">
      <c r="A243" s="23"/>
      <c r="B243" s="1"/>
      <c r="C243" s="35"/>
      <c r="D243" s="21"/>
      <c r="E243" s="1"/>
      <c r="F243" s="1"/>
      <c r="G243" s="1"/>
    </row>
    <row r="244" spans="1:7" x14ac:dyDescent="0.3">
      <c r="A244" s="23"/>
      <c r="B244" s="1"/>
      <c r="C244" s="35"/>
      <c r="D244" s="21"/>
      <c r="E244" s="1"/>
      <c r="F244" s="1"/>
      <c r="G244" s="1"/>
    </row>
    <row r="245" spans="1:7" x14ac:dyDescent="0.3">
      <c r="A245" s="23"/>
      <c r="B245" s="1"/>
      <c r="C245" s="35"/>
      <c r="D245" s="21"/>
      <c r="E245" s="1"/>
      <c r="F245" s="1"/>
      <c r="G245" s="1"/>
    </row>
    <row r="246" spans="1:7" x14ac:dyDescent="0.3">
      <c r="A246" s="23"/>
      <c r="B246" s="1"/>
      <c r="C246" s="35"/>
      <c r="D246" s="21"/>
      <c r="E246" s="1"/>
      <c r="F246" s="1"/>
      <c r="G246" s="1"/>
    </row>
    <row r="247" spans="1:7" x14ac:dyDescent="0.3">
      <c r="A247" s="23"/>
      <c r="B247" s="1"/>
      <c r="C247" s="35"/>
      <c r="D247" s="21"/>
      <c r="E247" s="1"/>
      <c r="F247" s="1"/>
      <c r="G247" s="1"/>
    </row>
    <row r="248" spans="1:7" x14ac:dyDescent="0.3">
      <c r="A248" s="23"/>
      <c r="B248" s="1"/>
      <c r="C248" s="35"/>
      <c r="D248" s="21"/>
      <c r="E248" s="1"/>
      <c r="F248" s="1"/>
      <c r="G248" s="1"/>
    </row>
    <row r="249" spans="1:7" x14ac:dyDescent="0.3">
      <c r="A249" s="23"/>
      <c r="B249" s="1"/>
      <c r="C249" s="35"/>
      <c r="D249" s="21"/>
      <c r="E249" s="1"/>
      <c r="F249" s="1"/>
      <c r="G249" s="1"/>
    </row>
    <row r="250" spans="1:7" x14ac:dyDescent="0.3">
      <c r="A250" s="23"/>
      <c r="B250" s="1"/>
      <c r="C250" s="35"/>
      <c r="D250" s="21"/>
      <c r="E250" s="1"/>
      <c r="F250" s="1"/>
      <c r="G250" s="1"/>
    </row>
    <row r="251" spans="1:7" x14ac:dyDescent="0.3">
      <c r="A251" s="23"/>
      <c r="B251" s="1"/>
      <c r="C251" s="35"/>
      <c r="D251" s="21"/>
      <c r="E251" s="1"/>
      <c r="F251" s="1"/>
      <c r="G251" s="1"/>
    </row>
    <row r="252" spans="1:7" x14ac:dyDescent="0.3">
      <c r="A252" s="23"/>
      <c r="B252" s="1"/>
      <c r="C252" s="35"/>
      <c r="D252" s="21"/>
      <c r="E252" s="1"/>
      <c r="F252" s="1"/>
      <c r="G252" s="1"/>
    </row>
    <row r="253" spans="1:7" x14ac:dyDescent="0.3">
      <c r="A253" s="23"/>
      <c r="B253" s="1"/>
      <c r="C253" s="35"/>
      <c r="D253" s="21"/>
      <c r="E253" s="1"/>
      <c r="F253" s="1"/>
      <c r="G253" s="1"/>
    </row>
    <row r="254" spans="1:7" x14ac:dyDescent="0.3">
      <c r="A254" s="23"/>
      <c r="B254" s="1"/>
      <c r="C254" s="35"/>
      <c r="D254" s="21"/>
      <c r="E254" s="1"/>
      <c r="F254" s="1"/>
      <c r="G254" s="1"/>
    </row>
    <row r="255" spans="1:7" x14ac:dyDescent="0.3">
      <c r="A255" s="23"/>
      <c r="B255" s="1"/>
      <c r="C255" s="35"/>
      <c r="D255" s="21"/>
      <c r="E255" s="1"/>
      <c r="F255" s="1"/>
      <c r="G255" s="1"/>
    </row>
    <row r="256" spans="1:7" x14ac:dyDescent="0.3">
      <c r="A256" s="23"/>
      <c r="B256" s="1"/>
      <c r="C256" s="35"/>
      <c r="D256" s="21"/>
      <c r="E256" s="1"/>
      <c r="F256" s="1"/>
      <c r="G256" s="1"/>
    </row>
    <row r="257" spans="1:7" x14ac:dyDescent="0.3">
      <c r="A257" s="23"/>
      <c r="B257" s="1"/>
      <c r="C257" s="35"/>
      <c r="D257" s="21"/>
      <c r="E257" s="1"/>
      <c r="F257" s="1"/>
      <c r="G257" s="1"/>
    </row>
    <row r="258" spans="1:7" x14ac:dyDescent="0.3">
      <c r="A258" s="23"/>
      <c r="B258" s="1"/>
      <c r="C258" s="35"/>
      <c r="D258" s="21"/>
      <c r="E258" s="1"/>
      <c r="F258" s="1"/>
      <c r="G258" s="1"/>
    </row>
    <row r="259" spans="1:7" x14ac:dyDescent="0.3">
      <c r="A259" s="23"/>
      <c r="B259" s="1"/>
      <c r="C259" s="35"/>
      <c r="D259" s="21"/>
      <c r="E259" s="1"/>
      <c r="F259" s="1"/>
      <c r="G259" s="1"/>
    </row>
    <row r="260" spans="1:7" x14ac:dyDescent="0.3">
      <c r="A260" s="23"/>
      <c r="B260" s="1"/>
      <c r="C260" s="35"/>
      <c r="D260" s="21"/>
      <c r="E260" s="1"/>
      <c r="F260" s="1"/>
      <c r="G260" s="1"/>
    </row>
    <row r="261" spans="1:7" x14ac:dyDescent="0.3">
      <c r="A261" s="23"/>
      <c r="B261" s="1"/>
      <c r="C261" s="35"/>
      <c r="D261" s="21"/>
      <c r="E261" s="1"/>
      <c r="F261" s="1"/>
      <c r="G261" s="1"/>
    </row>
    <row r="262" spans="1:7" x14ac:dyDescent="0.3">
      <c r="A262" s="23"/>
      <c r="B262" s="1"/>
      <c r="C262" s="35"/>
      <c r="D262" s="21"/>
      <c r="E262" s="1"/>
      <c r="F262" s="1"/>
      <c r="G262" s="1"/>
    </row>
    <row r="263" spans="1:7" x14ac:dyDescent="0.3">
      <c r="A263" s="23"/>
      <c r="B263" s="1"/>
      <c r="C263" s="35"/>
      <c r="D263" s="21"/>
      <c r="E263" s="1"/>
      <c r="F263" s="1"/>
      <c r="G263" s="1"/>
    </row>
    <row r="264" spans="1:7" x14ac:dyDescent="0.3">
      <c r="A264" s="23"/>
      <c r="B264" s="1"/>
      <c r="C264" s="35"/>
      <c r="D264" s="21"/>
      <c r="E264" s="1"/>
      <c r="F264" s="1"/>
      <c r="G264" s="1"/>
    </row>
    <row r="265" spans="1:7" x14ac:dyDescent="0.3">
      <c r="A265" s="23"/>
      <c r="B265" s="1"/>
      <c r="C265" s="35"/>
      <c r="D265" s="21"/>
      <c r="E265" s="1"/>
      <c r="F265" s="1"/>
      <c r="G265" s="1"/>
    </row>
    <row r="266" spans="1:7" x14ac:dyDescent="0.3">
      <c r="A266" s="23"/>
      <c r="B266" s="1"/>
      <c r="C266" s="35"/>
      <c r="D266" s="21"/>
      <c r="E266" s="1"/>
      <c r="F266" s="1"/>
      <c r="G266" s="1"/>
    </row>
    <row r="267" spans="1:7" x14ac:dyDescent="0.3">
      <c r="A267" s="23"/>
      <c r="B267" s="1"/>
      <c r="C267" s="35"/>
      <c r="D267" s="21"/>
      <c r="E267" s="1"/>
      <c r="F267" s="1"/>
      <c r="G267" s="1"/>
    </row>
    <row r="268" spans="1:7" x14ac:dyDescent="0.3">
      <c r="A268" s="23"/>
      <c r="B268" s="1"/>
      <c r="C268" s="35"/>
      <c r="D268" s="21"/>
      <c r="E268" s="1"/>
      <c r="F268" s="1"/>
      <c r="G268" s="1"/>
    </row>
    <row r="269" spans="1:7" x14ac:dyDescent="0.3">
      <c r="A269" s="23"/>
      <c r="B269" s="1"/>
      <c r="C269" s="35"/>
      <c r="D269" s="21"/>
      <c r="E269" s="1"/>
      <c r="F269" s="1"/>
      <c r="G269" s="1"/>
    </row>
    <row r="270" spans="1:7" x14ac:dyDescent="0.3">
      <c r="A270" s="23"/>
      <c r="B270" s="1"/>
      <c r="C270" s="35"/>
      <c r="D270" s="21"/>
      <c r="E270" s="1"/>
      <c r="F270" s="1"/>
      <c r="G270" s="1"/>
    </row>
    <row r="271" spans="1:7" x14ac:dyDescent="0.3">
      <c r="A271" s="23"/>
      <c r="B271" s="1"/>
      <c r="C271" s="35"/>
      <c r="D271" s="21"/>
      <c r="E271" s="1"/>
      <c r="F271" s="1"/>
      <c r="G271" s="1"/>
    </row>
    <row r="272" spans="1:7" x14ac:dyDescent="0.3">
      <c r="A272" s="23"/>
      <c r="B272" s="1"/>
      <c r="C272" s="35"/>
      <c r="D272" s="21"/>
      <c r="E272" s="1"/>
      <c r="F272" s="1"/>
      <c r="G272" s="1"/>
    </row>
    <row r="273" spans="1:7" x14ac:dyDescent="0.3">
      <c r="A273" s="23"/>
      <c r="B273" s="1"/>
      <c r="C273" s="35"/>
      <c r="D273" s="21"/>
      <c r="E273" s="1"/>
      <c r="F273" s="1"/>
      <c r="G273" s="1"/>
    </row>
    <row r="274" spans="1:7" x14ac:dyDescent="0.3">
      <c r="A274" s="23"/>
      <c r="B274" s="1"/>
      <c r="C274" s="35"/>
      <c r="D274" s="21"/>
      <c r="E274" s="1"/>
      <c r="F274" s="1"/>
      <c r="G274" s="1"/>
    </row>
    <row r="275" spans="1:7" x14ac:dyDescent="0.3">
      <c r="A275" s="23"/>
      <c r="B275" s="1"/>
      <c r="C275" s="35"/>
      <c r="D275" s="21"/>
      <c r="E275" s="1"/>
      <c r="F275" s="1"/>
      <c r="G275" s="1"/>
    </row>
    <row r="276" spans="1:7" x14ac:dyDescent="0.3">
      <c r="A276" s="23"/>
      <c r="B276" s="1"/>
      <c r="C276" s="35"/>
      <c r="D276" s="21"/>
      <c r="E276" s="1"/>
      <c r="F276" s="1"/>
      <c r="G276" s="1"/>
    </row>
    <row r="277" spans="1:7" x14ac:dyDescent="0.3">
      <c r="A277" s="23"/>
      <c r="B277" s="1"/>
      <c r="C277" s="35"/>
      <c r="D277" s="21"/>
      <c r="E277" s="1"/>
      <c r="F277" s="1"/>
      <c r="G277" s="1"/>
    </row>
    <row r="278" spans="1:7" x14ac:dyDescent="0.3">
      <c r="A278" s="23"/>
      <c r="B278" s="1"/>
      <c r="C278" s="35"/>
      <c r="D278" s="21"/>
      <c r="E278" s="1"/>
      <c r="F278" s="1"/>
      <c r="G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D529-E279-4C83-A0E0-AA44C35DC7CC}">
  <sheetPr codeName="Sheet15"/>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B11" sqref="B11"/>
    </sheetView>
  </sheetViews>
  <sheetFormatPr defaultColWidth="8.77734375" defaultRowHeight="14.4" x14ac:dyDescent="0.3"/>
  <cols>
    <col min="1" max="1" width="52.21875" style="8" customWidth="1"/>
    <col min="2" max="2" width="10" style="2" customWidth="1"/>
    <col min="3" max="3" width="9.77734375" style="8" customWidth="1"/>
    <col min="4" max="4" width="9.109375" style="2" customWidth="1"/>
    <col min="5" max="5" width="8.44140625" style="2" customWidth="1"/>
    <col min="6" max="6" width="12.5546875" style="2" customWidth="1"/>
    <col min="7" max="7" width="11.109375" style="2" customWidth="1"/>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131</v>
      </c>
      <c r="B2" s="6" t="s">
        <v>59</v>
      </c>
      <c r="C2" s="36" t="s">
        <v>59</v>
      </c>
      <c r="D2" s="1" t="s">
        <v>59</v>
      </c>
      <c r="E2" s="3"/>
      <c r="F2" s="11" t="s">
        <v>59</v>
      </c>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4</v>
      </c>
      <c r="AL2" s="2">
        <f>COUNTA(F2:O2,R2:S2)</f>
        <v>1</v>
      </c>
      <c r="AN2" s="2">
        <f>COUNTIF(AL2:AL89,"&gt;=2")</f>
        <v>10</v>
      </c>
    </row>
    <row r="3" spans="1:40" ht="43.2" x14ac:dyDescent="0.3">
      <c r="A3" s="5" t="s">
        <v>134</v>
      </c>
      <c r="B3" s="46" t="s">
        <v>660</v>
      </c>
      <c r="C3" s="5"/>
      <c r="D3" s="1"/>
      <c r="E3" s="1"/>
      <c r="F3" s="1"/>
      <c r="G3" s="1"/>
      <c r="AJ3" s="2">
        <f t="shared" ref="AJ3:AJ66" si="0">COUNTA(B3:AH3)</f>
        <v>1</v>
      </c>
      <c r="AL3" s="2">
        <f t="shared" ref="AL3:AL66" si="1">COUNTA(F3:O3,R3:S3)</f>
        <v>0</v>
      </c>
    </row>
    <row r="4" spans="1:40" ht="43.2" x14ac:dyDescent="0.3">
      <c r="A4" s="5" t="s">
        <v>135</v>
      </c>
      <c r="B4" s="46" t="s">
        <v>539</v>
      </c>
      <c r="C4" s="5"/>
      <c r="D4" s="1"/>
      <c r="E4" s="1"/>
      <c r="F4" s="1"/>
      <c r="G4" s="1"/>
      <c r="AJ4" s="2">
        <f t="shared" si="0"/>
        <v>1</v>
      </c>
      <c r="AL4" s="2">
        <f t="shared" si="1"/>
        <v>0</v>
      </c>
    </row>
    <row r="5" spans="1:40" ht="43.2" x14ac:dyDescent="0.3">
      <c r="A5" s="5" t="s">
        <v>136</v>
      </c>
      <c r="B5" s="38" t="s">
        <v>541</v>
      </c>
      <c r="C5" s="5"/>
      <c r="D5" s="1"/>
      <c r="E5" s="1"/>
      <c r="F5" s="1"/>
      <c r="G5" s="1"/>
      <c r="AJ5" s="2">
        <f t="shared" si="0"/>
        <v>1</v>
      </c>
      <c r="AL5" s="2">
        <f t="shared" si="1"/>
        <v>0</v>
      </c>
    </row>
    <row r="6" spans="1:40" ht="43.2" x14ac:dyDescent="0.3">
      <c r="A6" s="5" t="s">
        <v>137</v>
      </c>
      <c r="B6" s="46" t="s">
        <v>543</v>
      </c>
      <c r="C6" s="5"/>
      <c r="D6" s="1"/>
      <c r="E6" s="1"/>
      <c r="F6" s="1"/>
      <c r="G6" s="1"/>
      <c r="AJ6" s="2">
        <f t="shared" si="0"/>
        <v>1</v>
      </c>
      <c r="AL6" s="2">
        <f t="shared" si="1"/>
        <v>0</v>
      </c>
    </row>
    <row r="7" spans="1:40" ht="28.8" x14ac:dyDescent="0.3">
      <c r="A7" s="5" t="s">
        <v>138</v>
      </c>
      <c r="B7" s="88" t="s">
        <v>545</v>
      </c>
      <c r="C7" s="5"/>
      <c r="D7" s="1"/>
      <c r="E7" s="1"/>
      <c r="F7" s="1"/>
      <c r="G7" s="61" t="s">
        <v>62</v>
      </c>
      <c r="H7" s="10" t="s">
        <v>441</v>
      </c>
      <c r="AJ7" s="2">
        <f t="shared" si="0"/>
        <v>3</v>
      </c>
      <c r="AL7" s="2">
        <f t="shared" si="1"/>
        <v>2</v>
      </c>
    </row>
    <row r="8" spans="1:40" ht="28.8" x14ac:dyDescent="0.3">
      <c r="A8" s="5" t="s">
        <v>139</v>
      </c>
      <c r="B8" s="6"/>
      <c r="C8" s="5"/>
      <c r="D8" s="1"/>
      <c r="E8" s="1"/>
      <c r="F8" s="1"/>
      <c r="G8" s="1"/>
      <c r="AJ8" s="2">
        <f t="shared" si="0"/>
        <v>0</v>
      </c>
      <c r="AL8" s="2">
        <f t="shared" si="1"/>
        <v>0</v>
      </c>
    </row>
    <row r="9" spans="1:40" x14ac:dyDescent="0.3">
      <c r="A9" s="5" t="s">
        <v>140</v>
      </c>
      <c r="B9" s="46" t="s">
        <v>549</v>
      </c>
      <c r="C9" s="5"/>
      <c r="D9" s="1"/>
      <c r="E9" s="1"/>
      <c r="F9" s="1"/>
      <c r="G9" s="1"/>
      <c r="AJ9" s="2">
        <f t="shared" si="0"/>
        <v>1</v>
      </c>
      <c r="AL9" s="2">
        <f t="shared" si="1"/>
        <v>0</v>
      </c>
    </row>
    <row r="10" spans="1:40" x14ac:dyDescent="0.3">
      <c r="A10" s="5" t="s">
        <v>141</v>
      </c>
      <c r="B10" s="46" t="s">
        <v>551</v>
      </c>
      <c r="C10" s="5"/>
      <c r="D10" s="1"/>
      <c r="E10" s="1"/>
      <c r="F10" s="1"/>
      <c r="G10" s="1"/>
      <c r="AJ10" s="2">
        <f t="shared" si="0"/>
        <v>1</v>
      </c>
      <c r="AL10" s="2">
        <f t="shared" si="1"/>
        <v>0</v>
      </c>
    </row>
    <row r="11" spans="1:40" x14ac:dyDescent="0.3">
      <c r="A11" s="5" t="s">
        <v>142</v>
      </c>
      <c r="B11" s="88" t="s">
        <v>552</v>
      </c>
      <c r="C11" s="5"/>
      <c r="D11" s="1"/>
      <c r="E11" s="1"/>
      <c r="F11" s="1"/>
      <c r="G11" s="1"/>
      <c r="M11" s="1" t="s">
        <v>422</v>
      </c>
      <c r="AJ11" s="2">
        <f t="shared" si="0"/>
        <v>2</v>
      </c>
      <c r="AL11" s="2">
        <f t="shared" si="1"/>
        <v>1</v>
      </c>
    </row>
    <row r="12" spans="1:40" x14ac:dyDescent="0.3">
      <c r="A12" s="5" t="s">
        <v>143</v>
      </c>
      <c r="B12" s="44" t="s">
        <v>553</v>
      </c>
      <c r="C12" s="5"/>
      <c r="D12" s="1"/>
      <c r="E12" s="1"/>
      <c r="F12" s="1"/>
      <c r="G12" s="1"/>
      <c r="AJ12" s="2">
        <f t="shared" si="0"/>
        <v>1</v>
      </c>
      <c r="AL12" s="2">
        <f t="shared" si="1"/>
        <v>0</v>
      </c>
    </row>
    <row r="13" spans="1:40" x14ac:dyDescent="0.3">
      <c r="A13" s="5" t="s">
        <v>1272</v>
      </c>
      <c r="B13" s="1"/>
      <c r="C13" s="5"/>
      <c r="D13" s="1"/>
      <c r="E13" s="1"/>
      <c r="F13" s="1"/>
      <c r="G13" s="1"/>
      <c r="M13" s="1" t="s">
        <v>36</v>
      </c>
      <c r="AJ13" s="2">
        <f t="shared" si="0"/>
        <v>1</v>
      </c>
      <c r="AL13" s="2">
        <f t="shared" si="1"/>
        <v>1</v>
      </c>
    </row>
    <row r="14" spans="1:40" x14ac:dyDescent="0.3">
      <c r="A14" s="5" t="s">
        <v>1273</v>
      </c>
      <c r="B14" s="1"/>
      <c r="C14" s="5"/>
      <c r="D14" s="1"/>
      <c r="E14" s="1"/>
      <c r="F14" s="1"/>
      <c r="G14" s="1"/>
      <c r="M14" s="1" t="s">
        <v>37</v>
      </c>
      <c r="AJ14" s="2">
        <f t="shared" si="0"/>
        <v>1</v>
      </c>
      <c r="AL14" s="2">
        <f t="shared" si="1"/>
        <v>1</v>
      </c>
    </row>
    <row r="15" spans="1:40" x14ac:dyDescent="0.3">
      <c r="A15" s="5" t="s">
        <v>1274</v>
      </c>
      <c r="B15" s="5"/>
      <c r="C15" s="5"/>
      <c r="D15" s="1"/>
      <c r="E15" s="1"/>
      <c r="F15" s="1"/>
      <c r="G15" s="1"/>
      <c r="M15" s="1" t="s">
        <v>39</v>
      </c>
      <c r="AJ15" s="2">
        <f t="shared" si="0"/>
        <v>1</v>
      </c>
      <c r="AL15" s="2">
        <f t="shared" si="1"/>
        <v>1</v>
      </c>
    </row>
    <row r="16" spans="1:40" x14ac:dyDescent="0.3">
      <c r="A16" s="5" t="s">
        <v>1275</v>
      </c>
      <c r="B16" s="1"/>
      <c r="C16" s="5"/>
      <c r="D16" s="1"/>
      <c r="E16" s="1"/>
      <c r="F16" s="1"/>
      <c r="G16" s="1"/>
      <c r="M16" s="1" t="s">
        <v>421</v>
      </c>
      <c r="AJ16" s="2">
        <f t="shared" si="0"/>
        <v>1</v>
      </c>
      <c r="AL16" s="2">
        <f t="shared" si="1"/>
        <v>1</v>
      </c>
    </row>
    <row r="17" spans="1:38" x14ac:dyDescent="0.3">
      <c r="A17" s="5" t="s">
        <v>1276</v>
      </c>
      <c r="B17" s="1"/>
      <c r="C17" s="5"/>
      <c r="D17" s="1"/>
      <c r="E17" s="1"/>
      <c r="F17" s="1"/>
      <c r="G17" s="1"/>
      <c r="M17" s="1" t="s">
        <v>424</v>
      </c>
      <c r="AJ17" s="2">
        <f t="shared" si="0"/>
        <v>1</v>
      </c>
      <c r="AL17" s="2">
        <f t="shared" si="1"/>
        <v>1</v>
      </c>
    </row>
    <row r="18" spans="1:38" x14ac:dyDescent="0.3">
      <c r="A18" s="5" t="s">
        <v>1472</v>
      </c>
      <c r="B18" s="1"/>
      <c r="C18" s="5"/>
      <c r="D18" s="1"/>
      <c r="E18" s="1"/>
      <c r="F18" s="1"/>
      <c r="G18" s="1"/>
      <c r="M18" s="1" t="s">
        <v>1477</v>
      </c>
      <c r="AJ18" s="2">
        <f t="shared" si="0"/>
        <v>1</v>
      </c>
      <c r="AL18" s="2">
        <f t="shared" si="1"/>
        <v>1</v>
      </c>
    </row>
    <row r="19" spans="1:38" x14ac:dyDescent="0.3">
      <c r="A19" s="5" t="s">
        <v>1473</v>
      </c>
      <c r="B19" s="1"/>
      <c r="C19" s="5"/>
      <c r="D19" s="1"/>
      <c r="E19" s="1"/>
      <c r="F19" s="1"/>
      <c r="G19" s="1"/>
      <c r="M19" s="1" t="s">
        <v>1136</v>
      </c>
      <c r="AJ19" s="2">
        <f t="shared" si="0"/>
        <v>1</v>
      </c>
      <c r="AL19" s="2">
        <f t="shared" si="1"/>
        <v>1</v>
      </c>
    </row>
    <row r="20" spans="1:38" x14ac:dyDescent="0.3">
      <c r="A20" s="5" t="s">
        <v>1474</v>
      </c>
      <c r="B20" s="1"/>
      <c r="C20" s="5"/>
      <c r="D20" s="1"/>
      <c r="E20" s="1"/>
      <c r="F20" s="1"/>
      <c r="G20" s="1"/>
      <c r="M20" s="1" t="s">
        <v>1138</v>
      </c>
      <c r="AJ20" s="2">
        <f t="shared" si="0"/>
        <v>1</v>
      </c>
      <c r="AL20" s="2">
        <f t="shared" si="1"/>
        <v>1</v>
      </c>
    </row>
    <row r="21" spans="1:38" x14ac:dyDescent="0.3">
      <c r="A21" s="5" t="s">
        <v>1475</v>
      </c>
      <c r="B21" s="1"/>
      <c r="C21" s="5"/>
      <c r="D21" s="1"/>
      <c r="E21" s="1"/>
      <c r="F21" s="1"/>
      <c r="G21" s="1"/>
      <c r="M21" s="1" t="s">
        <v>1139</v>
      </c>
      <c r="AJ21" s="2">
        <f t="shared" si="0"/>
        <v>1</v>
      </c>
      <c r="AL21" s="2">
        <f t="shared" si="1"/>
        <v>1</v>
      </c>
    </row>
    <row r="22" spans="1:38" x14ac:dyDescent="0.3">
      <c r="A22" s="5" t="s">
        <v>1476</v>
      </c>
      <c r="B22" s="1"/>
      <c r="C22" s="5"/>
      <c r="D22" s="1"/>
      <c r="E22" s="1"/>
      <c r="F22" s="1"/>
      <c r="G22" s="1"/>
      <c r="M22" s="1" t="s">
        <v>1141</v>
      </c>
      <c r="AJ22" s="2">
        <f t="shared" si="0"/>
        <v>1</v>
      </c>
      <c r="AL22" s="2">
        <f t="shared" si="1"/>
        <v>1</v>
      </c>
    </row>
    <row r="23" spans="1:38" ht="43.2" x14ac:dyDescent="0.3">
      <c r="A23" s="5" t="s">
        <v>144</v>
      </c>
      <c r="B23" s="1"/>
      <c r="C23" s="5"/>
      <c r="D23" s="1" t="s">
        <v>145</v>
      </c>
      <c r="E23" s="1"/>
      <c r="F23" s="1"/>
      <c r="G23" s="1"/>
      <c r="AJ23" s="2">
        <f t="shared" si="0"/>
        <v>1</v>
      </c>
      <c r="AL23" s="2">
        <f t="shared" si="1"/>
        <v>0</v>
      </c>
    </row>
    <row r="24" spans="1:38" x14ac:dyDescent="0.3">
      <c r="A24" s="5" t="s">
        <v>176</v>
      </c>
      <c r="B24" s="1" t="s">
        <v>3217</v>
      </c>
      <c r="C24" s="64" t="s">
        <v>3217</v>
      </c>
      <c r="D24" s="54" t="s">
        <v>177</v>
      </c>
      <c r="E24" s="1"/>
      <c r="F24" s="53" t="s">
        <v>331</v>
      </c>
      <c r="G24" s="53" t="s">
        <v>612</v>
      </c>
      <c r="I24" s="53" t="s">
        <v>238</v>
      </c>
      <c r="J24" s="53" t="s">
        <v>926</v>
      </c>
      <c r="L24" s="53" t="s">
        <v>908</v>
      </c>
      <c r="M24" s="54" t="s">
        <v>425</v>
      </c>
      <c r="P24" s="30" t="s">
        <v>951</v>
      </c>
      <c r="AJ24" s="2">
        <f t="shared" si="0"/>
        <v>10</v>
      </c>
      <c r="AL24" s="2">
        <f t="shared" si="1"/>
        <v>6</v>
      </c>
    </row>
    <row r="25" spans="1:38" ht="28.8" x14ac:dyDescent="0.3">
      <c r="A25" s="5" t="s">
        <v>1478</v>
      </c>
      <c r="B25" s="1"/>
      <c r="C25" s="5"/>
      <c r="D25" s="1"/>
      <c r="E25" s="1"/>
      <c r="F25" s="1"/>
      <c r="G25" s="1"/>
      <c r="M25" s="1" t="s">
        <v>1143</v>
      </c>
      <c r="AJ25" s="2">
        <f t="shared" si="0"/>
        <v>1</v>
      </c>
      <c r="AL25" s="2">
        <f t="shared" si="1"/>
        <v>1</v>
      </c>
    </row>
    <row r="26" spans="1:38" x14ac:dyDescent="0.3">
      <c r="A26" s="5" t="s">
        <v>286</v>
      </c>
      <c r="B26" s="5"/>
      <c r="C26" s="5"/>
      <c r="D26" s="1"/>
      <c r="E26" s="1"/>
      <c r="F26" s="10" t="s">
        <v>287</v>
      </c>
      <c r="G26" s="1"/>
      <c r="AJ26" s="2">
        <f t="shared" si="0"/>
        <v>1</v>
      </c>
      <c r="AL26" s="2">
        <f t="shared" si="1"/>
        <v>1</v>
      </c>
    </row>
    <row r="27" spans="1:38" ht="43.2" x14ac:dyDescent="0.3">
      <c r="A27" s="5" t="s">
        <v>730</v>
      </c>
      <c r="B27" s="5"/>
      <c r="C27" s="5"/>
      <c r="D27" s="1"/>
      <c r="E27" s="1"/>
      <c r="F27" s="1"/>
      <c r="G27" s="1"/>
      <c r="I27" s="61" t="s">
        <v>36</v>
      </c>
      <c r="J27" s="61" t="s">
        <v>905</v>
      </c>
      <c r="O27" s="1" t="s">
        <v>1328</v>
      </c>
      <c r="AJ27" s="2">
        <f t="shared" si="0"/>
        <v>3</v>
      </c>
      <c r="AL27" s="2">
        <f t="shared" si="1"/>
        <v>3</v>
      </c>
    </row>
    <row r="28" spans="1:38" ht="28.8" x14ac:dyDescent="0.3">
      <c r="A28" s="5" t="s">
        <v>1771</v>
      </c>
      <c r="B28" s="5"/>
      <c r="C28" s="5"/>
      <c r="D28" s="1"/>
      <c r="E28" s="1"/>
      <c r="F28" s="1"/>
      <c r="G28" s="1"/>
      <c r="I28" s="10"/>
      <c r="J28" s="10"/>
      <c r="O28" s="1" t="s">
        <v>1772</v>
      </c>
      <c r="AJ28" s="2">
        <f t="shared" si="0"/>
        <v>1</v>
      </c>
      <c r="AL28" s="2">
        <f t="shared" si="1"/>
        <v>1</v>
      </c>
    </row>
    <row r="29" spans="1:38" ht="28.8" x14ac:dyDescent="0.3">
      <c r="A29" s="5" t="s">
        <v>2418</v>
      </c>
      <c r="B29" s="5"/>
      <c r="C29" s="5"/>
      <c r="D29" s="1"/>
      <c r="E29" s="1"/>
      <c r="F29" s="1"/>
      <c r="G29" s="1"/>
      <c r="I29" s="54" t="s">
        <v>441</v>
      </c>
      <c r="J29" s="53" t="s">
        <v>915</v>
      </c>
      <c r="Q29" s="54" t="s">
        <v>1432</v>
      </c>
      <c r="R29" s="53" t="s">
        <v>2153</v>
      </c>
      <c r="S29" s="53" t="s">
        <v>37</v>
      </c>
      <c r="U29" s="1" t="s">
        <v>876</v>
      </c>
      <c r="AJ29" s="2">
        <f t="shared" si="0"/>
        <v>6</v>
      </c>
      <c r="AL29" s="2">
        <f t="shared" si="1"/>
        <v>4</v>
      </c>
    </row>
    <row r="30" spans="1:38" ht="28.8" x14ac:dyDescent="0.3">
      <c r="A30" s="5" t="s">
        <v>726</v>
      </c>
      <c r="B30" s="64" t="s">
        <v>3245</v>
      </c>
      <c r="C30" s="5"/>
      <c r="D30" s="1"/>
      <c r="E30" s="1"/>
      <c r="F30" s="1"/>
      <c r="G30" s="1"/>
      <c r="I30" s="12" t="s">
        <v>222</v>
      </c>
      <c r="AJ30" s="2">
        <f t="shared" si="0"/>
        <v>2</v>
      </c>
      <c r="AL30" s="2">
        <f t="shared" si="1"/>
        <v>1</v>
      </c>
    </row>
    <row r="31" spans="1:38" ht="28.8" x14ac:dyDescent="0.3">
      <c r="A31" s="5" t="s">
        <v>1228</v>
      </c>
      <c r="B31" s="5"/>
      <c r="C31" s="5"/>
      <c r="D31" s="1"/>
      <c r="E31" s="1"/>
      <c r="F31" s="1"/>
      <c r="G31" s="1"/>
      <c r="L31" s="53" t="s">
        <v>924</v>
      </c>
      <c r="M31" s="53" t="s">
        <v>230</v>
      </c>
      <c r="N31" s="1" t="s">
        <v>1514</v>
      </c>
      <c r="AJ31" s="2">
        <f t="shared" si="0"/>
        <v>3</v>
      </c>
      <c r="AL31" s="2">
        <f t="shared" si="1"/>
        <v>3</v>
      </c>
    </row>
    <row r="32" spans="1:38" ht="28.8" x14ac:dyDescent="0.3">
      <c r="A32" s="5" t="s">
        <v>1277</v>
      </c>
      <c r="B32" s="5"/>
      <c r="C32" s="5"/>
      <c r="D32" s="1"/>
      <c r="E32" s="1"/>
      <c r="F32" s="1"/>
      <c r="G32" s="1"/>
      <c r="M32" s="1" t="s">
        <v>427</v>
      </c>
      <c r="AJ32" s="2">
        <f t="shared" si="0"/>
        <v>1</v>
      </c>
      <c r="AL32" s="2">
        <f t="shared" si="1"/>
        <v>1</v>
      </c>
    </row>
    <row r="33" spans="1:38" ht="28.8" x14ac:dyDescent="0.3">
      <c r="A33" s="5" t="s">
        <v>1490</v>
      </c>
      <c r="B33" s="5"/>
      <c r="C33" s="5"/>
      <c r="D33" s="1"/>
      <c r="E33" s="1"/>
      <c r="F33" s="1"/>
      <c r="G33" s="1"/>
      <c r="N33" s="1" t="s">
        <v>1059</v>
      </c>
      <c r="AJ33" s="2">
        <f t="shared" si="0"/>
        <v>1</v>
      </c>
      <c r="AL33" s="2">
        <f t="shared" si="1"/>
        <v>1</v>
      </c>
    </row>
    <row r="34" spans="1:38" ht="43.2" x14ac:dyDescent="0.3">
      <c r="A34" s="5" t="s">
        <v>2237</v>
      </c>
      <c r="B34" s="5"/>
      <c r="C34" s="5"/>
      <c r="D34" s="1"/>
      <c r="E34" s="1"/>
      <c r="F34" s="1"/>
      <c r="G34" s="1"/>
      <c r="S34" s="1" t="s">
        <v>185</v>
      </c>
      <c r="AJ34" s="2">
        <f t="shared" si="0"/>
        <v>1</v>
      </c>
      <c r="AL34" s="2">
        <f t="shared" si="1"/>
        <v>1</v>
      </c>
    </row>
    <row r="35" spans="1:38" x14ac:dyDescent="0.3">
      <c r="A35" s="5" t="s">
        <v>1681</v>
      </c>
      <c r="B35" s="5"/>
      <c r="C35" s="5"/>
      <c r="D35" s="1"/>
      <c r="E35" s="1"/>
      <c r="F35" s="1"/>
      <c r="G35" s="1"/>
      <c r="O35" s="53" t="s">
        <v>886</v>
      </c>
      <c r="P35" s="53" t="s">
        <v>189</v>
      </c>
      <c r="Q35" s="53" t="s">
        <v>1179</v>
      </c>
      <c r="R35" s="1" t="s">
        <v>1979</v>
      </c>
      <c r="AJ35" s="2">
        <f t="shared" si="0"/>
        <v>4</v>
      </c>
      <c r="AL35" s="2">
        <f t="shared" si="1"/>
        <v>2</v>
      </c>
    </row>
    <row r="36" spans="1:38" ht="43.2" x14ac:dyDescent="0.3">
      <c r="A36" s="5" t="s">
        <v>732</v>
      </c>
      <c r="B36" s="5"/>
      <c r="C36" s="5"/>
      <c r="D36" s="1"/>
      <c r="E36" s="1"/>
      <c r="F36" s="1"/>
      <c r="G36" s="1"/>
      <c r="I36" s="12" t="s">
        <v>733</v>
      </c>
      <c r="AJ36" s="2">
        <f t="shared" si="0"/>
        <v>1</v>
      </c>
      <c r="AL36" s="2">
        <f t="shared" si="1"/>
        <v>1</v>
      </c>
    </row>
    <row r="37" spans="1:38" x14ac:dyDescent="0.3">
      <c r="A37" s="5" t="s">
        <v>1794</v>
      </c>
      <c r="B37" s="5"/>
      <c r="C37" s="5"/>
      <c r="D37" s="1"/>
      <c r="E37" s="1"/>
      <c r="F37" s="1"/>
      <c r="G37" s="1"/>
      <c r="P37" s="30" t="s">
        <v>34</v>
      </c>
      <c r="AJ37" s="2">
        <f t="shared" si="0"/>
        <v>1</v>
      </c>
      <c r="AL37" s="2">
        <f t="shared" si="1"/>
        <v>0</v>
      </c>
    </row>
    <row r="38" spans="1:38" x14ac:dyDescent="0.3">
      <c r="A38" s="5" t="s">
        <v>1868</v>
      </c>
      <c r="B38" s="5"/>
      <c r="C38" s="5"/>
      <c r="D38" s="1"/>
      <c r="E38" s="1"/>
      <c r="F38" s="1"/>
      <c r="G38" s="1"/>
      <c r="P38" s="30" t="s">
        <v>660</v>
      </c>
      <c r="AJ38" s="2">
        <f t="shared" si="0"/>
        <v>1</v>
      </c>
      <c r="AL38" s="2">
        <f t="shared" si="1"/>
        <v>0</v>
      </c>
    </row>
    <row r="39" spans="1:38" ht="43.2" x14ac:dyDescent="0.3">
      <c r="A39" s="5" t="s">
        <v>2047</v>
      </c>
      <c r="B39" s="5"/>
      <c r="C39" s="5"/>
      <c r="D39" s="1"/>
      <c r="E39" s="1"/>
      <c r="F39" s="1"/>
      <c r="G39" s="1"/>
      <c r="Q39" s="53" t="s">
        <v>1198</v>
      </c>
      <c r="R39" s="1" t="s">
        <v>2048</v>
      </c>
      <c r="AJ39" s="2">
        <f t="shared" si="0"/>
        <v>2</v>
      </c>
      <c r="AL39" s="2">
        <f t="shared" si="1"/>
        <v>1</v>
      </c>
    </row>
    <row r="40" spans="1:38" x14ac:dyDescent="0.3">
      <c r="A40" s="5" t="s">
        <v>2054</v>
      </c>
      <c r="B40" s="5"/>
      <c r="C40" s="5"/>
      <c r="D40" s="1"/>
      <c r="E40" s="1"/>
      <c r="F40" s="1"/>
      <c r="G40" s="1"/>
      <c r="Q40" s="53" t="s">
        <v>1199</v>
      </c>
      <c r="R40" s="1" t="s">
        <v>2049</v>
      </c>
      <c r="AJ40" s="2">
        <f t="shared" si="0"/>
        <v>2</v>
      </c>
      <c r="AL40" s="2">
        <f t="shared" si="1"/>
        <v>1</v>
      </c>
    </row>
    <row r="41" spans="1:38" x14ac:dyDescent="0.3">
      <c r="A41" s="5" t="s">
        <v>2055</v>
      </c>
      <c r="B41" s="5"/>
      <c r="C41" s="5"/>
      <c r="D41" s="1"/>
      <c r="E41" s="1"/>
      <c r="F41" s="1"/>
      <c r="G41" s="1"/>
      <c r="Q41" s="53" t="s">
        <v>1036</v>
      </c>
      <c r="R41" s="1" t="s">
        <v>2050</v>
      </c>
      <c r="AJ41" s="2">
        <f t="shared" si="0"/>
        <v>2</v>
      </c>
      <c r="AL41" s="2">
        <f t="shared" si="1"/>
        <v>1</v>
      </c>
    </row>
    <row r="42" spans="1:38" x14ac:dyDescent="0.3">
      <c r="A42" s="5" t="s">
        <v>2056</v>
      </c>
      <c r="B42" s="5"/>
      <c r="C42" s="5"/>
      <c r="D42" s="1"/>
      <c r="E42" s="1"/>
      <c r="F42" s="1"/>
      <c r="G42" s="1"/>
      <c r="Q42" s="53" t="s">
        <v>1200</v>
      </c>
      <c r="R42" s="1" t="s">
        <v>2051</v>
      </c>
      <c r="AJ42" s="2">
        <f t="shared" si="0"/>
        <v>2</v>
      </c>
      <c r="AL42" s="2">
        <f t="shared" si="1"/>
        <v>1</v>
      </c>
    </row>
    <row r="43" spans="1:38" x14ac:dyDescent="0.3">
      <c r="A43" s="5" t="s">
        <v>2057</v>
      </c>
      <c r="B43" s="5"/>
      <c r="C43" s="5"/>
      <c r="D43" s="1"/>
      <c r="E43" s="1"/>
      <c r="F43" s="1"/>
      <c r="G43" s="1"/>
      <c r="Q43" s="53" t="s">
        <v>2053</v>
      </c>
      <c r="R43" s="1" t="s">
        <v>2052</v>
      </c>
      <c r="AJ43" s="2">
        <f t="shared" si="0"/>
        <v>2</v>
      </c>
      <c r="AL43" s="2">
        <f t="shared" si="1"/>
        <v>1</v>
      </c>
    </row>
    <row r="44" spans="1:38" ht="28.8" x14ac:dyDescent="0.3">
      <c r="A44" s="5" t="s">
        <v>2058</v>
      </c>
      <c r="B44" s="5"/>
      <c r="C44" s="5"/>
      <c r="D44" s="1"/>
      <c r="E44" s="1"/>
      <c r="F44" s="1"/>
      <c r="G44" s="1"/>
      <c r="Q44" s="53" t="s">
        <v>1201</v>
      </c>
      <c r="R44" s="1" t="s">
        <v>2063</v>
      </c>
      <c r="AJ44" s="2">
        <f t="shared" si="0"/>
        <v>2</v>
      </c>
      <c r="AL44" s="2">
        <f t="shared" si="1"/>
        <v>1</v>
      </c>
    </row>
    <row r="45" spans="1:38" ht="28.8" x14ac:dyDescent="0.3">
      <c r="A45" s="5" t="s">
        <v>2059</v>
      </c>
      <c r="B45" s="5"/>
      <c r="C45" s="5"/>
      <c r="D45" s="1"/>
      <c r="E45" s="1"/>
      <c r="F45" s="1"/>
      <c r="G45" s="1"/>
      <c r="Q45" s="53" t="s">
        <v>1245</v>
      </c>
      <c r="R45" s="1" t="s">
        <v>2064</v>
      </c>
      <c r="AJ45" s="2">
        <f t="shared" si="0"/>
        <v>2</v>
      </c>
      <c r="AL45" s="2">
        <f t="shared" si="1"/>
        <v>1</v>
      </c>
    </row>
    <row r="46" spans="1:38" ht="28.8" x14ac:dyDescent="0.3">
      <c r="A46" s="5" t="s">
        <v>2060</v>
      </c>
      <c r="B46" s="5"/>
      <c r="C46" s="5"/>
      <c r="D46" s="1"/>
      <c r="E46" s="1"/>
      <c r="F46" s="1"/>
      <c r="G46" s="1"/>
      <c r="Q46" s="53" t="s">
        <v>1038</v>
      </c>
      <c r="R46" s="1" t="s">
        <v>2065</v>
      </c>
      <c r="AJ46" s="2">
        <f t="shared" si="0"/>
        <v>2</v>
      </c>
      <c r="AL46" s="2">
        <f t="shared" si="1"/>
        <v>1</v>
      </c>
    </row>
    <row r="47" spans="1:38" ht="28.8" x14ac:dyDescent="0.3">
      <c r="A47" s="5" t="s">
        <v>2061</v>
      </c>
      <c r="B47" s="5"/>
      <c r="C47" s="5"/>
      <c r="D47" s="1"/>
      <c r="E47" s="1"/>
      <c r="F47" s="1"/>
      <c r="G47" s="1"/>
      <c r="Q47" s="53" t="s">
        <v>1202</v>
      </c>
      <c r="R47" s="1" t="s">
        <v>2066</v>
      </c>
      <c r="AJ47" s="2">
        <f t="shared" si="0"/>
        <v>2</v>
      </c>
      <c r="AL47" s="2">
        <f t="shared" si="1"/>
        <v>1</v>
      </c>
    </row>
    <row r="48" spans="1:38" ht="28.8" x14ac:dyDescent="0.3">
      <c r="A48" s="5" t="s">
        <v>2062</v>
      </c>
      <c r="B48" s="5"/>
      <c r="C48" s="5"/>
      <c r="D48" s="1"/>
      <c r="E48" s="1"/>
      <c r="F48" s="1"/>
      <c r="G48" s="1"/>
      <c r="Q48" s="53" t="s">
        <v>1203</v>
      </c>
      <c r="R48" s="1" t="s">
        <v>2067</v>
      </c>
      <c r="AJ48" s="2">
        <f t="shared" si="0"/>
        <v>2</v>
      </c>
      <c r="AL48" s="2">
        <f t="shared" si="1"/>
        <v>1</v>
      </c>
    </row>
    <row r="49" spans="1:38" ht="43.2" x14ac:dyDescent="0.3">
      <c r="A49" s="5" t="s">
        <v>2068</v>
      </c>
      <c r="B49" s="5"/>
      <c r="C49" s="5"/>
      <c r="D49" s="1"/>
      <c r="E49" s="1"/>
      <c r="F49" s="1"/>
      <c r="G49" s="1"/>
      <c r="Q49" s="53" t="s">
        <v>1204</v>
      </c>
      <c r="R49" s="1" t="s">
        <v>2074</v>
      </c>
      <c r="AJ49" s="2">
        <f t="shared" si="0"/>
        <v>2</v>
      </c>
      <c r="AL49" s="2">
        <f t="shared" si="1"/>
        <v>1</v>
      </c>
    </row>
    <row r="50" spans="1:38" x14ac:dyDescent="0.3">
      <c r="A50" s="5" t="s">
        <v>2069</v>
      </c>
      <c r="B50" s="5"/>
      <c r="C50" s="5"/>
      <c r="D50" s="1"/>
      <c r="E50" s="1"/>
      <c r="F50" s="1"/>
      <c r="G50" s="1"/>
      <c r="Q50" s="53" t="s">
        <v>1044</v>
      </c>
      <c r="R50" s="1" t="s">
        <v>2075</v>
      </c>
      <c r="AJ50" s="2">
        <f t="shared" si="0"/>
        <v>2</v>
      </c>
      <c r="AL50" s="2">
        <f t="shared" si="1"/>
        <v>1</v>
      </c>
    </row>
    <row r="51" spans="1:38" x14ac:dyDescent="0.3">
      <c r="A51" s="5" t="s">
        <v>2070</v>
      </c>
      <c r="B51" s="5"/>
      <c r="C51" s="5"/>
      <c r="D51" s="1"/>
      <c r="E51" s="1"/>
      <c r="F51" s="1"/>
      <c r="G51" s="1"/>
      <c r="Q51" s="53" t="s">
        <v>1205</v>
      </c>
      <c r="R51" s="1" t="s">
        <v>2076</v>
      </c>
      <c r="AJ51" s="2">
        <f t="shared" si="0"/>
        <v>2</v>
      </c>
      <c r="AL51" s="2">
        <f t="shared" si="1"/>
        <v>1</v>
      </c>
    </row>
    <row r="52" spans="1:38" x14ac:dyDescent="0.3">
      <c r="A52" s="5" t="s">
        <v>2072</v>
      </c>
      <c r="B52" s="5"/>
      <c r="C52" s="5"/>
      <c r="D52" s="1"/>
      <c r="E52" s="1"/>
      <c r="F52" s="1"/>
      <c r="G52" s="1"/>
      <c r="Q52" s="53" t="s">
        <v>1045</v>
      </c>
      <c r="R52" s="1" t="s">
        <v>2077</v>
      </c>
      <c r="AJ52" s="2">
        <f t="shared" si="0"/>
        <v>2</v>
      </c>
      <c r="AL52" s="2">
        <f t="shared" si="1"/>
        <v>1</v>
      </c>
    </row>
    <row r="53" spans="1:38" x14ac:dyDescent="0.3">
      <c r="A53" s="5" t="s">
        <v>2071</v>
      </c>
      <c r="B53" s="5"/>
      <c r="C53" s="5"/>
      <c r="D53" s="1"/>
      <c r="E53" s="1"/>
      <c r="F53" s="1"/>
      <c r="G53" s="1"/>
      <c r="Q53" s="53" t="s">
        <v>2073</v>
      </c>
      <c r="R53" s="1" t="s">
        <v>2078</v>
      </c>
      <c r="AJ53" s="2">
        <f t="shared" si="0"/>
        <v>2</v>
      </c>
      <c r="AL53" s="2">
        <f t="shared" si="1"/>
        <v>1</v>
      </c>
    </row>
    <row r="54" spans="1:38" ht="43.2" x14ac:dyDescent="0.3">
      <c r="A54" s="5" t="s">
        <v>2155</v>
      </c>
      <c r="B54" s="5"/>
      <c r="C54" s="5"/>
      <c r="D54" s="1"/>
      <c r="E54" s="1"/>
      <c r="F54" s="1"/>
      <c r="G54" s="1"/>
      <c r="Q54" s="53" t="s">
        <v>1434</v>
      </c>
      <c r="R54" s="53" t="s">
        <v>2156</v>
      </c>
      <c r="S54" s="1" t="s">
        <v>421</v>
      </c>
      <c r="AJ54" s="2">
        <f t="shared" si="0"/>
        <v>3</v>
      </c>
      <c r="AL54" s="2">
        <f t="shared" si="1"/>
        <v>2</v>
      </c>
    </row>
    <row r="55" spans="1:38" ht="28.8" x14ac:dyDescent="0.3">
      <c r="A55" s="5" t="s">
        <v>2157</v>
      </c>
      <c r="B55" s="5"/>
      <c r="C55" s="5"/>
      <c r="D55" s="1"/>
      <c r="E55" s="1"/>
      <c r="F55" s="1"/>
      <c r="G55" s="1"/>
      <c r="Q55" s="54" t="s">
        <v>1054</v>
      </c>
      <c r="R55" s="54" t="s">
        <v>2158</v>
      </c>
      <c r="S55" s="54" t="s">
        <v>422</v>
      </c>
      <c r="U55" s="54" t="s">
        <v>878</v>
      </c>
      <c r="V55" s="53" t="s">
        <v>243</v>
      </c>
      <c r="AE55" s="53" t="s">
        <v>100</v>
      </c>
      <c r="AF55" s="53" t="s">
        <v>1444</v>
      </c>
      <c r="AG55" s="53" t="s">
        <v>1434</v>
      </c>
      <c r="AH55" s="1" t="s">
        <v>1082</v>
      </c>
      <c r="AJ55" s="2">
        <f t="shared" si="0"/>
        <v>9</v>
      </c>
      <c r="AL55" s="2">
        <f t="shared" si="1"/>
        <v>2</v>
      </c>
    </row>
    <row r="56" spans="1:38" ht="28.8" x14ac:dyDescent="0.3">
      <c r="A56" s="5" t="s">
        <v>2159</v>
      </c>
      <c r="B56" s="5"/>
      <c r="C56" s="5"/>
      <c r="D56" s="1"/>
      <c r="E56" s="1"/>
      <c r="F56" s="1"/>
      <c r="G56" s="1"/>
      <c r="Q56" s="53" t="s">
        <v>1436</v>
      </c>
      <c r="R56" s="1" t="s">
        <v>2160</v>
      </c>
      <c r="AJ56" s="2">
        <f t="shared" si="0"/>
        <v>2</v>
      </c>
      <c r="AL56" s="2">
        <f t="shared" si="1"/>
        <v>1</v>
      </c>
    </row>
    <row r="57" spans="1:38" ht="43.2" x14ac:dyDescent="0.3">
      <c r="A57" s="5" t="s">
        <v>2162</v>
      </c>
      <c r="B57" s="5"/>
      <c r="C57" s="5"/>
      <c r="D57" s="1"/>
      <c r="E57" s="1"/>
      <c r="F57" s="1"/>
      <c r="G57" s="1"/>
      <c r="Q57" s="53" t="s">
        <v>1437</v>
      </c>
      <c r="R57" s="1" t="s">
        <v>2161</v>
      </c>
      <c r="AJ57" s="2">
        <f t="shared" si="0"/>
        <v>2</v>
      </c>
      <c r="AL57" s="2">
        <f t="shared" si="1"/>
        <v>1</v>
      </c>
    </row>
    <row r="58" spans="1:38" ht="28.8" x14ac:dyDescent="0.3">
      <c r="A58" s="5" t="s">
        <v>2163</v>
      </c>
      <c r="B58" s="5"/>
      <c r="C58" s="5"/>
      <c r="D58" s="1"/>
      <c r="E58" s="1"/>
      <c r="F58" s="1"/>
      <c r="G58" s="1"/>
      <c r="Q58" s="53" t="s">
        <v>1055</v>
      </c>
      <c r="R58" s="53" t="s">
        <v>2164</v>
      </c>
      <c r="S58" s="53" t="s">
        <v>424</v>
      </c>
      <c r="U58" s="1" t="s">
        <v>879</v>
      </c>
      <c r="AJ58" s="2">
        <f t="shared" si="0"/>
        <v>4</v>
      </c>
      <c r="AL58" s="2">
        <f t="shared" si="1"/>
        <v>2</v>
      </c>
    </row>
    <row r="59" spans="1:38" ht="28.8" x14ac:dyDescent="0.3">
      <c r="A59" s="5" t="s">
        <v>2165</v>
      </c>
      <c r="B59" s="5"/>
      <c r="C59" s="5"/>
      <c r="D59" s="1"/>
      <c r="E59" s="1"/>
      <c r="F59" s="1"/>
      <c r="G59" s="1"/>
      <c r="Q59" s="53" t="s">
        <v>1439</v>
      </c>
      <c r="R59" s="53" t="s">
        <v>2166</v>
      </c>
      <c r="S59" s="53" t="s">
        <v>425</v>
      </c>
      <c r="U59" s="1" t="s">
        <v>883</v>
      </c>
      <c r="AJ59" s="2">
        <f t="shared" si="0"/>
        <v>4</v>
      </c>
      <c r="AL59" s="2">
        <f t="shared" si="1"/>
        <v>2</v>
      </c>
    </row>
    <row r="60" spans="1:38" ht="28.8" x14ac:dyDescent="0.3">
      <c r="A60" s="5" t="s">
        <v>2245</v>
      </c>
      <c r="B60" s="5"/>
      <c r="C60" s="5"/>
      <c r="D60" s="1"/>
      <c r="E60" s="1"/>
      <c r="F60" s="1"/>
      <c r="G60" s="1"/>
      <c r="S60" s="53" t="s">
        <v>427</v>
      </c>
      <c r="U60" s="1" t="s">
        <v>886</v>
      </c>
      <c r="AJ60" s="2">
        <f t="shared" si="0"/>
        <v>2</v>
      </c>
      <c r="AL60" s="2">
        <f t="shared" si="1"/>
        <v>1</v>
      </c>
    </row>
    <row r="61" spans="1:38" ht="28.8" x14ac:dyDescent="0.3">
      <c r="A61" s="5" t="s">
        <v>2419</v>
      </c>
      <c r="B61" s="5"/>
      <c r="C61" s="5"/>
      <c r="D61" s="1"/>
      <c r="E61" s="1"/>
      <c r="F61" s="1"/>
      <c r="G61" s="1"/>
      <c r="U61" s="1" t="s">
        <v>884</v>
      </c>
      <c r="AJ61" s="2">
        <f t="shared" si="0"/>
        <v>1</v>
      </c>
      <c r="AL61" s="2">
        <f t="shared" si="1"/>
        <v>0</v>
      </c>
    </row>
    <row r="62" spans="1:38" ht="28.8" x14ac:dyDescent="0.3">
      <c r="A62" s="5" t="s">
        <v>2249</v>
      </c>
      <c r="B62" s="5"/>
      <c r="C62" s="5"/>
      <c r="D62" s="1"/>
      <c r="E62" s="1"/>
      <c r="F62" s="1"/>
      <c r="G62" s="1"/>
      <c r="S62" s="54" t="s">
        <v>440</v>
      </c>
      <c r="U62" s="53" t="s">
        <v>904</v>
      </c>
      <c r="Z62" s="53" t="s">
        <v>424</v>
      </c>
      <c r="AF62" s="54" t="s">
        <v>1443</v>
      </c>
      <c r="AG62" s="53" t="s">
        <v>1433</v>
      </c>
      <c r="AH62" s="1" t="s">
        <v>1456</v>
      </c>
      <c r="AJ62" s="2">
        <f t="shared" si="0"/>
        <v>6</v>
      </c>
      <c r="AL62" s="2">
        <f t="shared" si="1"/>
        <v>1</v>
      </c>
    </row>
    <row r="63" spans="1:38" ht="57.6" x14ac:dyDescent="0.3">
      <c r="A63" s="5" t="s">
        <v>2552</v>
      </c>
      <c r="B63" s="5"/>
      <c r="C63" s="5"/>
      <c r="D63" s="1"/>
      <c r="E63" s="1"/>
      <c r="F63" s="1"/>
      <c r="G63" s="1"/>
      <c r="V63" s="1" t="s">
        <v>525</v>
      </c>
      <c r="AJ63" s="2">
        <f t="shared" si="0"/>
        <v>1</v>
      </c>
      <c r="AL63" s="2">
        <f t="shared" si="1"/>
        <v>0</v>
      </c>
    </row>
    <row r="64" spans="1:38" ht="28.8" x14ac:dyDescent="0.3">
      <c r="A64" s="5" t="s">
        <v>2740</v>
      </c>
      <c r="B64" s="5"/>
      <c r="C64" s="5"/>
      <c r="D64" s="1"/>
      <c r="E64" s="1"/>
      <c r="F64" s="1"/>
      <c r="G64" s="1"/>
      <c r="AB64" s="53" t="s">
        <v>2158</v>
      </c>
      <c r="AD64" s="1" t="s">
        <v>1125</v>
      </c>
      <c r="AJ64" s="2">
        <f t="shared" si="0"/>
        <v>2</v>
      </c>
      <c r="AL64" s="2">
        <f t="shared" si="1"/>
        <v>0</v>
      </c>
    </row>
    <row r="65" spans="1:38" x14ac:dyDescent="0.3">
      <c r="A65" s="5" t="s">
        <v>2851</v>
      </c>
      <c r="B65" s="5"/>
      <c r="C65" s="5"/>
      <c r="D65" s="1"/>
      <c r="E65" s="1"/>
      <c r="F65" s="1"/>
      <c r="G65" s="1"/>
      <c r="AD65" s="1" t="s">
        <v>1077</v>
      </c>
      <c r="AJ65" s="2">
        <f t="shared" si="0"/>
        <v>1</v>
      </c>
      <c r="AL65" s="2">
        <f t="shared" si="1"/>
        <v>0</v>
      </c>
    </row>
    <row r="66" spans="1:38" ht="28.8" x14ac:dyDescent="0.3">
      <c r="A66" s="5" t="s">
        <v>2741</v>
      </c>
      <c r="B66" s="5"/>
      <c r="C66" s="5"/>
      <c r="D66" s="1"/>
      <c r="E66" s="1"/>
      <c r="F66" s="1"/>
      <c r="G66" s="1"/>
      <c r="AB66" s="53" t="s">
        <v>2160</v>
      </c>
      <c r="AD66" s="1" t="s">
        <v>1126</v>
      </c>
      <c r="AJ66" s="2">
        <f t="shared" si="0"/>
        <v>2</v>
      </c>
      <c r="AL66" s="2">
        <f t="shared" si="1"/>
        <v>0</v>
      </c>
    </row>
    <row r="67" spans="1:38" x14ac:dyDescent="0.3">
      <c r="A67" s="5" t="s">
        <v>2852</v>
      </c>
      <c r="B67" s="5"/>
      <c r="C67" s="5"/>
      <c r="D67" s="1"/>
      <c r="E67" s="1"/>
      <c r="F67" s="1"/>
      <c r="G67" s="1"/>
      <c r="AD67" s="1" t="s">
        <v>1082</v>
      </c>
      <c r="AJ67" s="2">
        <f t="shared" ref="AJ67:AJ91" si="2">COUNTA(B67:AH67)</f>
        <v>1</v>
      </c>
      <c r="AL67" s="2">
        <f t="shared" ref="AL67:AL89" si="3">COUNTA(F67:O67,R67:S67)</f>
        <v>0</v>
      </c>
    </row>
    <row r="68" spans="1:38" x14ac:dyDescent="0.3">
      <c r="A68" s="5" t="s">
        <v>2796</v>
      </c>
      <c r="B68" s="5"/>
      <c r="C68" s="5"/>
      <c r="D68" s="1"/>
      <c r="E68" s="1"/>
      <c r="F68" s="1"/>
      <c r="G68" s="1"/>
      <c r="AC68" s="1" t="s">
        <v>1969</v>
      </c>
      <c r="AJ68" s="2">
        <f t="shared" si="2"/>
        <v>1</v>
      </c>
      <c r="AL68" s="2">
        <f t="shared" si="3"/>
        <v>0</v>
      </c>
    </row>
    <row r="69" spans="1:38" ht="28.8" x14ac:dyDescent="0.3">
      <c r="A69" s="5" t="s">
        <v>2826</v>
      </c>
      <c r="B69" s="5"/>
      <c r="C69" s="5"/>
      <c r="D69" s="1"/>
      <c r="E69" s="1"/>
      <c r="F69" s="1"/>
      <c r="G69" s="1"/>
      <c r="AC69" s="1" t="s">
        <v>2003</v>
      </c>
      <c r="AJ69" s="2">
        <f t="shared" si="2"/>
        <v>1</v>
      </c>
      <c r="AL69" s="2">
        <f t="shared" si="3"/>
        <v>0</v>
      </c>
    </row>
    <row r="70" spans="1:38" ht="28.8" x14ac:dyDescent="0.3">
      <c r="A70" s="24" t="s">
        <v>2778</v>
      </c>
      <c r="B70" s="5"/>
      <c r="C70" s="31"/>
      <c r="D70" s="21"/>
      <c r="E70" s="1"/>
      <c r="F70" s="1"/>
      <c r="G70" s="1"/>
      <c r="AB70" s="53" t="s">
        <v>2197</v>
      </c>
      <c r="AC70" s="53" t="s">
        <v>2004</v>
      </c>
      <c r="AD70" s="53" t="s">
        <v>1069</v>
      </c>
      <c r="AG70" s="53" t="s">
        <v>1256</v>
      </c>
      <c r="AH70" s="1" t="s">
        <v>976</v>
      </c>
      <c r="AJ70" s="2">
        <f t="shared" si="2"/>
        <v>5</v>
      </c>
      <c r="AL70" s="2">
        <f t="shared" si="3"/>
        <v>0</v>
      </c>
    </row>
    <row r="71" spans="1:38" ht="28.8" x14ac:dyDescent="0.3">
      <c r="A71" s="5" t="s">
        <v>2959</v>
      </c>
      <c r="B71" s="1"/>
      <c r="C71" s="5"/>
      <c r="D71" s="1"/>
      <c r="E71" s="1"/>
      <c r="F71" s="1"/>
      <c r="G71" s="1"/>
      <c r="AD71" s="53" t="s">
        <v>366</v>
      </c>
      <c r="AE71" s="1" t="s">
        <v>13</v>
      </c>
      <c r="AJ71" s="2">
        <f t="shared" si="2"/>
        <v>2</v>
      </c>
      <c r="AL71" s="2">
        <f t="shared" si="3"/>
        <v>0</v>
      </c>
    </row>
    <row r="72" spans="1:38" ht="28.8" x14ac:dyDescent="0.3">
      <c r="A72" s="5" t="s">
        <v>2841</v>
      </c>
      <c r="B72" s="1"/>
      <c r="C72" s="5"/>
      <c r="D72" s="1"/>
      <c r="E72" s="1"/>
      <c r="F72" s="1"/>
      <c r="G72" s="1"/>
      <c r="AD72" s="53" t="s">
        <v>367</v>
      </c>
      <c r="AE72" s="1" t="s">
        <v>187</v>
      </c>
      <c r="AJ72" s="2">
        <f t="shared" si="2"/>
        <v>2</v>
      </c>
      <c r="AL72" s="2">
        <f t="shared" si="3"/>
        <v>0</v>
      </c>
    </row>
    <row r="73" spans="1:38" x14ac:dyDescent="0.3">
      <c r="A73" s="5" t="s">
        <v>2842</v>
      </c>
      <c r="B73" s="1"/>
      <c r="C73" s="5"/>
      <c r="D73" s="1"/>
      <c r="E73" s="1"/>
      <c r="F73" s="1"/>
      <c r="G73" s="1"/>
      <c r="AD73" s="1" t="s">
        <v>1070</v>
      </c>
      <c r="AJ73" s="2">
        <f t="shared" si="2"/>
        <v>1</v>
      </c>
      <c r="AL73" s="2">
        <f t="shared" si="3"/>
        <v>0</v>
      </c>
    </row>
    <row r="74" spans="1:38" x14ac:dyDescent="0.3">
      <c r="A74" s="5" t="s">
        <v>2843</v>
      </c>
      <c r="B74" s="1"/>
      <c r="C74" s="5"/>
      <c r="D74" s="1"/>
      <c r="E74" s="1"/>
      <c r="F74" s="1"/>
      <c r="G74" s="1"/>
      <c r="AD74" s="1" t="s">
        <v>1072</v>
      </c>
      <c r="AJ74" s="2">
        <f t="shared" si="2"/>
        <v>1</v>
      </c>
      <c r="AL74" s="2">
        <f t="shared" si="3"/>
        <v>0</v>
      </c>
    </row>
    <row r="75" spans="1:38" ht="57.6" x14ac:dyDescent="0.3">
      <c r="A75" s="5" t="s">
        <v>2872</v>
      </c>
      <c r="B75" s="1"/>
      <c r="C75" s="5"/>
      <c r="D75" s="1"/>
      <c r="E75" s="1"/>
      <c r="F75" s="1"/>
      <c r="G75" s="1"/>
      <c r="AD75" s="1" t="s">
        <v>1129</v>
      </c>
      <c r="AJ75" s="2">
        <f t="shared" si="2"/>
        <v>1</v>
      </c>
      <c r="AL75" s="2">
        <f t="shared" si="3"/>
        <v>0</v>
      </c>
    </row>
    <row r="76" spans="1:38" ht="28.8" x14ac:dyDescent="0.3">
      <c r="A76" s="5" t="s">
        <v>2958</v>
      </c>
      <c r="B76" s="1"/>
      <c r="C76" s="5"/>
      <c r="D76" s="1"/>
      <c r="E76" s="1"/>
      <c r="F76" s="1"/>
      <c r="G76" s="1"/>
      <c r="AE76" s="1" t="s">
        <v>12</v>
      </c>
      <c r="AJ76" s="2">
        <f t="shared" si="2"/>
        <v>1</v>
      </c>
      <c r="AL76" s="2">
        <f t="shared" si="3"/>
        <v>0</v>
      </c>
    </row>
    <row r="77" spans="1:38" x14ac:dyDescent="0.3">
      <c r="A77" s="5" t="s">
        <v>2880</v>
      </c>
      <c r="B77" s="1"/>
      <c r="C77" s="5"/>
      <c r="D77" s="1"/>
      <c r="E77" s="1"/>
      <c r="F77" s="1"/>
      <c r="G77" s="1"/>
      <c r="AD77" s="1" t="s">
        <v>1147</v>
      </c>
      <c r="AJ77" s="2">
        <f t="shared" si="2"/>
        <v>1</v>
      </c>
      <c r="AL77" s="2">
        <f t="shared" si="3"/>
        <v>0</v>
      </c>
    </row>
    <row r="78" spans="1:38" ht="28.8" x14ac:dyDescent="0.3">
      <c r="A78" s="5" t="s">
        <v>2881</v>
      </c>
      <c r="B78" s="1"/>
      <c r="C78" s="5"/>
      <c r="D78" s="1"/>
      <c r="E78" s="1"/>
      <c r="F78" s="1"/>
      <c r="G78" s="1"/>
      <c r="AD78" s="1" t="s">
        <v>1148</v>
      </c>
      <c r="AJ78" s="2">
        <f t="shared" si="2"/>
        <v>1</v>
      </c>
      <c r="AL78" s="2">
        <f t="shared" si="3"/>
        <v>0</v>
      </c>
    </row>
    <row r="79" spans="1:38" x14ac:dyDescent="0.3">
      <c r="A79" s="5" t="s">
        <v>3062</v>
      </c>
      <c r="B79" s="1"/>
      <c r="C79" s="5"/>
      <c r="D79" s="1"/>
      <c r="E79" s="1"/>
      <c r="F79" s="1"/>
      <c r="G79" s="1"/>
      <c r="AG79" s="1" t="s">
        <v>1455</v>
      </c>
      <c r="AJ79" s="2">
        <f t="shared" si="2"/>
        <v>1</v>
      </c>
      <c r="AL79" s="2">
        <f t="shared" si="3"/>
        <v>0</v>
      </c>
    </row>
    <row r="80" spans="1:38" ht="28.8" x14ac:dyDescent="0.3">
      <c r="A80" s="5" t="s">
        <v>3176</v>
      </c>
      <c r="B80" s="5"/>
      <c r="C80" s="36" t="s">
        <v>3177</v>
      </c>
      <c r="D80" s="1"/>
      <c r="E80" s="1"/>
      <c r="F80" s="1"/>
      <c r="G80" s="1"/>
      <c r="AJ80" s="2">
        <f t="shared" si="2"/>
        <v>1</v>
      </c>
      <c r="AL80" s="2">
        <f t="shared" si="3"/>
        <v>0</v>
      </c>
    </row>
    <row r="81" spans="1:38" ht="28.8" x14ac:dyDescent="0.3">
      <c r="A81" s="5" t="s">
        <v>2595</v>
      </c>
      <c r="B81" s="1"/>
      <c r="C81" s="5"/>
      <c r="D81" s="1"/>
      <c r="E81" s="1"/>
      <c r="F81" s="1"/>
      <c r="G81" s="1"/>
      <c r="Z81" s="54" t="s">
        <v>427</v>
      </c>
      <c r="AB81" s="54" t="s">
        <v>2181</v>
      </c>
      <c r="AD81" s="1" t="s">
        <v>1068</v>
      </c>
      <c r="AJ81" s="2">
        <f t="shared" si="2"/>
        <v>3</v>
      </c>
      <c r="AL81" s="2">
        <f t="shared" si="3"/>
        <v>0</v>
      </c>
    </row>
    <row r="82" spans="1:38" ht="28.8" x14ac:dyDescent="0.3">
      <c r="A82" s="5" t="s">
        <v>2544</v>
      </c>
      <c r="B82" s="1"/>
      <c r="C82" s="5"/>
      <c r="D82" s="1"/>
      <c r="E82" s="1"/>
      <c r="F82" s="1"/>
      <c r="G82" s="1"/>
      <c r="V82" s="53" t="s">
        <v>242</v>
      </c>
      <c r="AB82" s="53" t="s">
        <v>2182</v>
      </c>
      <c r="AD82" s="53" t="s">
        <v>2868</v>
      </c>
      <c r="AE82" s="1" t="s">
        <v>99</v>
      </c>
      <c r="AJ82" s="2">
        <f t="shared" si="2"/>
        <v>4</v>
      </c>
      <c r="AL82" s="2">
        <f t="shared" si="3"/>
        <v>0</v>
      </c>
    </row>
    <row r="83" spans="1:38" ht="57.6" x14ac:dyDescent="0.3">
      <c r="A83" s="5" t="s">
        <v>606</v>
      </c>
      <c r="B83" s="1"/>
      <c r="C83" s="5"/>
      <c r="D83" s="1"/>
      <c r="E83" s="1"/>
      <c r="F83" s="1"/>
      <c r="G83" s="37" t="s">
        <v>607</v>
      </c>
      <c r="AJ83" s="2">
        <f t="shared" si="2"/>
        <v>1</v>
      </c>
      <c r="AL83" s="2">
        <f t="shared" si="3"/>
        <v>1</v>
      </c>
    </row>
    <row r="84" spans="1:38" ht="57.6" x14ac:dyDescent="0.3">
      <c r="A84" s="5" t="s">
        <v>608</v>
      </c>
      <c r="B84" s="1"/>
      <c r="C84" s="5"/>
      <c r="D84" s="1"/>
      <c r="E84" s="1"/>
      <c r="F84" s="1"/>
      <c r="G84" s="12" t="s">
        <v>609</v>
      </c>
      <c r="AJ84" s="2">
        <f t="shared" si="2"/>
        <v>1</v>
      </c>
      <c r="AL84" s="2">
        <f t="shared" si="3"/>
        <v>1</v>
      </c>
    </row>
    <row r="85" spans="1:38" ht="43.2" x14ac:dyDescent="0.3">
      <c r="A85" s="5" t="s">
        <v>2594</v>
      </c>
      <c r="B85" s="1"/>
      <c r="C85" s="5"/>
      <c r="D85" s="1"/>
      <c r="E85" s="1"/>
      <c r="F85" s="1"/>
      <c r="G85" s="1"/>
      <c r="Z85" s="1" t="s">
        <v>34</v>
      </c>
      <c r="AJ85" s="2">
        <f t="shared" si="2"/>
        <v>1</v>
      </c>
      <c r="AL85" s="2">
        <f t="shared" si="3"/>
        <v>0</v>
      </c>
    </row>
    <row r="86" spans="1:38" ht="28.8" x14ac:dyDescent="0.3">
      <c r="A86" s="5" t="s">
        <v>3104</v>
      </c>
      <c r="B86" s="1"/>
      <c r="C86" s="5"/>
      <c r="D86" s="1"/>
      <c r="E86" s="1"/>
      <c r="F86" s="1"/>
      <c r="G86" s="1"/>
      <c r="AH86" s="1" t="s">
        <v>2301</v>
      </c>
      <c r="AJ86" s="2">
        <f t="shared" si="2"/>
        <v>1</v>
      </c>
      <c r="AL86" s="2">
        <f t="shared" si="3"/>
        <v>0</v>
      </c>
    </row>
    <row r="87" spans="1:38" ht="28.8" x14ac:dyDescent="0.3">
      <c r="A87" s="5" t="s">
        <v>2596</v>
      </c>
      <c r="B87" s="1"/>
      <c r="C87" s="5"/>
      <c r="D87" s="1"/>
      <c r="E87" s="1"/>
      <c r="F87" s="1"/>
      <c r="G87" s="1"/>
      <c r="Z87" s="1" t="s">
        <v>428</v>
      </c>
      <c r="AJ87" s="2">
        <f t="shared" si="2"/>
        <v>1</v>
      </c>
      <c r="AL87" s="2">
        <f t="shared" si="3"/>
        <v>0</v>
      </c>
    </row>
    <row r="88" spans="1:38" ht="28.8" x14ac:dyDescent="0.3">
      <c r="A88" s="5" t="s">
        <v>3178</v>
      </c>
      <c r="B88" s="1"/>
      <c r="C88" s="36" t="s">
        <v>3179</v>
      </c>
      <c r="D88" s="1"/>
      <c r="E88" s="1"/>
      <c r="F88" s="1"/>
      <c r="G88" s="1"/>
      <c r="AJ88" s="2">
        <f t="shared" si="2"/>
        <v>1</v>
      </c>
      <c r="AL88" s="2">
        <f t="shared" si="3"/>
        <v>0</v>
      </c>
    </row>
    <row r="89" spans="1:38" ht="28.8" x14ac:dyDescent="0.3">
      <c r="A89" s="5" t="s">
        <v>3232</v>
      </c>
      <c r="B89" s="1"/>
      <c r="C89" s="36" t="s">
        <v>3180</v>
      </c>
      <c r="D89" s="1"/>
      <c r="E89" s="1"/>
      <c r="F89" s="1"/>
      <c r="G89" s="1"/>
      <c r="AJ89" s="2">
        <f t="shared" si="2"/>
        <v>1</v>
      </c>
      <c r="AL89" s="2">
        <f t="shared" si="3"/>
        <v>0</v>
      </c>
    </row>
    <row r="90" spans="1:38" ht="43.2" x14ac:dyDescent="0.3">
      <c r="A90" s="5" t="s">
        <v>3274</v>
      </c>
      <c r="B90" s="44" t="s">
        <v>3275</v>
      </c>
      <c r="C90" s="5"/>
      <c r="D90" s="1"/>
      <c r="E90" s="1"/>
      <c r="F90" s="1"/>
      <c r="G90" s="1"/>
      <c r="AJ90" s="2">
        <f t="shared" si="2"/>
        <v>1</v>
      </c>
    </row>
    <row r="91" spans="1:38" ht="72" x14ac:dyDescent="0.3">
      <c r="A91" s="5" t="s">
        <v>3276</v>
      </c>
      <c r="B91" s="44" t="s">
        <v>3277</v>
      </c>
      <c r="C91" s="5"/>
      <c r="D91" s="1"/>
      <c r="E91" s="1"/>
      <c r="F91" s="1"/>
      <c r="G91" s="1"/>
      <c r="AJ91" s="2">
        <f t="shared" si="2"/>
        <v>1</v>
      </c>
    </row>
    <row r="92" spans="1:38" x14ac:dyDescent="0.3">
      <c r="A92" s="5"/>
      <c r="B92" s="1"/>
      <c r="C92" s="5"/>
      <c r="D92" s="1"/>
      <c r="E92" s="1"/>
      <c r="F92" s="1"/>
      <c r="G92" s="1"/>
    </row>
    <row r="93" spans="1:38" x14ac:dyDescent="0.3">
      <c r="A93" s="5"/>
      <c r="B93" s="1"/>
      <c r="C93" s="5"/>
      <c r="D93" s="1"/>
      <c r="E93" s="1"/>
      <c r="F93" s="1"/>
      <c r="G93" s="1"/>
    </row>
    <row r="94" spans="1:38" x14ac:dyDescent="0.3">
      <c r="A94" s="5"/>
      <c r="B94" s="1"/>
      <c r="C94" s="5"/>
      <c r="D94" s="1"/>
      <c r="E94" s="1"/>
      <c r="F94" s="1"/>
      <c r="G94" s="1"/>
    </row>
    <row r="95" spans="1:38" x14ac:dyDescent="0.3">
      <c r="A95" s="5"/>
      <c r="B95" s="1"/>
      <c r="C95" s="5"/>
      <c r="D95" s="1"/>
      <c r="E95" s="1"/>
      <c r="F95" s="1"/>
      <c r="G95" s="1"/>
    </row>
    <row r="96" spans="1:38"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1:7" x14ac:dyDescent="0.3">
      <c r="A273" s="5"/>
      <c r="B273" s="1"/>
      <c r="C273" s="5"/>
      <c r="D273" s="1"/>
      <c r="E273" s="1"/>
      <c r="F273" s="1"/>
      <c r="G273" s="1"/>
    </row>
    <row r="274" spans="1:7" x14ac:dyDescent="0.3">
      <c r="A274" s="5"/>
      <c r="B274" s="1"/>
      <c r="C274" s="5"/>
      <c r="D274" s="1"/>
      <c r="E274" s="1"/>
      <c r="F274" s="1"/>
      <c r="G274" s="1"/>
    </row>
    <row r="275" spans="1:7" x14ac:dyDescent="0.3">
      <c r="A275" s="5"/>
      <c r="B275" s="1"/>
      <c r="C275" s="5"/>
      <c r="D275" s="1"/>
      <c r="E275" s="1"/>
      <c r="F275" s="1"/>
      <c r="G275" s="1"/>
    </row>
    <row r="276" spans="1:7" x14ac:dyDescent="0.3">
      <c r="A276" s="5"/>
      <c r="B276" s="1"/>
      <c r="C276" s="5"/>
      <c r="D276" s="1"/>
      <c r="E276" s="1"/>
      <c r="F276" s="1"/>
      <c r="G276" s="1"/>
    </row>
    <row r="277" spans="1:7" x14ac:dyDescent="0.3">
      <c r="A277" s="5"/>
      <c r="B277" s="1"/>
      <c r="C277" s="5"/>
      <c r="D277" s="1"/>
      <c r="E277" s="1"/>
      <c r="F277" s="1"/>
      <c r="G277" s="1"/>
    </row>
    <row r="278" spans="1:7" x14ac:dyDescent="0.3">
      <c r="B278" s="1"/>
    </row>
    <row r="279" spans="1:7" x14ac:dyDescent="0.3">
      <c r="B279" s="1"/>
    </row>
    <row r="280" spans="1:7" x14ac:dyDescent="0.3">
      <c r="B280" s="1"/>
    </row>
    <row r="281" spans="1:7" x14ac:dyDescent="0.3">
      <c r="B281" s="1"/>
    </row>
    <row r="282" spans="1:7" x14ac:dyDescent="0.3">
      <c r="B282" s="1"/>
    </row>
    <row r="283" spans="1:7" x14ac:dyDescent="0.3">
      <c r="B283" s="1"/>
    </row>
    <row r="284" spans="1:7" x14ac:dyDescent="0.3">
      <c r="B284" s="1"/>
    </row>
    <row r="285" spans="1:7" x14ac:dyDescent="0.3">
      <c r="B285" s="1"/>
    </row>
    <row r="286" spans="1:7" x14ac:dyDescent="0.3">
      <c r="B286" s="1"/>
    </row>
    <row r="287" spans="1:7" x14ac:dyDescent="0.3">
      <c r="B287" s="1"/>
    </row>
    <row r="288" spans="1:7" x14ac:dyDescent="0.3">
      <c r="B288" s="1"/>
    </row>
  </sheetData>
  <phoneticPr fontId="11" type="noConversion"/>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B1E3-B92C-4741-BB5D-C35BECCAEA00}">
  <sheetPr codeName="Sheet16"/>
  <dimension ref="A1:AN288"/>
  <sheetViews>
    <sheetView rightToLeft="1" workbookViewId="0">
      <pane xSplit="1" ySplit="1" topLeftCell="V55" activePane="bottomRight" state="frozen"/>
      <selection activeCell="A6" sqref="A6"/>
      <selection pane="topRight" activeCell="A6" sqref="A6"/>
      <selection pane="bottomLeft" activeCell="A6" sqref="A6"/>
      <selection pane="bottomRight" activeCell="AD66" sqref="AD66"/>
    </sheetView>
  </sheetViews>
  <sheetFormatPr defaultColWidth="8.77734375" defaultRowHeight="14.4" x14ac:dyDescent="0.3"/>
  <cols>
    <col min="1" max="1" width="52.21875" style="8" customWidth="1"/>
    <col min="2" max="2" width="10" style="2" customWidth="1"/>
    <col min="3" max="3" width="9.109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111</v>
      </c>
      <c r="B2" s="51" t="s">
        <v>3270</v>
      </c>
      <c r="C2" s="65" t="s">
        <v>3171</v>
      </c>
      <c r="D2" s="53" t="s">
        <v>112</v>
      </c>
      <c r="E2" s="3"/>
      <c r="F2" s="3"/>
      <c r="G2" s="3" t="s">
        <v>503</v>
      </c>
      <c r="H2" s="3"/>
      <c r="I2" s="3"/>
      <c r="J2" s="3"/>
      <c r="K2" s="3"/>
      <c r="L2" s="3"/>
      <c r="M2" s="3"/>
      <c r="N2" s="3"/>
      <c r="O2" s="3"/>
      <c r="P2" s="29"/>
      <c r="Q2" s="29"/>
      <c r="R2" s="3"/>
      <c r="S2" s="3"/>
      <c r="T2" s="3"/>
      <c r="U2" s="3"/>
      <c r="V2" s="3"/>
      <c r="W2" s="3"/>
      <c r="X2" s="3"/>
      <c r="Y2" s="3"/>
      <c r="Z2" s="3"/>
      <c r="AA2" s="3"/>
      <c r="AB2" s="3"/>
      <c r="AC2" s="3"/>
      <c r="AD2" s="3"/>
      <c r="AE2" s="3"/>
      <c r="AF2" s="3"/>
      <c r="AG2" s="3"/>
      <c r="AH2" s="3"/>
      <c r="AJ2" s="2">
        <f>COUNTA(B2:AH2)</f>
        <v>4</v>
      </c>
      <c r="AL2" s="2">
        <f>COUNTA(F2:O2,R2:S2)</f>
        <v>1</v>
      </c>
      <c r="AN2" s="2">
        <f>COUNTIF(AL2:AL110,"&gt;=2")</f>
        <v>10</v>
      </c>
    </row>
    <row r="3" spans="1:40" ht="28.8" x14ac:dyDescent="0.3">
      <c r="A3" s="5" t="s">
        <v>113</v>
      </c>
      <c r="B3" s="6" t="s">
        <v>114</v>
      </c>
      <c r="C3" s="5" t="s">
        <v>114</v>
      </c>
      <c r="D3" s="1" t="s">
        <v>114</v>
      </c>
      <c r="E3" s="1"/>
      <c r="F3" s="10"/>
      <c r="G3" s="1"/>
      <c r="AJ3" s="2">
        <f t="shared" ref="AJ3:AJ66" si="0">COUNTA(B3:AH3)</f>
        <v>3</v>
      </c>
      <c r="AL3" s="2">
        <f t="shared" ref="AL3:AL66" si="1">COUNTA(F3:O3,R3:S3)</f>
        <v>0</v>
      </c>
    </row>
    <row r="4" spans="1:40" ht="28.8" x14ac:dyDescent="0.3">
      <c r="A4" s="5" t="s">
        <v>262</v>
      </c>
      <c r="B4" s="6"/>
      <c r="C4" s="5"/>
      <c r="D4" s="1"/>
      <c r="E4" s="1"/>
      <c r="F4" s="10"/>
      <c r="G4" s="1"/>
      <c r="AJ4" s="2">
        <f t="shared" si="0"/>
        <v>0</v>
      </c>
      <c r="AL4" s="2">
        <f t="shared" si="1"/>
        <v>0</v>
      </c>
    </row>
    <row r="5" spans="1:40" ht="28.8" x14ac:dyDescent="0.3">
      <c r="A5" s="5" t="s">
        <v>263</v>
      </c>
      <c r="B5" s="5"/>
      <c r="C5" s="5"/>
      <c r="D5" s="1"/>
      <c r="E5" s="1"/>
      <c r="F5" s="1" t="s">
        <v>264</v>
      </c>
      <c r="G5" s="1"/>
      <c r="AJ5" s="2">
        <f t="shared" si="0"/>
        <v>1</v>
      </c>
      <c r="AL5" s="2">
        <f t="shared" si="1"/>
        <v>1</v>
      </c>
    </row>
    <row r="6" spans="1:40" x14ac:dyDescent="0.3">
      <c r="A6" s="5" t="s">
        <v>657</v>
      </c>
      <c r="B6" s="6"/>
      <c r="C6" s="5"/>
      <c r="D6" s="1"/>
      <c r="E6" s="1"/>
      <c r="F6" s="1"/>
      <c r="G6" s="1"/>
      <c r="H6" s="53" t="s">
        <v>508</v>
      </c>
      <c r="I6" s="53" t="s">
        <v>557</v>
      </c>
      <c r="J6" s="53" t="s">
        <v>1017</v>
      </c>
      <c r="K6" s="53" t="s">
        <v>971</v>
      </c>
      <c r="L6" s="53" t="s">
        <v>972</v>
      </c>
      <c r="M6" s="53" t="s">
        <v>1432</v>
      </c>
      <c r="N6" s="53" t="s">
        <v>1591</v>
      </c>
      <c r="O6" s="53" t="s">
        <v>1391</v>
      </c>
      <c r="P6" s="53" t="s">
        <v>1953</v>
      </c>
      <c r="Q6" s="53" t="s">
        <v>1088</v>
      </c>
      <c r="R6" s="1" t="s">
        <v>2220</v>
      </c>
      <c r="AJ6" s="2">
        <f t="shared" si="0"/>
        <v>11</v>
      </c>
      <c r="AL6" s="2">
        <f t="shared" si="1"/>
        <v>9</v>
      </c>
    </row>
    <row r="7" spans="1:40" x14ac:dyDescent="0.3">
      <c r="A7" s="5" t="s">
        <v>1018</v>
      </c>
      <c r="B7" s="6"/>
      <c r="C7" s="5"/>
      <c r="D7" s="1"/>
      <c r="E7" s="1"/>
      <c r="F7" s="1"/>
      <c r="G7" s="1"/>
      <c r="J7" s="54" t="s">
        <v>1019</v>
      </c>
      <c r="L7" s="54" t="s">
        <v>1200</v>
      </c>
      <c r="T7" s="54" t="s">
        <v>2405</v>
      </c>
      <c r="V7" s="54" t="s">
        <v>568</v>
      </c>
      <c r="AE7" s="1" t="s">
        <v>1988</v>
      </c>
      <c r="AJ7" s="2">
        <f t="shared" si="0"/>
        <v>5</v>
      </c>
      <c r="AL7" s="2">
        <f t="shared" si="1"/>
        <v>2</v>
      </c>
    </row>
    <row r="8" spans="1:40" x14ac:dyDescent="0.3">
      <c r="A8" s="5" t="s">
        <v>658</v>
      </c>
      <c r="B8" s="6"/>
      <c r="C8" s="5"/>
      <c r="D8" s="1"/>
      <c r="E8" s="1"/>
      <c r="F8" s="1"/>
      <c r="G8" s="1"/>
      <c r="H8" s="1" t="s">
        <v>510</v>
      </c>
      <c r="AJ8" s="2">
        <f t="shared" si="0"/>
        <v>1</v>
      </c>
      <c r="AL8" s="2">
        <f t="shared" si="1"/>
        <v>1</v>
      </c>
    </row>
    <row r="9" spans="1:40" x14ac:dyDescent="0.3">
      <c r="A9" s="5" t="s">
        <v>1020</v>
      </c>
      <c r="B9" s="6"/>
      <c r="C9" s="5"/>
      <c r="D9" s="1"/>
      <c r="E9" s="1"/>
      <c r="F9" s="53" t="s">
        <v>265</v>
      </c>
      <c r="G9" s="1"/>
      <c r="H9" s="53" t="s">
        <v>512</v>
      </c>
      <c r="I9" s="53" t="s">
        <v>150</v>
      </c>
      <c r="J9" s="53" t="s">
        <v>1021</v>
      </c>
      <c r="L9" s="1" t="s">
        <v>1244</v>
      </c>
      <c r="AJ9" s="2">
        <f t="shared" si="0"/>
        <v>5</v>
      </c>
      <c r="AL9" s="2">
        <f t="shared" si="1"/>
        <v>5</v>
      </c>
    </row>
    <row r="10" spans="1:40" x14ac:dyDescent="0.3">
      <c r="A10" s="5" t="s">
        <v>1022</v>
      </c>
      <c r="B10" s="6"/>
      <c r="C10" s="5"/>
      <c r="D10" s="1"/>
      <c r="E10" s="1"/>
      <c r="F10" s="1"/>
      <c r="G10" s="1"/>
      <c r="J10" s="54" t="s">
        <v>1023</v>
      </c>
      <c r="L10" s="1" t="s">
        <v>1245</v>
      </c>
      <c r="AJ10" s="2">
        <f t="shared" si="0"/>
        <v>2</v>
      </c>
      <c r="AL10" s="2">
        <f t="shared" si="1"/>
        <v>2</v>
      </c>
    </row>
    <row r="11" spans="1:40" x14ac:dyDescent="0.3">
      <c r="A11" s="5" t="s">
        <v>266</v>
      </c>
      <c r="B11" s="6"/>
      <c r="C11" s="5"/>
      <c r="D11" s="1"/>
      <c r="E11" s="1"/>
      <c r="F11" s="1" t="s">
        <v>267</v>
      </c>
      <c r="G11" s="1"/>
      <c r="AJ11" s="2">
        <f t="shared" si="0"/>
        <v>1</v>
      </c>
      <c r="AL11" s="2">
        <f t="shared" si="1"/>
        <v>1</v>
      </c>
    </row>
    <row r="12" spans="1:40" x14ac:dyDescent="0.3">
      <c r="A12" s="5" t="s">
        <v>268</v>
      </c>
      <c r="B12" s="1"/>
      <c r="C12" s="5"/>
      <c r="D12" s="1"/>
      <c r="E12" s="1"/>
      <c r="F12" s="1"/>
      <c r="G12" s="1"/>
      <c r="AJ12" s="2">
        <f t="shared" si="0"/>
        <v>0</v>
      </c>
      <c r="AL12" s="2">
        <f t="shared" si="1"/>
        <v>0</v>
      </c>
    </row>
    <row r="13" spans="1:40" ht="28.8" x14ac:dyDescent="0.3">
      <c r="A13" s="5" t="s">
        <v>269</v>
      </c>
      <c r="B13" s="1"/>
      <c r="C13" s="5"/>
      <c r="D13" s="1"/>
      <c r="E13" s="1"/>
      <c r="F13" s="1"/>
      <c r="G13" s="1"/>
      <c r="AJ13" s="2">
        <f t="shared" si="0"/>
        <v>0</v>
      </c>
      <c r="AL13" s="2">
        <f t="shared" si="1"/>
        <v>0</v>
      </c>
    </row>
    <row r="14" spans="1:40" ht="57.6" x14ac:dyDescent="0.3">
      <c r="A14" s="5" t="s">
        <v>270</v>
      </c>
      <c r="B14" s="1"/>
      <c r="C14" s="5"/>
      <c r="D14" s="1"/>
      <c r="E14" s="1"/>
      <c r="F14" s="1"/>
      <c r="G14" s="1"/>
      <c r="AJ14" s="2">
        <f t="shared" si="0"/>
        <v>0</v>
      </c>
      <c r="AL14" s="2">
        <f t="shared" si="1"/>
        <v>0</v>
      </c>
    </row>
    <row r="15" spans="1:40" x14ac:dyDescent="0.3">
      <c r="A15" s="5" t="s">
        <v>271</v>
      </c>
      <c r="B15" s="5"/>
      <c r="C15" s="5"/>
      <c r="D15" s="1"/>
      <c r="E15" s="1"/>
      <c r="F15" s="1"/>
      <c r="G15" s="1"/>
      <c r="AJ15" s="2">
        <f t="shared" si="0"/>
        <v>0</v>
      </c>
      <c r="AL15" s="2">
        <f t="shared" si="1"/>
        <v>0</v>
      </c>
    </row>
    <row r="16" spans="1:40" x14ac:dyDescent="0.3">
      <c r="A16" s="5" t="s">
        <v>272</v>
      </c>
      <c r="B16" s="1"/>
      <c r="C16" s="5"/>
      <c r="D16" s="1"/>
      <c r="E16" s="1"/>
      <c r="F16" s="1"/>
      <c r="G16" s="1"/>
      <c r="AJ16" s="2">
        <f t="shared" si="0"/>
        <v>0</v>
      </c>
      <c r="AL16" s="2">
        <f t="shared" si="1"/>
        <v>0</v>
      </c>
    </row>
    <row r="17" spans="1:38" x14ac:dyDescent="0.3">
      <c r="A17" s="5" t="s">
        <v>273</v>
      </c>
      <c r="B17" s="1"/>
      <c r="C17" s="5"/>
      <c r="D17" s="1"/>
      <c r="E17" s="1"/>
      <c r="F17" s="1"/>
      <c r="G17" s="1"/>
      <c r="AJ17" s="2">
        <f t="shared" si="0"/>
        <v>0</v>
      </c>
      <c r="AL17" s="2">
        <f t="shared" si="1"/>
        <v>0</v>
      </c>
    </row>
    <row r="18" spans="1:38" ht="43.2" x14ac:dyDescent="0.3">
      <c r="A18" s="5" t="s">
        <v>274</v>
      </c>
      <c r="B18" s="1"/>
      <c r="C18" s="5"/>
      <c r="D18" s="1"/>
      <c r="E18" s="1"/>
      <c r="F18" s="1"/>
      <c r="G18" s="1"/>
      <c r="AJ18" s="2">
        <f t="shared" si="0"/>
        <v>0</v>
      </c>
      <c r="AL18" s="2">
        <f t="shared" si="1"/>
        <v>0</v>
      </c>
    </row>
    <row r="19" spans="1:38" ht="28.8" x14ac:dyDescent="0.3">
      <c r="A19" s="5" t="s">
        <v>275</v>
      </c>
      <c r="B19" s="1"/>
      <c r="C19" s="5"/>
      <c r="D19" s="1"/>
      <c r="E19" s="1"/>
      <c r="F19" s="1"/>
      <c r="G19" s="1"/>
      <c r="AJ19" s="2">
        <f t="shared" si="0"/>
        <v>0</v>
      </c>
      <c r="AL19" s="2">
        <f t="shared" si="1"/>
        <v>0</v>
      </c>
    </row>
    <row r="20" spans="1:38" x14ac:dyDescent="0.3">
      <c r="A20" s="5" t="s">
        <v>505</v>
      </c>
      <c r="B20" s="1"/>
      <c r="C20" s="65" t="s">
        <v>3172</v>
      </c>
      <c r="D20" s="1"/>
      <c r="E20" s="1"/>
      <c r="F20" s="1"/>
      <c r="G20" s="53" t="s">
        <v>506</v>
      </c>
      <c r="H20" s="12" t="s">
        <v>513</v>
      </c>
      <c r="AJ20" s="2">
        <f t="shared" si="0"/>
        <v>3</v>
      </c>
      <c r="AL20" s="2">
        <f t="shared" si="1"/>
        <v>2</v>
      </c>
    </row>
    <row r="21" spans="1:38" x14ac:dyDescent="0.3">
      <c r="A21" s="5" t="s">
        <v>775</v>
      </c>
      <c r="B21" s="1"/>
      <c r="C21" s="5"/>
      <c r="D21" s="1"/>
      <c r="E21" s="1"/>
      <c r="F21" s="1"/>
      <c r="G21" s="1"/>
      <c r="I21" s="54" t="s">
        <v>151</v>
      </c>
      <c r="J21" s="53" t="s">
        <v>1024</v>
      </c>
      <c r="M21" s="53" t="s">
        <v>1436</v>
      </c>
      <c r="N21" s="53" t="s">
        <v>1597</v>
      </c>
      <c r="O21" s="53" t="s">
        <v>1377</v>
      </c>
      <c r="X21" s="54" t="s">
        <v>2301</v>
      </c>
      <c r="AD21" s="54" t="s">
        <v>1444</v>
      </c>
      <c r="AF21" s="54" t="s">
        <v>2301</v>
      </c>
      <c r="AG21" s="1" t="s">
        <v>875</v>
      </c>
      <c r="AJ21" s="2">
        <f t="shared" si="0"/>
        <v>9</v>
      </c>
      <c r="AL21" s="2">
        <f t="shared" si="1"/>
        <v>5</v>
      </c>
    </row>
    <row r="22" spans="1:38" x14ac:dyDescent="0.3">
      <c r="A22" s="5" t="s">
        <v>2835</v>
      </c>
      <c r="B22" s="1"/>
      <c r="C22" s="5"/>
      <c r="D22" s="1"/>
      <c r="E22" s="1"/>
      <c r="F22" s="1"/>
      <c r="G22" s="1"/>
      <c r="AD22" s="1" t="s">
        <v>1445</v>
      </c>
      <c r="AJ22" s="2">
        <f t="shared" si="0"/>
        <v>1</v>
      </c>
      <c r="AL22" s="2">
        <f t="shared" si="1"/>
        <v>0</v>
      </c>
    </row>
    <row r="23" spans="1:38" x14ac:dyDescent="0.3">
      <c r="A23" s="5" t="s">
        <v>2982</v>
      </c>
      <c r="B23" s="1"/>
      <c r="C23" s="5"/>
      <c r="D23" s="1"/>
      <c r="E23" s="1"/>
      <c r="F23" s="1"/>
      <c r="G23" s="1"/>
      <c r="AF23" s="1" t="s">
        <v>1966</v>
      </c>
      <c r="AJ23" s="2">
        <f t="shared" si="0"/>
        <v>1</v>
      </c>
      <c r="AL23" s="2">
        <f t="shared" si="1"/>
        <v>0</v>
      </c>
    </row>
    <row r="24" spans="1:38" ht="28.8" x14ac:dyDescent="0.3">
      <c r="A24" s="5" t="s">
        <v>776</v>
      </c>
      <c r="B24" s="1"/>
      <c r="C24" s="5"/>
      <c r="D24" s="1"/>
      <c r="E24" s="1"/>
      <c r="F24" s="1"/>
      <c r="G24" s="1"/>
      <c r="I24" s="19" t="s">
        <v>154</v>
      </c>
      <c r="AJ24" s="2">
        <f t="shared" si="0"/>
        <v>1</v>
      </c>
      <c r="AL24" s="2">
        <f t="shared" si="1"/>
        <v>1</v>
      </c>
    </row>
    <row r="25" spans="1:38" ht="28.8" x14ac:dyDescent="0.3">
      <c r="A25" s="5" t="s">
        <v>777</v>
      </c>
      <c r="B25" s="1"/>
      <c r="C25" s="5"/>
      <c r="D25" s="1"/>
      <c r="E25" s="1"/>
      <c r="F25" s="1"/>
      <c r="G25" s="1"/>
      <c r="I25" s="19" t="s">
        <v>156</v>
      </c>
      <c r="AJ25" s="2">
        <f t="shared" si="0"/>
        <v>1</v>
      </c>
      <c r="AL25" s="2">
        <f t="shared" si="1"/>
        <v>1</v>
      </c>
    </row>
    <row r="26" spans="1:38" x14ac:dyDescent="0.3">
      <c r="A26" s="5" t="s">
        <v>778</v>
      </c>
      <c r="B26" s="5"/>
      <c r="C26" s="5"/>
      <c r="D26" s="1"/>
      <c r="E26" s="1"/>
      <c r="F26" s="1"/>
      <c r="G26" s="1"/>
      <c r="I26" s="19" t="s">
        <v>304</v>
      </c>
      <c r="AJ26" s="2">
        <f t="shared" si="0"/>
        <v>1</v>
      </c>
      <c r="AL26" s="2">
        <f t="shared" si="1"/>
        <v>1</v>
      </c>
    </row>
    <row r="27" spans="1:38" x14ac:dyDescent="0.3">
      <c r="A27" s="5" t="s">
        <v>779</v>
      </c>
      <c r="B27" s="5"/>
      <c r="C27" s="5"/>
      <c r="D27" s="1"/>
      <c r="E27" s="1"/>
      <c r="F27" s="1"/>
      <c r="G27" s="1"/>
      <c r="I27" s="19" t="s">
        <v>566</v>
      </c>
      <c r="AJ27" s="2">
        <f t="shared" si="0"/>
        <v>1</v>
      </c>
      <c r="AL27" s="2">
        <f t="shared" si="1"/>
        <v>1</v>
      </c>
    </row>
    <row r="28" spans="1:38" x14ac:dyDescent="0.3">
      <c r="A28" s="5" t="s">
        <v>780</v>
      </c>
      <c r="B28" s="5"/>
      <c r="C28" s="5"/>
      <c r="D28" s="1"/>
      <c r="E28" s="1"/>
      <c r="F28" s="1"/>
      <c r="G28" s="1"/>
      <c r="I28" s="19" t="s">
        <v>160</v>
      </c>
      <c r="AJ28" s="2">
        <f t="shared" si="0"/>
        <v>1</v>
      </c>
      <c r="AL28" s="2">
        <f t="shared" si="1"/>
        <v>1</v>
      </c>
    </row>
    <row r="29" spans="1:38" x14ac:dyDescent="0.3">
      <c r="A29" s="5" t="s">
        <v>781</v>
      </c>
      <c r="B29" s="5"/>
      <c r="C29" s="5"/>
      <c r="D29" s="1"/>
      <c r="E29" s="1"/>
      <c r="F29" s="1"/>
      <c r="G29" s="1"/>
      <c r="I29" s="19" t="s">
        <v>567</v>
      </c>
      <c r="AJ29" s="2">
        <f t="shared" si="0"/>
        <v>1</v>
      </c>
      <c r="AL29" s="2">
        <f t="shared" si="1"/>
        <v>1</v>
      </c>
    </row>
    <row r="30" spans="1:38" x14ac:dyDescent="0.3">
      <c r="A30" s="5" t="s">
        <v>782</v>
      </c>
      <c r="B30" s="5"/>
      <c r="C30" s="5"/>
      <c r="D30" s="1"/>
      <c r="E30" s="1"/>
      <c r="F30" s="1"/>
      <c r="G30" s="1"/>
      <c r="I30" s="19" t="s">
        <v>568</v>
      </c>
      <c r="AJ30" s="2">
        <f t="shared" si="0"/>
        <v>1</v>
      </c>
      <c r="AL30" s="2">
        <f t="shared" si="1"/>
        <v>1</v>
      </c>
    </row>
    <row r="31" spans="1:38" x14ac:dyDescent="0.3">
      <c r="A31" s="5" t="s">
        <v>783</v>
      </c>
      <c r="B31" s="5"/>
      <c r="C31" s="5"/>
      <c r="D31" s="1"/>
      <c r="E31" s="1"/>
      <c r="F31" s="1"/>
      <c r="G31" s="1"/>
      <c r="I31" s="19" t="s">
        <v>161</v>
      </c>
      <c r="AJ31" s="2">
        <f t="shared" si="0"/>
        <v>1</v>
      </c>
      <c r="AL31" s="2">
        <f t="shared" si="1"/>
        <v>1</v>
      </c>
    </row>
    <row r="32" spans="1:38" x14ac:dyDescent="0.3">
      <c r="A32" s="5" t="s">
        <v>784</v>
      </c>
      <c r="B32" s="5"/>
      <c r="C32" s="5"/>
      <c r="D32" s="1"/>
      <c r="E32" s="1"/>
      <c r="F32" s="1"/>
      <c r="G32" s="1"/>
      <c r="I32" s="19" t="s">
        <v>559</v>
      </c>
      <c r="AJ32" s="2">
        <f t="shared" si="0"/>
        <v>1</v>
      </c>
      <c r="AL32" s="2">
        <f t="shared" si="1"/>
        <v>1</v>
      </c>
    </row>
    <row r="33" spans="1:38" x14ac:dyDescent="0.3">
      <c r="A33" s="5" t="s">
        <v>785</v>
      </c>
      <c r="B33" s="5"/>
      <c r="C33" s="5"/>
      <c r="D33" s="1"/>
      <c r="E33" s="1"/>
      <c r="F33" s="1"/>
      <c r="G33" s="1"/>
      <c r="I33" s="19" t="s">
        <v>403</v>
      </c>
      <c r="AJ33" s="2">
        <f t="shared" si="0"/>
        <v>1</v>
      </c>
      <c r="AL33" s="2">
        <f t="shared" si="1"/>
        <v>1</v>
      </c>
    </row>
    <row r="34" spans="1:38" x14ac:dyDescent="0.3">
      <c r="A34" s="5" t="s">
        <v>786</v>
      </c>
      <c r="B34" s="5"/>
      <c r="C34" s="5"/>
      <c r="D34" s="1"/>
      <c r="E34" s="1"/>
      <c r="F34" s="1"/>
      <c r="G34" s="1"/>
      <c r="I34" s="19" t="s">
        <v>673</v>
      </c>
      <c r="AJ34" s="2">
        <f t="shared" si="0"/>
        <v>1</v>
      </c>
      <c r="AL34" s="2">
        <f t="shared" si="1"/>
        <v>1</v>
      </c>
    </row>
    <row r="35" spans="1:38" x14ac:dyDescent="0.3">
      <c r="A35" s="5" t="s">
        <v>849</v>
      </c>
      <c r="B35" s="5"/>
      <c r="C35" s="5"/>
      <c r="D35" s="1"/>
      <c r="E35" s="1"/>
      <c r="F35" s="1"/>
      <c r="G35" s="1"/>
      <c r="I35" s="54" t="s">
        <v>850</v>
      </c>
      <c r="J35" s="53" t="s">
        <v>1121</v>
      </c>
      <c r="AB35" s="1" t="s">
        <v>2748</v>
      </c>
      <c r="AJ35" s="2">
        <f t="shared" si="0"/>
        <v>3</v>
      </c>
      <c r="AL35" s="2">
        <f t="shared" si="1"/>
        <v>2</v>
      </c>
    </row>
    <row r="36" spans="1:38" x14ac:dyDescent="0.3">
      <c r="A36" s="5" t="s">
        <v>2749</v>
      </c>
      <c r="B36" s="5"/>
      <c r="C36" s="5"/>
      <c r="D36" s="1"/>
      <c r="E36" s="1"/>
      <c r="F36" s="1"/>
      <c r="G36" s="1"/>
      <c r="AB36" s="1" t="s">
        <v>2173</v>
      </c>
      <c r="AJ36" s="2">
        <f t="shared" si="0"/>
        <v>1</v>
      </c>
      <c r="AL36" s="2">
        <f t="shared" si="1"/>
        <v>0</v>
      </c>
    </row>
    <row r="37" spans="1:38" x14ac:dyDescent="0.3">
      <c r="A37" s="5" t="s">
        <v>1025</v>
      </c>
      <c r="B37" s="5"/>
      <c r="C37" s="5"/>
      <c r="D37" s="1"/>
      <c r="E37" s="1"/>
      <c r="F37" s="1"/>
      <c r="G37" s="1"/>
      <c r="J37" s="18" t="s">
        <v>1026</v>
      </c>
      <c r="AJ37" s="2">
        <f t="shared" si="0"/>
        <v>1</v>
      </c>
      <c r="AL37" s="2">
        <f t="shared" si="1"/>
        <v>1</v>
      </c>
    </row>
    <row r="38" spans="1:38" x14ac:dyDescent="0.3">
      <c r="A38" s="5" t="s">
        <v>1028</v>
      </c>
      <c r="B38" s="5"/>
      <c r="C38" s="5"/>
      <c r="D38" s="1"/>
      <c r="E38" s="1"/>
      <c r="F38" s="1"/>
      <c r="G38" s="1"/>
      <c r="J38" s="18" t="s">
        <v>1027</v>
      </c>
      <c r="AJ38" s="2">
        <f t="shared" si="0"/>
        <v>1</v>
      </c>
      <c r="AL38" s="2">
        <f t="shared" si="1"/>
        <v>1</v>
      </c>
    </row>
    <row r="39" spans="1:38" ht="57.6" x14ac:dyDescent="0.3">
      <c r="A39" s="5" t="s">
        <v>1243</v>
      </c>
      <c r="B39" s="5"/>
      <c r="C39" s="5"/>
      <c r="D39" s="1"/>
      <c r="E39" s="1"/>
      <c r="F39" s="1"/>
      <c r="G39" s="1"/>
      <c r="L39" s="54" t="s">
        <v>971</v>
      </c>
      <c r="N39" s="1" t="s">
        <v>1634</v>
      </c>
      <c r="AJ39" s="2">
        <f t="shared" si="0"/>
        <v>2</v>
      </c>
      <c r="AL39" s="2">
        <f t="shared" si="1"/>
        <v>2</v>
      </c>
    </row>
    <row r="40" spans="1:38" x14ac:dyDescent="0.3">
      <c r="A40" s="5" t="s">
        <v>1246</v>
      </c>
      <c r="B40" s="5"/>
      <c r="C40" s="5"/>
      <c r="D40" s="1"/>
      <c r="E40" s="1"/>
      <c r="F40" s="1"/>
      <c r="G40" s="1"/>
      <c r="L40" s="54" t="s">
        <v>1247</v>
      </c>
      <c r="M40" s="54" t="s">
        <v>1433</v>
      </c>
      <c r="N40" s="53" t="s">
        <v>1592</v>
      </c>
      <c r="T40" s="54" t="s">
        <v>1038</v>
      </c>
      <c r="AA40" s="54" t="s">
        <v>2709</v>
      </c>
      <c r="AF40" s="53" t="s">
        <v>996</v>
      </c>
      <c r="AG40" s="53" t="s">
        <v>1677</v>
      </c>
      <c r="AH40" s="1" t="s">
        <v>874</v>
      </c>
      <c r="AJ40" s="2">
        <f t="shared" si="0"/>
        <v>8</v>
      </c>
      <c r="AL40" s="2">
        <f t="shared" si="1"/>
        <v>3</v>
      </c>
    </row>
    <row r="41" spans="1:38" x14ac:dyDescent="0.3">
      <c r="A41" s="5" t="s">
        <v>1248</v>
      </c>
      <c r="B41" s="5"/>
      <c r="C41" s="5"/>
      <c r="D41" s="1"/>
      <c r="E41" s="1"/>
      <c r="F41" s="1"/>
      <c r="G41" s="1"/>
      <c r="L41" s="54" t="s">
        <v>1172</v>
      </c>
      <c r="M41" s="54" t="s">
        <v>1434</v>
      </c>
      <c r="N41" s="53" t="s">
        <v>1593</v>
      </c>
      <c r="T41" s="54" t="s">
        <v>1202</v>
      </c>
      <c r="AF41" s="53" t="s">
        <v>997</v>
      </c>
      <c r="AG41" s="53" t="s">
        <v>873</v>
      </c>
      <c r="AH41" s="1" t="s">
        <v>1678</v>
      </c>
      <c r="AJ41" s="2">
        <f t="shared" si="0"/>
        <v>7</v>
      </c>
      <c r="AL41" s="2">
        <f t="shared" si="1"/>
        <v>3</v>
      </c>
    </row>
    <row r="42" spans="1:38" x14ac:dyDescent="0.3">
      <c r="A42" s="5" t="s">
        <v>2343</v>
      </c>
      <c r="B42" s="5"/>
      <c r="C42" s="5"/>
      <c r="D42" s="1"/>
      <c r="E42" s="1"/>
      <c r="F42" s="1"/>
      <c r="G42" s="1"/>
      <c r="T42" s="54" t="s">
        <v>1043</v>
      </c>
      <c r="AF42" s="53" t="s">
        <v>1000</v>
      </c>
      <c r="AH42" s="1" t="s">
        <v>878</v>
      </c>
      <c r="AJ42" s="2">
        <f t="shared" si="0"/>
        <v>3</v>
      </c>
      <c r="AL42" s="2">
        <f t="shared" si="1"/>
        <v>0</v>
      </c>
    </row>
    <row r="43" spans="1:38" x14ac:dyDescent="0.3">
      <c r="A43" s="5" t="s">
        <v>3004</v>
      </c>
      <c r="B43" s="5"/>
      <c r="C43" s="5"/>
      <c r="D43" s="1"/>
      <c r="E43" s="1"/>
      <c r="F43" s="1"/>
      <c r="G43" s="1"/>
      <c r="AF43" s="53" t="s">
        <v>999</v>
      </c>
      <c r="AH43" s="1" t="s">
        <v>876</v>
      </c>
      <c r="AJ43" s="2">
        <f t="shared" si="0"/>
        <v>2</v>
      </c>
      <c r="AL43" s="2">
        <f t="shared" si="1"/>
        <v>0</v>
      </c>
    </row>
    <row r="44" spans="1:38" ht="28.8" x14ac:dyDescent="0.3">
      <c r="A44" s="5" t="s">
        <v>1595</v>
      </c>
      <c r="B44" s="5"/>
      <c r="C44" s="5"/>
      <c r="D44" s="1"/>
      <c r="E44" s="1"/>
      <c r="F44" s="1"/>
      <c r="G44" s="1"/>
      <c r="N44" s="1" t="s">
        <v>1596</v>
      </c>
      <c r="AJ44" s="2">
        <f t="shared" si="0"/>
        <v>1</v>
      </c>
      <c r="AL44" s="2">
        <f t="shared" si="1"/>
        <v>1</v>
      </c>
    </row>
    <row r="45" spans="1:38" x14ac:dyDescent="0.3">
      <c r="A45" s="5" t="s">
        <v>3135</v>
      </c>
      <c r="B45" s="5"/>
      <c r="C45" s="5"/>
      <c r="D45" s="1"/>
      <c r="E45" s="1"/>
      <c r="F45" s="1"/>
      <c r="G45" s="1"/>
      <c r="AH45" s="1" t="s">
        <v>2223</v>
      </c>
      <c r="AJ45" s="2">
        <f t="shared" si="0"/>
        <v>1</v>
      </c>
      <c r="AL45" s="2">
        <f t="shared" si="1"/>
        <v>0</v>
      </c>
    </row>
    <row r="46" spans="1:38" x14ac:dyDescent="0.3">
      <c r="A46" s="5" t="s">
        <v>1774</v>
      </c>
      <c r="B46" s="5"/>
      <c r="C46" s="5"/>
      <c r="D46" s="1"/>
      <c r="E46" s="1"/>
      <c r="F46" s="1"/>
      <c r="G46" s="1"/>
      <c r="O46" s="1" t="s">
        <v>1373</v>
      </c>
      <c r="AJ46" s="2">
        <f t="shared" si="0"/>
        <v>1</v>
      </c>
      <c r="AL46" s="2">
        <f t="shared" si="1"/>
        <v>1</v>
      </c>
    </row>
    <row r="47" spans="1:38" x14ac:dyDescent="0.3">
      <c r="A47" s="5" t="s">
        <v>1775</v>
      </c>
      <c r="B47" s="5"/>
      <c r="C47" s="5"/>
      <c r="D47" s="1"/>
      <c r="E47" s="1"/>
      <c r="F47" s="1"/>
      <c r="G47" s="1"/>
      <c r="O47" s="1" t="s">
        <v>1375</v>
      </c>
      <c r="AJ47" s="2">
        <f t="shared" si="0"/>
        <v>1</v>
      </c>
      <c r="AL47" s="2">
        <f t="shared" si="1"/>
        <v>1</v>
      </c>
    </row>
    <row r="48" spans="1:38" x14ac:dyDescent="0.3">
      <c r="A48" s="5" t="s">
        <v>1776</v>
      </c>
      <c r="B48" s="5"/>
      <c r="C48" s="5"/>
      <c r="D48" s="1"/>
      <c r="E48" s="1"/>
      <c r="F48" s="1"/>
      <c r="G48" s="1"/>
      <c r="O48" s="1" t="s">
        <v>1376</v>
      </c>
      <c r="AJ48" s="2">
        <f t="shared" si="0"/>
        <v>1</v>
      </c>
      <c r="AL48" s="2">
        <f t="shared" si="1"/>
        <v>1</v>
      </c>
    </row>
    <row r="49" spans="1:38" x14ac:dyDescent="0.3">
      <c r="A49" s="5" t="s">
        <v>2743</v>
      </c>
      <c r="B49" s="5"/>
      <c r="C49" s="5"/>
      <c r="D49" s="1"/>
      <c r="E49" s="1"/>
      <c r="F49" s="1"/>
      <c r="G49" s="1"/>
      <c r="T49" s="1" t="s">
        <v>2110</v>
      </c>
      <c r="AJ49" s="2">
        <f t="shared" si="0"/>
        <v>1</v>
      </c>
      <c r="AL49" s="2">
        <f t="shared" si="1"/>
        <v>0</v>
      </c>
    </row>
    <row r="50" spans="1:38" x14ac:dyDescent="0.3">
      <c r="A50" s="5" t="s">
        <v>3065</v>
      </c>
      <c r="B50" s="5"/>
      <c r="C50" s="5"/>
      <c r="D50" s="1"/>
      <c r="E50" s="1"/>
      <c r="F50" s="1"/>
      <c r="G50" s="1"/>
      <c r="AH50" s="1" t="s">
        <v>879</v>
      </c>
      <c r="AJ50" s="2">
        <f t="shared" si="0"/>
        <v>1</v>
      </c>
      <c r="AL50" s="2">
        <f t="shared" si="1"/>
        <v>0</v>
      </c>
    </row>
    <row r="51" spans="1:38" x14ac:dyDescent="0.3">
      <c r="A51" s="5" t="s">
        <v>2406</v>
      </c>
      <c r="B51" s="5"/>
      <c r="C51" s="5"/>
      <c r="D51" s="1"/>
      <c r="E51" s="1"/>
      <c r="F51" s="1"/>
      <c r="G51" s="1"/>
      <c r="T51" s="53" t="s">
        <v>2407</v>
      </c>
      <c r="V51" s="1" t="s">
        <v>403</v>
      </c>
      <c r="AJ51" s="2">
        <f t="shared" si="0"/>
        <v>2</v>
      </c>
      <c r="AL51" s="2">
        <f t="shared" si="1"/>
        <v>0</v>
      </c>
    </row>
    <row r="52" spans="1:38" ht="28.8" x14ac:dyDescent="0.3">
      <c r="A52" s="5" t="s">
        <v>3066</v>
      </c>
      <c r="B52" s="5"/>
      <c r="C52" s="5"/>
      <c r="D52" s="1"/>
      <c r="E52" s="1"/>
      <c r="F52" s="1"/>
      <c r="G52" s="1"/>
      <c r="AH52" s="1" t="s">
        <v>883</v>
      </c>
      <c r="AJ52" s="2">
        <f t="shared" si="0"/>
        <v>1</v>
      </c>
      <c r="AL52" s="2">
        <f t="shared" si="1"/>
        <v>0</v>
      </c>
    </row>
    <row r="53" spans="1:38" ht="43.2" x14ac:dyDescent="0.3">
      <c r="A53" s="5" t="s">
        <v>2519</v>
      </c>
      <c r="B53" s="5"/>
      <c r="C53" s="5"/>
      <c r="D53" s="1"/>
      <c r="E53" s="1"/>
      <c r="F53" s="1"/>
      <c r="G53" s="1"/>
      <c r="V53" s="53" t="s">
        <v>428</v>
      </c>
      <c r="AA53" s="53" t="s">
        <v>2701</v>
      </c>
      <c r="AB53" s="53" t="s">
        <v>2174</v>
      </c>
      <c r="AF53" s="1" t="s">
        <v>972</v>
      </c>
      <c r="AJ53" s="2">
        <f t="shared" si="0"/>
        <v>4</v>
      </c>
      <c r="AL53" s="2">
        <f t="shared" si="1"/>
        <v>0</v>
      </c>
    </row>
    <row r="54" spans="1:38" ht="43.2" x14ac:dyDescent="0.3">
      <c r="A54" s="5" t="s">
        <v>2983</v>
      </c>
      <c r="B54" s="5"/>
      <c r="C54" s="5"/>
      <c r="D54" s="1"/>
      <c r="E54" s="1"/>
      <c r="F54" s="1"/>
      <c r="G54" s="1"/>
      <c r="V54" s="53" t="s">
        <v>431</v>
      </c>
      <c r="AA54" s="53" t="s">
        <v>2702</v>
      </c>
      <c r="AB54" s="53" t="s">
        <v>2752</v>
      </c>
      <c r="AF54" s="1" t="s">
        <v>1247</v>
      </c>
      <c r="AJ54" s="2">
        <f t="shared" si="0"/>
        <v>4</v>
      </c>
      <c r="AL54" s="2">
        <f t="shared" si="1"/>
        <v>0</v>
      </c>
    </row>
    <row r="55" spans="1:38" x14ac:dyDescent="0.3">
      <c r="A55" s="5" t="s">
        <v>2568</v>
      </c>
      <c r="B55" s="5"/>
      <c r="C55" s="5"/>
      <c r="D55" s="1"/>
      <c r="E55" s="1"/>
      <c r="F55" s="1"/>
      <c r="G55" s="1"/>
      <c r="W55" s="1" t="s">
        <v>1432</v>
      </c>
      <c r="AJ55" s="2">
        <f t="shared" si="0"/>
        <v>1</v>
      </c>
      <c r="AL55" s="2">
        <f t="shared" si="1"/>
        <v>0</v>
      </c>
    </row>
    <row r="56" spans="1:38" x14ac:dyDescent="0.3">
      <c r="A56" s="5" t="s">
        <v>2569</v>
      </c>
      <c r="B56" s="5"/>
      <c r="C56" s="5"/>
      <c r="D56" s="1"/>
      <c r="E56" s="1"/>
      <c r="F56" s="1"/>
      <c r="G56" s="1"/>
      <c r="W56" s="1" t="s">
        <v>1433</v>
      </c>
      <c r="AJ56" s="2">
        <f t="shared" si="0"/>
        <v>1</v>
      </c>
      <c r="AL56" s="2">
        <f t="shared" si="1"/>
        <v>0</v>
      </c>
    </row>
    <row r="57" spans="1:38" x14ac:dyDescent="0.3">
      <c r="A57" s="5" t="s">
        <v>2584</v>
      </c>
      <c r="B57" s="5"/>
      <c r="C57" s="5"/>
      <c r="D57" s="1"/>
      <c r="E57" s="1"/>
      <c r="F57" s="1"/>
      <c r="G57" s="1"/>
      <c r="Y57" s="54" t="s">
        <v>873</v>
      </c>
      <c r="AD57" s="1" t="s">
        <v>1439</v>
      </c>
      <c r="AJ57" s="2">
        <f t="shared" si="0"/>
        <v>2</v>
      </c>
      <c r="AL57" s="2">
        <f t="shared" si="1"/>
        <v>0</v>
      </c>
    </row>
    <row r="58" spans="1:38" ht="28.8" x14ac:dyDescent="0.3">
      <c r="A58" s="5" t="s">
        <v>2703</v>
      </c>
      <c r="B58" s="5"/>
      <c r="C58" s="5"/>
      <c r="D58" s="1"/>
      <c r="E58" s="1"/>
      <c r="F58" s="1"/>
      <c r="G58" s="1"/>
      <c r="AA58" s="53" t="s">
        <v>2704</v>
      </c>
      <c r="AB58" s="1" t="s">
        <v>2175</v>
      </c>
      <c r="AJ58" s="2">
        <f t="shared" si="0"/>
        <v>2</v>
      </c>
      <c r="AL58" s="2">
        <f t="shared" si="1"/>
        <v>0</v>
      </c>
    </row>
    <row r="59" spans="1:38" x14ac:dyDescent="0.3">
      <c r="A59" s="5" t="s">
        <v>2707</v>
      </c>
      <c r="B59" s="5"/>
      <c r="C59" s="5"/>
      <c r="D59" s="1"/>
      <c r="E59" s="1"/>
      <c r="F59" s="1"/>
      <c r="G59" s="1"/>
      <c r="AA59" s="53" t="s">
        <v>2708</v>
      </c>
      <c r="AC59" s="1" t="s">
        <v>1978</v>
      </c>
      <c r="AJ59" s="2">
        <f t="shared" si="0"/>
        <v>2</v>
      </c>
      <c r="AL59" s="2">
        <f t="shared" si="1"/>
        <v>0</v>
      </c>
    </row>
    <row r="60" spans="1:38" x14ac:dyDescent="0.3">
      <c r="A60" s="5" t="s">
        <v>2742</v>
      </c>
      <c r="B60" s="5"/>
      <c r="C60" s="5"/>
      <c r="D60" s="1"/>
      <c r="E60" s="1"/>
      <c r="F60" s="1"/>
      <c r="G60" s="1"/>
      <c r="AB60" s="53" t="s">
        <v>2164</v>
      </c>
      <c r="AD60" s="1" t="s">
        <v>1437</v>
      </c>
      <c r="AJ60" s="2">
        <f t="shared" si="0"/>
        <v>2</v>
      </c>
      <c r="AL60" s="2">
        <f t="shared" si="1"/>
        <v>0</v>
      </c>
    </row>
    <row r="61" spans="1:38" x14ac:dyDescent="0.3">
      <c r="A61" s="5" t="s">
        <v>2744</v>
      </c>
      <c r="B61" s="5"/>
      <c r="C61" s="5"/>
      <c r="D61" s="1"/>
      <c r="E61" s="1"/>
      <c r="F61" s="1"/>
      <c r="G61" s="1"/>
      <c r="AB61" s="1" t="s">
        <v>2166</v>
      </c>
      <c r="AJ61" s="2">
        <f t="shared" si="0"/>
        <v>1</v>
      </c>
      <c r="AL61" s="2">
        <f t="shared" si="1"/>
        <v>0</v>
      </c>
    </row>
    <row r="62" spans="1:38" x14ac:dyDescent="0.3">
      <c r="A62" s="5" t="s">
        <v>2745</v>
      </c>
      <c r="B62" s="5"/>
      <c r="C62" s="5"/>
      <c r="D62" s="1"/>
      <c r="E62" s="1"/>
      <c r="F62" s="1"/>
      <c r="G62" s="1"/>
      <c r="AB62" s="1" t="s">
        <v>2167</v>
      </c>
      <c r="AJ62" s="2">
        <f t="shared" si="0"/>
        <v>1</v>
      </c>
      <c r="AL62" s="2">
        <f t="shared" si="1"/>
        <v>0</v>
      </c>
    </row>
    <row r="63" spans="1:38" x14ac:dyDescent="0.3">
      <c r="A63" s="5" t="s">
        <v>2746</v>
      </c>
      <c r="B63" s="5"/>
      <c r="C63" s="5"/>
      <c r="D63" s="1"/>
      <c r="E63" s="1"/>
      <c r="F63" s="1"/>
      <c r="G63" s="1"/>
      <c r="AB63" s="54" t="s">
        <v>2169</v>
      </c>
      <c r="AD63" s="1" t="s">
        <v>1441</v>
      </c>
      <c r="AJ63" s="2">
        <f t="shared" si="0"/>
        <v>2</v>
      </c>
      <c r="AL63" s="2">
        <f t="shared" si="1"/>
        <v>0</v>
      </c>
    </row>
    <row r="64" spans="1:38" x14ac:dyDescent="0.3">
      <c r="A64" s="5" t="s">
        <v>2747</v>
      </c>
      <c r="B64" s="5"/>
      <c r="C64" s="5"/>
      <c r="D64" s="1"/>
      <c r="E64" s="1"/>
      <c r="F64" s="1"/>
      <c r="G64" s="1"/>
      <c r="AB64" s="54" t="s">
        <v>2171</v>
      </c>
      <c r="AD64" s="1" t="s">
        <v>1443</v>
      </c>
      <c r="AJ64" s="2">
        <f t="shared" si="0"/>
        <v>2</v>
      </c>
      <c r="AL64" s="2">
        <f t="shared" si="1"/>
        <v>0</v>
      </c>
    </row>
    <row r="65" spans="1:38" ht="28.8" x14ac:dyDescent="0.3">
      <c r="A65" s="5" t="s">
        <v>2805</v>
      </c>
      <c r="B65" s="5"/>
      <c r="C65" s="5"/>
      <c r="D65" s="1"/>
      <c r="E65" s="1"/>
      <c r="F65" s="1"/>
      <c r="G65" s="1"/>
      <c r="AC65" s="54" t="s">
        <v>1981</v>
      </c>
      <c r="AD65" s="1" t="s">
        <v>362</v>
      </c>
      <c r="AJ65" s="2">
        <f t="shared" si="0"/>
        <v>2</v>
      </c>
      <c r="AL65" s="2">
        <f t="shared" si="1"/>
        <v>0</v>
      </c>
    </row>
    <row r="66" spans="1:38" x14ac:dyDescent="0.3">
      <c r="A66" s="5" t="s">
        <v>2836</v>
      </c>
      <c r="B66" s="5"/>
      <c r="C66" s="5"/>
      <c r="D66" s="1"/>
      <c r="E66" s="1"/>
      <c r="F66" s="1"/>
      <c r="G66" s="1"/>
      <c r="AD66" s="1" t="s">
        <v>363</v>
      </c>
      <c r="AJ66" s="2">
        <f t="shared" si="0"/>
        <v>1</v>
      </c>
      <c r="AL66" s="2">
        <f t="shared" si="1"/>
        <v>0</v>
      </c>
    </row>
    <row r="67" spans="1:38" ht="43.2" x14ac:dyDescent="0.3">
      <c r="A67" s="5" t="s">
        <v>2837</v>
      </c>
      <c r="B67" s="5"/>
      <c r="C67" s="5"/>
      <c r="D67" s="1"/>
      <c r="E67" s="1"/>
      <c r="F67" s="1"/>
      <c r="G67" s="1"/>
      <c r="AD67" s="1" t="s">
        <v>364</v>
      </c>
      <c r="AJ67" s="2">
        <f t="shared" ref="AJ67:AJ110" si="2">COUNTA(B67:AH67)</f>
        <v>1</v>
      </c>
      <c r="AL67" s="2">
        <f t="shared" ref="AL67:AL110" si="3">COUNTA(F67:O67,R67:S67)</f>
        <v>0</v>
      </c>
    </row>
    <row r="68" spans="1:38" ht="43.2" x14ac:dyDescent="0.3">
      <c r="A68" s="5" t="s">
        <v>2838</v>
      </c>
      <c r="B68" s="5"/>
      <c r="C68" s="5"/>
      <c r="D68" s="1"/>
      <c r="E68" s="1"/>
      <c r="F68" s="1"/>
      <c r="G68" s="1"/>
      <c r="AD68" s="1" t="s">
        <v>1447</v>
      </c>
      <c r="AJ68" s="2">
        <f t="shared" si="2"/>
        <v>1</v>
      </c>
      <c r="AL68" s="2">
        <f t="shared" si="3"/>
        <v>0</v>
      </c>
    </row>
    <row r="69" spans="1:38" x14ac:dyDescent="0.3">
      <c r="A69" s="5" t="s">
        <v>2806</v>
      </c>
      <c r="B69" s="5"/>
      <c r="C69" s="5"/>
      <c r="D69" s="1"/>
      <c r="E69" s="1"/>
      <c r="F69" s="1"/>
      <c r="G69" s="1"/>
      <c r="AC69" s="1" t="s">
        <v>1989</v>
      </c>
      <c r="AJ69" s="2">
        <f t="shared" si="2"/>
        <v>1</v>
      </c>
      <c r="AL69" s="2">
        <f t="shared" si="3"/>
        <v>0</v>
      </c>
    </row>
    <row r="70" spans="1:38" x14ac:dyDescent="0.3">
      <c r="A70" s="5" t="s">
        <v>2834</v>
      </c>
      <c r="B70" s="5"/>
      <c r="C70" s="5"/>
      <c r="D70" s="1"/>
      <c r="E70" s="1"/>
      <c r="F70" s="1"/>
      <c r="G70" s="1"/>
      <c r="AD70" s="1" t="s">
        <v>1440</v>
      </c>
      <c r="AJ70" s="2">
        <f t="shared" si="2"/>
        <v>1</v>
      </c>
      <c r="AL70" s="2">
        <f t="shared" si="3"/>
        <v>0</v>
      </c>
    </row>
    <row r="71" spans="1:38" ht="28.8" x14ac:dyDescent="0.3">
      <c r="A71" s="5" t="s">
        <v>2957</v>
      </c>
      <c r="B71" s="1"/>
      <c r="C71" s="5"/>
      <c r="D71" s="1"/>
      <c r="E71" s="1"/>
      <c r="F71" s="1"/>
      <c r="G71" s="1"/>
      <c r="AE71" s="1" t="s">
        <v>179</v>
      </c>
      <c r="AJ71" s="2">
        <f t="shared" si="2"/>
        <v>1</v>
      </c>
      <c r="AL71" s="2">
        <f t="shared" si="3"/>
        <v>0</v>
      </c>
    </row>
    <row r="72" spans="1:38" x14ac:dyDescent="0.3">
      <c r="A72" s="1" t="s">
        <v>2509</v>
      </c>
      <c r="B72" s="1"/>
      <c r="C72" s="1"/>
      <c r="D72" s="1"/>
      <c r="E72" s="1"/>
      <c r="F72" s="1"/>
      <c r="G72" s="16"/>
      <c r="U72" s="53" t="s">
        <v>2510</v>
      </c>
      <c r="Z72" s="53" t="s">
        <v>549</v>
      </c>
      <c r="AH72" s="1" t="s">
        <v>1087</v>
      </c>
      <c r="AJ72" s="2">
        <f t="shared" si="2"/>
        <v>3</v>
      </c>
      <c r="AL72" s="2">
        <f t="shared" si="3"/>
        <v>0</v>
      </c>
    </row>
    <row r="73" spans="1:38" x14ac:dyDescent="0.3">
      <c r="A73" s="5" t="s">
        <v>2973</v>
      </c>
      <c r="B73" s="1"/>
      <c r="C73" s="5"/>
      <c r="D73" s="1"/>
      <c r="E73" s="1"/>
      <c r="F73" s="1"/>
      <c r="G73" s="1"/>
      <c r="AE73" s="54" t="s">
        <v>977</v>
      </c>
      <c r="AH73" s="1" t="s">
        <v>905</v>
      </c>
      <c r="AJ73" s="2">
        <f t="shared" si="2"/>
        <v>2</v>
      </c>
      <c r="AL73" s="2">
        <f t="shared" si="3"/>
        <v>0</v>
      </c>
    </row>
    <row r="74" spans="1:38" ht="28.8" x14ac:dyDescent="0.3">
      <c r="A74" s="5" t="s">
        <v>3080</v>
      </c>
      <c r="B74" s="1"/>
      <c r="C74" s="5"/>
      <c r="D74" s="1"/>
      <c r="E74" s="1"/>
      <c r="F74" s="1"/>
      <c r="G74" s="1"/>
      <c r="AH74" s="1" t="s">
        <v>882</v>
      </c>
      <c r="AJ74" s="2">
        <f t="shared" si="2"/>
        <v>1</v>
      </c>
      <c r="AL74" s="2">
        <f t="shared" si="3"/>
        <v>0</v>
      </c>
    </row>
    <row r="75" spans="1:38" ht="43.2" x14ac:dyDescent="0.3">
      <c r="A75" s="5" t="s">
        <v>2984</v>
      </c>
      <c r="B75" s="1"/>
      <c r="C75" s="5"/>
      <c r="D75" s="1"/>
      <c r="E75" s="1"/>
      <c r="F75" s="1"/>
      <c r="G75" s="1"/>
      <c r="AF75" s="1" t="s">
        <v>1172</v>
      </c>
      <c r="AJ75" s="2">
        <f t="shared" si="2"/>
        <v>1</v>
      </c>
      <c r="AL75" s="2">
        <f t="shared" si="3"/>
        <v>0</v>
      </c>
    </row>
    <row r="76" spans="1:38" ht="43.2" x14ac:dyDescent="0.3">
      <c r="A76" s="5" t="s">
        <v>2985</v>
      </c>
      <c r="B76" s="1"/>
      <c r="C76" s="5"/>
      <c r="D76" s="1"/>
      <c r="E76" s="1"/>
      <c r="F76" s="1"/>
      <c r="G76" s="1"/>
      <c r="AF76" s="1" t="s">
        <v>1250</v>
      </c>
      <c r="AJ76" s="2">
        <f t="shared" si="2"/>
        <v>1</v>
      </c>
      <c r="AL76" s="2">
        <f t="shared" si="3"/>
        <v>0</v>
      </c>
    </row>
    <row r="77" spans="1:38" ht="43.2" x14ac:dyDescent="0.3">
      <c r="A77" s="5" t="s">
        <v>2986</v>
      </c>
      <c r="B77" s="1"/>
      <c r="C77" s="5"/>
      <c r="D77" s="1"/>
      <c r="E77" s="1"/>
      <c r="F77" s="1"/>
      <c r="G77" s="1"/>
      <c r="AF77" s="1" t="s">
        <v>974</v>
      </c>
      <c r="AJ77" s="2">
        <f t="shared" si="2"/>
        <v>1</v>
      </c>
      <c r="AL77" s="2">
        <f t="shared" si="3"/>
        <v>0</v>
      </c>
    </row>
    <row r="78" spans="1:38" ht="43.2" x14ac:dyDescent="0.3">
      <c r="A78" s="5" t="s">
        <v>2987</v>
      </c>
      <c r="B78" s="1"/>
      <c r="C78" s="5"/>
      <c r="D78" s="1"/>
      <c r="E78" s="1"/>
      <c r="F78" s="1"/>
      <c r="G78" s="1"/>
      <c r="AF78" s="1" t="s">
        <v>975</v>
      </c>
      <c r="AJ78" s="2">
        <f t="shared" si="2"/>
        <v>1</v>
      </c>
      <c r="AL78" s="2">
        <f t="shared" si="3"/>
        <v>0</v>
      </c>
    </row>
    <row r="79" spans="1:38" ht="43.2" x14ac:dyDescent="0.3">
      <c r="A79" s="5" t="s">
        <v>2988</v>
      </c>
      <c r="B79" s="1"/>
      <c r="C79" s="5"/>
      <c r="D79" s="1"/>
      <c r="E79" s="1"/>
      <c r="F79" s="1"/>
      <c r="G79" s="1"/>
      <c r="AF79" s="1" t="s">
        <v>1179</v>
      </c>
      <c r="AJ79" s="2">
        <f t="shared" si="2"/>
        <v>1</v>
      </c>
      <c r="AL79" s="2">
        <f t="shared" si="3"/>
        <v>0</v>
      </c>
    </row>
    <row r="80" spans="1:38" ht="43.2" x14ac:dyDescent="0.3">
      <c r="A80" s="5" t="s">
        <v>2989</v>
      </c>
      <c r="B80" s="5"/>
      <c r="C80" s="5"/>
      <c r="D80" s="1"/>
      <c r="E80" s="1"/>
      <c r="F80" s="1"/>
      <c r="G80" s="1"/>
      <c r="AF80" s="1" t="s">
        <v>1988</v>
      </c>
      <c r="AJ80" s="2">
        <f t="shared" si="2"/>
        <v>1</v>
      </c>
      <c r="AL80" s="2">
        <f t="shared" si="3"/>
        <v>0</v>
      </c>
    </row>
    <row r="81" spans="1:38" ht="43.2" x14ac:dyDescent="0.3">
      <c r="A81" s="5" t="s">
        <v>2990</v>
      </c>
      <c r="B81" s="1"/>
      <c r="C81" s="5"/>
      <c r="D81" s="1"/>
      <c r="E81" s="1"/>
      <c r="F81" s="1"/>
      <c r="G81" s="1"/>
      <c r="AF81" s="1" t="s">
        <v>977</v>
      </c>
      <c r="AJ81" s="2">
        <f t="shared" si="2"/>
        <v>1</v>
      </c>
      <c r="AL81" s="2">
        <f t="shared" si="3"/>
        <v>0</v>
      </c>
    </row>
    <row r="82" spans="1:38" ht="43.2" x14ac:dyDescent="0.3">
      <c r="A82" s="5" t="s">
        <v>2991</v>
      </c>
      <c r="B82" s="1"/>
      <c r="C82" s="5"/>
      <c r="D82" s="1"/>
      <c r="E82" s="1"/>
      <c r="F82" s="1"/>
      <c r="G82" s="1"/>
      <c r="AF82" s="1" t="s">
        <v>978</v>
      </c>
      <c r="AJ82" s="2">
        <f t="shared" si="2"/>
        <v>1</v>
      </c>
      <c r="AL82" s="2">
        <f t="shared" si="3"/>
        <v>0</v>
      </c>
    </row>
    <row r="83" spans="1:38" ht="43.2" x14ac:dyDescent="0.3">
      <c r="A83" s="5" t="s">
        <v>2992</v>
      </c>
      <c r="B83" s="1"/>
      <c r="C83" s="5"/>
      <c r="D83" s="1"/>
      <c r="E83" s="1"/>
      <c r="F83" s="1"/>
      <c r="G83" s="1"/>
      <c r="AF83" s="1" t="s">
        <v>1180</v>
      </c>
      <c r="AJ83" s="2">
        <f t="shared" si="2"/>
        <v>1</v>
      </c>
      <c r="AL83" s="2">
        <f t="shared" si="3"/>
        <v>0</v>
      </c>
    </row>
    <row r="84" spans="1:38" ht="43.2" x14ac:dyDescent="0.3">
      <c r="A84" s="5" t="s">
        <v>3001</v>
      </c>
      <c r="B84" s="1"/>
      <c r="C84" s="5"/>
      <c r="D84" s="1"/>
      <c r="E84" s="1"/>
      <c r="F84" s="1"/>
      <c r="G84" s="1"/>
      <c r="AF84" s="1" t="s">
        <v>1258</v>
      </c>
      <c r="AJ84" s="2">
        <f t="shared" si="2"/>
        <v>1</v>
      </c>
      <c r="AL84" s="2">
        <f t="shared" si="3"/>
        <v>0</v>
      </c>
    </row>
    <row r="85" spans="1:38" ht="43.2" x14ac:dyDescent="0.3">
      <c r="A85" s="5" t="s">
        <v>3000</v>
      </c>
      <c r="B85" s="1"/>
      <c r="C85" s="5"/>
      <c r="D85" s="1"/>
      <c r="E85" s="1"/>
      <c r="F85" s="1"/>
      <c r="G85" s="1"/>
      <c r="AF85" s="1" t="s">
        <v>980</v>
      </c>
      <c r="AJ85" s="2">
        <f t="shared" si="2"/>
        <v>1</v>
      </c>
      <c r="AL85" s="2">
        <f t="shared" si="3"/>
        <v>0</v>
      </c>
    </row>
    <row r="86" spans="1:38" ht="43.2" x14ac:dyDescent="0.3">
      <c r="A86" s="5" t="s">
        <v>2999</v>
      </c>
      <c r="B86" s="1"/>
      <c r="C86" s="5"/>
      <c r="D86" s="1"/>
      <c r="E86" s="1"/>
      <c r="F86" s="1"/>
      <c r="G86" s="1"/>
      <c r="AF86" s="1" t="s">
        <v>983</v>
      </c>
      <c r="AJ86" s="2">
        <f t="shared" si="2"/>
        <v>1</v>
      </c>
      <c r="AL86" s="2">
        <f t="shared" si="3"/>
        <v>0</v>
      </c>
    </row>
    <row r="87" spans="1:38" ht="43.2" x14ac:dyDescent="0.3">
      <c r="A87" s="5" t="s">
        <v>2998</v>
      </c>
      <c r="B87" s="1"/>
      <c r="C87" s="5"/>
      <c r="D87" s="1"/>
      <c r="E87" s="1"/>
      <c r="F87" s="1"/>
      <c r="G87" s="1"/>
      <c r="AF87" s="1" t="s">
        <v>984</v>
      </c>
      <c r="AJ87" s="2">
        <f t="shared" si="2"/>
        <v>1</v>
      </c>
      <c r="AL87" s="2">
        <f t="shared" si="3"/>
        <v>0</v>
      </c>
    </row>
    <row r="88" spans="1:38" ht="43.2" x14ac:dyDescent="0.3">
      <c r="A88" s="5" t="s">
        <v>2997</v>
      </c>
      <c r="B88" s="1"/>
      <c r="C88" s="5"/>
      <c r="D88" s="1"/>
      <c r="E88" s="1"/>
      <c r="F88" s="1"/>
      <c r="G88" s="1"/>
      <c r="AF88" s="1" t="s">
        <v>985</v>
      </c>
      <c r="AJ88" s="2">
        <f t="shared" si="2"/>
        <v>1</v>
      </c>
      <c r="AL88" s="2">
        <f t="shared" si="3"/>
        <v>0</v>
      </c>
    </row>
    <row r="89" spans="1:38" ht="57.6" x14ac:dyDescent="0.3">
      <c r="A89" s="5" t="s">
        <v>2996</v>
      </c>
      <c r="B89" s="1"/>
      <c r="C89" s="5"/>
      <c r="D89" s="1"/>
      <c r="E89" s="1"/>
      <c r="F89" s="1"/>
      <c r="G89" s="1"/>
      <c r="AF89" s="1" t="s">
        <v>986</v>
      </c>
      <c r="AJ89" s="2">
        <f t="shared" si="2"/>
        <v>1</v>
      </c>
      <c r="AL89" s="2">
        <f t="shared" si="3"/>
        <v>0</v>
      </c>
    </row>
    <row r="90" spans="1:38" ht="43.2" x14ac:dyDescent="0.3">
      <c r="A90" s="5" t="s">
        <v>2995</v>
      </c>
      <c r="B90" s="1"/>
      <c r="C90" s="5"/>
      <c r="D90" s="1"/>
      <c r="E90" s="1"/>
      <c r="F90" s="1"/>
      <c r="G90" s="1"/>
      <c r="AF90" s="1" t="s">
        <v>988</v>
      </c>
      <c r="AJ90" s="2">
        <f t="shared" si="2"/>
        <v>1</v>
      </c>
      <c r="AL90" s="2">
        <f t="shared" si="3"/>
        <v>0</v>
      </c>
    </row>
    <row r="91" spans="1:38" ht="43.2" x14ac:dyDescent="0.3">
      <c r="A91" s="5" t="s">
        <v>2994</v>
      </c>
      <c r="B91" s="1"/>
      <c r="C91" s="5"/>
      <c r="D91" s="1"/>
      <c r="E91" s="1"/>
      <c r="F91" s="1"/>
      <c r="G91" s="1"/>
      <c r="AF91" s="1" t="s">
        <v>989</v>
      </c>
      <c r="AJ91" s="2">
        <f t="shared" si="2"/>
        <v>1</v>
      </c>
      <c r="AL91" s="2">
        <f t="shared" si="3"/>
        <v>0</v>
      </c>
    </row>
    <row r="92" spans="1:38" ht="43.2" x14ac:dyDescent="0.3">
      <c r="A92" s="5" t="s">
        <v>2993</v>
      </c>
      <c r="B92" s="1"/>
      <c r="C92" s="5"/>
      <c r="D92" s="1"/>
      <c r="E92" s="1"/>
      <c r="F92" s="1"/>
      <c r="G92" s="1"/>
      <c r="AF92" s="1" t="s">
        <v>991</v>
      </c>
      <c r="AJ92" s="2">
        <f t="shared" si="2"/>
        <v>1</v>
      </c>
      <c r="AL92" s="2">
        <f t="shared" si="3"/>
        <v>0</v>
      </c>
    </row>
    <row r="93" spans="1:38" x14ac:dyDescent="0.3">
      <c r="A93" s="5" t="s">
        <v>3002</v>
      </c>
      <c r="B93" s="1"/>
      <c r="C93" s="5"/>
      <c r="D93" s="1"/>
      <c r="E93" s="1"/>
      <c r="F93" s="1"/>
      <c r="G93" s="1"/>
      <c r="AF93" s="1" t="s">
        <v>993</v>
      </c>
      <c r="AJ93" s="2">
        <f t="shared" si="2"/>
        <v>1</v>
      </c>
      <c r="AL93" s="2">
        <f t="shared" si="3"/>
        <v>0</v>
      </c>
    </row>
    <row r="94" spans="1:38" x14ac:dyDescent="0.3">
      <c r="A94" s="5" t="s">
        <v>3003</v>
      </c>
      <c r="B94" s="1"/>
      <c r="C94" s="5"/>
      <c r="D94" s="1"/>
      <c r="E94" s="1"/>
      <c r="F94" s="1"/>
      <c r="G94" s="1"/>
      <c r="AF94" s="1" t="s">
        <v>994</v>
      </c>
      <c r="AJ94" s="2">
        <f t="shared" si="2"/>
        <v>1</v>
      </c>
      <c r="AL94" s="2">
        <f t="shared" si="3"/>
        <v>0</v>
      </c>
    </row>
    <row r="95" spans="1:38" x14ac:dyDescent="0.3">
      <c r="A95" s="5" t="s">
        <v>3020</v>
      </c>
      <c r="B95" s="1"/>
      <c r="C95" s="5"/>
      <c r="D95" s="1"/>
      <c r="E95" s="1"/>
      <c r="F95" s="1"/>
      <c r="G95" s="1"/>
      <c r="AG95" s="1" t="s">
        <v>1678</v>
      </c>
      <c r="AJ95" s="2">
        <f t="shared" si="2"/>
        <v>1</v>
      </c>
      <c r="AL95" s="2">
        <f t="shared" si="3"/>
        <v>0</v>
      </c>
    </row>
    <row r="96" spans="1:38" x14ac:dyDescent="0.3">
      <c r="A96" s="5" t="s">
        <v>3067</v>
      </c>
      <c r="B96" s="1"/>
      <c r="C96" s="5"/>
      <c r="D96" s="1"/>
      <c r="E96" s="1"/>
      <c r="F96" s="1"/>
      <c r="G96" s="1"/>
      <c r="AH96" s="1" t="s">
        <v>889</v>
      </c>
      <c r="AJ96" s="2">
        <f t="shared" si="2"/>
        <v>1</v>
      </c>
      <c r="AL96" s="2">
        <f t="shared" si="3"/>
        <v>0</v>
      </c>
    </row>
    <row r="97" spans="1:38" x14ac:dyDescent="0.3">
      <c r="A97" s="5" t="s">
        <v>3068</v>
      </c>
      <c r="B97" s="1"/>
      <c r="C97" s="5"/>
      <c r="D97" s="1"/>
      <c r="E97" s="1"/>
      <c r="F97" s="1"/>
      <c r="G97" s="1"/>
      <c r="AH97" s="1" t="s">
        <v>890</v>
      </c>
      <c r="AJ97" s="2">
        <f t="shared" si="2"/>
        <v>1</v>
      </c>
      <c r="AL97" s="2">
        <f t="shared" si="3"/>
        <v>0</v>
      </c>
    </row>
    <row r="98" spans="1:38" x14ac:dyDescent="0.3">
      <c r="A98" s="5" t="s">
        <v>3069</v>
      </c>
      <c r="B98" s="1"/>
      <c r="C98" s="5"/>
      <c r="D98" s="1"/>
      <c r="E98" s="1"/>
      <c r="F98" s="1"/>
      <c r="G98" s="1"/>
      <c r="AH98" s="1" t="s">
        <v>891</v>
      </c>
      <c r="AJ98" s="2">
        <f t="shared" si="2"/>
        <v>1</v>
      </c>
      <c r="AL98" s="2">
        <f t="shared" si="3"/>
        <v>0</v>
      </c>
    </row>
    <row r="99" spans="1:38" x14ac:dyDescent="0.3">
      <c r="A99" s="5" t="s">
        <v>3070</v>
      </c>
      <c r="B99" s="1"/>
      <c r="C99" s="5"/>
      <c r="D99" s="1"/>
      <c r="E99" s="1"/>
      <c r="F99" s="1"/>
      <c r="G99" s="1"/>
      <c r="AH99" s="1" t="s">
        <v>892</v>
      </c>
      <c r="AJ99" s="2">
        <f t="shared" si="2"/>
        <v>1</v>
      </c>
      <c r="AL99" s="2">
        <f t="shared" si="3"/>
        <v>0</v>
      </c>
    </row>
    <row r="100" spans="1:38" x14ac:dyDescent="0.3">
      <c r="A100" s="5" t="s">
        <v>3071</v>
      </c>
      <c r="B100" s="1"/>
      <c r="C100" s="5"/>
      <c r="D100" s="1"/>
      <c r="E100" s="1"/>
      <c r="F100" s="1"/>
      <c r="G100" s="1"/>
      <c r="AH100" s="1" t="s">
        <v>893</v>
      </c>
      <c r="AJ100" s="2">
        <f t="shared" si="2"/>
        <v>1</v>
      </c>
      <c r="AL100" s="2">
        <f t="shared" si="3"/>
        <v>0</v>
      </c>
    </row>
    <row r="101" spans="1:38" x14ac:dyDescent="0.3">
      <c r="A101" s="5" t="s">
        <v>3072</v>
      </c>
      <c r="B101" s="1"/>
      <c r="C101" s="5"/>
      <c r="D101" s="1"/>
      <c r="E101" s="1"/>
      <c r="F101" s="1"/>
      <c r="G101" s="1"/>
      <c r="AH101" s="1" t="s">
        <v>894</v>
      </c>
      <c r="AJ101" s="2">
        <f t="shared" si="2"/>
        <v>1</v>
      </c>
      <c r="AL101" s="2">
        <f t="shared" si="3"/>
        <v>0</v>
      </c>
    </row>
    <row r="102" spans="1:38" x14ac:dyDescent="0.3">
      <c r="A102" s="5" t="s">
        <v>3073</v>
      </c>
      <c r="B102" s="1"/>
      <c r="C102" s="5"/>
      <c r="D102" s="1"/>
      <c r="E102" s="1"/>
      <c r="F102" s="1"/>
      <c r="G102" s="1"/>
      <c r="AH102" s="1" t="s">
        <v>895</v>
      </c>
      <c r="AJ102" s="2">
        <f t="shared" si="2"/>
        <v>1</v>
      </c>
      <c r="AL102" s="2">
        <f t="shared" si="3"/>
        <v>0</v>
      </c>
    </row>
    <row r="103" spans="1:38" x14ac:dyDescent="0.3">
      <c r="A103" s="5" t="s">
        <v>3074</v>
      </c>
      <c r="B103" s="1"/>
      <c r="C103" s="5"/>
      <c r="D103" s="1"/>
      <c r="E103" s="1"/>
      <c r="F103" s="1"/>
      <c r="G103" s="1"/>
      <c r="AH103" s="1" t="s">
        <v>896</v>
      </c>
      <c r="AJ103" s="2">
        <f t="shared" si="2"/>
        <v>1</v>
      </c>
      <c r="AL103" s="2">
        <f t="shared" si="3"/>
        <v>0</v>
      </c>
    </row>
    <row r="104" spans="1:38" x14ac:dyDescent="0.3">
      <c r="A104" s="5" t="s">
        <v>3075</v>
      </c>
      <c r="B104" s="1"/>
      <c r="C104" s="5"/>
      <c r="D104" s="1"/>
      <c r="E104" s="1"/>
      <c r="F104" s="1"/>
      <c r="G104" s="1"/>
      <c r="AH104" s="1" t="s">
        <v>897</v>
      </c>
      <c r="AJ104" s="2">
        <f t="shared" si="2"/>
        <v>1</v>
      </c>
      <c r="AL104" s="2">
        <f t="shared" si="3"/>
        <v>0</v>
      </c>
    </row>
    <row r="105" spans="1:38" x14ac:dyDescent="0.3">
      <c r="A105" s="5" t="s">
        <v>3076</v>
      </c>
      <c r="B105" s="1"/>
      <c r="C105" s="5"/>
      <c r="D105" s="1"/>
      <c r="E105" s="1"/>
      <c r="F105" s="1"/>
      <c r="G105" s="1"/>
      <c r="AH105" s="1" t="s">
        <v>898</v>
      </c>
      <c r="AJ105" s="2">
        <f t="shared" si="2"/>
        <v>1</v>
      </c>
      <c r="AL105" s="2">
        <f t="shared" si="3"/>
        <v>0</v>
      </c>
    </row>
    <row r="106" spans="1:38" x14ac:dyDescent="0.3">
      <c r="A106" s="5" t="s">
        <v>3077</v>
      </c>
      <c r="B106" s="1"/>
      <c r="C106" s="5"/>
      <c r="D106" s="1"/>
      <c r="E106" s="1"/>
      <c r="F106" s="1"/>
      <c r="G106" s="1"/>
      <c r="AH106" s="1" t="s">
        <v>880</v>
      </c>
      <c r="AJ106" s="2">
        <f t="shared" si="2"/>
        <v>1</v>
      </c>
      <c r="AL106" s="2">
        <f t="shared" si="3"/>
        <v>0</v>
      </c>
    </row>
    <row r="107" spans="1:38" x14ac:dyDescent="0.3">
      <c r="A107" s="5" t="s">
        <v>3078</v>
      </c>
      <c r="B107" s="1"/>
      <c r="C107" s="5"/>
      <c r="D107" s="1"/>
      <c r="E107" s="1"/>
      <c r="F107" s="1"/>
      <c r="G107" s="1"/>
      <c r="AH107" s="1" t="s">
        <v>899</v>
      </c>
      <c r="AJ107" s="2">
        <f t="shared" si="2"/>
        <v>1</v>
      </c>
      <c r="AL107" s="2">
        <f t="shared" si="3"/>
        <v>0</v>
      </c>
    </row>
    <row r="108" spans="1:38" x14ac:dyDescent="0.3">
      <c r="A108" s="5" t="s">
        <v>3079</v>
      </c>
      <c r="B108" s="1"/>
      <c r="C108" s="5"/>
      <c r="D108" s="1"/>
      <c r="E108" s="1"/>
      <c r="F108" s="1"/>
      <c r="G108" s="1"/>
      <c r="AH108" s="1" t="s">
        <v>900</v>
      </c>
      <c r="AJ108" s="2">
        <f t="shared" si="2"/>
        <v>1</v>
      </c>
      <c r="AL108" s="2">
        <f t="shared" si="3"/>
        <v>0</v>
      </c>
    </row>
    <row r="109" spans="1:38" ht="28.8" x14ac:dyDescent="0.3">
      <c r="A109" s="5" t="s">
        <v>3101</v>
      </c>
      <c r="B109" s="1"/>
      <c r="C109" s="5"/>
      <c r="D109" s="1"/>
      <c r="E109" s="1"/>
      <c r="F109" s="1"/>
      <c r="G109" s="1"/>
      <c r="AH109" s="1" t="s">
        <v>962</v>
      </c>
      <c r="AJ109" s="2">
        <f t="shared" si="2"/>
        <v>1</v>
      </c>
      <c r="AL109" s="2">
        <f t="shared" si="3"/>
        <v>0</v>
      </c>
    </row>
    <row r="110" spans="1:38" ht="28.8" x14ac:dyDescent="0.3">
      <c r="A110" s="5" t="s">
        <v>3102</v>
      </c>
      <c r="B110" s="1"/>
      <c r="C110" s="5"/>
      <c r="D110" s="1"/>
      <c r="E110" s="1"/>
      <c r="F110" s="1"/>
      <c r="G110" s="1"/>
      <c r="AH110" s="1" t="s">
        <v>964</v>
      </c>
      <c r="AJ110" s="2">
        <f t="shared" si="2"/>
        <v>1</v>
      </c>
      <c r="AL110" s="2">
        <f t="shared" si="3"/>
        <v>0</v>
      </c>
    </row>
    <row r="111" spans="1:38" x14ac:dyDescent="0.3">
      <c r="A111" s="5"/>
      <c r="B111" s="1"/>
      <c r="C111" s="5"/>
      <c r="D111" s="1"/>
      <c r="E111" s="1"/>
      <c r="F111" s="1"/>
      <c r="G111" s="1"/>
    </row>
    <row r="112" spans="1:38"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A262" s="5"/>
      <c r="B262" s="1"/>
      <c r="C262" s="5"/>
      <c r="D262" s="1"/>
      <c r="E262" s="1"/>
      <c r="F262" s="1"/>
      <c r="G262" s="1"/>
    </row>
    <row r="263" spans="1:7" x14ac:dyDescent="0.3">
      <c r="A263" s="5"/>
      <c r="B263" s="1"/>
      <c r="C263" s="5"/>
      <c r="D263" s="1"/>
      <c r="E263" s="1"/>
      <c r="F263" s="1"/>
      <c r="G263" s="1"/>
    </row>
    <row r="264" spans="1:7" x14ac:dyDescent="0.3">
      <c r="A264" s="5"/>
      <c r="B264" s="1"/>
      <c r="C264" s="5"/>
      <c r="D264" s="1"/>
      <c r="E264" s="1"/>
      <c r="F264" s="1"/>
      <c r="G264" s="1"/>
    </row>
    <row r="265" spans="1:7" x14ac:dyDescent="0.3">
      <c r="A265" s="5"/>
      <c r="B265" s="1"/>
      <c r="C265" s="5"/>
      <c r="D265" s="1"/>
      <c r="E265" s="1"/>
      <c r="F265" s="1"/>
      <c r="G265" s="1"/>
    </row>
    <row r="266" spans="1:7" x14ac:dyDescent="0.3">
      <c r="A266" s="5"/>
      <c r="B266" s="1"/>
      <c r="C266" s="5"/>
      <c r="D266" s="1"/>
      <c r="E266" s="1"/>
      <c r="F266" s="1"/>
      <c r="G266" s="1"/>
    </row>
    <row r="267" spans="1:7" x14ac:dyDescent="0.3">
      <c r="A267" s="5"/>
      <c r="B267" s="1"/>
      <c r="C267" s="5"/>
      <c r="D267" s="1"/>
      <c r="E267" s="1"/>
      <c r="F267" s="1"/>
      <c r="G267" s="1"/>
    </row>
    <row r="268" spans="1:7" x14ac:dyDescent="0.3">
      <c r="A268" s="5"/>
      <c r="B268" s="1"/>
      <c r="C268" s="5"/>
      <c r="D268" s="1"/>
      <c r="E268" s="1"/>
      <c r="F268" s="1"/>
      <c r="G268" s="1"/>
    </row>
    <row r="269" spans="1:7" x14ac:dyDescent="0.3">
      <c r="A269" s="5"/>
      <c r="B269" s="1"/>
      <c r="C269" s="5"/>
      <c r="D269" s="1"/>
      <c r="E269" s="1"/>
      <c r="F269" s="1"/>
      <c r="G269" s="1"/>
    </row>
    <row r="270" spans="1:7" x14ac:dyDescent="0.3">
      <c r="A270" s="5"/>
      <c r="B270" s="1"/>
      <c r="C270" s="5"/>
      <c r="D270" s="1"/>
      <c r="E270" s="1"/>
      <c r="F270" s="1"/>
      <c r="G270" s="1"/>
    </row>
    <row r="271" spans="1:7" x14ac:dyDescent="0.3">
      <c r="A271" s="5"/>
      <c r="B271" s="1"/>
      <c r="C271" s="5"/>
      <c r="D271" s="1"/>
      <c r="E271" s="1"/>
      <c r="F271" s="1"/>
      <c r="G271" s="1"/>
    </row>
    <row r="272" spans="1:7" x14ac:dyDescent="0.3">
      <c r="A272" s="5"/>
      <c r="B272" s="1"/>
      <c r="C272" s="5"/>
      <c r="D272" s="1"/>
      <c r="E272" s="1"/>
      <c r="F272" s="1"/>
      <c r="G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honeticPr fontId="11" type="noConversion"/>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3B37-EF8D-443F-9B2F-81D43DE6D6B2}">
  <sheetPr codeName="Sheet17"/>
  <dimension ref="A1:AN288"/>
  <sheetViews>
    <sheetView rightToLeft="1" workbookViewId="0">
      <pane xSplit="1" ySplit="1" topLeftCell="X2" activePane="bottomRight" state="frozen"/>
      <selection activeCell="A6" sqref="A6"/>
      <selection pane="topRight" activeCell="A6" sqref="A6"/>
      <selection pane="bottomLeft" activeCell="A6" sqref="A6"/>
      <selection pane="bottomRight" activeCell="A2" sqref="A2:A13"/>
    </sheetView>
  </sheetViews>
  <sheetFormatPr defaultColWidth="8.77734375" defaultRowHeight="14.4" x14ac:dyDescent="0.3"/>
  <cols>
    <col min="1" max="1" width="52.21875" style="2" customWidth="1"/>
    <col min="2" max="2" width="10" style="2" customWidth="1"/>
    <col min="3" max="3" width="10.109375" style="2"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4" t="s">
        <v>0</v>
      </c>
      <c r="B1" s="4">
        <v>2022</v>
      </c>
      <c r="C1" s="4">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103</v>
      </c>
      <c r="B2" s="6" t="s">
        <v>104</v>
      </c>
      <c r="C2" s="5" t="s">
        <v>104</v>
      </c>
      <c r="D2" s="1" t="s">
        <v>104</v>
      </c>
      <c r="E2" s="1"/>
      <c r="F2" s="53" t="s">
        <v>104</v>
      </c>
      <c r="G2" s="53" t="s">
        <v>504</v>
      </c>
      <c r="H2" s="50" t="s">
        <v>545</v>
      </c>
      <c r="I2" s="50" t="s">
        <v>817</v>
      </c>
      <c r="J2" s="3" t="s">
        <v>1086</v>
      </c>
      <c r="K2" s="3"/>
      <c r="L2" s="3"/>
      <c r="M2" s="3"/>
      <c r="N2" s="3"/>
      <c r="O2" s="3"/>
      <c r="P2" s="29"/>
      <c r="Q2" s="29"/>
      <c r="R2" s="3"/>
      <c r="S2" s="3"/>
      <c r="T2" s="3"/>
      <c r="U2" s="3"/>
      <c r="V2" s="3"/>
      <c r="W2" s="3"/>
      <c r="X2" s="3"/>
      <c r="Y2" s="3"/>
      <c r="Z2" s="3"/>
      <c r="AA2" s="3"/>
      <c r="AB2" s="3"/>
      <c r="AC2" s="3"/>
      <c r="AD2" s="3"/>
      <c r="AE2" s="3"/>
      <c r="AF2" s="3"/>
      <c r="AG2" s="3"/>
      <c r="AH2" s="3"/>
      <c r="AJ2" s="2">
        <f>COUNTA(B2:AH2)</f>
        <v>8</v>
      </c>
      <c r="AL2" s="2">
        <f>COUNTA(F2:O2,R2:S2)</f>
        <v>5</v>
      </c>
      <c r="AN2" s="2">
        <f>COUNTIF(AL2:AL13,"&gt;=2")</f>
        <v>3</v>
      </c>
    </row>
    <row r="3" spans="1:40" x14ac:dyDescent="0.3">
      <c r="A3" s="5" t="s">
        <v>128</v>
      </c>
      <c r="B3" s="6" t="s">
        <v>129</v>
      </c>
      <c r="C3" s="5" t="s">
        <v>129</v>
      </c>
      <c r="D3" s="1" t="s">
        <v>129</v>
      </c>
      <c r="E3" s="1"/>
      <c r="F3" s="1"/>
      <c r="G3" s="1"/>
      <c r="AJ3" s="2">
        <f t="shared" ref="AJ3:AJ13" si="0">COUNTA(B3:AH3)</f>
        <v>3</v>
      </c>
      <c r="AL3" s="2">
        <f t="shared" ref="AL3:AL13" si="1">COUNTA(F3:O3,R3:S3)</f>
        <v>0</v>
      </c>
    </row>
    <row r="4" spans="1:40" ht="28.8" x14ac:dyDescent="0.3">
      <c r="A4" s="5" t="s">
        <v>261</v>
      </c>
      <c r="B4" s="6" t="s">
        <v>130</v>
      </c>
      <c r="C4" s="5" t="s">
        <v>130</v>
      </c>
      <c r="D4" s="1" t="s">
        <v>130</v>
      </c>
      <c r="E4" s="1"/>
      <c r="F4" s="1"/>
      <c r="G4" s="1"/>
      <c r="AJ4" s="2">
        <f t="shared" si="0"/>
        <v>3</v>
      </c>
      <c r="AL4" s="2">
        <f t="shared" si="1"/>
        <v>0</v>
      </c>
    </row>
    <row r="5" spans="1:40" x14ac:dyDescent="0.3">
      <c r="A5" s="5" t="s">
        <v>282</v>
      </c>
      <c r="B5" s="5"/>
      <c r="C5" s="5"/>
      <c r="D5" s="1"/>
      <c r="E5" s="1"/>
      <c r="F5" s="54" t="s">
        <v>283</v>
      </c>
      <c r="G5" s="54" t="s">
        <v>533</v>
      </c>
      <c r="H5" s="54" t="s">
        <v>549</v>
      </c>
      <c r="I5" s="54" t="s">
        <v>771</v>
      </c>
      <c r="J5" s="1" t="s">
        <v>1088</v>
      </c>
      <c r="AJ5" s="2">
        <f t="shared" si="0"/>
        <v>5</v>
      </c>
      <c r="AL5" s="2">
        <f t="shared" si="1"/>
        <v>5</v>
      </c>
    </row>
    <row r="6" spans="1:40" ht="28.8" x14ac:dyDescent="0.3">
      <c r="A6" s="5" t="s">
        <v>284</v>
      </c>
      <c r="B6" s="6"/>
      <c r="C6" s="5"/>
      <c r="D6" s="1"/>
      <c r="E6" s="1"/>
      <c r="F6" s="1" t="s">
        <v>285</v>
      </c>
      <c r="G6" s="1"/>
      <c r="AJ6" s="2">
        <f t="shared" si="0"/>
        <v>1</v>
      </c>
      <c r="AL6" s="2">
        <f t="shared" si="1"/>
        <v>1</v>
      </c>
    </row>
    <row r="7" spans="1:40" ht="28.8" x14ac:dyDescent="0.3">
      <c r="A7" s="5" t="s">
        <v>531</v>
      </c>
      <c r="B7" s="6"/>
      <c r="C7" s="5"/>
      <c r="D7" s="1"/>
      <c r="E7" s="1"/>
      <c r="F7" s="1"/>
      <c r="G7" s="53" t="s">
        <v>532</v>
      </c>
      <c r="H7" s="53" t="s">
        <v>547</v>
      </c>
      <c r="I7" s="53" t="s">
        <v>818</v>
      </c>
      <c r="J7" s="53" t="s">
        <v>1087</v>
      </c>
      <c r="P7" s="30" t="s">
        <v>896</v>
      </c>
      <c r="AJ7" s="2">
        <f t="shared" si="0"/>
        <v>5</v>
      </c>
      <c r="AL7" s="2">
        <f t="shared" si="1"/>
        <v>4</v>
      </c>
    </row>
    <row r="8" spans="1:40" x14ac:dyDescent="0.3">
      <c r="A8" s="5" t="s">
        <v>1898</v>
      </c>
      <c r="B8" s="6"/>
      <c r="C8" s="5"/>
      <c r="D8" s="1"/>
      <c r="E8" s="1"/>
      <c r="F8" s="1"/>
      <c r="G8" s="1"/>
      <c r="P8" s="30" t="s">
        <v>897</v>
      </c>
      <c r="AJ8" s="2">
        <f t="shared" si="0"/>
        <v>1</v>
      </c>
      <c r="AL8" s="2">
        <f t="shared" si="1"/>
        <v>0</v>
      </c>
    </row>
    <row r="9" spans="1:40" x14ac:dyDescent="0.3">
      <c r="A9" s="5" t="s">
        <v>1899</v>
      </c>
      <c r="B9" s="6"/>
      <c r="C9" s="5"/>
      <c r="D9" s="1"/>
      <c r="E9" s="1"/>
      <c r="F9" s="1"/>
      <c r="G9" s="1"/>
      <c r="P9" s="30" t="s">
        <v>898</v>
      </c>
      <c r="AJ9" s="2">
        <f t="shared" si="0"/>
        <v>1</v>
      </c>
      <c r="AL9" s="2">
        <f t="shared" si="1"/>
        <v>0</v>
      </c>
    </row>
    <row r="10" spans="1:40" x14ac:dyDescent="0.3">
      <c r="A10" s="5" t="s">
        <v>1900</v>
      </c>
      <c r="B10" s="6"/>
      <c r="C10" s="5"/>
      <c r="D10" s="1"/>
      <c r="E10" s="1"/>
      <c r="F10" s="1"/>
      <c r="G10" s="1"/>
      <c r="P10" s="30" t="s">
        <v>880</v>
      </c>
      <c r="AJ10" s="2">
        <f t="shared" si="0"/>
        <v>1</v>
      </c>
      <c r="AL10" s="2">
        <f t="shared" si="1"/>
        <v>0</v>
      </c>
    </row>
    <row r="11" spans="1:40" ht="28.8" x14ac:dyDescent="0.3">
      <c r="A11" s="5" t="s">
        <v>1901</v>
      </c>
      <c r="B11" s="6"/>
      <c r="C11" s="5"/>
      <c r="D11" s="1"/>
      <c r="E11" s="1"/>
      <c r="F11" s="1"/>
      <c r="G11" s="1"/>
      <c r="P11" s="30" t="s">
        <v>880</v>
      </c>
      <c r="AJ11" s="2">
        <f t="shared" si="0"/>
        <v>1</v>
      </c>
      <c r="AL11" s="2">
        <f t="shared" si="1"/>
        <v>0</v>
      </c>
    </row>
    <row r="12" spans="1:40" x14ac:dyDescent="0.3">
      <c r="A12" s="5" t="s">
        <v>1902</v>
      </c>
      <c r="B12" s="1"/>
      <c r="C12" s="5"/>
      <c r="D12" s="1"/>
      <c r="E12" s="1"/>
      <c r="F12" s="1"/>
      <c r="G12" s="1"/>
      <c r="P12" s="30" t="s">
        <v>899</v>
      </c>
      <c r="AJ12" s="2">
        <f t="shared" si="0"/>
        <v>1</v>
      </c>
      <c r="AL12" s="2">
        <f t="shared" si="1"/>
        <v>0</v>
      </c>
    </row>
    <row r="13" spans="1:40" x14ac:dyDescent="0.3">
      <c r="A13" s="5" t="s">
        <v>1903</v>
      </c>
      <c r="B13" s="1"/>
      <c r="C13" s="5"/>
      <c r="D13" s="1"/>
      <c r="E13" s="1"/>
      <c r="F13" s="1"/>
      <c r="G13" s="1"/>
      <c r="P13" s="30" t="s">
        <v>900</v>
      </c>
      <c r="AJ13" s="2">
        <f t="shared" si="0"/>
        <v>1</v>
      </c>
      <c r="AL13" s="2">
        <f t="shared" si="1"/>
        <v>0</v>
      </c>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1"/>
      <c r="B27" s="5"/>
      <c r="C27" s="1"/>
      <c r="D27" s="1"/>
      <c r="E27" s="1"/>
      <c r="F27" s="1"/>
      <c r="G27" s="1"/>
    </row>
    <row r="28" spans="1:7" x14ac:dyDescent="0.3">
      <c r="A28" s="1"/>
      <c r="B28" s="5"/>
      <c r="C28" s="1"/>
      <c r="D28" s="1"/>
      <c r="E28" s="1"/>
      <c r="F28" s="1"/>
      <c r="G28" s="1"/>
    </row>
    <row r="29" spans="1:7" x14ac:dyDescent="0.3">
      <c r="A29" s="1"/>
      <c r="B29" s="5"/>
      <c r="C29" s="1"/>
      <c r="D29" s="1"/>
      <c r="E29" s="1"/>
      <c r="F29" s="1"/>
      <c r="G29" s="1"/>
    </row>
    <row r="30" spans="1:7" x14ac:dyDescent="0.3">
      <c r="A30" s="1"/>
      <c r="B30" s="5"/>
      <c r="C30" s="1"/>
      <c r="D30" s="1"/>
      <c r="E30" s="1"/>
      <c r="F30" s="1"/>
      <c r="G30" s="1"/>
    </row>
    <row r="31" spans="1:7" x14ac:dyDescent="0.3">
      <c r="A31" s="1"/>
      <c r="B31" s="5"/>
      <c r="C31" s="1"/>
      <c r="D31" s="1"/>
      <c r="E31" s="1"/>
      <c r="F31" s="1"/>
      <c r="G31" s="1"/>
    </row>
    <row r="32" spans="1:7" x14ac:dyDescent="0.3">
      <c r="A32" s="1"/>
      <c r="B32" s="5"/>
      <c r="C32" s="1"/>
      <c r="D32" s="1"/>
      <c r="E32" s="1"/>
      <c r="F32" s="1"/>
      <c r="G32" s="1"/>
    </row>
    <row r="33" spans="1:7" x14ac:dyDescent="0.3">
      <c r="A33" s="1"/>
      <c r="B33" s="5"/>
      <c r="C33" s="1"/>
      <c r="D33" s="1"/>
      <c r="E33" s="1"/>
      <c r="F33" s="1"/>
      <c r="G33" s="1"/>
    </row>
    <row r="34" spans="1:7" x14ac:dyDescent="0.3">
      <c r="A34" s="1"/>
      <c r="B34" s="5"/>
      <c r="C34" s="1"/>
      <c r="D34" s="1"/>
      <c r="E34" s="1"/>
      <c r="F34" s="1"/>
      <c r="G34" s="1"/>
    </row>
    <row r="35" spans="1:7" x14ac:dyDescent="0.3">
      <c r="A35" s="1"/>
      <c r="B35" s="5"/>
      <c r="C35" s="1"/>
      <c r="D35" s="1"/>
      <c r="E35" s="1"/>
      <c r="F35" s="1"/>
      <c r="G35" s="1"/>
    </row>
    <row r="36" spans="1:7" x14ac:dyDescent="0.3">
      <c r="A36" s="1"/>
      <c r="B36" s="5"/>
      <c r="C36" s="1"/>
      <c r="D36" s="1"/>
      <c r="E36" s="1"/>
      <c r="F36" s="1"/>
      <c r="G36" s="1"/>
    </row>
    <row r="37" spans="1:7" x14ac:dyDescent="0.3">
      <c r="A37" s="1"/>
      <c r="B37" s="5"/>
      <c r="C37" s="1"/>
      <c r="D37" s="1"/>
      <c r="E37" s="1"/>
      <c r="F37" s="1"/>
      <c r="G37" s="1"/>
    </row>
    <row r="38" spans="1:7" x14ac:dyDescent="0.3">
      <c r="A38" s="1"/>
      <c r="B38" s="5"/>
      <c r="C38" s="1"/>
      <c r="D38" s="1"/>
      <c r="E38" s="1"/>
      <c r="F38" s="1"/>
      <c r="G38" s="1"/>
    </row>
    <row r="39" spans="1:7" x14ac:dyDescent="0.3">
      <c r="A39" s="1"/>
      <c r="B39" s="5"/>
      <c r="C39" s="1"/>
      <c r="D39" s="1"/>
      <c r="E39" s="1"/>
      <c r="F39" s="1"/>
      <c r="G39" s="1"/>
    </row>
    <row r="40" spans="1:7" x14ac:dyDescent="0.3">
      <c r="A40" s="1"/>
      <c r="B40" s="5"/>
      <c r="C40" s="1"/>
      <c r="D40" s="1"/>
      <c r="E40" s="1"/>
      <c r="F40" s="1"/>
      <c r="G40" s="1"/>
    </row>
    <row r="41" spans="1:7" x14ac:dyDescent="0.3">
      <c r="A41" s="1"/>
      <c r="B41" s="5"/>
      <c r="C41" s="1"/>
      <c r="D41" s="1"/>
      <c r="E41" s="1"/>
      <c r="F41" s="1"/>
      <c r="G41" s="1"/>
    </row>
    <row r="42" spans="1:7" x14ac:dyDescent="0.3">
      <c r="A42" s="1"/>
      <c r="B42" s="5"/>
      <c r="C42" s="1"/>
      <c r="D42" s="1"/>
      <c r="E42" s="1"/>
      <c r="F42" s="1"/>
      <c r="G42" s="1"/>
    </row>
    <row r="43" spans="1:7" x14ac:dyDescent="0.3">
      <c r="A43" s="1"/>
      <c r="B43" s="5"/>
      <c r="C43" s="1"/>
      <c r="D43" s="1"/>
      <c r="E43" s="1"/>
      <c r="F43" s="1"/>
      <c r="G43" s="1"/>
    </row>
    <row r="44" spans="1:7" x14ac:dyDescent="0.3">
      <c r="A44" s="1"/>
      <c r="B44" s="5"/>
      <c r="C44" s="1"/>
      <c r="D44" s="1"/>
      <c r="E44" s="1"/>
      <c r="F44" s="1"/>
      <c r="G44" s="1"/>
    </row>
    <row r="45" spans="1:7" x14ac:dyDescent="0.3">
      <c r="A45" s="1"/>
      <c r="B45" s="5"/>
      <c r="C45" s="1"/>
      <c r="D45" s="1"/>
      <c r="E45" s="1"/>
      <c r="F45" s="1"/>
      <c r="G45" s="1"/>
    </row>
    <row r="46" spans="1:7" x14ac:dyDescent="0.3">
      <c r="A46" s="1"/>
      <c r="B46" s="5"/>
      <c r="C46" s="1"/>
      <c r="D46" s="1"/>
      <c r="E46" s="1"/>
      <c r="F46" s="1"/>
      <c r="G46" s="1"/>
    </row>
    <row r="47" spans="1:7" x14ac:dyDescent="0.3">
      <c r="A47" s="1"/>
      <c r="B47" s="5"/>
      <c r="C47" s="1"/>
      <c r="D47" s="1"/>
      <c r="E47" s="1"/>
      <c r="F47" s="1"/>
      <c r="G47" s="1"/>
    </row>
    <row r="48" spans="1:7" x14ac:dyDescent="0.3">
      <c r="A48" s="1"/>
      <c r="B48" s="5"/>
      <c r="C48" s="1"/>
      <c r="D48" s="1"/>
      <c r="E48" s="1"/>
      <c r="F48" s="1"/>
      <c r="G48" s="1"/>
    </row>
    <row r="49" spans="1:7" x14ac:dyDescent="0.3">
      <c r="A49" s="1"/>
      <c r="B49" s="5"/>
      <c r="C49" s="1"/>
      <c r="D49" s="1"/>
      <c r="E49" s="1"/>
      <c r="F49" s="1"/>
      <c r="G49" s="1"/>
    </row>
    <row r="50" spans="1:7" x14ac:dyDescent="0.3">
      <c r="A50" s="1"/>
      <c r="B50" s="5"/>
      <c r="C50" s="1"/>
      <c r="D50" s="1"/>
      <c r="E50" s="1"/>
      <c r="F50" s="1"/>
      <c r="G50" s="1"/>
    </row>
    <row r="51" spans="1:7" x14ac:dyDescent="0.3">
      <c r="A51" s="1"/>
      <c r="B51" s="5"/>
      <c r="C51" s="1"/>
      <c r="D51" s="1"/>
      <c r="E51" s="1"/>
      <c r="F51" s="1"/>
      <c r="G51" s="1"/>
    </row>
    <row r="52" spans="1:7" x14ac:dyDescent="0.3">
      <c r="A52" s="1"/>
      <c r="B52" s="5"/>
      <c r="C52" s="1"/>
      <c r="D52" s="1"/>
      <c r="E52" s="1"/>
      <c r="F52" s="1"/>
      <c r="G52" s="1"/>
    </row>
    <row r="53" spans="1:7" x14ac:dyDescent="0.3">
      <c r="A53" s="1"/>
      <c r="B53" s="5"/>
      <c r="C53" s="1"/>
      <c r="D53" s="1"/>
      <c r="E53" s="1"/>
      <c r="F53" s="1"/>
      <c r="G53" s="1"/>
    </row>
    <row r="54" spans="1:7" x14ac:dyDescent="0.3">
      <c r="A54" s="1"/>
      <c r="B54" s="5"/>
      <c r="C54" s="1"/>
      <c r="D54" s="1"/>
      <c r="E54" s="1"/>
      <c r="F54" s="1"/>
      <c r="G54" s="1"/>
    </row>
    <row r="55" spans="1:7" x14ac:dyDescent="0.3">
      <c r="A55" s="1"/>
      <c r="B55" s="5"/>
      <c r="C55" s="1"/>
      <c r="D55" s="1"/>
      <c r="E55" s="1"/>
      <c r="F55" s="1"/>
      <c r="G55" s="1"/>
    </row>
    <row r="56" spans="1:7" x14ac:dyDescent="0.3">
      <c r="A56" s="1"/>
      <c r="B56" s="5"/>
      <c r="C56" s="1"/>
      <c r="D56" s="1"/>
      <c r="E56" s="1"/>
      <c r="F56" s="1"/>
      <c r="G56" s="1"/>
    </row>
    <row r="57" spans="1:7" x14ac:dyDescent="0.3">
      <c r="A57" s="1"/>
      <c r="B57" s="5"/>
      <c r="C57" s="1"/>
      <c r="D57" s="1"/>
      <c r="E57" s="1"/>
      <c r="F57" s="1"/>
      <c r="G57" s="1"/>
    </row>
    <row r="58" spans="1:7" x14ac:dyDescent="0.3">
      <c r="A58" s="1"/>
      <c r="B58" s="5"/>
      <c r="C58" s="1"/>
      <c r="D58" s="1"/>
      <c r="E58" s="1"/>
      <c r="F58" s="1"/>
      <c r="G58" s="1"/>
    </row>
    <row r="59" spans="1:7" x14ac:dyDescent="0.3">
      <c r="A59" s="1"/>
      <c r="B59" s="5"/>
      <c r="C59" s="1"/>
      <c r="D59" s="1"/>
      <c r="E59" s="1"/>
      <c r="F59" s="1"/>
      <c r="G59" s="1"/>
    </row>
    <row r="60" spans="1:7" x14ac:dyDescent="0.3">
      <c r="A60" s="1"/>
      <c r="B60" s="5"/>
      <c r="C60" s="1"/>
      <c r="D60" s="1"/>
      <c r="E60" s="1"/>
      <c r="F60" s="1"/>
      <c r="G60" s="1"/>
    </row>
    <row r="61" spans="1:7" x14ac:dyDescent="0.3">
      <c r="A61" s="1"/>
      <c r="B61" s="5"/>
      <c r="C61" s="1"/>
      <c r="D61" s="1"/>
      <c r="E61" s="1"/>
      <c r="F61" s="1"/>
      <c r="G61" s="1"/>
    </row>
    <row r="62" spans="1:7" x14ac:dyDescent="0.3">
      <c r="A62" s="1"/>
      <c r="B62" s="5"/>
      <c r="C62" s="1"/>
      <c r="D62" s="1"/>
      <c r="E62" s="1"/>
      <c r="F62" s="1"/>
      <c r="G62" s="1"/>
    </row>
    <row r="63" spans="1:7" x14ac:dyDescent="0.3">
      <c r="A63" s="1"/>
      <c r="B63" s="5"/>
      <c r="C63" s="1"/>
      <c r="D63" s="1"/>
      <c r="E63" s="1"/>
      <c r="F63" s="1"/>
      <c r="G63" s="1"/>
    </row>
    <row r="64" spans="1:7" x14ac:dyDescent="0.3">
      <c r="A64" s="1"/>
      <c r="B64" s="5"/>
      <c r="C64" s="1"/>
      <c r="D64" s="1"/>
      <c r="E64" s="1"/>
      <c r="F64" s="1"/>
      <c r="G64" s="1"/>
    </row>
    <row r="65" spans="1:7" x14ac:dyDescent="0.3">
      <c r="A65" s="1"/>
      <c r="B65" s="5"/>
      <c r="C65" s="1"/>
      <c r="D65" s="1"/>
      <c r="E65" s="1"/>
      <c r="F65" s="1"/>
      <c r="G65" s="1"/>
    </row>
    <row r="66" spans="1:7" x14ac:dyDescent="0.3">
      <c r="A66" s="1"/>
      <c r="B66" s="5"/>
      <c r="C66" s="1"/>
      <c r="D66" s="1"/>
      <c r="E66" s="1"/>
      <c r="F66" s="1"/>
      <c r="G66" s="1"/>
    </row>
    <row r="67" spans="1:7" x14ac:dyDescent="0.3">
      <c r="A67" s="1"/>
      <c r="B67" s="5"/>
      <c r="C67" s="1"/>
      <c r="D67" s="1"/>
      <c r="E67" s="1"/>
      <c r="F67" s="1"/>
      <c r="G67" s="1"/>
    </row>
    <row r="68" spans="1:7" x14ac:dyDescent="0.3">
      <c r="A68" s="1"/>
      <c r="B68" s="5"/>
      <c r="C68" s="1"/>
      <c r="D68" s="1"/>
      <c r="E68" s="1"/>
      <c r="F68" s="1"/>
      <c r="G68" s="1"/>
    </row>
    <row r="69" spans="1:7" x14ac:dyDescent="0.3">
      <c r="A69" s="1"/>
      <c r="B69" s="5"/>
      <c r="C69" s="1"/>
      <c r="D69" s="1"/>
      <c r="E69" s="1"/>
      <c r="F69" s="1"/>
      <c r="G69" s="1"/>
    </row>
    <row r="70" spans="1:7" x14ac:dyDescent="0.3">
      <c r="A70" s="1"/>
      <c r="B70" s="5"/>
      <c r="C70" s="1"/>
      <c r="D70" s="1"/>
      <c r="E70" s="1"/>
      <c r="F70" s="1"/>
      <c r="G70" s="1"/>
    </row>
    <row r="71" spans="1:7" x14ac:dyDescent="0.3">
      <c r="A71" s="1"/>
      <c r="B71" s="1"/>
      <c r="C71" s="1"/>
      <c r="D71" s="1"/>
      <c r="E71" s="1"/>
      <c r="F71" s="1"/>
      <c r="G71" s="1"/>
    </row>
    <row r="72" spans="1:7" x14ac:dyDescent="0.3">
      <c r="A72" s="1"/>
      <c r="B72" s="1"/>
      <c r="C72" s="1"/>
      <c r="D72" s="1"/>
      <c r="E72" s="1"/>
      <c r="F72" s="1"/>
      <c r="G72" s="1"/>
    </row>
    <row r="73" spans="1:7" x14ac:dyDescent="0.3">
      <c r="A73" s="1"/>
      <c r="B73" s="1"/>
      <c r="C73" s="1"/>
      <c r="D73" s="1"/>
      <c r="E73" s="1"/>
      <c r="F73" s="1"/>
      <c r="G73" s="1"/>
    </row>
    <row r="74" spans="1:7" x14ac:dyDescent="0.3">
      <c r="A74" s="1"/>
      <c r="B74" s="1"/>
      <c r="C74" s="1"/>
      <c r="D74" s="1"/>
      <c r="E74" s="1"/>
      <c r="F74" s="1"/>
      <c r="G74" s="1"/>
    </row>
    <row r="75" spans="1:7" x14ac:dyDescent="0.3">
      <c r="A75" s="1"/>
      <c r="B75" s="1"/>
      <c r="C75" s="1"/>
      <c r="D75" s="1"/>
      <c r="E75" s="1"/>
      <c r="F75" s="1"/>
      <c r="G75" s="1"/>
    </row>
    <row r="76" spans="1:7" x14ac:dyDescent="0.3">
      <c r="A76" s="1"/>
      <c r="B76" s="1"/>
      <c r="C76" s="1"/>
      <c r="D76" s="1"/>
      <c r="E76" s="1"/>
      <c r="F76" s="1"/>
      <c r="G76" s="1"/>
    </row>
    <row r="77" spans="1:7" x14ac:dyDescent="0.3">
      <c r="A77" s="1"/>
      <c r="B77" s="1"/>
      <c r="C77" s="1"/>
      <c r="D77" s="1"/>
      <c r="E77" s="1"/>
      <c r="F77" s="1"/>
      <c r="G77" s="1"/>
    </row>
    <row r="78" spans="1:7" x14ac:dyDescent="0.3">
      <c r="A78" s="1"/>
      <c r="B78" s="1"/>
      <c r="C78" s="1"/>
      <c r="D78" s="1"/>
      <c r="E78" s="1"/>
      <c r="F78" s="1"/>
      <c r="G78" s="1"/>
    </row>
    <row r="79" spans="1:7" x14ac:dyDescent="0.3">
      <c r="A79" s="1"/>
      <c r="B79" s="1"/>
      <c r="C79" s="1"/>
      <c r="D79" s="1"/>
      <c r="E79" s="1"/>
      <c r="F79" s="1"/>
      <c r="G79" s="1"/>
    </row>
    <row r="80" spans="1:7" x14ac:dyDescent="0.3">
      <c r="A80" s="1"/>
      <c r="B80" s="5"/>
      <c r="C80" s="1"/>
      <c r="D80" s="1"/>
      <c r="E80" s="1"/>
      <c r="F80" s="1"/>
      <c r="G80" s="1"/>
    </row>
    <row r="81" spans="1:7" x14ac:dyDescent="0.3">
      <c r="A81" s="1"/>
      <c r="B81" s="1"/>
      <c r="C81" s="1"/>
      <c r="D81" s="1"/>
      <c r="E81" s="1"/>
      <c r="F81" s="1"/>
      <c r="G81" s="1"/>
    </row>
    <row r="82" spans="1:7" x14ac:dyDescent="0.3">
      <c r="A82" s="1"/>
      <c r="B82" s="1"/>
      <c r="C82" s="1"/>
      <c r="D82" s="1"/>
      <c r="E82" s="1"/>
      <c r="F82" s="1"/>
      <c r="G82" s="1"/>
    </row>
    <row r="83" spans="1:7" x14ac:dyDescent="0.3">
      <c r="A83" s="1"/>
      <c r="B83" s="1"/>
      <c r="C83" s="1"/>
      <c r="D83" s="1"/>
      <c r="E83" s="1"/>
      <c r="F83" s="1"/>
      <c r="G83" s="1"/>
    </row>
    <row r="84" spans="1:7" x14ac:dyDescent="0.3">
      <c r="A84" s="1"/>
      <c r="B84" s="1"/>
      <c r="C84" s="1"/>
      <c r="D84" s="1"/>
      <c r="E84" s="1"/>
      <c r="F84" s="1"/>
      <c r="G84" s="1"/>
    </row>
    <row r="85" spans="1:7" x14ac:dyDescent="0.3">
      <c r="A85" s="1"/>
      <c r="B85" s="1"/>
      <c r="C85" s="1"/>
      <c r="D85" s="1"/>
      <c r="E85" s="1"/>
      <c r="F85" s="1"/>
      <c r="G85" s="1"/>
    </row>
    <row r="86" spans="1:7" x14ac:dyDescent="0.3">
      <c r="A86" s="1"/>
      <c r="B86" s="1"/>
      <c r="C86" s="1"/>
      <c r="D86" s="1"/>
      <c r="E86" s="1"/>
      <c r="F86" s="1"/>
      <c r="G86" s="1"/>
    </row>
    <row r="87" spans="1:7" x14ac:dyDescent="0.3">
      <c r="A87" s="1"/>
      <c r="B87" s="1"/>
      <c r="C87" s="1"/>
      <c r="D87" s="1"/>
      <c r="E87" s="1"/>
      <c r="F87" s="1"/>
      <c r="G87" s="1"/>
    </row>
    <row r="88" spans="1:7" x14ac:dyDescent="0.3">
      <c r="A88" s="1"/>
      <c r="B88" s="1"/>
      <c r="C88" s="1"/>
      <c r="D88" s="1"/>
      <c r="E88" s="1"/>
      <c r="F88" s="1"/>
      <c r="G88" s="1"/>
    </row>
    <row r="89" spans="1:7" x14ac:dyDescent="0.3">
      <c r="A89" s="1"/>
      <c r="B89" s="1"/>
      <c r="C89" s="1"/>
      <c r="D89" s="1"/>
      <c r="E89" s="1"/>
      <c r="F89" s="1"/>
      <c r="G89" s="1"/>
    </row>
    <row r="90" spans="1:7" x14ac:dyDescent="0.3">
      <c r="A90" s="1"/>
      <c r="B90" s="1"/>
      <c r="C90" s="1"/>
      <c r="D90" s="1"/>
      <c r="E90" s="1"/>
      <c r="F90" s="1"/>
      <c r="G90" s="1"/>
    </row>
    <row r="91" spans="1:7" x14ac:dyDescent="0.3">
      <c r="A91" s="1"/>
      <c r="B91" s="1"/>
      <c r="C91" s="1"/>
      <c r="D91" s="1"/>
      <c r="E91" s="1"/>
      <c r="F91" s="1"/>
      <c r="G91" s="1"/>
    </row>
    <row r="92" spans="1:7" x14ac:dyDescent="0.3">
      <c r="A92" s="1"/>
      <c r="B92" s="1"/>
      <c r="C92" s="1"/>
      <c r="D92" s="1"/>
      <c r="E92" s="1"/>
      <c r="F92" s="1"/>
      <c r="G92" s="1"/>
    </row>
    <row r="93" spans="1:7" x14ac:dyDescent="0.3">
      <c r="A93" s="1"/>
      <c r="B93" s="1"/>
      <c r="C93" s="1"/>
      <c r="D93" s="1"/>
      <c r="E93" s="1"/>
      <c r="F93" s="1"/>
      <c r="G93" s="1"/>
    </row>
    <row r="94" spans="1:7" x14ac:dyDescent="0.3">
      <c r="A94" s="1"/>
      <c r="B94" s="1"/>
      <c r="C94" s="1"/>
      <c r="D94" s="1"/>
      <c r="E94" s="1"/>
      <c r="F94" s="1"/>
      <c r="G94" s="1"/>
    </row>
    <row r="95" spans="1:7" x14ac:dyDescent="0.3">
      <c r="A95" s="1"/>
      <c r="B95" s="1"/>
      <c r="C95" s="1"/>
      <c r="D95" s="1"/>
      <c r="E95" s="1"/>
      <c r="F95" s="1"/>
      <c r="G95" s="1"/>
    </row>
    <row r="96" spans="1:7" x14ac:dyDescent="0.3">
      <c r="A96" s="1"/>
      <c r="B96" s="1"/>
      <c r="C96" s="1"/>
      <c r="D96" s="1"/>
      <c r="E96" s="1"/>
      <c r="F96" s="1"/>
      <c r="G96" s="1"/>
    </row>
    <row r="97" spans="1:7" x14ac:dyDescent="0.3">
      <c r="A97" s="1"/>
      <c r="B97" s="1"/>
      <c r="C97" s="1"/>
      <c r="D97" s="1"/>
      <c r="E97" s="1"/>
      <c r="F97" s="1"/>
      <c r="G97" s="1"/>
    </row>
    <row r="98" spans="1:7" x14ac:dyDescent="0.3">
      <c r="A98" s="1"/>
      <c r="B98" s="1"/>
      <c r="C98" s="1"/>
      <c r="D98" s="1"/>
      <c r="E98" s="1"/>
      <c r="F98" s="1"/>
      <c r="G98" s="1"/>
    </row>
    <row r="99" spans="1:7" x14ac:dyDescent="0.3">
      <c r="A99" s="1"/>
      <c r="B99" s="1"/>
      <c r="C99" s="1"/>
      <c r="D99" s="1"/>
      <c r="E99" s="1"/>
      <c r="F99" s="1"/>
      <c r="G99" s="1"/>
    </row>
    <row r="100" spans="1:7" x14ac:dyDescent="0.3">
      <c r="A100" s="1"/>
      <c r="B100" s="1"/>
      <c r="C100" s="1"/>
      <c r="D100" s="1"/>
      <c r="E100" s="1"/>
      <c r="F100" s="1"/>
      <c r="G100" s="1"/>
    </row>
    <row r="101" spans="1:7" x14ac:dyDescent="0.3">
      <c r="A101" s="1"/>
      <c r="B101" s="1"/>
      <c r="C101" s="1"/>
      <c r="D101" s="1"/>
      <c r="E101" s="1"/>
      <c r="F101" s="1"/>
      <c r="G101" s="1"/>
    </row>
    <row r="102" spans="1:7" x14ac:dyDescent="0.3">
      <c r="A102" s="1"/>
      <c r="B102" s="1"/>
      <c r="C102" s="1"/>
      <c r="D102" s="1"/>
      <c r="E102" s="1"/>
      <c r="F102" s="1"/>
      <c r="G102" s="1"/>
    </row>
    <row r="103" spans="1:7" x14ac:dyDescent="0.3">
      <c r="A103" s="1"/>
      <c r="B103" s="1"/>
      <c r="C103" s="1"/>
      <c r="D103" s="1"/>
      <c r="E103" s="1"/>
      <c r="F103" s="1"/>
      <c r="G103" s="1"/>
    </row>
    <row r="104" spans="1:7" x14ac:dyDescent="0.3">
      <c r="A104" s="1"/>
      <c r="B104" s="1"/>
      <c r="C104" s="1"/>
      <c r="D104" s="1"/>
      <c r="E104" s="1"/>
      <c r="F104" s="1"/>
      <c r="G104" s="1"/>
    </row>
    <row r="105" spans="1:7" x14ac:dyDescent="0.3">
      <c r="A105" s="1"/>
      <c r="B105" s="1"/>
      <c r="C105" s="1"/>
      <c r="D105" s="1"/>
      <c r="E105" s="1"/>
      <c r="F105" s="1"/>
      <c r="G105" s="1"/>
    </row>
    <row r="106" spans="1:7" x14ac:dyDescent="0.3">
      <c r="A106" s="1"/>
      <c r="B106" s="1"/>
      <c r="C106" s="1"/>
      <c r="D106" s="1"/>
      <c r="E106" s="1"/>
      <c r="F106" s="1"/>
      <c r="G106" s="1"/>
    </row>
    <row r="107" spans="1:7" x14ac:dyDescent="0.3">
      <c r="A107" s="1"/>
      <c r="B107" s="1"/>
      <c r="C107" s="1"/>
      <c r="D107" s="1"/>
      <c r="E107" s="1"/>
      <c r="F107" s="1"/>
      <c r="G107" s="1"/>
    </row>
    <row r="108" spans="1:7" x14ac:dyDescent="0.3">
      <c r="A108" s="1"/>
      <c r="B108" s="1"/>
      <c r="C108" s="1"/>
      <c r="D108" s="1"/>
      <c r="E108" s="1"/>
      <c r="F108" s="1"/>
      <c r="G108" s="1"/>
    </row>
    <row r="109" spans="1:7" x14ac:dyDescent="0.3">
      <c r="A109" s="1"/>
      <c r="B109" s="1"/>
      <c r="C109" s="1"/>
      <c r="D109" s="1"/>
      <c r="E109" s="1"/>
      <c r="F109" s="1"/>
      <c r="G109" s="1"/>
    </row>
    <row r="110" spans="1:7" x14ac:dyDescent="0.3">
      <c r="A110" s="1"/>
      <c r="B110" s="1"/>
      <c r="C110" s="1"/>
      <c r="D110" s="1"/>
      <c r="E110" s="1"/>
      <c r="F110" s="1"/>
      <c r="G110" s="1"/>
    </row>
    <row r="111" spans="1:7" x14ac:dyDescent="0.3">
      <c r="A111" s="1"/>
      <c r="B111" s="1"/>
      <c r="C111" s="1"/>
      <c r="D111" s="1"/>
      <c r="E111" s="1"/>
      <c r="F111" s="1"/>
      <c r="G111" s="1"/>
    </row>
    <row r="112" spans="1:7" x14ac:dyDescent="0.3">
      <c r="A112" s="1"/>
      <c r="B112" s="1"/>
      <c r="C112" s="1"/>
      <c r="D112" s="1"/>
      <c r="E112" s="1"/>
      <c r="F112" s="1"/>
      <c r="G112" s="1"/>
    </row>
    <row r="113" spans="1:7" x14ac:dyDescent="0.3">
      <c r="A113" s="1"/>
      <c r="B113" s="1"/>
      <c r="C113" s="1"/>
      <c r="D113" s="1"/>
      <c r="E113" s="1"/>
      <c r="F113" s="1"/>
      <c r="G113" s="1"/>
    </row>
    <row r="114" spans="1:7" x14ac:dyDescent="0.3">
      <c r="A114" s="1"/>
      <c r="B114" s="1"/>
      <c r="C114" s="1"/>
      <c r="D114" s="1"/>
      <c r="E114" s="1"/>
      <c r="F114" s="1"/>
      <c r="G114" s="1"/>
    </row>
    <row r="115" spans="1:7" x14ac:dyDescent="0.3">
      <c r="A115" s="1"/>
      <c r="B115" s="1"/>
      <c r="C115" s="1"/>
      <c r="D115" s="1"/>
      <c r="E115" s="1"/>
      <c r="F115" s="1"/>
      <c r="G115" s="1"/>
    </row>
    <row r="116" spans="1:7" x14ac:dyDescent="0.3">
      <c r="A116" s="1"/>
      <c r="B116" s="1"/>
      <c r="C116" s="1"/>
      <c r="D116" s="1"/>
      <c r="E116" s="1"/>
      <c r="F116" s="1"/>
      <c r="G116" s="1"/>
    </row>
    <row r="117" spans="1:7" x14ac:dyDescent="0.3">
      <c r="A117" s="1"/>
      <c r="B117" s="1"/>
      <c r="C117" s="1"/>
      <c r="D117" s="1"/>
      <c r="E117" s="1"/>
      <c r="F117" s="1"/>
      <c r="G117" s="1"/>
    </row>
    <row r="118" spans="1:7" x14ac:dyDescent="0.3">
      <c r="A118" s="1"/>
      <c r="B118" s="1"/>
      <c r="C118" s="1"/>
      <c r="D118" s="1"/>
      <c r="E118" s="1"/>
      <c r="F118" s="1"/>
      <c r="G118" s="1"/>
    </row>
    <row r="119" spans="1:7" x14ac:dyDescent="0.3">
      <c r="A119" s="1"/>
      <c r="B119" s="1"/>
      <c r="C119" s="1"/>
      <c r="D119" s="1"/>
      <c r="E119" s="1"/>
      <c r="F119" s="1"/>
      <c r="G119" s="1"/>
    </row>
    <row r="120" spans="1:7" x14ac:dyDescent="0.3">
      <c r="A120" s="1"/>
      <c r="B120" s="1"/>
      <c r="C120" s="1"/>
      <c r="D120" s="1"/>
      <c r="E120" s="1"/>
      <c r="F120" s="1"/>
      <c r="G120" s="1"/>
    </row>
    <row r="121" spans="1:7" x14ac:dyDescent="0.3">
      <c r="A121" s="1"/>
      <c r="B121" s="1"/>
      <c r="C121" s="1"/>
      <c r="D121" s="1"/>
      <c r="E121" s="1"/>
      <c r="F121" s="1"/>
      <c r="G121" s="1"/>
    </row>
    <row r="122" spans="1:7" x14ac:dyDescent="0.3">
      <c r="A122" s="1"/>
      <c r="B122" s="1"/>
      <c r="C122" s="1"/>
      <c r="D122" s="1"/>
      <c r="E122" s="1"/>
      <c r="F122" s="1"/>
      <c r="G122" s="1"/>
    </row>
    <row r="123" spans="1:7" x14ac:dyDescent="0.3">
      <c r="A123" s="1"/>
      <c r="B123" s="1"/>
      <c r="C123" s="1"/>
      <c r="D123" s="1"/>
      <c r="E123" s="1"/>
      <c r="F123" s="1"/>
      <c r="G123" s="1"/>
    </row>
    <row r="124" spans="1:7" x14ac:dyDescent="0.3">
      <c r="A124" s="1"/>
      <c r="B124" s="1"/>
      <c r="C124" s="1"/>
      <c r="D124" s="1"/>
      <c r="E124" s="1"/>
      <c r="F124" s="1"/>
      <c r="G124" s="1"/>
    </row>
    <row r="125" spans="1:7" x14ac:dyDescent="0.3">
      <c r="A125" s="1"/>
      <c r="B125" s="1"/>
      <c r="C125" s="1"/>
      <c r="D125" s="1"/>
      <c r="E125" s="1"/>
      <c r="F125" s="1"/>
      <c r="G125" s="1"/>
    </row>
    <row r="126" spans="1:7" x14ac:dyDescent="0.3">
      <c r="A126" s="1"/>
      <c r="B126" s="1"/>
      <c r="C126" s="1"/>
      <c r="D126" s="1"/>
      <c r="E126" s="1"/>
      <c r="F126" s="1"/>
      <c r="G126" s="1"/>
    </row>
    <row r="127" spans="1:7" x14ac:dyDescent="0.3">
      <c r="A127" s="1"/>
      <c r="B127" s="1"/>
      <c r="C127" s="1"/>
      <c r="D127" s="1"/>
      <c r="E127" s="1"/>
      <c r="F127" s="1"/>
      <c r="G127" s="1"/>
    </row>
    <row r="128" spans="1:7" x14ac:dyDescent="0.3">
      <c r="A128" s="1"/>
      <c r="B128" s="1"/>
      <c r="C128" s="1"/>
      <c r="D128" s="1"/>
      <c r="E128" s="1"/>
      <c r="F128" s="1"/>
      <c r="G128" s="1"/>
    </row>
    <row r="129" spans="1:7" x14ac:dyDescent="0.3">
      <c r="A129" s="1"/>
      <c r="B129" s="1"/>
      <c r="C129" s="1"/>
      <c r="D129" s="1"/>
      <c r="E129" s="1"/>
      <c r="F129" s="1"/>
      <c r="G129" s="1"/>
    </row>
    <row r="130" spans="1:7" x14ac:dyDescent="0.3">
      <c r="A130" s="1"/>
      <c r="B130" s="1"/>
      <c r="C130" s="1"/>
      <c r="D130" s="1"/>
      <c r="E130" s="1"/>
      <c r="F130" s="1"/>
      <c r="G130" s="1"/>
    </row>
    <row r="131" spans="1:7" x14ac:dyDescent="0.3">
      <c r="A131" s="1"/>
      <c r="B131" s="1"/>
      <c r="C131" s="1"/>
      <c r="D131" s="1"/>
      <c r="E131" s="1"/>
      <c r="F131" s="1"/>
      <c r="G131" s="1"/>
    </row>
    <row r="132" spans="1:7" x14ac:dyDescent="0.3">
      <c r="A132" s="1"/>
      <c r="B132" s="1"/>
      <c r="C132" s="1"/>
      <c r="D132" s="1"/>
      <c r="E132" s="1"/>
      <c r="F132" s="1"/>
      <c r="G132" s="1"/>
    </row>
    <row r="133" spans="1:7" x14ac:dyDescent="0.3">
      <c r="A133" s="1"/>
      <c r="B133" s="1"/>
      <c r="C133" s="1"/>
      <c r="D133" s="1"/>
      <c r="E133" s="1"/>
      <c r="F133" s="1"/>
      <c r="G133" s="1"/>
    </row>
    <row r="134" spans="1:7" x14ac:dyDescent="0.3">
      <c r="A134" s="1"/>
      <c r="B134" s="1"/>
      <c r="C134" s="1"/>
      <c r="D134" s="1"/>
      <c r="E134" s="1"/>
      <c r="F134" s="1"/>
      <c r="G134" s="1"/>
    </row>
    <row r="135" spans="1:7" x14ac:dyDescent="0.3">
      <c r="A135" s="1"/>
      <c r="B135" s="1"/>
      <c r="C135" s="1"/>
      <c r="D135" s="1"/>
      <c r="E135" s="1"/>
      <c r="F135" s="1"/>
      <c r="G135" s="1"/>
    </row>
    <row r="136" spans="1:7" x14ac:dyDescent="0.3">
      <c r="A136" s="1"/>
      <c r="B136" s="1"/>
      <c r="C136" s="1"/>
      <c r="D136" s="1"/>
      <c r="E136" s="1"/>
      <c r="F136" s="1"/>
      <c r="G136" s="1"/>
    </row>
    <row r="137" spans="1:7" x14ac:dyDescent="0.3">
      <c r="A137" s="1"/>
      <c r="B137" s="1"/>
      <c r="C137" s="1"/>
      <c r="D137" s="1"/>
      <c r="E137" s="1"/>
      <c r="F137" s="1"/>
      <c r="G137" s="1"/>
    </row>
    <row r="138" spans="1:7" x14ac:dyDescent="0.3">
      <c r="A138" s="1"/>
      <c r="B138" s="1"/>
      <c r="C138" s="1"/>
      <c r="D138" s="1"/>
      <c r="E138" s="1"/>
      <c r="F138" s="1"/>
      <c r="G138" s="1"/>
    </row>
    <row r="139" spans="1:7" x14ac:dyDescent="0.3">
      <c r="A139" s="1"/>
      <c r="B139" s="1"/>
      <c r="C139" s="1"/>
      <c r="D139" s="1"/>
      <c r="E139" s="1"/>
      <c r="F139" s="1"/>
      <c r="G139" s="1"/>
    </row>
    <row r="140" spans="1:7" x14ac:dyDescent="0.3">
      <c r="A140" s="1"/>
      <c r="B140" s="1"/>
      <c r="C140" s="1"/>
      <c r="D140" s="1"/>
      <c r="E140" s="1"/>
      <c r="F140" s="1"/>
      <c r="G140" s="1"/>
    </row>
    <row r="141" spans="1:7" x14ac:dyDescent="0.3">
      <c r="A141" s="1"/>
      <c r="B141" s="1"/>
      <c r="C141" s="1"/>
      <c r="D141" s="1"/>
      <c r="E141" s="1"/>
      <c r="F141" s="1"/>
      <c r="G141" s="1"/>
    </row>
    <row r="142" spans="1:7" x14ac:dyDescent="0.3">
      <c r="A142" s="1"/>
      <c r="B142" s="1"/>
      <c r="C142" s="1"/>
      <c r="D142" s="1"/>
      <c r="E142" s="1"/>
      <c r="F142" s="1"/>
      <c r="G142" s="1"/>
    </row>
    <row r="143" spans="1:7" x14ac:dyDescent="0.3">
      <c r="A143" s="1"/>
      <c r="B143" s="1"/>
      <c r="C143" s="1"/>
      <c r="D143" s="1"/>
      <c r="E143" s="1"/>
      <c r="F143" s="1"/>
      <c r="G143" s="1"/>
    </row>
    <row r="144" spans="1:7" x14ac:dyDescent="0.3">
      <c r="A144" s="1"/>
      <c r="B144" s="1"/>
      <c r="C144" s="1"/>
      <c r="D144" s="1"/>
      <c r="E144" s="1"/>
      <c r="F144" s="1"/>
      <c r="G144" s="1"/>
    </row>
    <row r="145" spans="1:7" x14ac:dyDescent="0.3">
      <c r="A145" s="1"/>
      <c r="B145" s="1"/>
      <c r="C145" s="1"/>
      <c r="D145" s="1"/>
      <c r="E145" s="1"/>
      <c r="F145" s="1"/>
      <c r="G145" s="1"/>
    </row>
    <row r="146" spans="1:7" x14ac:dyDescent="0.3">
      <c r="A146" s="1"/>
      <c r="B146" s="1"/>
      <c r="C146" s="1"/>
      <c r="D146" s="1"/>
      <c r="E146" s="1"/>
      <c r="F146" s="1"/>
      <c r="G146" s="1"/>
    </row>
    <row r="147" spans="1:7" x14ac:dyDescent="0.3">
      <c r="A147" s="1"/>
      <c r="B147" s="1"/>
      <c r="C147" s="1"/>
      <c r="D147" s="1"/>
      <c r="E147" s="1"/>
      <c r="F147" s="1"/>
      <c r="G147" s="1"/>
    </row>
    <row r="148" spans="1:7" x14ac:dyDescent="0.3">
      <c r="A148" s="1"/>
      <c r="B148" s="1"/>
      <c r="C148" s="1"/>
      <c r="D148" s="1"/>
      <c r="E148" s="1"/>
      <c r="F148" s="1"/>
      <c r="G148" s="1"/>
    </row>
    <row r="149" spans="1:7" x14ac:dyDescent="0.3">
      <c r="A149" s="1"/>
      <c r="B149" s="1"/>
      <c r="C149" s="1"/>
      <c r="D149" s="1"/>
      <c r="E149" s="1"/>
      <c r="F149" s="1"/>
      <c r="G149" s="1"/>
    </row>
    <row r="150" spans="1:7" x14ac:dyDescent="0.3">
      <c r="A150" s="1"/>
      <c r="B150" s="1"/>
      <c r="C150" s="1"/>
      <c r="D150" s="1"/>
      <c r="E150" s="1"/>
      <c r="F150" s="1"/>
      <c r="G150" s="1"/>
    </row>
    <row r="151" spans="1:7" x14ac:dyDescent="0.3">
      <c r="A151" s="1"/>
      <c r="B151" s="1"/>
      <c r="C151" s="1"/>
      <c r="D151" s="1"/>
      <c r="E151" s="1"/>
      <c r="F151" s="1"/>
      <c r="G151" s="1"/>
    </row>
    <row r="152" spans="1:7" x14ac:dyDescent="0.3">
      <c r="A152" s="1"/>
      <c r="B152" s="1"/>
      <c r="C152" s="1"/>
      <c r="D152" s="1"/>
      <c r="E152" s="1"/>
      <c r="F152" s="1"/>
      <c r="G152" s="1"/>
    </row>
    <row r="153" spans="1:7" x14ac:dyDescent="0.3">
      <c r="A153" s="1"/>
      <c r="B153" s="1"/>
      <c r="C153" s="1"/>
      <c r="D153" s="1"/>
      <c r="E153" s="1"/>
      <c r="F153" s="1"/>
      <c r="G153" s="1"/>
    </row>
    <row r="154" spans="1:7" x14ac:dyDescent="0.3">
      <c r="A154" s="1"/>
      <c r="B154" s="1"/>
      <c r="C154" s="1"/>
      <c r="D154" s="1"/>
      <c r="E154" s="1"/>
      <c r="F154" s="1"/>
      <c r="G154" s="1"/>
    </row>
    <row r="155" spans="1:7" x14ac:dyDescent="0.3">
      <c r="A155" s="1"/>
      <c r="B155" s="1"/>
      <c r="C155" s="1"/>
      <c r="D155" s="1"/>
      <c r="E155" s="1"/>
      <c r="F155" s="1"/>
      <c r="G155" s="1"/>
    </row>
    <row r="156" spans="1:7" x14ac:dyDescent="0.3">
      <c r="A156" s="1"/>
      <c r="B156" s="1"/>
      <c r="C156" s="1"/>
      <c r="D156" s="1"/>
      <c r="E156" s="1"/>
      <c r="F156" s="1"/>
      <c r="G156" s="1"/>
    </row>
    <row r="157" spans="1:7" x14ac:dyDescent="0.3">
      <c r="A157" s="1"/>
      <c r="B157" s="1"/>
      <c r="C157" s="1"/>
      <c r="D157" s="1"/>
      <c r="E157" s="1"/>
      <c r="F157" s="1"/>
      <c r="G157" s="1"/>
    </row>
    <row r="158" spans="1:7" x14ac:dyDescent="0.3">
      <c r="A158" s="1"/>
      <c r="B158" s="1"/>
      <c r="C158" s="1"/>
      <c r="D158" s="1"/>
      <c r="E158" s="1"/>
      <c r="F158" s="1"/>
      <c r="G158" s="1"/>
    </row>
    <row r="159" spans="1:7" x14ac:dyDescent="0.3">
      <c r="A159" s="1"/>
      <c r="B159" s="1"/>
      <c r="C159" s="1"/>
      <c r="D159" s="1"/>
      <c r="E159" s="1"/>
      <c r="F159" s="1"/>
      <c r="G159" s="1"/>
    </row>
    <row r="160" spans="1:7" x14ac:dyDescent="0.3">
      <c r="A160" s="1"/>
      <c r="B160" s="1"/>
      <c r="C160" s="1"/>
      <c r="D160" s="1"/>
      <c r="E160" s="1"/>
      <c r="F160" s="1"/>
      <c r="G160" s="1"/>
    </row>
    <row r="161" spans="1:7" x14ac:dyDescent="0.3">
      <c r="A161" s="1"/>
      <c r="B161" s="1"/>
      <c r="C161" s="1"/>
      <c r="D161" s="1"/>
      <c r="E161" s="1"/>
      <c r="F161" s="1"/>
      <c r="G161" s="1"/>
    </row>
    <row r="162" spans="1:7" x14ac:dyDescent="0.3">
      <c r="A162" s="1"/>
      <c r="B162" s="1"/>
      <c r="C162" s="1"/>
      <c r="D162" s="1"/>
      <c r="E162" s="1"/>
      <c r="F162" s="1"/>
      <c r="G162" s="1"/>
    </row>
    <row r="163" spans="1:7" x14ac:dyDescent="0.3">
      <c r="A163" s="1"/>
      <c r="B163" s="1"/>
      <c r="C163" s="1"/>
      <c r="D163" s="1"/>
      <c r="E163" s="1"/>
      <c r="F163" s="1"/>
      <c r="G163" s="1"/>
    </row>
    <row r="164" spans="1:7" x14ac:dyDescent="0.3">
      <c r="A164" s="1"/>
      <c r="B164" s="1"/>
      <c r="C164" s="1"/>
      <c r="D164" s="1"/>
      <c r="E164" s="1"/>
      <c r="F164" s="1"/>
      <c r="G164" s="1"/>
    </row>
    <row r="165" spans="1:7" x14ac:dyDescent="0.3">
      <c r="A165" s="1"/>
      <c r="B165" s="1"/>
      <c r="C165" s="1"/>
      <c r="D165" s="1"/>
      <c r="E165" s="1"/>
      <c r="F165" s="1"/>
      <c r="G165" s="1"/>
    </row>
    <row r="166" spans="1:7" x14ac:dyDescent="0.3">
      <c r="A166" s="1"/>
      <c r="B166" s="1"/>
      <c r="C166" s="1"/>
      <c r="D166" s="1"/>
      <c r="E166" s="1"/>
      <c r="F166" s="1"/>
      <c r="G166" s="1"/>
    </row>
    <row r="167" spans="1:7" x14ac:dyDescent="0.3">
      <c r="A167" s="1"/>
      <c r="B167" s="1"/>
      <c r="C167" s="1"/>
      <c r="D167" s="1"/>
      <c r="E167" s="1"/>
      <c r="F167" s="1"/>
      <c r="G167" s="1"/>
    </row>
    <row r="168" spans="1:7" x14ac:dyDescent="0.3">
      <c r="A168" s="1"/>
      <c r="B168" s="1"/>
      <c r="C168" s="1"/>
      <c r="D168" s="1"/>
      <c r="E168" s="1"/>
      <c r="F168" s="1"/>
      <c r="G168" s="1"/>
    </row>
    <row r="169" spans="1:7" x14ac:dyDescent="0.3">
      <c r="A169" s="1"/>
      <c r="B169" s="1"/>
      <c r="C169" s="1"/>
      <c r="D169" s="1"/>
      <c r="E169" s="1"/>
      <c r="F169" s="1"/>
      <c r="G169" s="1"/>
    </row>
    <row r="170" spans="1:7" x14ac:dyDescent="0.3">
      <c r="A170" s="1"/>
      <c r="B170" s="1"/>
      <c r="C170" s="1"/>
      <c r="D170" s="1"/>
      <c r="E170" s="1"/>
      <c r="F170" s="1"/>
      <c r="G170" s="1"/>
    </row>
    <row r="171" spans="1:7" x14ac:dyDescent="0.3">
      <c r="A171" s="1"/>
      <c r="B171" s="1"/>
      <c r="C171" s="1"/>
      <c r="D171" s="1"/>
      <c r="E171" s="1"/>
      <c r="F171" s="1"/>
      <c r="G171" s="1"/>
    </row>
    <row r="172" spans="1:7" x14ac:dyDescent="0.3">
      <c r="A172" s="1"/>
      <c r="B172" s="1"/>
      <c r="C172" s="1"/>
      <c r="D172" s="1"/>
      <c r="E172" s="1"/>
      <c r="F172" s="1"/>
      <c r="G172" s="1"/>
    </row>
    <row r="173" spans="1:7" x14ac:dyDescent="0.3">
      <c r="A173" s="1"/>
      <c r="B173" s="1"/>
      <c r="C173" s="1"/>
      <c r="D173" s="1"/>
      <c r="E173" s="1"/>
      <c r="F173" s="1"/>
      <c r="G173" s="1"/>
    </row>
    <row r="174" spans="1:7" x14ac:dyDescent="0.3">
      <c r="A174" s="1"/>
      <c r="B174" s="1"/>
      <c r="C174" s="1"/>
      <c r="D174" s="1"/>
      <c r="E174" s="1"/>
      <c r="F174" s="1"/>
      <c r="G174" s="1"/>
    </row>
    <row r="175" spans="1:7" x14ac:dyDescent="0.3">
      <c r="A175" s="1"/>
      <c r="B175" s="1"/>
      <c r="C175" s="1"/>
      <c r="D175" s="1"/>
      <c r="E175" s="1"/>
      <c r="F175" s="1"/>
      <c r="G175" s="1"/>
    </row>
    <row r="176" spans="1:7" x14ac:dyDescent="0.3">
      <c r="A176" s="1"/>
      <c r="B176" s="1"/>
      <c r="C176" s="1"/>
      <c r="D176" s="1"/>
      <c r="E176" s="1"/>
      <c r="F176" s="1"/>
      <c r="G176" s="1"/>
    </row>
    <row r="177" spans="1:7" x14ac:dyDescent="0.3">
      <c r="A177" s="1"/>
      <c r="B177" s="1"/>
      <c r="C177" s="1"/>
      <c r="D177" s="1"/>
      <c r="E177" s="1"/>
      <c r="F177" s="1"/>
      <c r="G177" s="1"/>
    </row>
    <row r="178" spans="1:7" x14ac:dyDescent="0.3">
      <c r="A178" s="1"/>
      <c r="B178" s="1"/>
      <c r="C178" s="1"/>
      <c r="D178" s="1"/>
      <c r="E178" s="1"/>
      <c r="F178" s="1"/>
      <c r="G178" s="1"/>
    </row>
    <row r="179" spans="1:7" x14ac:dyDescent="0.3">
      <c r="A179" s="1"/>
      <c r="B179" s="1"/>
      <c r="C179" s="1"/>
      <c r="D179" s="1"/>
      <c r="E179" s="1"/>
      <c r="F179" s="1"/>
      <c r="G179" s="1"/>
    </row>
    <row r="180" spans="1:7" x14ac:dyDescent="0.3">
      <c r="A180" s="1"/>
      <c r="B180" s="1"/>
      <c r="C180" s="1"/>
      <c r="D180" s="1"/>
      <c r="E180" s="1"/>
      <c r="F180" s="1"/>
      <c r="G180" s="1"/>
    </row>
    <row r="181" spans="1:7" x14ac:dyDescent="0.3">
      <c r="A181" s="1"/>
      <c r="B181" s="1"/>
      <c r="C181" s="1"/>
      <c r="D181" s="1"/>
      <c r="E181" s="1"/>
      <c r="F181" s="1"/>
      <c r="G181" s="1"/>
    </row>
    <row r="182" spans="1:7" x14ac:dyDescent="0.3">
      <c r="A182" s="1"/>
      <c r="B182" s="1"/>
      <c r="C182" s="1"/>
      <c r="D182" s="1"/>
      <c r="E182" s="1"/>
      <c r="F182" s="1"/>
      <c r="G182" s="1"/>
    </row>
    <row r="183" spans="1:7" x14ac:dyDescent="0.3">
      <c r="A183" s="1"/>
      <c r="B183" s="1"/>
      <c r="C183" s="1"/>
      <c r="D183" s="1"/>
      <c r="E183" s="1"/>
      <c r="F183" s="1"/>
      <c r="G183" s="1"/>
    </row>
    <row r="184" spans="1:7" x14ac:dyDescent="0.3">
      <c r="A184" s="1"/>
      <c r="B184" s="1"/>
      <c r="C184" s="1"/>
      <c r="D184" s="1"/>
      <c r="E184" s="1"/>
      <c r="F184" s="1"/>
      <c r="G184" s="1"/>
    </row>
    <row r="185" spans="1:7" x14ac:dyDescent="0.3">
      <c r="A185" s="1"/>
      <c r="B185" s="1"/>
      <c r="C185" s="1"/>
      <c r="D185" s="1"/>
      <c r="E185" s="1"/>
      <c r="F185" s="1"/>
      <c r="G185" s="1"/>
    </row>
    <row r="186" spans="1:7" x14ac:dyDescent="0.3">
      <c r="A186" s="1"/>
      <c r="B186" s="1"/>
      <c r="C186" s="1"/>
      <c r="D186" s="1"/>
      <c r="E186" s="1"/>
      <c r="F186" s="1"/>
      <c r="G186" s="1"/>
    </row>
    <row r="187" spans="1:7" x14ac:dyDescent="0.3">
      <c r="A187" s="1"/>
      <c r="B187" s="1"/>
      <c r="C187" s="1"/>
      <c r="D187" s="1"/>
      <c r="E187" s="1"/>
      <c r="F187" s="1"/>
      <c r="G187" s="1"/>
    </row>
    <row r="188" spans="1:7" x14ac:dyDescent="0.3">
      <c r="A188" s="1"/>
      <c r="B188" s="1"/>
      <c r="C188" s="1"/>
      <c r="D188" s="1"/>
      <c r="E188" s="1"/>
      <c r="F188" s="1"/>
      <c r="G188" s="1"/>
    </row>
    <row r="189" spans="1:7" x14ac:dyDescent="0.3">
      <c r="A189" s="1"/>
      <c r="B189" s="1"/>
      <c r="C189" s="1"/>
      <c r="D189" s="1"/>
      <c r="E189" s="1"/>
      <c r="F189" s="1"/>
      <c r="G189" s="1"/>
    </row>
    <row r="190" spans="1:7" x14ac:dyDescent="0.3">
      <c r="A190" s="1"/>
      <c r="B190" s="1"/>
      <c r="C190" s="1"/>
      <c r="D190" s="1"/>
      <c r="E190" s="1"/>
      <c r="F190" s="1"/>
      <c r="G190" s="1"/>
    </row>
    <row r="191" spans="1:7" x14ac:dyDescent="0.3">
      <c r="A191" s="1"/>
      <c r="B191" s="1"/>
      <c r="C191" s="1"/>
      <c r="D191" s="1"/>
      <c r="E191" s="1"/>
      <c r="F191" s="1"/>
      <c r="G191" s="1"/>
    </row>
    <row r="192" spans="1:7" x14ac:dyDescent="0.3">
      <c r="A192" s="1"/>
      <c r="B192" s="1"/>
      <c r="C192" s="1"/>
      <c r="D192" s="1"/>
      <c r="E192" s="1"/>
      <c r="F192" s="1"/>
      <c r="G192" s="1"/>
    </row>
    <row r="193" spans="1:7" x14ac:dyDescent="0.3">
      <c r="A193" s="1"/>
      <c r="B193" s="1"/>
      <c r="C193" s="1"/>
      <c r="D193" s="1"/>
      <c r="E193" s="1"/>
      <c r="F193" s="1"/>
      <c r="G193" s="1"/>
    </row>
    <row r="194" spans="1:7" x14ac:dyDescent="0.3">
      <c r="A194" s="1"/>
      <c r="B194" s="1"/>
      <c r="C194" s="1"/>
      <c r="D194" s="1"/>
      <c r="E194" s="1"/>
      <c r="F194" s="1"/>
      <c r="G194" s="1"/>
    </row>
    <row r="195" spans="1:7" x14ac:dyDescent="0.3">
      <c r="A195" s="1"/>
      <c r="B195" s="1"/>
      <c r="C195" s="1"/>
      <c r="D195" s="1"/>
      <c r="E195" s="1"/>
      <c r="F195" s="1"/>
      <c r="G195" s="1"/>
    </row>
    <row r="196" spans="1:7" x14ac:dyDescent="0.3">
      <c r="A196" s="1"/>
      <c r="B196" s="1"/>
      <c r="C196" s="1"/>
      <c r="D196" s="1"/>
      <c r="E196" s="1"/>
      <c r="F196" s="1"/>
      <c r="G196" s="1"/>
    </row>
    <row r="197" spans="1:7" x14ac:dyDescent="0.3">
      <c r="A197" s="1"/>
      <c r="B197" s="1"/>
      <c r="C197" s="1"/>
      <c r="D197" s="1"/>
      <c r="E197" s="1"/>
      <c r="F197" s="1"/>
      <c r="G197" s="1"/>
    </row>
    <row r="198" spans="1:7" x14ac:dyDescent="0.3">
      <c r="A198" s="1"/>
      <c r="B198" s="1"/>
      <c r="C198" s="1"/>
      <c r="D198" s="1"/>
      <c r="E198" s="1"/>
      <c r="F198" s="1"/>
      <c r="G198" s="1"/>
    </row>
    <row r="199" spans="1:7" x14ac:dyDescent="0.3">
      <c r="A199" s="1"/>
      <c r="B199" s="1"/>
      <c r="C199" s="1"/>
      <c r="D199" s="1"/>
      <c r="E199" s="1"/>
      <c r="F199" s="1"/>
      <c r="G199" s="1"/>
    </row>
    <row r="200" spans="1:7" x14ac:dyDescent="0.3">
      <c r="A200" s="1"/>
      <c r="B200" s="1"/>
      <c r="C200" s="1"/>
      <c r="D200" s="1"/>
      <c r="E200" s="1"/>
      <c r="F200" s="1"/>
      <c r="G200" s="1"/>
    </row>
    <row r="201" spans="1:7" x14ac:dyDescent="0.3">
      <c r="A201" s="1"/>
      <c r="B201" s="1"/>
      <c r="C201" s="1"/>
      <c r="D201" s="1"/>
      <c r="E201" s="1"/>
      <c r="F201" s="1"/>
      <c r="G201" s="1"/>
    </row>
    <row r="202" spans="1:7" x14ac:dyDescent="0.3">
      <c r="A202" s="1"/>
      <c r="B202" s="1"/>
      <c r="C202" s="1"/>
      <c r="D202" s="1"/>
      <c r="E202" s="1"/>
      <c r="F202" s="1"/>
      <c r="G202" s="1"/>
    </row>
    <row r="203" spans="1:7" x14ac:dyDescent="0.3">
      <c r="A203" s="1"/>
      <c r="B203" s="1"/>
      <c r="C203" s="1"/>
      <c r="D203" s="1"/>
      <c r="E203" s="1"/>
      <c r="F203" s="1"/>
      <c r="G203" s="1"/>
    </row>
    <row r="204" spans="1:7" x14ac:dyDescent="0.3">
      <c r="A204" s="1"/>
      <c r="B204" s="1"/>
      <c r="C204" s="1"/>
      <c r="D204" s="1"/>
      <c r="E204" s="1"/>
      <c r="F204" s="1"/>
      <c r="G204" s="1"/>
    </row>
    <row r="205" spans="1:7" x14ac:dyDescent="0.3">
      <c r="A205" s="1"/>
      <c r="B205" s="1"/>
      <c r="C205" s="1"/>
      <c r="D205" s="1"/>
      <c r="E205" s="1"/>
      <c r="F205" s="1"/>
      <c r="G205" s="1"/>
    </row>
    <row r="206" spans="1:7" x14ac:dyDescent="0.3">
      <c r="A206" s="1"/>
      <c r="B206" s="1"/>
      <c r="C206" s="1"/>
      <c r="D206" s="1"/>
      <c r="E206" s="1"/>
      <c r="F206" s="1"/>
      <c r="G206" s="1"/>
    </row>
    <row r="207" spans="1:7" x14ac:dyDescent="0.3">
      <c r="A207" s="1"/>
      <c r="B207" s="1"/>
      <c r="C207" s="1"/>
      <c r="D207" s="1"/>
      <c r="E207" s="1"/>
      <c r="F207" s="1"/>
      <c r="G207" s="1"/>
    </row>
    <row r="208" spans="1:7" x14ac:dyDescent="0.3">
      <c r="A208" s="1"/>
      <c r="B208" s="1"/>
      <c r="C208" s="1"/>
      <c r="D208" s="1"/>
      <c r="E208" s="1"/>
      <c r="F208" s="1"/>
      <c r="G208" s="1"/>
    </row>
    <row r="209" spans="1:7" x14ac:dyDescent="0.3">
      <c r="A209" s="1"/>
      <c r="B209" s="1"/>
      <c r="C209" s="1"/>
      <c r="D209" s="1"/>
      <c r="E209" s="1"/>
      <c r="F209" s="1"/>
      <c r="G209" s="1"/>
    </row>
    <row r="210" spans="1:7" x14ac:dyDescent="0.3">
      <c r="A210" s="1"/>
      <c r="B210" s="1"/>
      <c r="C210" s="1"/>
      <c r="D210" s="1"/>
      <c r="E210" s="1"/>
      <c r="F210" s="1"/>
      <c r="G210" s="1"/>
    </row>
    <row r="211" spans="1:7" x14ac:dyDescent="0.3">
      <c r="A211" s="1"/>
      <c r="B211" s="1"/>
      <c r="C211" s="1"/>
      <c r="D211" s="1"/>
      <c r="E211" s="1"/>
      <c r="F211" s="1"/>
      <c r="G211" s="1"/>
    </row>
    <row r="212" spans="1:7" x14ac:dyDescent="0.3">
      <c r="A212" s="1"/>
      <c r="B212" s="1"/>
      <c r="C212" s="1"/>
      <c r="D212" s="1"/>
      <c r="E212" s="1"/>
      <c r="F212" s="1"/>
      <c r="G212" s="1"/>
    </row>
    <row r="213" spans="1:7" x14ac:dyDescent="0.3">
      <c r="A213" s="1"/>
      <c r="B213" s="1"/>
      <c r="C213" s="1"/>
      <c r="D213" s="1"/>
      <c r="E213" s="1"/>
      <c r="F213" s="1"/>
      <c r="G213" s="1"/>
    </row>
    <row r="214" spans="1:7" x14ac:dyDescent="0.3">
      <c r="A214" s="1"/>
      <c r="B214" s="1"/>
      <c r="C214" s="1"/>
      <c r="D214" s="1"/>
      <c r="E214" s="1"/>
      <c r="F214" s="1"/>
      <c r="G214" s="1"/>
    </row>
    <row r="215" spans="1:7" x14ac:dyDescent="0.3">
      <c r="A215" s="1"/>
      <c r="B215" s="1"/>
      <c r="C215" s="1"/>
      <c r="D215" s="1"/>
      <c r="E215" s="1"/>
      <c r="F215" s="1"/>
      <c r="G215" s="1"/>
    </row>
    <row r="216" spans="1:7" x14ac:dyDescent="0.3">
      <c r="A216" s="1"/>
      <c r="B216" s="1"/>
      <c r="C216" s="1"/>
      <c r="D216" s="1"/>
      <c r="E216" s="1"/>
      <c r="F216" s="1"/>
      <c r="G216" s="1"/>
    </row>
    <row r="217" spans="1:7" x14ac:dyDescent="0.3">
      <c r="A217" s="1"/>
      <c r="B217" s="1"/>
      <c r="C217" s="1"/>
      <c r="D217" s="1"/>
      <c r="E217" s="1"/>
      <c r="F217" s="1"/>
      <c r="G217" s="1"/>
    </row>
    <row r="218" spans="1:7" x14ac:dyDescent="0.3">
      <c r="A218" s="1"/>
      <c r="B218" s="1"/>
      <c r="C218" s="1"/>
      <c r="D218" s="1"/>
      <c r="E218" s="1"/>
      <c r="F218" s="1"/>
      <c r="G218" s="1"/>
    </row>
    <row r="219" spans="1:7" x14ac:dyDescent="0.3">
      <c r="A219" s="1"/>
      <c r="B219" s="1"/>
      <c r="C219" s="1"/>
      <c r="D219" s="1"/>
      <c r="E219" s="1"/>
      <c r="F219" s="1"/>
      <c r="G219" s="1"/>
    </row>
    <row r="220" spans="1:7" x14ac:dyDescent="0.3">
      <c r="A220" s="1"/>
      <c r="B220" s="1"/>
      <c r="C220" s="1"/>
      <c r="D220" s="1"/>
      <c r="E220" s="1"/>
      <c r="F220" s="1"/>
      <c r="G220" s="1"/>
    </row>
    <row r="221" spans="1:7" x14ac:dyDescent="0.3">
      <c r="A221" s="1"/>
      <c r="B221" s="1"/>
      <c r="C221" s="1"/>
      <c r="D221" s="1"/>
      <c r="E221" s="1"/>
      <c r="F221" s="1"/>
      <c r="G221" s="1"/>
    </row>
    <row r="222" spans="1:7" x14ac:dyDescent="0.3">
      <c r="A222" s="1"/>
      <c r="B222" s="1"/>
      <c r="C222" s="1"/>
      <c r="D222" s="1"/>
      <c r="E222" s="1"/>
      <c r="F222" s="1"/>
      <c r="G222" s="1"/>
    </row>
    <row r="223" spans="1:7" x14ac:dyDescent="0.3">
      <c r="A223" s="1"/>
      <c r="B223" s="1"/>
      <c r="C223" s="1"/>
      <c r="D223" s="1"/>
      <c r="E223" s="1"/>
      <c r="F223" s="1"/>
      <c r="G223" s="1"/>
    </row>
    <row r="224" spans="1:7" x14ac:dyDescent="0.3">
      <c r="A224" s="1"/>
      <c r="B224" s="1"/>
      <c r="C224" s="1"/>
      <c r="D224" s="1"/>
      <c r="E224" s="1"/>
      <c r="F224" s="1"/>
      <c r="G224" s="1"/>
    </row>
    <row r="225" spans="1:7" x14ac:dyDescent="0.3">
      <c r="A225" s="1"/>
      <c r="B225" s="1"/>
      <c r="C225" s="1"/>
      <c r="D225" s="1"/>
      <c r="E225" s="1"/>
      <c r="F225" s="1"/>
      <c r="G225" s="1"/>
    </row>
    <row r="226" spans="1:7" x14ac:dyDescent="0.3">
      <c r="A226" s="1"/>
      <c r="B226" s="1"/>
      <c r="C226" s="1"/>
      <c r="D226" s="1"/>
      <c r="E226" s="1"/>
      <c r="F226" s="1"/>
      <c r="G226" s="1"/>
    </row>
    <row r="227" spans="1:7" x14ac:dyDescent="0.3">
      <c r="A227" s="1"/>
      <c r="B227" s="1"/>
      <c r="C227" s="1"/>
      <c r="D227" s="1"/>
      <c r="E227" s="1"/>
      <c r="F227" s="1"/>
      <c r="G227" s="1"/>
    </row>
    <row r="228" spans="1:7" x14ac:dyDescent="0.3">
      <c r="A228" s="1"/>
      <c r="B228" s="1"/>
      <c r="C228" s="1"/>
      <c r="D228" s="1"/>
      <c r="E228" s="1"/>
      <c r="F228" s="1"/>
      <c r="G228" s="1"/>
    </row>
    <row r="229" spans="1:7" x14ac:dyDescent="0.3">
      <c r="A229" s="1"/>
      <c r="B229" s="1"/>
      <c r="C229" s="1"/>
      <c r="D229" s="1"/>
      <c r="E229" s="1"/>
      <c r="F229" s="1"/>
      <c r="G229" s="1"/>
    </row>
    <row r="230" spans="1:7" x14ac:dyDescent="0.3">
      <c r="A230" s="1"/>
      <c r="B230" s="1"/>
      <c r="C230" s="1"/>
      <c r="D230" s="1"/>
      <c r="E230" s="1"/>
      <c r="F230" s="1"/>
      <c r="G230" s="1"/>
    </row>
    <row r="231" spans="1:7" x14ac:dyDescent="0.3">
      <c r="A231" s="1"/>
      <c r="B231" s="1"/>
      <c r="C231" s="1"/>
      <c r="D231" s="1"/>
      <c r="E231" s="1"/>
      <c r="F231" s="1"/>
      <c r="G231" s="1"/>
    </row>
    <row r="232" spans="1:7" x14ac:dyDescent="0.3">
      <c r="A232" s="1"/>
      <c r="B232" s="1"/>
      <c r="C232" s="1"/>
      <c r="D232" s="1"/>
      <c r="E232" s="1"/>
      <c r="F232" s="1"/>
      <c r="G232" s="1"/>
    </row>
    <row r="233" spans="1:7" x14ac:dyDescent="0.3">
      <c r="A233" s="1"/>
      <c r="B233" s="1"/>
      <c r="C233" s="1"/>
      <c r="D233" s="1"/>
      <c r="E233" s="1"/>
      <c r="F233" s="1"/>
      <c r="G233" s="1"/>
    </row>
    <row r="234" spans="1:7" x14ac:dyDescent="0.3">
      <c r="A234" s="1"/>
      <c r="B234" s="1"/>
      <c r="C234" s="1"/>
      <c r="D234" s="1"/>
      <c r="E234" s="1"/>
      <c r="F234" s="1"/>
      <c r="G234" s="1"/>
    </row>
    <row r="235" spans="1:7" x14ac:dyDescent="0.3">
      <c r="A235" s="1"/>
      <c r="B235" s="1"/>
      <c r="C235" s="1"/>
      <c r="D235" s="1"/>
      <c r="E235" s="1"/>
      <c r="F235" s="1"/>
      <c r="G235" s="1"/>
    </row>
    <row r="236" spans="1:7" x14ac:dyDescent="0.3">
      <c r="A236" s="1"/>
      <c r="B236" s="1"/>
      <c r="C236" s="1"/>
      <c r="D236" s="1"/>
      <c r="E236" s="1"/>
      <c r="F236" s="1"/>
      <c r="G236" s="1"/>
    </row>
    <row r="237" spans="1:7" x14ac:dyDescent="0.3">
      <c r="A237" s="1"/>
      <c r="B237" s="1"/>
      <c r="C237" s="1"/>
      <c r="D237" s="1"/>
      <c r="E237" s="1"/>
      <c r="F237" s="1"/>
      <c r="G237" s="1"/>
    </row>
    <row r="238" spans="1:7" x14ac:dyDescent="0.3">
      <c r="A238" s="1"/>
      <c r="B238" s="1"/>
      <c r="C238" s="1"/>
      <c r="D238" s="1"/>
      <c r="E238" s="1"/>
      <c r="F238" s="1"/>
      <c r="G238" s="1"/>
    </row>
    <row r="239" spans="1:7" x14ac:dyDescent="0.3">
      <c r="A239" s="1"/>
      <c r="B239" s="1"/>
      <c r="C239" s="1"/>
      <c r="D239" s="1"/>
      <c r="E239" s="1"/>
      <c r="F239" s="1"/>
      <c r="G239" s="1"/>
    </row>
    <row r="240" spans="1:7" x14ac:dyDescent="0.3">
      <c r="A240" s="1"/>
      <c r="B240" s="1"/>
      <c r="C240" s="1"/>
      <c r="D240" s="1"/>
      <c r="E240" s="1"/>
      <c r="F240" s="1"/>
      <c r="G240" s="1"/>
    </row>
    <row r="241" spans="1:7" x14ac:dyDescent="0.3">
      <c r="A241" s="1"/>
      <c r="B241" s="1"/>
      <c r="C241" s="1"/>
      <c r="D241" s="1"/>
      <c r="E241" s="1"/>
      <c r="F241" s="1"/>
      <c r="G241" s="1"/>
    </row>
    <row r="242" spans="1:7" x14ac:dyDescent="0.3">
      <c r="A242" s="1"/>
      <c r="B242" s="1"/>
      <c r="C242" s="1"/>
      <c r="D242" s="1"/>
      <c r="E242" s="1"/>
      <c r="F242" s="1"/>
      <c r="G242" s="1"/>
    </row>
    <row r="243" spans="1:7" x14ac:dyDescent="0.3">
      <c r="A243" s="1"/>
      <c r="B243" s="1"/>
      <c r="C243" s="1"/>
      <c r="D243" s="1"/>
      <c r="E243" s="1"/>
      <c r="F243" s="1"/>
      <c r="G243" s="1"/>
    </row>
    <row r="244" spans="1:7" x14ac:dyDescent="0.3">
      <c r="A244" s="1"/>
      <c r="B244" s="1"/>
      <c r="C244" s="1"/>
      <c r="D244" s="1"/>
      <c r="E244" s="1"/>
      <c r="F244" s="1"/>
      <c r="G244" s="1"/>
    </row>
    <row r="245" spans="1:7" x14ac:dyDescent="0.3">
      <c r="A245" s="1"/>
      <c r="B245" s="1"/>
      <c r="C245" s="1"/>
      <c r="D245" s="1"/>
      <c r="E245" s="1"/>
      <c r="F245" s="1"/>
      <c r="G245" s="1"/>
    </row>
    <row r="246" spans="1:7" x14ac:dyDescent="0.3">
      <c r="A246" s="1"/>
      <c r="B246" s="1"/>
      <c r="C246" s="1"/>
      <c r="D246" s="1"/>
      <c r="E246" s="1"/>
      <c r="F246" s="1"/>
      <c r="G246" s="1"/>
    </row>
    <row r="247" spans="1:7" x14ac:dyDescent="0.3">
      <c r="A247" s="1"/>
      <c r="B247" s="1"/>
      <c r="C247" s="1"/>
      <c r="D247" s="1"/>
      <c r="E247" s="1"/>
      <c r="F247" s="1"/>
      <c r="G247" s="1"/>
    </row>
    <row r="248" spans="1:7" x14ac:dyDescent="0.3">
      <c r="A248" s="1"/>
      <c r="B248" s="1"/>
      <c r="C248" s="1"/>
      <c r="D248" s="1"/>
      <c r="E248" s="1"/>
      <c r="F248" s="1"/>
      <c r="G248" s="1"/>
    </row>
    <row r="249" spans="1:7" x14ac:dyDescent="0.3">
      <c r="A249" s="1"/>
      <c r="B249" s="1"/>
      <c r="C249" s="1"/>
      <c r="D249" s="1"/>
      <c r="E249" s="1"/>
      <c r="F249" s="1"/>
      <c r="G249" s="1"/>
    </row>
    <row r="250" spans="1:7" x14ac:dyDescent="0.3">
      <c r="A250" s="1"/>
      <c r="B250" s="1"/>
      <c r="C250" s="1"/>
      <c r="D250" s="1"/>
      <c r="E250" s="1"/>
      <c r="F250" s="1"/>
      <c r="G250" s="1"/>
    </row>
    <row r="251" spans="1:7" x14ac:dyDescent="0.3">
      <c r="A251" s="1"/>
      <c r="B251" s="1"/>
      <c r="C251" s="1"/>
      <c r="D251" s="1"/>
      <c r="E251" s="1"/>
      <c r="F251" s="1"/>
      <c r="G251" s="1"/>
    </row>
    <row r="252" spans="1:7" x14ac:dyDescent="0.3">
      <c r="A252" s="1"/>
      <c r="B252" s="1"/>
      <c r="C252" s="1"/>
      <c r="D252" s="1"/>
      <c r="E252" s="1"/>
      <c r="F252" s="1"/>
      <c r="G252" s="1"/>
    </row>
    <row r="253" spans="1:7" x14ac:dyDescent="0.3">
      <c r="A253" s="1"/>
      <c r="B253" s="1"/>
      <c r="C253" s="1"/>
      <c r="D253" s="1"/>
      <c r="E253" s="1"/>
      <c r="F253" s="1"/>
      <c r="G253" s="1"/>
    </row>
    <row r="254" spans="1:7" x14ac:dyDescent="0.3">
      <c r="A254" s="1"/>
      <c r="B254" s="1"/>
      <c r="C254" s="1"/>
      <c r="D254" s="1"/>
      <c r="E254" s="1"/>
      <c r="F254" s="1"/>
      <c r="G254" s="1"/>
    </row>
    <row r="255" spans="1:7" x14ac:dyDescent="0.3">
      <c r="A255" s="1"/>
      <c r="B255" s="1"/>
      <c r="C255" s="1"/>
      <c r="D255" s="1"/>
      <c r="E255" s="1"/>
      <c r="F255" s="1"/>
      <c r="G255" s="1"/>
    </row>
    <row r="256" spans="1:7" x14ac:dyDescent="0.3">
      <c r="A256" s="1"/>
      <c r="B256" s="1"/>
      <c r="C256" s="1"/>
      <c r="D256" s="1"/>
      <c r="E256" s="1"/>
      <c r="F256" s="1"/>
      <c r="G256" s="1"/>
    </row>
    <row r="257" spans="1:7" x14ac:dyDescent="0.3">
      <c r="A257" s="1"/>
      <c r="B257" s="1"/>
      <c r="C257" s="1"/>
      <c r="D257" s="1"/>
      <c r="E257" s="1"/>
      <c r="F257" s="1"/>
      <c r="G257" s="1"/>
    </row>
    <row r="258" spans="1:7" x14ac:dyDescent="0.3">
      <c r="A258" s="1"/>
      <c r="B258" s="1"/>
      <c r="C258" s="1"/>
      <c r="D258" s="1"/>
      <c r="E258" s="1"/>
      <c r="F258" s="1"/>
      <c r="G258" s="1"/>
    </row>
    <row r="259" spans="1:7" x14ac:dyDescent="0.3">
      <c r="A259" s="1"/>
      <c r="B259" s="1"/>
      <c r="C259" s="1"/>
      <c r="D259" s="1"/>
      <c r="E259" s="1"/>
      <c r="F259" s="1"/>
      <c r="G259" s="1"/>
    </row>
    <row r="260" spans="1:7" x14ac:dyDescent="0.3">
      <c r="A260" s="1"/>
      <c r="B260" s="1"/>
      <c r="C260" s="1"/>
      <c r="D260" s="1"/>
      <c r="E260" s="1"/>
      <c r="F260" s="1"/>
      <c r="G260" s="1"/>
    </row>
    <row r="261" spans="1:7" x14ac:dyDescent="0.3">
      <c r="A261" s="1"/>
      <c r="B261" s="1"/>
      <c r="C261" s="1"/>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B9438-C3A2-4450-A986-4924D02626B0}">
  <sheetPr codeName="Sheet18"/>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A2" sqref="A2:A11"/>
    </sheetView>
  </sheetViews>
  <sheetFormatPr defaultColWidth="8.77734375" defaultRowHeight="14.4" x14ac:dyDescent="0.3"/>
  <cols>
    <col min="1" max="1" width="52.21875" style="8" customWidth="1"/>
    <col min="2" max="2" width="10" style="2" customWidth="1"/>
    <col min="3" max="3" width="9.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x14ac:dyDescent="0.3">
      <c r="A2" s="5" t="s">
        <v>528</v>
      </c>
      <c r="B2" s="6"/>
      <c r="C2" s="5"/>
      <c r="D2" s="1"/>
      <c r="E2" s="1"/>
      <c r="F2" s="1"/>
      <c r="G2" s="54" t="s">
        <v>118</v>
      </c>
      <c r="H2" s="1" t="s">
        <v>287</v>
      </c>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2</v>
      </c>
      <c r="AN2" s="2">
        <f>COUNTIF(AL2:AL11,"&gt;=2")</f>
        <v>2</v>
      </c>
    </row>
    <row r="3" spans="1:40" x14ac:dyDescent="0.3">
      <c r="A3" s="1" t="s">
        <v>542</v>
      </c>
      <c r="B3" s="6"/>
      <c r="C3" s="1"/>
      <c r="D3" s="1"/>
      <c r="E3" s="1"/>
      <c r="F3" s="1"/>
      <c r="G3" s="63" t="s">
        <v>543</v>
      </c>
      <c r="H3" s="1" t="s">
        <v>285</v>
      </c>
      <c r="AJ3" s="2">
        <f t="shared" ref="AJ3:AJ11" si="0">COUNTA(B3:AH3)</f>
        <v>2</v>
      </c>
      <c r="AL3" s="2">
        <f t="shared" ref="AL3:AL11" si="1">COUNTA(F3:O3,R3:S3)</f>
        <v>2</v>
      </c>
    </row>
    <row r="4" spans="1:40" ht="28.8" x14ac:dyDescent="0.3">
      <c r="A4" s="5" t="s">
        <v>661</v>
      </c>
      <c r="B4" s="6"/>
      <c r="C4" s="5"/>
      <c r="D4" s="17"/>
      <c r="E4" s="17"/>
      <c r="F4" s="17"/>
      <c r="G4" s="1"/>
      <c r="H4" s="10" t="s">
        <v>289</v>
      </c>
      <c r="AJ4" s="2">
        <f t="shared" si="0"/>
        <v>1</v>
      </c>
      <c r="AL4" s="2">
        <f t="shared" si="1"/>
        <v>1</v>
      </c>
    </row>
    <row r="5" spans="1:40" x14ac:dyDescent="0.3">
      <c r="A5" s="5" t="s">
        <v>662</v>
      </c>
      <c r="B5" s="5"/>
      <c r="C5" s="5"/>
      <c r="D5" s="17"/>
      <c r="E5" s="17"/>
      <c r="F5" s="17"/>
      <c r="G5" s="1"/>
      <c r="H5" s="10" t="s">
        <v>290</v>
      </c>
      <c r="AJ5" s="2">
        <f t="shared" si="0"/>
        <v>1</v>
      </c>
      <c r="AL5" s="2">
        <f t="shared" si="1"/>
        <v>1</v>
      </c>
    </row>
    <row r="6" spans="1:40" x14ac:dyDescent="0.3">
      <c r="A6" s="5" t="s">
        <v>663</v>
      </c>
      <c r="B6" s="6"/>
      <c r="C6" s="5"/>
      <c r="D6" s="1"/>
      <c r="E6" s="1"/>
      <c r="F6" s="1"/>
      <c r="G6" s="1"/>
      <c r="H6" s="10" t="s">
        <v>660</v>
      </c>
      <c r="AJ6" s="2">
        <f t="shared" si="0"/>
        <v>1</v>
      </c>
      <c r="AL6" s="2">
        <f t="shared" si="1"/>
        <v>1</v>
      </c>
    </row>
    <row r="7" spans="1:40" x14ac:dyDescent="0.3">
      <c r="A7" s="5" t="s">
        <v>664</v>
      </c>
      <c r="B7" s="6"/>
      <c r="C7" s="5"/>
      <c r="D7" s="1"/>
      <c r="E7" s="1"/>
      <c r="F7" s="1"/>
      <c r="G7" s="1"/>
      <c r="H7" s="10" t="s">
        <v>539</v>
      </c>
      <c r="AJ7" s="2">
        <f t="shared" si="0"/>
        <v>1</v>
      </c>
      <c r="AL7" s="2">
        <f t="shared" si="1"/>
        <v>1</v>
      </c>
    </row>
    <row r="8" spans="1:40" ht="28.8" x14ac:dyDescent="0.3">
      <c r="A8" s="5" t="s">
        <v>665</v>
      </c>
      <c r="B8" s="6"/>
      <c r="C8" s="5"/>
      <c r="D8" s="1"/>
      <c r="E8" s="1"/>
      <c r="F8" s="1"/>
      <c r="G8" s="1"/>
      <c r="H8" s="10" t="s">
        <v>541</v>
      </c>
      <c r="AJ8" s="2">
        <f t="shared" si="0"/>
        <v>1</v>
      </c>
      <c r="AL8" s="2">
        <f t="shared" si="1"/>
        <v>1</v>
      </c>
    </row>
    <row r="9" spans="1:40" x14ac:dyDescent="0.3">
      <c r="A9" s="5" t="s">
        <v>666</v>
      </c>
      <c r="B9" s="6"/>
      <c r="C9" s="5"/>
      <c r="D9" s="1"/>
      <c r="E9" s="1"/>
      <c r="F9" s="1"/>
      <c r="G9" s="1"/>
      <c r="H9" s="12" t="s">
        <v>543</v>
      </c>
      <c r="AJ9" s="2">
        <f t="shared" si="0"/>
        <v>1</v>
      </c>
      <c r="AL9" s="2">
        <f t="shared" si="1"/>
        <v>1</v>
      </c>
    </row>
    <row r="10" spans="1:40" x14ac:dyDescent="0.3">
      <c r="A10" s="5" t="s">
        <v>667</v>
      </c>
      <c r="B10" s="6"/>
      <c r="C10" s="5"/>
      <c r="D10" s="1"/>
      <c r="E10" s="1"/>
      <c r="F10" s="1"/>
      <c r="G10" s="1"/>
      <c r="H10" s="1" t="s">
        <v>668</v>
      </c>
      <c r="AJ10" s="2">
        <f t="shared" si="0"/>
        <v>1</v>
      </c>
      <c r="AL10" s="2">
        <f t="shared" si="1"/>
        <v>1</v>
      </c>
    </row>
    <row r="11" spans="1:40" x14ac:dyDescent="0.3">
      <c r="A11" s="5" t="s">
        <v>669</v>
      </c>
      <c r="B11" s="6"/>
      <c r="C11" s="5"/>
      <c r="D11" s="1"/>
      <c r="E11" s="1"/>
      <c r="F11" s="1"/>
      <c r="G11" s="1"/>
      <c r="H11" s="1" t="s">
        <v>295</v>
      </c>
      <c r="AJ11" s="2">
        <f t="shared" si="0"/>
        <v>1</v>
      </c>
      <c r="AL11" s="2">
        <f t="shared" si="1"/>
        <v>1</v>
      </c>
    </row>
    <row r="12" spans="1:40" x14ac:dyDescent="0.3">
      <c r="A12" s="5"/>
      <c r="B12" s="1"/>
      <c r="C12" s="5"/>
      <c r="D12" s="1"/>
      <c r="E12" s="1"/>
      <c r="F12" s="1"/>
      <c r="G12" s="1"/>
    </row>
    <row r="13" spans="1:40" x14ac:dyDescent="0.3">
      <c r="A13" s="5"/>
      <c r="B13" s="1"/>
      <c r="C13" s="5"/>
      <c r="D13" s="1"/>
      <c r="E13" s="1"/>
      <c r="F13" s="1"/>
      <c r="G13" s="1"/>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14F4B-83BB-4D91-8B46-A0F50905B663}">
  <sheetPr codeName="Sheet19"/>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D33" sqref="D33"/>
    </sheetView>
  </sheetViews>
  <sheetFormatPr defaultColWidth="8.77734375" defaultRowHeight="14.4" x14ac:dyDescent="0.3"/>
  <cols>
    <col min="1" max="1" width="52.21875" style="8" customWidth="1"/>
    <col min="2" max="2" width="10" style="2" customWidth="1"/>
    <col min="3" max="3" width="10"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43.2" x14ac:dyDescent="0.3">
      <c r="A2" s="5" t="s">
        <v>46</v>
      </c>
      <c r="B2" s="6"/>
      <c r="C2" s="5"/>
      <c r="D2" s="1"/>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0</v>
      </c>
      <c r="AL2" s="2">
        <f>COUNTA(F2:O2,R2:S2)</f>
        <v>0</v>
      </c>
      <c r="AN2" s="2">
        <f>COUNTIF(AL2:AL36,"&gt;=2")</f>
        <v>3</v>
      </c>
    </row>
    <row r="3" spans="1:40" x14ac:dyDescent="0.3">
      <c r="A3" s="5" t="s">
        <v>47</v>
      </c>
      <c r="B3" s="6"/>
      <c r="C3" s="5"/>
      <c r="D3" s="1"/>
      <c r="E3" s="1"/>
      <c r="F3" s="1"/>
      <c r="G3" s="1"/>
      <c r="AJ3" s="2">
        <f t="shared" ref="AJ3:AJ36" si="0">COUNTA(B3:AH3)</f>
        <v>0</v>
      </c>
      <c r="AL3" s="2">
        <f t="shared" ref="AL3:AL36" si="1">COUNTA(F3:O3,R3:S3)</f>
        <v>0</v>
      </c>
    </row>
    <row r="4" spans="1:40" ht="28.8" x14ac:dyDescent="0.3">
      <c r="A4" s="5" t="s">
        <v>48</v>
      </c>
      <c r="B4" s="6"/>
      <c r="C4" s="5"/>
      <c r="D4" s="1"/>
      <c r="E4" s="1"/>
      <c r="F4" s="1"/>
      <c r="G4" s="1"/>
      <c r="AJ4" s="2">
        <f t="shared" si="0"/>
        <v>0</v>
      </c>
      <c r="AL4" s="2">
        <f t="shared" si="1"/>
        <v>0</v>
      </c>
    </row>
    <row r="5" spans="1:40" x14ac:dyDescent="0.3">
      <c r="A5" s="5" t="s">
        <v>49</v>
      </c>
      <c r="B5" s="5"/>
      <c r="C5" s="5"/>
      <c r="D5" s="1"/>
      <c r="E5" s="1"/>
      <c r="F5" s="1"/>
      <c r="G5" s="1"/>
      <c r="AJ5" s="2">
        <f t="shared" si="0"/>
        <v>0</v>
      </c>
      <c r="AL5" s="2">
        <f t="shared" si="1"/>
        <v>0</v>
      </c>
    </row>
    <row r="6" spans="1:40" ht="28.8" x14ac:dyDescent="0.3">
      <c r="A6" s="5" t="s">
        <v>50</v>
      </c>
      <c r="B6" s="6"/>
      <c r="C6" s="5"/>
      <c r="D6" s="1"/>
      <c r="E6" s="1"/>
      <c r="F6" s="1"/>
      <c r="G6" s="1"/>
      <c r="AJ6" s="2">
        <f t="shared" si="0"/>
        <v>0</v>
      </c>
      <c r="AL6" s="2">
        <f t="shared" si="1"/>
        <v>0</v>
      </c>
    </row>
    <row r="7" spans="1:40" x14ac:dyDescent="0.3">
      <c r="A7" s="5" t="s">
        <v>51</v>
      </c>
      <c r="B7" s="6"/>
      <c r="C7" s="5"/>
      <c r="D7" s="1"/>
      <c r="E7" s="1"/>
      <c r="F7" s="1"/>
      <c r="G7" s="1"/>
      <c r="AJ7" s="2">
        <f t="shared" si="0"/>
        <v>0</v>
      </c>
      <c r="AL7" s="2">
        <f t="shared" si="1"/>
        <v>0</v>
      </c>
    </row>
    <row r="8" spans="1:40" ht="28.8" x14ac:dyDescent="0.3">
      <c r="A8" s="5" t="s">
        <v>52</v>
      </c>
      <c r="B8" s="6"/>
      <c r="C8" s="5"/>
      <c r="D8" s="1"/>
      <c r="E8" s="1"/>
      <c r="F8" s="1"/>
      <c r="G8" s="1"/>
      <c r="AJ8" s="2">
        <f t="shared" si="0"/>
        <v>0</v>
      </c>
      <c r="AL8" s="2">
        <f t="shared" si="1"/>
        <v>0</v>
      </c>
    </row>
    <row r="9" spans="1:40" ht="28.8" x14ac:dyDescent="0.3">
      <c r="A9" s="5" t="s">
        <v>53</v>
      </c>
      <c r="B9" s="6"/>
      <c r="C9" s="5"/>
      <c r="D9" s="1"/>
      <c r="E9" s="1"/>
      <c r="F9" s="1"/>
      <c r="G9" s="1"/>
      <c r="AJ9" s="2">
        <f t="shared" si="0"/>
        <v>0</v>
      </c>
      <c r="AL9" s="2">
        <f t="shared" si="1"/>
        <v>0</v>
      </c>
    </row>
    <row r="10" spans="1:40" ht="28.8" x14ac:dyDescent="0.3">
      <c r="A10" s="5" t="s">
        <v>54</v>
      </c>
      <c r="B10" s="6"/>
      <c r="C10" s="5"/>
      <c r="D10" s="1"/>
      <c r="E10" s="1"/>
      <c r="F10" s="1"/>
      <c r="G10" s="1"/>
      <c r="AJ10" s="2">
        <f t="shared" si="0"/>
        <v>0</v>
      </c>
      <c r="AL10" s="2">
        <f t="shared" si="1"/>
        <v>0</v>
      </c>
    </row>
    <row r="11" spans="1:40" x14ac:dyDescent="0.3">
      <c r="A11" s="5" t="s">
        <v>55</v>
      </c>
      <c r="B11" s="6"/>
      <c r="C11" s="5"/>
      <c r="D11" s="1"/>
      <c r="E11" s="1"/>
      <c r="F11" s="1"/>
      <c r="G11" s="1"/>
      <c r="AJ11" s="2">
        <f t="shared" si="0"/>
        <v>0</v>
      </c>
      <c r="AL11" s="2">
        <f t="shared" si="1"/>
        <v>0</v>
      </c>
    </row>
    <row r="12" spans="1:40" ht="28.8" x14ac:dyDescent="0.3">
      <c r="A12" s="5" t="s">
        <v>124</v>
      </c>
      <c r="B12" s="44" t="s">
        <v>532</v>
      </c>
      <c r="C12" s="5"/>
      <c r="D12" s="1"/>
      <c r="E12" s="1"/>
      <c r="F12" s="1"/>
      <c r="G12" s="1"/>
      <c r="AJ12" s="2">
        <f t="shared" si="0"/>
        <v>1</v>
      </c>
      <c r="AL12" s="2">
        <f t="shared" si="1"/>
        <v>0</v>
      </c>
    </row>
    <row r="13" spans="1:40" ht="28.8" x14ac:dyDescent="0.3">
      <c r="A13" s="5" t="s">
        <v>125</v>
      </c>
      <c r="B13" s="44" t="s">
        <v>533</v>
      </c>
      <c r="C13" s="5"/>
      <c r="D13" s="1"/>
      <c r="E13" s="1"/>
      <c r="F13" s="1"/>
      <c r="G13" s="1"/>
      <c r="AJ13" s="2">
        <f t="shared" si="0"/>
        <v>1</v>
      </c>
      <c r="AL13" s="2">
        <f t="shared" si="1"/>
        <v>0</v>
      </c>
    </row>
    <row r="14" spans="1:40" x14ac:dyDescent="0.3">
      <c r="A14" s="5" t="s">
        <v>175</v>
      </c>
      <c r="B14" s="1" t="s">
        <v>3294</v>
      </c>
      <c r="C14" s="5"/>
      <c r="D14" s="1"/>
      <c r="E14" s="1"/>
      <c r="F14" s="1"/>
      <c r="G14" s="1"/>
      <c r="AJ14" s="2">
        <f t="shared" si="0"/>
        <v>1</v>
      </c>
      <c r="AL14" s="2">
        <f t="shared" si="1"/>
        <v>0</v>
      </c>
    </row>
    <row r="15" spans="1:40" ht="28.8" x14ac:dyDescent="0.3">
      <c r="A15" s="5" t="s">
        <v>193</v>
      </c>
      <c r="B15" s="5"/>
      <c r="C15" s="5"/>
      <c r="D15" s="1"/>
      <c r="E15" s="1"/>
      <c r="F15" s="66" t="s">
        <v>194</v>
      </c>
      <c r="G15" s="67" t="s">
        <v>425</v>
      </c>
      <c r="H15" s="67" t="s">
        <v>424</v>
      </c>
      <c r="I15" s="53" t="s">
        <v>442</v>
      </c>
      <c r="J15" s="53" t="s">
        <v>917</v>
      </c>
      <c r="Q15" s="54" t="s">
        <v>1433</v>
      </c>
      <c r="R15" s="53" t="s">
        <v>2154</v>
      </c>
      <c r="S15" s="53" t="s">
        <v>39</v>
      </c>
      <c r="U15" s="53" t="s">
        <v>877</v>
      </c>
      <c r="V15" s="54" t="s">
        <v>513</v>
      </c>
      <c r="Z15" s="53" t="s">
        <v>425</v>
      </c>
      <c r="AG15" s="53" t="s">
        <v>1179</v>
      </c>
      <c r="AH15" s="1" t="s">
        <v>1247</v>
      </c>
      <c r="AJ15" s="2">
        <f t="shared" si="0"/>
        <v>13</v>
      </c>
      <c r="AL15" s="2">
        <f t="shared" si="1"/>
        <v>7</v>
      </c>
    </row>
    <row r="16" spans="1:40" x14ac:dyDescent="0.3">
      <c r="A16" s="5" t="s">
        <v>244</v>
      </c>
      <c r="B16" s="1"/>
      <c r="C16" s="5"/>
      <c r="D16" s="1"/>
      <c r="E16" s="1"/>
      <c r="F16" s="12" t="s">
        <v>245</v>
      </c>
      <c r="G16" s="1"/>
      <c r="AJ16" s="2">
        <f t="shared" si="0"/>
        <v>1</v>
      </c>
      <c r="AL16" s="2">
        <f t="shared" si="1"/>
        <v>1</v>
      </c>
    </row>
    <row r="17" spans="1:38" ht="28.8" x14ac:dyDescent="0.3">
      <c r="A17" s="5" t="s">
        <v>254</v>
      </c>
      <c r="B17" s="1"/>
      <c r="C17" s="5"/>
      <c r="D17" s="1"/>
      <c r="E17" s="1"/>
      <c r="F17" s="1"/>
      <c r="G17" s="1"/>
      <c r="AJ17" s="2">
        <f t="shared" si="0"/>
        <v>0</v>
      </c>
      <c r="AL17" s="2">
        <f t="shared" si="1"/>
        <v>0</v>
      </c>
    </row>
    <row r="18" spans="1:38" x14ac:dyDescent="0.3">
      <c r="A18" s="5" t="s">
        <v>255</v>
      </c>
      <c r="B18" s="1"/>
      <c r="C18" s="5"/>
      <c r="D18" s="1"/>
      <c r="E18" s="1"/>
      <c r="F18" s="1"/>
      <c r="G18" s="1"/>
      <c r="AJ18" s="2">
        <f t="shared" si="0"/>
        <v>0</v>
      </c>
      <c r="AL18" s="2">
        <f t="shared" si="1"/>
        <v>0</v>
      </c>
    </row>
    <row r="19" spans="1:38" x14ac:dyDescent="0.3">
      <c r="A19" s="5" t="s">
        <v>256</v>
      </c>
      <c r="B19" s="1"/>
      <c r="C19" s="5"/>
      <c r="D19" s="1"/>
      <c r="E19" s="1"/>
      <c r="F19" s="1"/>
      <c r="G19" s="1"/>
      <c r="AJ19" s="2">
        <f t="shared" si="0"/>
        <v>0</v>
      </c>
      <c r="AL19" s="2">
        <f t="shared" si="1"/>
        <v>0</v>
      </c>
    </row>
    <row r="20" spans="1:38" x14ac:dyDescent="0.3">
      <c r="A20" s="5" t="s">
        <v>257</v>
      </c>
      <c r="B20" s="1"/>
      <c r="C20" s="5"/>
      <c r="D20" s="1"/>
      <c r="E20" s="1"/>
      <c r="F20" s="1"/>
      <c r="G20" s="1"/>
      <c r="AJ20" s="2">
        <f t="shared" si="0"/>
        <v>0</v>
      </c>
      <c r="AL20" s="2">
        <f t="shared" si="1"/>
        <v>0</v>
      </c>
    </row>
    <row r="21" spans="1:38" ht="28.8" x14ac:dyDescent="0.3">
      <c r="A21" s="5" t="s">
        <v>258</v>
      </c>
      <c r="B21" s="1"/>
      <c r="C21" s="5"/>
      <c r="D21" s="1"/>
      <c r="E21" s="1"/>
      <c r="F21" s="1"/>
      <c r="G21" s="1"/>
      <c r="AJ21" s="2">
        <f t="shared" si="0"/>
        <v>0</v>
      </c>
      <c r="AL21" s="2">
        <f t="shared" si="1"/>
        <v>0</v>
      </c>
    </row>
    <row r="22" spans="1:38" x14ac:dyDescent="0.3">
      <c r="A22" s="5" t="s">
        <v>259</v>
      </c>
      <c r="B22" s="1"/>
      <c r="C22" s="5"/>
      <c r="D22" s="1"/>
      <c r="E22" s="1"/>
      <c r="F22" s="1"/>
      <c r="G22" s="1"/>
      <c r="AJ22" s="2">
        <f t="shared" si="0"/>
        <v>0</v>
      </c>
      <c r="AL22" s="2">
        <f t="shared" si="1"/>
        <v>0</v>
      </c>
    </row>
    <row r="23" spans="1:38" ht="28.8" x14ac:dyDescent="0.3">
      <c r="A23" s="5" t="s">
        <v>260</v>
      </c>
      <c r="B23" s="1"/>
      <c r="C23" s="5"/>
      <c r="D23" s="1"/>
      <c r="E23" s="1"/>
      <c r="F23" s="1"/>
      <c r="G23" s="1"/>
      <c r="AJ23" s="2">
        <f t="shared" si="0"/>
        <v>0</v>
      </c>
      <c r="AL23" s="2">
        <f t="shared" si="1"/>
        <v>0</v>
      </c>
    </row>
    <row r="24" spans="1:38" ht="28.8" x14ac:dyDescent="0.3">
      <c r="A24" s="5" t="s">
        <v>426</v>
      </c>
      <c r="B24" s="45" t="s">
        <v>427</v>
      </c>
      <c r="C24" s="5"/>
      <c r="D24" s="1"/>
      <c r="E24" s="1"/>
      <c r="F24" s="1"/>
      <c r="G24" s="67" t="s">
        <v>427</v>
      </c>
      <c r="H24" s="67" t="s">
        <v>425</v>
      </c>
      <c r="I24" s="53" t="s">
        <v>443</v>
      </c>
      <c r="J24" s="1" t="s">
        <v>916</v>
      </c>
      <c r="AJ24" s="2">
        <f t="shared" si="0"/>
        <v>5</v>
      </c>
      <c r="AL24" s="2">
        <f t="shared" si="1"/>
        <v>4</v>
      </c>
    </row>
    <row r="25" spans="1:38" ht="43.2" x14ac:dyDescent="0.3">
      <c r="A25" s="5" t="s">
        <v>105</v>
      </c>
      <c r="B25" s="44" t="s">
        <v>504</v>
      </c>
      <c r="C25" s="5"/>
      <c r="D25" s="1"/>
      <c r="E25" s="1"/>
      <c r="F25" s="1"/>
      <c r="G25" s="1"/>
      <c r="AJ25" s="2">
        <f t="shared" si="0"/>
        <v>1</v>
      </c>
      <c r="AL25" s="2">
        <f t="shared" si="1"/>
        <v>0</v>
      </c>
    </row>
    <row r="26" spans="1:38" ht="28.8" x14ac:dyDescent="0.3">
      <c r="A26" s="5" t="s">
        <v>106</v>
      </c>
      <c r="B26" s="5"/>
      <c r="C26" s="5"/>
      <c r="D26" s="1"/>
      <c r="E26" s="1"/>
      <c r="F26" s="1"/>
      <c r="G26" s="1"/>
      <c r="AJ26" s="2">
        <f t="shared" si="0"/>
        <v>0</v>
      </c>
      <c r="AL26" s="2">
        <f t="shared" si="1"/>
        <v>0</v>
      </c>
    </row>
    <row r="27" spans="1:38" ht="28.8" x14ac:dyDescent="0.3">
      <c r="A27" s="5" t="s">
        <v>107</v>
      </c>
      <c r="B27" s="5"/>
      <c r="C27" s="5"/>
      <c r="D27" s="1"/>
      <c r="E27" s="1"/>
      <c r="F27" s="1"/>
      <c r="G27" s="1"/>
      <c r="AJ27" s="2">
        <f t="shared" si="0"/>
        <v>0</v>
      </c>
      <c r="AL27" s="2">
        <f t="shared" si="1"/>
        <v>0</v>
      </c>
    </row>
    <row r="28" spans="1:38" ht="28.8" x14ac:dyDescent="0.3">
      <c r="A28" s="5" t="s">
        <v>108</v>
      </c>
      <c r="B28" s="38" t="s">
        <v>508</v>
      </c>
      <c r="C28" s="5"/>
      <c r="D28" s="1"/>
      <c r="E28" s="1"/>
      <c r="F28" s="1"/>
      <c r="G28" s="1"/>
      <c r="AJ28" s="2">
        <f t="shared" si="0"/>
        <v>1</v>
      </c>
      <c r="AL28" s="2">
        <f t="shared" si="1"/>
        <v>0</v>
      </c>
    </row>
    <row r="29" spans="1:38" ht="28.8" x14ac:dyDescent="0.3">
      <c r="A29" s="5" t="s">
        <v>1241</v>
      </c>
      <c r="B29" s="5"/>
      <c r="C29" s="5"/>
      <c r="D29" s="1"/>
      <c r="E29" s="1"/>
      <c r="F29" s="1"/>
      <c r="G29" s="1"/>
      <c r="L29" s="1" t="s">
        <v>946</v>
      </c>
      <c r="AJ29" s="2">
        <f t="shared" si="0"/>
        <v>1</v>
      </c>
      <c r="AL29" s="2">
        <f t="shared" si="1"/>
        <v>1</v>
      </c>
    </row>
    <row r="30" spans="1:38" ht="28.8" x14ac:dyDescent="0.3">
      <c r="A30" s="5" t="s">
        <v>870</v>
      </c>
      <c r="B30" s="5"/>
      <c r="C30" s="5"/>
      <c r="D30" s="1"/>
      <c r="E30" s="1"/>
      <c r="F30" s="1"/>
      <c r="G30" s="1"/>
      <c r="I30" s="53" t="s">
        <v>871</v>
      </c>
      <c r="J30" s="1" t="s">
        <v>1148</v>
      </c>
      <c r="AJ30" s="2">
        <f t="shared" si="0"/>
        <v>2</v>
      </c>
      <c r="AL30" s="2">
        <f t="shared" si="1"/>
        <v>2</v>
      </c>
    </row>
    <row r="31" spans="1:38" x14ac:dyDescent="0.3">
      <c r="A31" s="5" t="s">
        <v>1099</v>
      </c>
      <c r="B31" s="5"/>
      <c r="C31" s="5"/>
      <c r="D31" s="1"/>
      <c r="E31" s="1"/>
      <c r="F31" s="1"/>
      <c r="G31" s="1"/>
      <c r="J31" s="1" t="s">
        <v>1100</v>
      </c>
      <c r="AJ31" s="2">
        <f t="shared" si="0"/>
        <v>1</v>
      </c>
      <c r="AL31" s="2">
        <f t="shared" si="1"/>
        <v>1</v>
      </c>
    </row>
    <row r="32" spans="1:38" ht="43.2" x14ac:dyDescent="0.3">
      <c r="A32" s="5" t="s">
        <v>2545</v>
      </c>
      <c r="B32" s="5"/>
      <c r="C32" s="5"/>
      <c r="D32" s="1"/>
      <c r="E32" s="1"/>
      <c r="F32" s="1"/>
      <c r="G32" s="1"/>
      <c r="V32" s="53" t="s">
        <v>267</v>
      </c>
      <c r="Z32" s="1" t="s">
        <v>510</v>
      </c>
      <c r="AJ32" s="2">
        <f t="shared" si="0"/>
        <v>2</v>
      </c>
      <c r="AL32" s="2">
        <f t="shared" si="1"/>
        <v>0</v>
      </c>
    </row>
    <row r="33" spans="1:38" ht="43.2" x14ac:dyDescent="0.3">
      <c r="A33" s="5" t="s">
        <v>2546</v>
      </c>
      <c r="B33" s="5"/>
      <c r="C33" s="5"/>
      <c r="D33" s="1"/>
      <c r="E33" s="1"/>
      <c r="F33" s="1"/>
      <c r="G33" s="1"/>
      <c r="V33" s="53" t="s">
        <v>517</v>
      </c>
      <c r="Z33" s="1" t="s">
        <v>512</v>
      </c>
      <c r="AJ33" s="2">
        <f t="shared" si="0"/>
        <v>2</v>
      </c>
      <c r="AL33" s="2">
        <f t="shared" si="1"/>
        <v>0</v>
      </c>
    </row>
    <row r="34" spans="1:38" ht="28.8" x14ac:dyDescent="0.3">
      <c r="A34" s="5" t="s">
        <v>3173</v>
      </c>
      <c r="B34" s="5"/>
      <c r="C34" s="5"/>
      <c r="D34" s="1"/>
      <c r="E34" s="1"/>
      <c r="F34" s="1"/>
      <c r="G34" s="1"/>
      <c r="AJ34" s="2">
        <f t="shared" si="0"/>
        <v>0</v>
      </c>
      <c r="AL34" s="2">
        <f t="shared" si="1"/>
        <v>0</v>
      </c>
    </row>
    <row r="35" spans="1:38" ht="28.8" x14ac:dyDescent="0.3">
      <c r="A35" s="5" t="s">
        <v>3174</v>
      </c>
      <c r="B35" s="5"/>
      <c r="C35" s="5"/>
      <c r="D35" s="1"/>
      <c r="E35" s="1"/>
      <c r="F35" s="1"/>
      <c r="G35" s="1"/>
      <c r="AJ35" s="2">
        <f t="shared" si="0"/>
        <v>0</v>
      </c>
      <c r="AL35" s="2">
        <f t="shared" si="1"/>
        <v>0</v>
      </c>
    </row>
    <row r="36" spans="1:38" x14ac:dyDescent="0.3">
      <c r="A36" s="5" t="s">
        <v>3175</v>
      </c>
      <c r="B36" s="5"/>
      <c r="C36" s="5"/>
      <c r="D36" s="1"/>
      <c r="E36" s="1"/>
      <c r="F36" s="1"/>
      <c r="G36" s="1"/>
      <c r="AJ36" s="2">
        <f t="shared" si="0"/>
        <v>0</v>
      </c>
      <c r="AL36" s="2">
        <f t="shared" si="1"/>
        <v>0</v>
      </c>
    </row>
    <row r="37" spans="1:38" x14ac:dyDescent="0.3">
      <c r="A37" s="5"/>
      <c r="B37" s="5"/>
      <c r="C37" s="5"/>
      <c r="D37" s="1"/>
      <c r="E37" s="1"/>
      <c r="F37" s="1"/>
      <c r="G37" s="1"/>
    </row>
    <row r="38" spans="1:38" x14ac:dyDescent="0.3">
      <c r="A38" s="5"/>
      <c r="B38" s="5"/>
      <c r="C38" s="5"/>
      <c r="D38" s="1"/>
      <c r="E38" s="1"/>
      <c r="F38" s="1"/>
      <c r="G38" s="1"/>
    </row>
    <row r="39" spans="1:38" x14ac:dyDescent="0.3">
      <c r="A39" s="5"/>
      <c r="B39" s="5"/>
      <c r="C39" s="5"/>
      <c r="D39" s="1"/>
      <c r="E39" s="1"/>
      <c r="F39" s="1"/>
      <c r="G39" s="1"/>
    </row>
    <row r="40" spans="1:38" x14ac:dyDescent="0.3">
      <c r="A40" s="5"/>
      <c r="B40" s="5"/>
      <c r="C40" s="5"/>
      <c r="D40" s="1"/>
      <c r="E40" s="1"/>
      <c r="F40" s="1"/>
      <c r="G40" s="1"/>
    </row>
    <row r="41" spans="1:38" x14ac:dyDescent="0.3">
      <c r="A41" s="5"/>
      <c r="B41" s="5"/>
      <c r="C41" s="5"/>
      <c r="D41" s="1"/>
      <c r="E41" s="1"/>
      <c r="F41" s="1"/>
      <c r="G41" s="1"/>
    </row>
    <row r="42" spans="1:38" x14ac:dyDescent="0.3">
      <c r="A42" s="5"/>
      <c r="B42" s="5"/>
      <c r="C42" s="5"/>
      <c r="D42" s="1"/>
      <c r="E42" s="1"/>
      <c r="F42" s="1"/>
      <c r="G42" s="1"/>
    </row>
    <row r="43" spans="1:38" x14ac:dyDescent="0.3">
      <c r="A43" s="5"/>
      <c r="B43" s="5"/>
      <c r="C43" s="5"/>
      <c r="D43" s="1"/>
      <c r="E43" s="1"/>
      <c r="F43" s="1"/>
      <c r="G43" s="1"/>
    </row>
    <row r="44" spans="1:38" x14ac:dyDescent="0.3">
      <c r="A44" s="5"/>
      <c r="B44" s="5"/>
      <c r="C44" s="5"/>
      <c r="D44" s="1"/>
      <c r="E44" s="1"/>
      <c r="F44" s="1"/>
      <c r="G44" s="1"/>
    </row>
    <row r="45" spans="1:38" x14ac:dyDescent="0.3">
      <c r="A45" s="5"/>
      <c r="B45" s="5"/>
      <c r="C45" s="5"/>
      <c r="D45" s="1"/>
      <c r="E45" s="1"/>
      <c r="F45" s="1"/>
      <c r="G45" s="1"/>
    </row>
    <row r="46" spans="1:38" x14ac:dyDescent="0.3">
      <c r="A46" s="5"/>
      <c r="B46" s="5"/>
      <c r="C46" s="5"/>
      <c r="D46" s="1"/>
      <c r="E46" s="1"/>
      <c r="F46" s="1"/>
      <c r="G46" s="1"/>
    </row>
    <row r="47" spans="1:38" x14ac:dyDescent="0.3">
      <c r="A47" s="5"/>
      <c r="B47" s="5"/>
      <c r="C47" s="5"/>
      <c r="D47" s="1"/>
      <c r="E47" s="1"/>
      <c r="F47" s="1"/>
      <c r="G47" s="1"/>
    </row>
    <row r="48" spans="1:38"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58C9C-DE4E-4D98-A70E-71A3A3F19504}">
  <sheetPr codeName="Sheet20"/>
  <dimension ref="A1:AN288"/>
  <sheetViews>
    <sheetView rightToLeft="1" workbookViewId="0">
      <pane xSplit="1" ySplit="1" topLeftCell="B2" activePane="bottomRight" state="frozen"/>
      <selection activeCell="A6" sqref="A6"/>
      <selection pane="topRight" activeCell="A6" sqref="A6"/>
      <selection pane="bottomLeft" activeCell="A6" sqref="A6"/>
      <selection pane="bottomRight" activeCell="H6" sqref="H6"/>
    </sheetView>
  </sheetViews>
  <sheetFormatPr defaultColWidth="8.77734375" defaultRowHeight="14.4" x14ac:dyDescent="0.3"/>
  <cols>
    <col min="1" max="1" width="52.21875" style="8" customWidth="1"/>
    <col min="2" max="2" width="10" style="2" customWidth="1"/>
    <col min="3" max="3" width="10.218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554687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28.8" x14ac:dyDescent="0.3">
      <c r="A2" s="5" t="s">
        <v>41</v>
      </c>
      <c r="B2" s="6"/>
      <c r="C2" s="5" t="s">
        <v>42</v>
      </c>
      <c r="D2" s="1" t="s">
        <v>42</v>
      </c>
      <c r="E2" s="3"/>
      <c r="F2" s="3"/>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2</v>
      </c>
      <c r="AL2" s="2">
        <f>COUNTA(F2:O2,R2:S2)</f>
        <v>0</v>
      </c>
      <c r="AN2" s="2">
        <f>COUNTIF(AL2:AL8,"&gt;=2")</f>
        <v>1</v>
      </c>
    </row>
    <row r="3" spans="1:40" ht="28.8" x14ac:dyDescent="0.3">
      <c r="A3" s="5" t="s">
        <v>43</v>
      </c>
      <c r="B3" s="10" t="s">
        <v>44</v>
      </c>
      <c r="C3" s="5" t="s">
        <v>44</v>
      </c>
      <c r="D3" s="53" t="s">
        <v>44</v>
      </c>
      <c r="E3" s="61" t="s">
        <v>365</v>
      </c>
      <c r="F3" s="61" t="s">
        <v>44</v>
      </c>
      <c r="G3" s="12" t="s">
        <v>63</v>
      </c>
      <c r="AJ3" s="2">
        <f t="shared" ref="AJ3:AJ8" si="0">COUNTA(B3:AH3)</f>
        <v>6</v>
      </c>
      <c r="AL3" s="2">
        <f t="shared" ref="AL3:AL8" si="1">COUNTA(F3:O3,R3:S3)</f>
        <v>2</v>
      </c>
    </row>
    <row r="4" spans="1:40" ht="72" x14ac:dyDescent="0.3">
      <c r="A4" s="5" t="s">
        <v>45</v>
      </c>
      <c r="B4" s="43" t="s">
        <v>17</v>
      </c>
      <c r="C4" s="5" t="s">
        <v>17</v>
      </c>
      <c r="D4" s="59" t="s">
        <v>17</v>
      </c>
      <c r="E4" s="1"/>
      <c r="F4" s="10" t="s">
        <v>17</v>
      </c>
      <c r="G4" s="1"/>
      <c r="AJ4" s="2">
        <f t="shared" si="0"/>
        <v>4</v>
      </c>
      <c r="AL4" s="2">
        <f t="shared" si="1"/>
        <v>1</v>
      </c>
    </row>
    <row r="5" spans="1:40" ht="43.2" x14ac:dyDescent="0.3">
      <c r="A5" s="5" t="s">
        <v>2864</v>
      </c>
      <c r="B5" s="5"/>
      <c r="C5" s="5"/>
      <c r="D5" s="1"/>
      <c r="E5" s="1"/>
      <c r="F5" s="1"/>
      <c r="G5" s="1"/>
      <c r="AD5" s="1" t="s">
        <v>1096</v>
      </c>
      <c r="AJ5" s="2">
        <f t="shared" si="0"/>
        <v>1</v>
      </c>
      <c r="AL5" s="2">
        <f t="shared" si="1"/>
        <v>0</v>
      </c>
    </row>
    <row r="6" spans="1:40" ht="28.8" x14ac:dyDescent="0.3">
      <c r="A6" s="5" t="s">
        <v>2865</v>
      </c>
      <c r="B6" s="6"/>
      <c r="C6" s="5"/>
      <c r="D6" s="1"/>
      <c r="E6" s="1"/>
      <c r="F6" s="1"/>
      <c r="G6" s="1"/>
      <c r="AD6" s="1" t="s">
        <v>1512</v>
      </c>
      <c r="AJ6" s="2">
        <f t="shared" si="0"/>
        <v>1</v>
      </c>
      <c r="AL6" s="2">
        <f t="shared" si="1"/>
        <v>0</v>
      </c>
    </row>
    <row r="7" spans="1:40" x14ac:dyDescent="0.3">
      <c r="A7" s="5" t="s">
        <v>2867</v>
      </c>
      <c r="B7" s="6"/>
      <c r="C7" s="5"/>
      <c r="D7" s="1"/>
      <c r="E7" s="1"/>
      <c r="F7" s="1"/>
      <c r="G7" s="1"/>
      <c r="AD7" s="1" t="s">
        <v>1462</v>
      </c>
      <c r="AJ7" s="2">
        <f t="shared" si="0"/>
        <v>1</v>
      </c>
      <c r="AL7" s="2">
        <f t="shared" si="1"/>
        <v>0</v>
      </c>
    </row>
    <row r="8" spans="1:40" ht="28.8" x14ac:dyDescent="0.3">
      <c r="A8" s="5" t="s">
        <v>2895</v>
      </c>
      <c r="B8" s="6"/>
      <c r="C8" s="5"/>
      <c r="D8" s="1"/>
      <c r="E8" s="1"/>
      <c r="F8" s="1"/>
      <c r="G8" s="1"/>
      <c r="AD8" s="1" t="s">
        <v>2896</v>
      </c>
      <c r="AJ8" s="2">
        <f t="shared" si="0"/>
        <v>1</v>
      </c>
      <c r="AL8" s="2">
        <f t="shared" si="1"/>
        <v>0</v>
      </c>
    </row>
    <row r="9" spans="1:40" x14ac:dyDescent="0.3">
      <c r="A9" s="5"/>
      <c r="B9" s="6"/>
      <c r="C9" s="5"/>
      <c r="D9" s="1"/>
      <c r="E9" s="1"/>
      <c r="F9" s="1"/>
      <c r="G9" s="1"/>
    </row>
    <row r="10" spans="1:40" x14ac:dyDescent="0.3">
      <c r="A10" s="5"/>
      <c r="B10" s="6"/>
      <c r="C10" s="5"/>
      <c r="D10" s="1"/>
      <c r="E10" s="1"/>
      <c r="F10" s="1"/>
      <c r="G10" s="1"/>
    </row>
    <row r="11" spans="1:40" x14ac:dyDescent="0.3">
      <c r="A11" s="5"/>
      <c r="B11" s="6"/>
      <c r="C11" s="5"/>
      <c r="D11" s="1"/>
      <c r="E11" s="1"/>
      <c r="F11" s="1"/>
      <c r="G11" s="1"/>
    </row>
    <row r="12" spans="1:40" x14ac:dyDescent="0.3">
      <c r="A12" s="5"/>
      <c r="B12" s="1"/>
      <c r="C12" s="5"/>
      <c r="D12" s="1"/>
      <c r="E12" s="1"/>
      <c r="F12" s="1"/>
      <c r="G12" s="1"/>
    </row>
    <row r="13" spans="1:40" x14ac:dyDescent="0.3">
      <c r="A13" s="5"/>
      <c r="B13" s="1"/>
      <c r="C13" s="5"/>
      <c r="D13" s="1"/>
      <c r="E13" s="1"/>
      <c r="F13" s="1"/>
      <c r="G13" s="1"/>
    </row>
    <row r="14" spans="1:40" x14ac:dyDescent="0.3">
      <c r="A14" s="5"/>
      <c r="B14" s="1"/>
      <c r="C14" s="5"/>
      <c r="D14" s="1"/>
      <c r="E14" s="1"/>
      <c r="F14" s="1"/>
      <c r="G14" s="1"/>
    </row>
    <row r="15" spans="1:40" x14ac:dyDescent="0.3">
      <c r="A15" s="5"/>
      <c r="B15" s="5"/>
      <c r="C15" s="5"/>
      <c r="D15" s="1"/>
      <c r="E15" s="1"/>
      <c r="F15" s="1"/>
      <c r="G15" s="1"/>
    </row>
    <row r="16" spans="1:40" x14ac:dyDescent="0.3">
      <c r="A16" s="5"/>
      <c r="B16" s="1"/>
      <c r="C16" s="5"/>
      <c r="D16" s="1"/>
      <c r="E16" s="1"/>
      <c r="F16" s="1"/>
      <c r="G16" s="1"/>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B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026F-090B-49AE-8234-E949C5C13191}">
  <sheetPr codeName="Sheet21"/>
  <dimension ref="A1:AN288"/>
  <sheetViews>
    <sheetView rightToLeft="1" workbookViewId="0">
      <pane xSplit="1" ySplit="1" topLeftCell="W3" activePane="bottomRight" state="frozen"/>
      <selection activeCell="B66" sqref="A1:AH87"/>
      <selection pane="topRight" activeCell="B66" sqref="A1:AH87"/>
      <selection pane="bottomLeft" activeCell="B66" sqref="A1:AH87"/>
      <selection pane="bottomRight" activeCell="AC2" sqref="AC2"/>
    </sheetView>
  </sheetViews>
  <sheetFormatPr defaultColWidth="8.77734375" defaultRowHeight="14.4" x14ac:dyDescent="0.3"/>
  <cols>
    <col min="1" max="1" width="52.21875" style="8" customWidth="1"/>
    <col min="2" max="2" width="10" style="2" customWidth="1"/>
    <col min="3" max="3" width="10.77734375" style="8" customWidth="1"/>
    <col min="4" max="4" width="11.77734375" style="2" customWidth="1"/>
    <col min="5" max="7" width="8.77734375" style="2"/>
    <col min="8" max="15" width="8.77734375" style="1" customWidth="1"/>
    <col min="16" max="17" width="8.77734375" style="30" customWidth="1"/>
    <col min="18" max="34" width="8.77734375" style="1" customWidth="1"/>
    <col min="35" max="35" width="8.77734375" style="2"/>
    <col min="36" max="36" width="10.109375" style="2" bestFit="1" customWidth="1"/>
    <col min="37" max="37" width="8.77734375" style="2"/>
    <col min="38" max="38" width="10.44140625" style="2" bestFit="1" customWidth="1"/>
    <col min="39" max="39" width="8.77734375" style="2"/>
    <col min="40" max="40" width="17" style="2" bestFit="1" customWidth="1"/>
    <col min="41" max="16384" width="8.77734375" style="2"/>
  </cols>
  <sheetData>
    <row r="1" spans="1:40" ht="15" thickBot="1" x14ac:dyDescent="0.35">
      <c r="A1" s="7" t="s">
        <v>0</v>
      </c>
      <c r="B1" s="4">
        <v>2022</v>
      </c>
      <c r="C1" s="7">
        <v>2021</v>
      </c>
      <c r="D1" s="4">
        <v>2020</v>
      </c>
      <c r="E1" s="9">
        <v>43709</v>
      </c>
      <c r="F1" s="9">
        <v>43556</v>
      </c>
      <c r="G1" s="4">
        <v>2015</v>
      </c>
      <c r="H1" s="4">
        <v>2013</v>
      </c>
      <c r="I1" s="4">
        <v>2009</v>
      </c>
      <c r="J1" s="4">
        <v>2006</v>
      </c>
      <c r="K1" s="4">
        <v>2003</v>
      </c>
      <c r="L1" s="4">
        <v>2001</v>
      </c>
      <c r="M1" s="4">
        <v>1999</v>
      </c>
      <c r="N1" s="4">
        <v>1996</v>
      </c>
      <c r="O1" s="4">
        <v>1992</v>
      </c>
      <c r="P1" s="28" t="s">
        <v>1788</v>
      </c>
      <c r="Q1" s="28" t="s">
        <v>1961</v>
      </c>
      <c r="R1" s="4">
        <v>1988</v>
      </c>
      <c r="S1" s="4">
        <v>1984</v>
      </c>
      <c r="T1" s="4" t="s">
        <v>2300</v>
      </c>
      <c r="U1" s="4" t="s">
        <v>2413</v>
      </c>
      <c r="V1" s="4" t="s">
        <v>2513</v>
      </c>
      <c r="W1" s="4" t="s">
        <v>2567</v>
      </c>
      <c r="X1" s="4" t="s">
        <v>2579</v>
      </c>
      <c r="Y1" s="4" t="s">
        <v>2581</v>
      </c>
      <c r="Z1" s="4" t="s">
        <v>2586</v>
      </c>
      <c r="AA1" s="4" t="s">
        <v>2636</v>
      </c>
      <c r="AB1" s="4" t="s">
        <v>2729</v>
      </c>
      <c r="AC1" s="4" t="s">
        <v>2787</v>
      </c>
      <c r="AD1" s="4" t="s">
        <v>2827</v>
      </c>
      <c r="AE1" s="4" t="s">
        <v>2955</v>
      </c>
      <c r="AF1" s="4" t="s">
        <v>2981</v>
      </c>
      <c r="AG1" s="4" t="s">
        <v>3019</v>
      </c>
      <c r="AH1" s="4" t="s">
        <v>3063</v>
      </c>
      <c r="AJ1" s="41" t="s">
        <v>3228</v>
      </c>
      <c r="AL1" s="41" t="s">
        <v>3229</v>
      </c>
      <c r="AN1" s="41" t="s">
        <v>3230</v>
      </c>
    </row>
    <row r="2" spans="1:40" ht="57.6" x14ac:dyDescent="0.3">
      <c r="A2" s="6" t="s">
        <v>32</v>
      </c>
      <c r="B2" s="6"/>
      <c r="C2" s="6" t="s">
        <v>33</v>
      </c>
      <c r="D2" s="57" t="s">
        <v>33</v>
      </c>
      <c r="E2" s="3"/>
      <c r="F2" s="3" t="s">
        <v>33</v>
      </c>
      <c r="G2" s="3"/>
      <c r="H2" s="3"/>
      <c r="I2" s="3"/>
      <c r="J2" s="3"/>
      <c r="K2" s="3"/>
      <c r="L2" s="3"/>
      <c r="M2" s="3"/>
      <c r="N2" s="3"/>
      <c r="O2" s="3"/>
      <c r="P2" s="29"/>
      <c r="Q2" s="29"/>
      <c r="R2" s="3"/>
      <c r="S2" s="3"/>
      <c r="T2" s="3"/>
      <c r="U2" s="3"/>
      <c r="V2" s="3"/>
      <c r="W2" s="3"/>
      <c r="X2" s="3"/>
      <c r="Y2" s="3"/>
      <c r="Z2" s="3"/>
      <c r="AA2" s="3"/>
      <c r="AB2" s="3"/>
      <c r="AC2" s="3"/>
      <c r="AD2" s="3"/>
      <c r="AE2" s="3"/>
      <c r="AF2" s="3"/>
      <c r="AG2" s="3"/>
      <c r="AH2" s="3"/>
      <c r="AJ2" s="2">
        <f>COUNTA(B2:AH2)</f>
        <v>3</v>
      </c>
      <c r="AL2" s="2">
        <f>COUNTA(F2:O2,R2:S2)</f>
        <v>1</v>
      </c>
      <c r="AN2" s="2">
        <f>COUNTIF(AL2:AL16,"&gt;=2")</f>
        <v>8</v>
      </c>
    </row>
    <row r="3" spans="1:40" ht="43.2" x14ac:dyDescent="0.3">
      <c r="A3" s="5" t="s">
        <v>439</v>
      </c>
      <c r="B3" s="6"/>
      <c r="C3" s="6"/>
      <c r="D3" s="3"/>
      <c r="E3" s="3"/>
      <c r="F3" s="3"/>
      <c r="G3" s="3" t="s">
        <v>440</v>
      </c>
      <c r="AJ3" s="2">
        <f t="shared" ref="AJ3:AJ16" si="0">COUNTA(B3:AH3)</f>
        <v>1</v>
      </c>
      <c r="AL3" s="2">
        <f t="shared" ref="AL3:AL16" si="1">COUNTA(F3:O3,R3:S3)</f>
        <v>1</v>
      </c>
    </row>
    <row r="4" spans="1:40" ht="28.8" x14ac:dyDescent="0.3">
      <c r="A4" s="5" t="s">
        <v>438</v>
      </c>
      <c r="B4" s="6" t="s">
        <v>34</v>
      </c>
      <c r="C4" s="5" t="s">
        <v>34</v>
      </c>
      <c r="D4" s="59" t="s">
        <v>34</v>
      </c>
      <c r="E4" s="1"/>
      <c r="F4" s="53" t="s">
        <v>34</v>
      </c>
      <c r="G4" s="1" t="s">
        <v>441</v>
      </c>
      <c r="AJ4" s="2">
        <f t="shared" si="0"/>
        <v>5</v>
      </c>
      <c r="AL4" s="2">
        <f t="shared" si="1"/>
        <v>2</v>
      </c>
    </row>
    <row r="5" spans="1:40" ht="28.8" x14ac:dyDescent="0.3">
      <c r="A5" s="5" t="s">
        <v>35</v>
      </c>
      <c r="B5" s="5" t="s">
        <v>36</v>
      </c>
      <c r="C5" s="5" t="s">
        <v>36</v>
      </c>
      <c r="D5" s="53" t="s">
        <v>36</v>
      </c>
      <c r="E5" s="53" t="s">
        <v>366</v>
      </c>
      <c r="F5" s="53" t="s">
        <v>36</v>
      </c>
      <c r="G5" s="1" t="s">
        <v>442</v>
      </c>
      <c r="AJ5" s="2">
        <f t="shared" si="0"/>
        <v>6</v>
      </c>
      <c r="AL5" s="2">
        <f t="shared" si="1"/>
        <v>2</v>
      </c>
    </row>
    <row r="6" spans="1:40" ht="28.8" x14ac:dyDescent="0.3">
      <c r="A6" s="5" t="s">
        <v>3233</v>
      </c>
      <c r="B6" s="6" t="s">
        <v>37</v>
      </c>
      <c r="C6" s="5" t="s">
        <v>37</v>
      </c>
      <c r="D6" s="53" t="s">
        <v>37</v>
      </c>
      <c r="E6" s="53" t="s">
        <v>367</v>
      </c>
      <c r="F6" s="53" t="s">
        <v>37</v>
      </c>
      <c r="G6" s="1" t="s">
        <v>443</v>
      </c>
      <c r="AJ6" s="2">
        <f t="shared" si="0"/>
        <v>6</v>
      </c>
      <c r="AL6" s="2">
        <f t="shared" si="1"/>
        <v>2</v>
      </c>
    </row>
    <row r="7" spans="1:40" ht="28.8" x14ac:dyDescent="0.3">
      <c r="A7" s="5" t="s">
        <v>38</v>
      </c>
      <c r="B7" s="6" t="s">
        <v>39</v>
      </c>
      <c r="C7" s="5" t="s">
        <v>39</v>
      </c>
      <c r="D7" s="1" t="s">
        <v>39</v>
      </c>
      <c r="E7" s="1"/>
      <c r="F7" s="53" t="s">
        <v>39</v>
      </c>
      <c r="G7" s="1" t="s">
        <v>57</v>
      </c>
      <c r="AJ7" s="2">
        <f t="shared" si="0"/>
        <v>5</v>
      </c>
      <c r="AL7" s="2">
        <f t="shared" si="1"/>
        <v>2</v>
      </c>
    </row>
    <row r="8" spans="1:40" ht="28.8" x14ac:dyDescent="0.3">
      <c r="A8" s="5" t="s">
        <v>3151</v>
      </c>
      <c r="B8" s="6"/>
      <c r="C8" s="5" t="s">
        <v>40</v>
      </c>
      <c r="D8" s="1" t="s">
        <v>40</v>
      </c>
      <c r="E8" s="1"/>
      <c r="F8" s="1"/>
      <c r="G8" s="1"/>
      <c r="AJ8" s="2">
        <f t="shared" si="0"/>
        <v>2</v>
      </c>
      <c r="AL8" s="2">
        <f t="shared" si="1"/>
        <v>0</v>
      </c>
    </row>
    <row r="9" spans="1:40" ht="28.8" x14ac:dyDescent="0.3">
      <c r="A9" s="5" t="s">
        <v>339</v>
      </c>
      <c r="B9" s="6"/>
      <c r="C9" s="5"/>
      <c r="D9" s="1"/>
      <c r="E9" s="1"/>
      <c r="F9" s="1"/>
      <c r="G9" s="1"/>
      <c r="AJ9" s="2">
        <f t="shared" si="0"/>
        <v>0</v>
      </c>
      <c r="AL9" s="2">
        <f t="shared" si="1"/>
        <v>0</v>
      </c>
    </row>
    <row r="10" spans="1:40" ht="28.8" x14ac:dyDescent="0.3">
      <c r="A10" s="5" t="s">
        <v>340</v>
      </c>
      <c r="B10" s="6"/>
      <c r="C10" s="5"/>
      <c r="D10" s="1"/>
      <c r="E10" s="1"/>
      <c r="F10" s="1"/>
      <c r="G10" s="1"/>
      <c r="AJ10" s="2">
        <f t="shared" si="0"/>
        <v>0</v>
      </c>
      <c r="AL10" s="2">
        <f t="shared" si="1"/>
        <v>0</v>
      </c>
    </row>
    <row r="11" spans="1:40" ht="28.8" x14ac:dyDescent="0.3">
      <c r="A11" s="5" t="s">
        <v>341</v>
      </c>
      <c r="B11" s="6"/>
      <c r="C11" s="5"/>
      <c r="D11" s="1"/>
      <c r="E11" s="1"/>
      <c r="F11" s="1"/>
      <c r="G11" s="1"/>
      <c r="AJ11" s="2">
        <f t="shared" si="0"/>
        <v>0</v>
      </c>
      <c r="AL11" s="2">
        <f t="shared" si="1"/>
        <v>0</v>
      </c>
    </row>
    <row r="12" spans="1:40" x14ac:dyDescent="0.3">
      <c r="A12" s="5" t="s">
        <v>812</v>
      </c>
      <c r="B12" s="1"/>
      <c r="C12" s="5"/>
      <c r="D12" s="1"/>
      <c r="E12" s="1"/>
      <c r="F12" s="1"/>
      <c r="G12" s="1"/>
      <c r="I12" s="54" t="s">
        <v>813</v>
      </c>
      <c r="J12" s="1" t="s">
        <v>1078</v>
      </c>
      <c r="AJ12" s="2">
        <f t="shared" si="0"/>
        <v>2</v>
      </c>
      <c r="AL12" s="2">
        <f t="shared" si="1"/>
        <v>2</v>
      </c>
    </row>
    <row r="13" spans="1:40" x14ac:dyDescent="0.3">
      <c r="A13" s="5" t="s">
        <v>806</v>
      </c>
      <c r="B13" s="1"/>
      <c r="C13" s="5"/>
      <c r="D13" s="1"/>
      <c r="E13" s="1"/>
      <c r="F13" s="1"/>
      <c r="G13" s="1"/>
      <c r="I13" s="54" t="s">
        <v>814</v>
      </c>
      <c r="J13" s="1" t="s">
        <v>1079</v>
      </c>
      <c r="AJ13" s="2">
        <f t="shared" si="0"/>
        <v>2</v>
      </c>
      <c r="AL13" s="2">
        <f t="shared" si="1"/>
        <v>2</v>
      </c>
    </row>
    <row r="14" spans="1:40" x14ac:dyDescent="0.3">
      <c r="A14" s="5" t="s">
        <v>807</v>
      </c>
      <c r="B14" s="1"/>
      <c r="C14" s="5"/>
      <c r="D14" s="1"/>
      <c r="E14" s="1"/>
      <c r="F14" s="1"/>
      <c r="G14" s="1"/>
      <c r="I14" s="54" t="s">
        <v>815</v>
      </c>
      <c r="J14" s="1" t="s">
        <v>1080</v>
      </c>
      <c r="AJ14" s="2">
        <f t="shared" si="0"/>
        <v>2</v>
      </c>
      <c r="AL14" s="2">
        <f t="shared" si="1"/>
        <v>2</v>
      </c>
    </row>
    <row r="15" spans="1:40" x14ac:dyDescent="0.3">
      <c r="A15" s="5" t="s">
        <v>808</v>
      </c>
      <c r="B15" s="5"/>
      <c r="C15" s="5"/>
      <c r="D15" s="1"/>
      <c r="E15" s="1"/>
      <c r="F15" s="1"/>
      <c r="G15" s="1"/>
      <c r="I15" s="54" t="s">
        <v>816</v>
      </c>
      <c r="J15" s="1" t="s">
        <v>1081</v>
      </c>
      <c r="AJ15" s="2">
        <f t="shared" si="0"/>
        <v>2</v>
      </c>
      <c r="AL15" s="2">
        <f t="shared" si="1"/>
        <v>2</v>
      </c>
    </row>
    <row r="16" spans="1:40" x14ac:dyDescent="0.3">
      <c r="A16" s="5" t="s">
        <v>3152</v>
      </c>
      <c r="B16" s="1"/>
      <c r="C16" s="5" t="s">
        <v>3153</v>
      </c>
      <c r="D16" s="1"/>
      <c r="E16" s="1"/>
      <c r="F16" s="1"/>
      <c r="G16" s="1"/>
      <c r="AJ16" s="2">
        <f t="shared" si="0"/>
        <v>1</v>
      </c>
      <c r="AL16" s="2">
        <f t="shared" si="1"/>
        <v>0</v>
      </c>
    </row>
    <row r="17" spans="1:7" x14ac:dyDescent="0.3">
      <c r="A17" s="5"/>
      <c r="B17" s="1"/>
      <c r="C17" s="5"/>
      <c r="D17" s="1"/>
      <c r="E17" s="1"/>
      <c r="F17" s="1"/>
      <c r="G17" s="1"/>
    </row>
    <row r="18" spans="1:7" x14ac:dyDescent="0.3">
      <c r="A18" s="5"/>
      <c r="B18" s="1"/>
      <c r="C18" s="5"/>
      <c r="D18" s="1"/>
      <c r="E18" s="1"/>
      <c r="F18" s="1"/>
      <c r="G18" s="1"/>
    </row>
    <row r="19" spans="1:7" x14ac:dyDescent="0.3">
      <c r="A19" s="5"/>
      <c r="B19" s="1"/>
      <c r="C19" s="5"/>
      <c r="D19" s="1"/>
      <c r="E19" s="1"/>
      <c r="F19" s="1"/>
      <c r="G19" s="1"/>
    </row>
    <row r="20" spans="1:7" x14ac:dyDescent="0.3">
      <c r="A20" s="5"/>
      <c r="B20" s="1"/>
      <c r="C20" s="5"/>
      <c r="D20" s="1"/>
      <c r="E20" s="1"/>
      <c r="F20" s="1"/>
      <c r="G20" s="1"/>
    </row>
    <row r="21" spans="1:7" x14ac:dyDescent="0.3">
      <c r="A21" s="5"/>
      <c r="B21" s="1"/>
      <c r="C21" s="5"/>
      <c r="D21" s="1"/>
      <c r="E21" s="1"/>
      <c r="F21" s="1"/>
      <c r="G21" s="1"/>
    </row>
    <row r="22" spans="1:7" x14ac:dyDescent="0.3">
      <c r="A22" s="5"/>
      <c r="B22" s="1"/>
      <c r="C22" s="5"/>
      <c r="D22" s="1"/>
      <c r="E22" s="1"/>
      <c r="F22" s="1"/>
      <c r="G22" s="1"/>
    </row>
    <row r="23" spans="1:7" x14ac:dyDescent="0.3">
      <c r="A23" s="5"/>
      <c r="B23" s="1"/>
      <c r="C23" s="5"/>
      <c r="D23" s="1"/>
      <c r="E23" s="1"/>
      <c r="F23" s="1"/>
      <c r="G23" s="1"/>
    </row>
    <row r="24" spans="1:7" x14ac:dyDescent="0.3">
      <c r="A24" s="5"/>
      <c r="B24" s="1"/>
      <c r="C24" s="5"/>
      <c r="D24" s="1"/>
      <c r="E24" s="1"/>
      <c r="F24" s="1"/>
      <c r="G24" s="1"/>
    </row>
    <row r="25" spans="1:7" x14ac:dyDescent="0.3">
      <c r="A25" s="5"/>
      <c r="B25" s="1"/>
      <c r="C25" s="5"/>
      <c r="D25" s="1"/>
      <c r="E25" s="1"/>
      <c r="F25" s="1"/>
      <c r="G25" s="1"/>
    </row>
    <row r="26" spans="1:7" x14ac:dyDescent="0.3">
      <c r="A26" s="5"/>
      <c r="B26" s="5"/>
      <c r="C26" s="5"/>
      <c r="D26" s="1"/>
      <c r="E26" s="1"/>
      <c r="F26" s="1"/>
      <c r="G26" s="1"/>
    </row>
    <row r="27" spans="1:7" x14ac:dyDescent="0.3">
      <c r="A27" s="5"/>
      <c r="B27" s="5"/>
      <c r="C27" s="5"/>
      <c r="D27" s="1"/>
      <c r="E27" s="1"/>
      <c r="F27" s="1"/>
      <c r="G27" s="1"/>
    </row>
    <row r="28" spans="1:7" x14ac:dyDescent="0.3">
      <c r="A28" s="5"/>
      <c r="B28" s="5"/>
      <c r="C28" s="5"/>
      <c r="D28" s="1"/>
      <c r="E28" s="1"/>
      <c r="F28" s="1"/>
      <c r="G28" s="1"/>
    </row>
    <row r="29" spans="1:7" x14ac:dyDescent="0.3">
      <c r="A29" s="5"/>
      <c r="B29" s="5"/>
      <c r="C29" s="5"/>
      <c r="D29" s="1"/>
      <c r="E29" s="1"/>
      <c r="F29" s="1"/>
      <c r="G29" s="1"/>
    </row>
    <row r="30" spans="1:7" x14ac:dyDescent="0.3">
      <c r="A30" s="5"/>
      <c r="B30" s="5"/>
      <c r="C30" s="5"/>
      <c r="D30" s="1"/>
      <c r="E30" s="1"/>
      <c r="F30" s="1"/>
      <c r="G30" s="1"/>
    </row>
    <row r="31" spans="1:7" x14ac:dyDescent="0.3">
      <c r="A31" s="5"/>
      <c r="B31" s="5"/>
      <c r="C31" s="5"/>
      <c r="D31" s="1"/>
      <c r="E31" s="1"/>
      <c r="F31" s="1"/>
      <c r="G31" s="1"/>
    </row>
    <row r="32" spans="1:7" x14ac:dyDescent="0.3">
      <c r="A32" s="5"/>
      <c r="B32" s="5"/>
      <c r="C32" s="5"/>
      <c r="D32" s="1"/>
      <c r="E32" s="1"/>
      <c r="F32" s="1"/>
      <c r="G32" s="1"/>
    </row>
    <row r="33" spans="1:7" x14ac:dyDescent="0.3">
      <c r="A33" s="5"/>
      <c r="B33" s="5"/>
      <c r="C33" s="5"/>
      <c r="D33" s="1"/>
      <c r="E33" s="1"/>
      <c r="F33" s="1"/>
      <c r="G33" s="1"/>
    </row>
    <row r="34" spans="1:7" x14ac:dyDescent="0.3">
      <c r="A34" s="5"/>
      <c r="B34" s="5"/>
      <c r="C34" s="5"/>
      <c r="D34" s="1"/>
      <c r="E34" s="1"/>
      <c r="F34" s="1"/>
      <c r="G34" s="1"/>
    </row>
    <row r="35" spans="1:7" x14ac:dyDescent="0.3">
      <c r="A35" s="5"/>
      <c r="B35" s="5"/>
      <c r="C35" s="5"/>
      <c r="D35" s="1"/>
      <c r="E35" s="1"/>
      <c r="F35" s="1"/>
      <c r="G35" s="1"/>
    </row>
    <row r="36" spans="1:7" x14ac:dyDescent="0.3">
      <c r="A36" s="5"/>
      <c r="B36" s="5"/>
      <c r="C36" s="5"/>
      <c r="D36" s="1"/>
      <c r="E36" s="1"/>
      <c r="F36" s="1"/>
      <c r="G36" s="1"/>
    </row>
    <row r="37" spans="1:7" x14ac:dyDescent="0.3">
      <c r="A37" s="5"/>
      <c r="B37" s="5"/>
      <c r="C37" s="5"/>
      <c r="D37" s="1"/>
      <c r="E37" s="1"/>
      <c r="F37" s="1"/>
      <c r="G37" s="1"/>
    </row>
    <row r="38" spans="1:7" x14ac:dyDescent="0.3">
      <c r="A38" s="5"/>
      <c r="B38" s="5"/>
      <c r="C38" s="5"/>
      <c r="D38" s="1"/>
      <c r="E38" s="1"/>
      <c r="F38" s="1"/>
      <c r="G38" s="1"/>
    </row>
    <row r="39" spans="1:7" x14ac:dyDescent="0.3">
      <c r="A39" s="5"/>
      <c r="B39" s="5"/>
      <c r="C39" s="5"/>
      <c r="D39" s="1"/>
      <c r="E39" s="1"/>
      <c r="F39" s="1"/>
      <c r="G39" s="1"/>
    </row>
    <row r="40" spans="1:7" x14ac:dyDescent="0.3">
      <c r="A40" s="5"/>
      <c r="B40" s="5"/>
      <c r="C40" s="5"/>
      <c r="D40" s="1"/>
      <c r="E40" s="1"/>
      <c r="F40" s="1"/>
      <c r="G40" s="1"/>
    </row>
    <row r="41" spans="1:7" x14ac:dyDescent="0.3">
      <c r="A41" s="5"/>
      <c r="B41" s="5"/>
      <c r="C41" s="5"/>
      <c r="D41" s="1"/>
      <c r="E41" s="1"/>
      <c r="F41" s="1"/>
      <c r="G41" s="1"/>
    </row>
    <row r="42" spans="1:7" x14ac:dyDescent="0.3">
      <c r="A42" s="5"/>
      <c r="B42" s="5"/>
      <c r="C42" s="5"/>
      <c r="D42" s="1"/>
      <c r="E42" s="1"/>
      <c r="F42" s="1"/>
      <c r="G42" s="1"/>
    </row>
    <row r="43" spans="1:7" x14ac:dyDescent="0.3">
      <c r="A43" s="5"/>
      <c r="B43" s="5"/>
      <c r="C43" s="5"/>
      <c r="D43" s="1"/>
      <c r="E43" s="1"/>
      <c r="F43" s="1"/>
      <c r="G43" s="1"/>
    </row>
    <row r="44" spans="1:7" x14ac:dyDescent="0.3">
      <c r="A44" s="5"/>
      <c r="B44" s="5"/>
      <c r="C44" s="5"/>
      <c r="D44" s="1"/>
      <c r="E44" s="1"/>
      <c r="F44" s="1"/>
      <c r="G44" s="1"/>
    </row>
    <row r="45" spans="1:7" x14ac:dyDescent="0.3">
      <c r="A45" s="5"/>
      <c r="B45" s="5"/>
      <c r="C45" s="5"/>
      <c r="D45" s="1"/>
      <c r="E45" s="1"/>
      <c r="F45" s="1"/>
      <c r="G45" s="1"/>
    </row>
    <row r="46" spans="1:7" x14ac:dyDescent="0.3">
      <c r="A46" s="5"/>
      <c r="B46" s="5"/>
      <c r="C46" s="5"/>
      <c r="D46" s="1"/>
      <c r="E46" s="1"/>
      <c r="F46" s="1"/>
      <c r="G46" s="1"/>
    </row>
    <row r="47" spans="1:7" x14ac:dyDescent="0.3">
      <c r="A47" s="5"/>
      <c r="B47" s="5"/>
      <c r="C47" s="5"/>
      <c r="D47" s="1"/>
      <c r="E47" s="1"/>
      <c r="F47" s="1"/>
      <c r="G47" s="1"/>
    </row>
    <row r="48" spans="1:7" x14ac:dyDescent="0.3">
      <c r="A48" s="5"/>
      <c r="B48" s="5"/>
      <c r="C48" s="5"/>
      <c r="D48" s="1"/>
      <c r="E48" s="1"/>
      <c r="F48" s="1"/>
      <c r="G48" s="1"/>
    </row>
    <row r="49" spans="1:7" x14ac:dyDescent="0.3">
      <c r="A49" s="5"/>
      <c r="B49" s="5"/>
      <c r="C49" s="5"/>
      <c r="D49" s="1"/>
      <c r="E49" s="1"/>
      <c r="F49" s="1"/>
      <c r="G49" s="1"/>
    </row>
    <row r="50" spans="1:7" x14ac:dyDescent="0.3">
      <c r="A50" s="5"/>
      <c r="B50" s="5"/>
      <c r="C50" s="5"/>
      <c r="D50" s="1"/>
      <c r="E50" s="1"/>
      <c r="F50" s="1"/>
      <c r="G50" s="1"/>
    </row>
    <row r="51" spans="1:7" x14ac:dyDescent="0.3">
      <c r="A51" s="5"/>
      <c r="B51" s="5"/>
      <c r="C51" s="5"/>
      <c r="D51" s="1"/>
      <c r="E51" s="1"/>
      <c r="F51" s="1"/>
      <c r="G51" s="1"/>
    </row>
    <row r="52" spans="1:7" x14ac:dyDescent="0.3">
      <c r="A52" s="5"/>
      <c r="B52" s="5"/>
      <c r="C52" s="5"/>
      <c r="D52" s="1"/>
      <c r="E52" s="1"/>
      <c r="F52" s="1"/>
      <c r="G52" s="1"/>
    </row>
    <row r="53" spans="1:7" x14ac:dyDescent="0.3">
      <c r="A53" s="5"/>
      <c r="B53" s="5"/>
      <c r="C53" s="5"/>
      <c r="D53" s="1"/>
      <c r="E53" s="1"/>
      <c r="F53" s="1"/>
      <c r="G53" s="1"/>
    </row>
    <row r="54" spans="1:7" x14ac:dyDescent="0.3">
      <c r="A54" s="5"/>
      <c r="B54" s="5"/>
      <c r="C54" s="5"/>
      <c r="D54" s="1"/>
      <c r="E54" s="1"/>
      <c r="F54" s="1"/>
      <c r="G54" s="1"/>
    </row>
    <row r="55" spans="1:7" x14ac:dyDescent="0.3">
      <c r="A55" s="5"/>
      <c r="B55" s="5"/>
      <c r="C55" s="5"/>
      <c r="D55" s="1"/>
      <c r="E55" s="1"/>
      <c r="F55" s="1"/>
      <c r="G55" s="1"/>
    </row>
    <row r="56" spans="1:7" x14ac:dyDescent="0.3">
      <c r="A56" s="5"/>
      <c r="B56" s="5"/>
      <c r="C56" s="5"/>
      <c r="D56" s="1"/>
      <c r="E56" s="1"/>
      <c r="F56" s="1"/>
      <c r="G56" s="1"/>
    </row>
    <row r="57" spans="1:7" x14ac:dyDescent="0.3">
      <c r="A57" s="5"/>
      <c r="B57" s="5"/>
      <c r="C57" s="5"/>
      <c r="D57" s="1"/>
      <c r="E57" s="1"/>
      <c r="F57" s="1"/>
      <c r="G57" s="1"/>
    </row>
    <row r="58" spans="1:7" x14ac:dyDescent="0.3">
      <c r="A58" s="5"/>
      <c r="B58" s="5"/>
      <c r="C58" s="5"/>
      <c r="D58" s="1"/>
      <c r="E58" s="1"/>
      <c r="F58" s="1"/>
      <c r="G58" s="1"/>
    </row>
    <row r="59" spans="1:7" x14ac:dyDescent="0.3">
      <c r="A59" s="5"/>
      <c r="B59" s="5"/>
      <c r="C59" s="5"/>
      <c r="D59" s="1"/>
      <c r="E59" s="1"/>
      <c r="F59" s="1"/>
      <c r="G59" s="1"/>
    </row>
    <row r="60" spans="1:7" x14ac:dyDescent="0.3">
      <c r="A60" s="5"/>
      <c r="B60" s="5"/>
      <c r="C60" s="5"/>
      <c r="D60" s="1"/>
      <c r="E60" s="1"/>
      <c r="F60" s="1"/>
      <c r="G60" s="1"/>
    </row>
    <row r="61" spans="1:7" x14ac:dyDescent="0.3">
      <c r="A61" s="5"/>
      <c r="B61" s="5"/>
      <c r="C61" s="5"/>
      <c r="D61" s="1"/>
      <c r="E61" s="1"/>
      <c r="F61" s="1"/>
      <c r="G61" s="1"/>
    </row>
    <row r="62" spans="1:7" x14ac:dyDescent="0.3">
      <c r="A62" s="5"/>
      <c r="B62" s="5"/>
      <c r="C62" s="5"/>
      <c r="D62" s="1"/>
      <c r="E62" s="1"/>
      <c r="F62" s="1"/>
      <c r="G62" s="1"/>
    </row>
    <row r="63" spans="1:7" x14ac:dyDescent="0.3">
      <c r="A63" s="5"/>
      <c r="B63" s="5"/>
      <c r="C63" s="5"/>
      <c r="D63" s="1"/>
      <c r="E63" s="1"/>
      <c r="F63" s="1"/>
      <c r="G63" s="1"/>
    </row>
    <row r="64" spans="1:7" x14ac:dyDescent="0.3">
      <c r="A64" s="5"/>
      <c r="B64" s="5"/>
      <c r="C64" s="5"/>
      <c r="D64" s="1"/>
      <c r="E64" s="1"/>
      <c r="F64" s="1"/>
      <c r="G64" s="1"/>
    </row>
    <row r="65" spans="1:7" x14ac:dyDescent="0.3">
      <c r="A65" s="5"/>
      <c r="B65" s="5"/>
      <c r="C65" s="5"/>
      <c r="D65" s="1"/>
      <c r="E65" s="1"/>
      <c r="F65" s="1"/>
      <c r="G65" s="1"/>
    </row>
    <row r="66" spans="1:7" x14ac:dyDescent="0.3">
      <c r="A66" s="5"/>
      <c r="B66" s="5"/>
      <c r="C66" s="5"/>
      <c r="D66" s="1"/>
      <c r="E66" s="1"/>
      <c r="F66" s="1"/>
      <c r="G66" s="1"/>
    </row>
    <row r="67" spans="1:7" x14ac:dyDescent="0.3">
      <c r="A67" s="5"/>
      <c r="B67" s="5"/>
      <c r="C67" s="5"/>
      <c r="D67" s="1"/>
      <c r="E67" s="1"/>
      <c r="F67" s="1"/>
      <c r="G67" s="1"/>
    </row>
    <row r="68" spans="1:7" x14ac:dyDescent="0.3">
      <c r="A68" s="5"/>
      <c r="B68" s="5"/>
      <c r="C68" s="5"/>
      <c r="D68" s="1"/>
      <c r="E68" s="1"/>
      <c r="F68" s="1"/>
      <c r="G68" s="1"/>
    </row>
    <row r="69" spans="1:7" x14ac:dyDescent="0.3">
      <c r="A69" s="5"/>
      <c r="B69" s="5"/>
      <c r="C69" s="5"/>
      <c r="D69" s="1"/>
      <c r="E69" s="1"/>
      <c r="F69" s="1"/>
      <c r="G69" s="1"/>
    </row>
    <row r="70" spans="1:7" x14ac:dyDescent="0.3">
      <c r="A70" s="5"/>
      <c r="B70" s="5"/>
      <c r="C70" s="5"/>
      <c r="D70" s="1"/>
      <c r="E70" s="1"/>
      <c r="F70" s="1"/>
      <c r="G70" s="1"/>
    </row>
    <row r="71" spans="1:7" x14ac:dyDescent="0.3">
      <c r="A71" s="5"/>
      <c r="B71" s="1"/>
      <c r="C71" s="5"/>
      <c r="D71" s="1"/>
      <c r="E71" s="1"/>
      <c r="F71" s="1"/>
      <c r="G71" s="1"/>
    </row>
    <row r="72" spans="1:7" x14ac:dyDescent="0.3">
      <c r="A72" s="5"/>
      <c r="B72" s="1"/>
      <c r="C72" s="5"/>
      <c r="D72" s="1"/>
      <c r="E72" s="1"/>
      <c r="F72" s="1"/>
      <c r="G72" s="1"/>
    </row>
    <row r="73" spans="1:7" x14ac:dyDescent="0.3">
      <c r="A73" s="5"/>
      <c r="B73" s="1"/>
      <c r="C73" s="5"/>
      <c r="D73" s="1"/>
      <c r="E73" s="1"/>
      <c r="F73" s="1"/>
      <c r="G73" s="1"/>
    </row>
    <row r="74" spans="1:7" x14ac:dyDescent="0.3">
      <c r="A74" s="5"/>
      <c r="B74" s="1"/>
      <c r="C74" s="5"/>
      <c r="D74" s="1"/>
      <c r="E74" s="1"/>
      <c r="F74" s="1"/>
      <c r="G74" s="1"/>
    </row>
    <row r="75" spans="1:7" x14ac:dyDescent="0.3">
      <c r="A75" s="5"/>
      <c r="B75" s="1"/>
      <c r="C75" s="5"/>
      <c r="D75" s="1"/>
      <c r="E75" s="1"/>
      <c r="F75" s="1"/>
      <c r="G75" s="1"/>
    </row>
    <row r="76" spans="1:7" x14ac:dyDescent="0.3">
      <c r="A76" s="5"/>
      <c r="B76" s="1"/>
      <c r="C76" s="5"/>
      <c r="D76" s="1"/>
      <c r="E76" s="1"/>
      <c r="F76" s="1"/>
      <c r="G76" s="1"/>
    </row>
    <row r="77" spans="1:7" x14ac:dyDescent="0.3">
      <c r="A77" s="5"/>
      <c r="B77" s="1"/>
      <c r="C77" s="5"/>
      <c r="D77" s="1"/>
      <c r="E77" s="1"/>
      <c r="F77" s="1"/>
      <c r="G77" s="1"/>
    </row>
    <row r="78" spans="1:7" x14ac:dyDescent="0.3">
      <c r="A78" s="5"/>
      <c r="B78" s="1"/>
      <c r="C78" s="5"/>
      <c r="D78" s="1"/>
      <c r="E78" s="1"/>
      <c r="F78" s="1"/>
      <c r="G78" s="1"/>
    </row>
    <row r="79" spans="1:7" x14ac:dyDescent="0.3">
      <c r="A79" s="5"/>
      <c r="B79" s="1"/>
      <c r="C79" s="5"/>
      <c r="D79" s="1"/>
      <c r="E79" s="1"/>
      <c r="F79" s="1"/>
      <c r="G79" s="1"/>
    </row>
    <row r="80" spans="1:7" x14ac:dyDescent="0.3">
      <c r="A80" s="5"/>
      <c r="B80" s="5"/>
      <c r="C80" s="5"/>
      <c r="D80" s="1"/>
      <c r="E80" s="1"/>
      <c r="F80" s="1"/>
      <c r="G80" s="1"/>
    </row>
    <row r="81" spans="1:7" x14ac:dyDescent="0.3">
      <c r="A81" s="5"/>
      <c r="B81" s="1"/>
      <c r="C81" s="5"/>
      <c r="D81" s="1"/>
      <c r="E81" s="1"/>
      <c r="F81" s="1"/>
      <c r="G81" s="1"/>
    </row>
    <row r="82" spans="1:7" x14ac:dyDescent="0.3">
      <c r="A82" s="5"/>
      <c r="B82" s="1"/>
      <c r="C82" s="5"/>
      <c r="D82" s="1"/>
      <c r="E82" s="1"/>
      <c r="F82" s="1"/>
      <c r="G82" s="1"/>
    </row>
    <row r="83" spans="1:7" x14ac:dyDescent="0.3">
      <c r="A83" s="5"/>
      <c r="B83" s="1"/>
      <c r="C83" s="5"/>
      <c r="D83" s="1"/>
      <c r="E83" s="1"/>
      <c r="F83" s="1"/>
      <c r="G83" s="1"/>
    </row>
    <row r="84" spans="1:7" x14ac:dyDescent="0.3">
      <c r="A84" s="5"/>
      <c r="B84" s="1"/>
      <c r="C84" s="5"/>
      <c r="D84" s="1"/>
      <c r="E84" s="1"/>
      <c r="F84" s="1"/>
      <c r="G84" s="1"/>
    </row>
    <row r="85" spans="1:7" x14ac:dyDescent="0.3">
      <c r="A85" s="5"/>
      <c r="B85" s="1"/>
      <c r="C85" s="5"/>
      <c r="D85" s="1"/>
      <c r="E85" s="1"/>
      <c r="F85" s="1"/>
      <c r="G85" s="1"/>
    </row>
    <row r="86" spans="1:7" x14ac:dyDescent="0.3">
      <c r="A86" s="5"/>
      <c r="B86" s="1"/>
      <c r="C86" s="5"/>
      <c r="D86" s="1"/>
      <c r="E86" s="1"/>
      <c r="F86" s="1"/>
      <c r="G86" s="1"/>
    </row>
    <row r="87" spans="1:7" x14ac:dyDescent="0.3">
      <c r="A87" s="5"/>
      <c r="B87" s="1"/>
      <c r="C87" s="5"/>
      <c r="D87" s="1"/>
      <c r="E87" s="1"/>
      <c r="F87" s="1"/>
      <c r="G87" s="1"/>
    </row>
    <row r="88" spans="1:7" x14ac:dyDescent="0.3">
      <c r="A88" s="5"/>
      <c r="B88" s="1"/>
      <c r="C88" s="5"/>
      <c r="D88" s="1"/>
      <c r="E88" s="1"/>
      <c r="F88" s="1"/>
      <c r="G88" s="1"/>
    </row>
    <row r="89" spans="1:7" x14ac:dyDescent="0.3">
      <c r="A89" s="5"/>
      <c r="B89" s="1"/>
      <c r="C89" s="5"/>
      <c r="D89" s="1"/>
      <c r="E89" s="1"/>
      <c r="F89" s="1"/>
      <c r="G89" s="1"/>
    </row>
    <row r="90" spans="1:7" x14ac:dyDescent="0.3">
      <c r="A90" s="5"/>
      <c r="B90" s="1"/>
      <c r="C90" s="5"/>
      <c r="D90" s="1"/>
      <c r="E90" s="1"/>
      <c r="F90" s="1"/>
      <c r="G90" s="1"/>
    </row>
    <row r="91" spans="1:7" x14ac:dyDescent="0.3">
      <c r="A91" s="5"/>
      <c r="B91" s="1"/>
      <c r="C91" s="5"/>
      <c r="D91" s="1"/>
      <c r="E91" s="1"/>
      <c r="F91" s="1"/>
      <c r="G91" s="1"/>
    </row>
    <row r="92" spans="1:7" x14ac:dyDescent="0.3">
      <c r="A92" s="5"/>
      <c r="B92" s="1"/>
      <c r="C92" s="5"/>
      <c r="D92" s="1"/>
      <c r="E92" s="1"/>
      <c r="F92" s="1"/>
      <c r="G92" s="1"/>
    </row>
    <row r="93" spans="1:7" x14ac:dyDescent="0.3">
      <c r="A93" s="5"/>
      <c r="B93" s="1"/>
      <c r="C93" s="5"/>
      <c r="D93" s="1"/>
      <c r="E93" s="1"/>
      <c r="F93" s="1"/>
      <c r="G93" s="1"/>
    </row>
    <row r="94" spans="1:7" x14ac:dyDescent="0.3">
      <c r="A94" s="5"/>
      <c r="B94" s="1"/>
      <c r="C94" s="5"/>
      <c r="D94" s="1"/>
      <c r="E94" s="1"/>
      <c r="F94" s="1"/>
      <c r="G94" s="1"/>
    </row>
    <row r="95" spans="1:7" x14ac:dyDescent="0.3">
      <c r="A95" s="5"/>
      <c r="B95" s="1"/>
      <c r="C95" s="5"/>
      <c r="D95" s="1"/>
      <c r="E95" s="1"/>
      <c r="F95" s="1"/>
      <c r="G95" s="1"/>
    </row>
    <row r="96" spans="1:7" x14ac:dyDescent="0.3">
      <c r="A96" s="5"/>
      <c r="B96" s="1"/>
      <c r="C96" s="5"/>
      <c r="D96" s="1"/>
      <c r="E96" s="1"/>
      <c r="F96" s="1"/>
      <c r="G96" s="1"/>
    </row>
    <row r="97" spans="1:7" x14ac:dyDescent="0.3">
      <c r="A97" s="5"/>
      <c r="B97" s="1"/>
      <c r="C97" s="5"/>
      <c r="D97" s="1"/>
      <c r="E97" s="1"/>
      <c r="F97" s="1"/>
      <c r="G97" s="1"/>
    </row>
    <row r="98" spans="1:7" x14ac:dyDescent="0.3">
      <c r="A98" s="5"/>
      <c r="B98" s="1"/>
      <c r="C98" s="5"/>
      <c r="D98" s="1"/>
      <c r="E98" s="1"/>
      <c r="F98" s="1"/>
      <c r="G98" s="1"/>
    </row>
    <row r="99" spans="1:7" x14ac:dyDescent="0.3">
      <c r="A99" s="5"/>
      <c r="B99" s="1"/>
      <c r="C99" s="5"/>
      <c r="D99" s="1"/>
      <c r="E99" s="1"/>
      <c r="F99" s="1"/>
      <c r="G99" s="1"/>
    </row>
    <row r="100" spans="1:7" x14ac:dyDescent="0.3">
      <c r="A100" s="5"/>
      <c r="B100" s="1"/>
      <c r="C100" s="5"/>
      <c r="D100" s="1"/>
      <c r="E100" s="1"/>
      <c r="F100" s="1"/>
      <c r="G100" s="1"/>
    </row>
    <row r="101" spans="1:7" x14ac:dyDescent="0.3">
      <c r="A101" s="5"/>
      <c r="B101" s="1"/>
      <c r="C101" s="5"/>
      <c r="D101" s="1"/>
      <c r="E101" s="1"/>
      <c r="F101" s="1"/>
      <c r="G101" s="1"/>
    </row>
    <row r="102" spans="1:7" x14ac:dyDescent="0.3">
      <c r="A102" s="5"/>
      <c r="B102" s="1"/>
      <c r="C102" s="5"/>
      <c r="D102" s="1"/>
      <c r="E102" s="1"/>
      <c r="F102" s="1"/>
      <c r="G102" s="1"/>
    </row>
    <row r="103" spans="1:7" x14ac:dyDescent="0.3">
      <c r="A103" s="5"/>
      <c r="B103" s="1"/>
      <c r="C103" s="5"/>
      <c r="D103" s="1"/>
      <c r="E103" s="1"/>
      <c r="F103" s="1"/>
      <c r="G103" s="1"/>
    </row>
    <row r="104" spans="1:7" x14ac:dyDescent="0.3">
      <c r="A104" s="5"/>
      <c r="B104" s="1"/>
      <c r="C104" s="5"/>
      <c r="D104" s="1"/>
      <c r="E104" s="1"/>
      <c r="F104" s="1"/>
      <c r="G104" s="1"/>
    </row>
    <row r="105" spans="1:7" x14ac:dyDescent="0.3">
      <c r="A105" s="5"/>
      <c r="B105" s="1"/>
      <c r="C105" s="5"/>
      <c r="D105" s="1"/>
      <c r="E105" s="1"/>
      <c r="F105" s="1"/>
      <c r="G105" s="1"/>
    </row>
    <row r="106" spans="1:7" x14ac:dyDescent="0.3">
      <c r="A106" s="5"/>
      <c r="B106" s="1"/>
      <c r="C106" s="5"/>
      <c r="D106" s="1"/>
      <c r="E106" s="1"/>
      <c r="F106" s="1"/>
      <c r="G106" s="1"/>
    </row>
    <row r="107" spans="1:7" x14ac:dyDescent="0.3">
      <c r="A107" s="5"/>
      <c r="B107" s="1"/>
      <c r="C107" s="5"/>
      <c r="D107" s="1"/>
      <c r="E107" s="1"/>
      <c r="F107" s="1"/>
      <c r="G107" s="1"/>
    </row>
    <row r="108" spans="1:7" x14ac:dyDescent="0.3">
      <c r="A108" s="5"/>
      <c r="B108" s="1"/>
      <c r="C108" s="5"/>
      <c r="D108" s="1"/>
      <c r="E108" s="1"/>
      <c r="F108" s="1"/>
      <c r="G108" s="1"/>
    </row>
    <row r="109" spans="1:7" x14ac:dyDescent="0.3">
      <c r="A109" s="5"/>
      <c r="B109" s="1"/>
      <c r="C109" s="5"/>
      <c r="D109" s="1"/>
      <c r="E109" s="1"/>
      <c r="F109" s="1"/>
      <c r="G109" s="1"/>
    </row>
    <row r="110" spans="1:7" x14ac:dyDescent="0.3">
      <c r="A110" s="5"/>
      <c r="B110" s="1"/>
      <c r="C110" s="5"/>
      <c r="D110" s="1"/>
      <c r="E110" s="1"/>
      <c r="F110" s="1"/>
      <c r="G110" s="1"/>
    </row>
    <row r="111" spans="1:7" x14ac:dyDescent="0.3">
      <c r="A111" s="5"/>
      <c r="B111" s="1"/>
      <c r="C111" s="5"/>
      <c r="D111" s="1"/>
      <c r="E111" s="1"/>
      <c r="F111" s="1"/>
      <c r="G111" s="1"/>
    </row>
    <row r="112" spans="1:7" x14ac:dyDescent="0.3">
      <c r="A112" s="5"/>
      <c r="B112" s="1"/>
      <c r="C112" s="5"/>
      <c r="D112" s="1"/>
      <c r="E112" s="1"/>
      <c r="F112" s="1"/>
      <c r="G112" s="1"/>
    </row>
    <row r="113" spans="1:7" x14ac:dyDescent="0.3">
      <c r="A113" s="5"/>
      <c r="B113" s="1"/>
      <c r="C113" s="5"/>
      <c r="D113" s="1"/>
      <c r="E113" s="1"/>
      <c r="F113" s="1"/>
      <c r="G113" s="1"/>
    </row>
    <row r="114" spans="1:7" x14ac:dyDescent="0.3">
      <c r="A114" s="5"/>
      <c r="B114" s="1"/>
      <c r="C114" s="5"/>
      <c r="D114" s="1"/>
      <c r="E114" s="1"/>
      <c r="F114" s="1"/>
      <c r="G114" s="1"/>
    </row>
    <row r="115" spans="1:7" x14ac:dyDescent="0.3">
      <c r="A115" s="5"/>
      <c r="B115" s="1"/>
      <c r="C115" s="5"/>
      <c r="D115" s="1"/>
      <c r="E115" s="1"/>
      <c r="F115" s="1"/>
      <c r="G115" s="1"/>
    </row>
    <row r="116" spans="1:7" x14ac:dyDescent="0.3">
      <c r="A116" s="5"/>
      <c r="B116" s="1"/>
      <c r="C116" s="5"/>
      <c r="D116" s="1"/>
      <c r="E116" s="1"/>
      <c r="F116" s="1"/>
      <c r="G116" s="1"/>
    </row>
    <row r="117" spans="1:7" x14ac:dyDescent="0.3">
      <c r="A117" s="5"/>
      <c r="B117" s="1"/>
      <c r="C117" s="5"/>
      <c r="D117" s="1"/>
      <c r="E117" s="1"/>
      <c r="F117" s="1"/>
      <c r="G117" s="1"/>
    </row>
    <row r="118" spans="1:7" x14ac:dyDescent="0.3">
      <c r="A118" s="5"/>
      <c r="B118" s="1"/>
      <c r="C118" s="5"/>
      <c r="D118" s="1"/>
      <c r="E118" s="1"/>
      <c r="F118" s="1"/>
      <c r="G118" s="1"/>
    </row>
    <row r="119" spans="1:7" x14ac:dyDescent="0.3">
      <c r="A119" s="5"/>
      <c r="B119" s="1"/>
      <c r="C119" s="5"/>
      <c r="D119" s="1"/>
      <c r="E119" s="1"/>
      <c r="F119" s="1"/>
      <c r="G119" s="1"/>
    </row>
    <row r="120" spans="1:7" x14ac:dyDescent="0.3">
      <c r="A120" s="5"/>
      <c r="B120" s="1"/>
      <c r="C120" s="5"/>
      <c r="D120" s="1"/>
      <c r="E120" s="1"/>
      <c r="F120" s="1"/>
      <c r="G120" s="1"/>
    </row>
    <row r="121" spans="1:7" x14ac:dyDescent="0.3">
      <c r="A121" s="5"/>
      <c r="B121" s="1"/>
      <c r="C121" s="5"/>
      <c r="D121" s="1"/>
      <c r="E121" s="1"/>
      <c r="F121" s="1"/>
      <c r="G121" s="1"/>
    </row>
    <row r="122" spans="1:7" x14ac:dyDescent="0.3">
      <c r="A122" s="5"/>
      <c r="B122" s="1"/>
      <c r="C122" s="5"/>
      <c r="D122" s="1"/>
      <c r="E122" s="1"/>
      <c r="F122" s="1"/>
      <c r="G122" s="1"/>
    </row>
    <row r="123" spans="1:7" x14ac:dyDescent="0.3">
      <c r="A123" s="5"/>
      <c r="B123" s="1"/>
      <c r="C123" s="5"/>
      <c r="D123" s="1"/>
      <c r="E123" s="1"/>
      <c r="F123" s="1"/>
      <c r="G123" s="1"/>
    </row>
    <row r="124" spans="1:7" x14ac:dyDescent="0.3">
      <c r="A124" s="5"/>
      <c r="B124" s="1"/>
      <c r="C124" s="5"/>
      <c r="D124" s="1"/>
      <c r="E124" s="1"/>
      <c r="F124" s="1"/>
      <c r="G124" s="1"/>
    </row>
    <row r="125" spans="1:7" x14ac:dyDescent="0.3">
      <c r="A125" s="5"/>
      <c r="B125" s="1"/>
      <c r="C125" s="5"/>
      <c r="D125" s="1"/>
      <c r="E125" s="1"/>
      <c r="F125" s="1"/>
      <c r="G125" s="1"/>
    </row>
    <row r="126" spans="1:7" x14ac:dyDescent="0.3">
      <c r="A126" s="5"/>
      <c r="B126" s="1"/>
      <c r="C126" s="5"/>
      <c r="D126" s="1"/>
      <c r="E126" s="1"/>
      <c r="F126" s="1"/>
      <c r="G126" s="1"/>
    </row>
    <row r="127" spans="1:7" x14ac:dyDescent="0.3">
      <c r="A127" s="5"/>
      <c r="B127" s="1"/>
      <c r="C127" s="5"/>
      <c r="D127" s="1"/>
      <c r="E127" s="1"/>
      <c r="F127" s="1"/>
      <c r="G127" s="1"/>
    </row>
    <row r="128" spans="1:7" x14ac:dyDescent="0.3">
      <c r="A128" s="5"/>
      <c r="B128" s="1"/>
      <c r="C128" s="5"/>
      <c r="D128" s="1"/>
      <c r="E128" s="1"/>
      <c r="F128" s="1"/>
      <c r="G128" s="1"/>
    </row>
    <row r="129" spans="1:7" x14ac:dyDescent="0.3">
      <c r="A129" s="5"/>
      <c r="B129" s="1"/>
      <c r="C129" s="5"/>
      <c r="D129" s="1"/>
      <c r="E129" s="1"/>
      <c r="F129" s="1"/>
      <c r="G129" s="1"/>
    </row>
    <row r="130" spans="1:7" x14ac:dyDescent="0.3">
      <c r="A130" s="5"/>
      <c r="B130" s="1"/>
      <c r="C130" s="5"/>
      <c r="D130" s="1"/>
      <c r="E130" s="1"/>
      <c r="F130" s="1"/>
      <c r="G130" s="1"/>
    </row>
    <row r="131" spans="1:7" x14ac:dyDescent="0.3">
      <c r="A131" s="5"/>
      <c r="B131" s="1"/>
      <c r="C131" s="5"/>
      <c r="D131" s="1"/>
      <c r="E131" s="1"/>
      <c r="F131" s="1"/>
      <c r="G131" s="1"/>
    </row>
    <row r="132" spans="1:7" x14ac:dyDescent="0.3">
      <c r="A132" s="5"/>
      <c r="B132" s="1"/>
      <c r="C132" s="5"/>
      <c r="D132" s="1"/>
      <c r="E132" s="1"/>
      <c r="F132" s="1"/>
      <c r="G132" s="1"/>
    </row>
    <row r="133" spans="1:7" x14ac:dyDescent="0.3">
      <c r="A133" s="5"/>
      <c r="B133" s="1"/>
      <c r="C133" s="5"/>
      <c r="D133" s="1"/>
      <c r="E133" s="1"/>
      <c r="F133" s="1"/>
      <c r="G133" s="1"/>
    </row>
    <row r="134" spans="1:7" x14ac:dyDescent="0.3">
      <c r="A134" s="5"/>
      <c r="B134" s="1"/>
      <c r="C134" s="5"/>
      <c r="D134" s="1"/>
      <c r="E134" s="1"/>
      <c r="F134" s="1"/>
      <c r="G134" s="1"/>
    </row>
    <row r="135" spans="1:7" x14ac:dyDescent="0.3">
      <c r="A135" s="5"/>
      <c r="B135" s="1"/>
      <c r="C135" s="5"/>
      <c r="D135" s="1"/>
      <c r="E135" s="1"/>
      <c r="F135" s="1"/>
      <c r="G135" s="1"/>
    </row>
    <row r="136" spans="1:7" x14ac:dyDescent="0.3">
      <c r="A136" s="5"/>
      <c r="B136" s="1"/>
      <c r="C136" s="5"/>
      <c r="D136" s="1"/>
      <c r="E136" s="1"/>
      <c r="F136" s="1"/>
      <c r="G136" s="1"/>
    </row>
    <row r="137" spans="1:7" x14ac:dyDescent="0.3">
      <c r="A137" s="5"/>
      <c r="B137" s="1"/>
      <c r="C137" s="5"/>
      <c r="D137" s="1"/>
      <c r="E137" s="1"/>
      <c r="F137" s="1"/>
      <c r="G137" s="1"/>
    </row>
    <row r="138" spans="1:7" x14ac:dyDescent="0.3">
      <c r="A138" s="5"/>
      <c r="B138" s="1"/>
      <c r="C138" s="5"/>
      <c r="D138" s="1"/>
      <c r="E138" s="1"/>
      <c r="F138" s="1"/>
      <c r="G138" s="1"/>
    </row>
    <row r="139" spans="1:7" x14ac:dyDescent="0.3">
      <c r="A139" s="5"/>
      <c r="B139" s="1"/>
      <c r="C139" s="5"/>
      <c r="D139" s="1"/>
      <c r="E139" s="1"/>
      <c r="F139" s="1"/>
      <c r="G139" s="1"/>
    </row>
    <row r="140" spans="1:7" x14ac:dyDescent="0.3">
      <c r="A140" s="5"/>
      <c r="B140" s="1"/>
      <c r="C140" s="5"/>
      <c r="D140" s="1"/>
      <c r="E140" s="1"/>
      <c r="F140" s="1"/>
      <c r="G140" s="1"/>
    </row>
    <row r="141" spans="1:7" x14ac:dyDescent="0.3">
      <c r="A141" s="5"/>
      <c r="B141" s="1"/>
      <c r="C141" s="5"/>
      <c r="D141" s="1"/>
      <c r="E141" s="1"/>
      <c r="F141" s="1"/>
      <c r="G141" s="1"/>
    </row>
    <row r="142" spans="1:7" x14ac:dyDescent="0.3">
      <c r="A142" s="5"/>
      <c r="B142" s="1"/>
      <c r="C142" s="5"/>
      <c r="D142" s="1"/>
      <c r="E142" s="1"/>
      <c r="F142" s="1"/>
      <c r="G142" s="1"/>
    </row>
    <row r="143" spans="1:7" x14ac:dyDescent="0.3">
      <c r="A143" s="5"/>
      <c r="B143" s="1"/>
      <c r="C143" s="5"/>
      <c r="D143" s="1"/>
      <c r="E143" s="1"/>
      <c r="F143" s="1"/>
      <c r="G143" s="1"/>
    </row>
    <row r="144" spans="1:7" x14ac:dyDescent="0.3">
      <c r="A144" s="5"/>
      <c r="B144" s="1"/>
      <c r="C144" s="5"/>
      <c r="D144" s="1"/>
      <c r="E144" s="1"/>
      <c r="F144" s="1"/>
      <c r="G144" s="1"/>
    </row>
    <row r="145" spans="1:7" x14ac:dyDescent="0.3">
      <c r="A145" s="5"/>
      <c r="B145" s="1"/>
      <c r="C145" s="5"/>
      <c r="D145" s="1"/>
      <c r="E145" s="1"/>
      <c r="F145" s="1"/>
      <c r="G145" s="1"/>
    </row>
    <row r="146" spans="1:7" x14ac:dyDescent="0.3">
      <c r="A146" s="5"/>
      <c r="B146" s="1"/>
      <c r="C146" s="5"/>
      <c r="D146" s="1"/>
      <c r="E146" s="1"/>
      <c r="F146" s="1"/>
      <c r="G146" s="1"/>
    </row>
    <row r="147" spans="1:7" x14ac:dyDescent="0.3">
      <c r="A147" s="5"/>
      <c r="B147" s="1"/>
      <c r="C147" s="5"/>
      <c r="D147" s="1"/>
      <c r="E147" s="1"/>
      <c r="F147" s="1"/>
      <c r="G147" s="1"/>
    </row>
    <row r="148" spans="1:7" x14ac:dyDescent="0.3">
      <c r="A148" s="5"/>
      <c r="B148" s="1"/>
      <c r="C148" s="5"/>
      <c r="D148" s="1"/>
      <c r="E148" s="1"/>
      <c r="F148" s="1"/>
      <c r="G148" s="1"/>
    </row>
    <row r="149" spans="1:7" x14ac:dyDescent="0.3">
      <c r="A149" s="5"/>
      <c r="B149" s="1"/>
      <c r="C149" s="5"/>
      <c r="D149" s="1"/>
      <c r="E149" s="1"/>
      <c r="F149" s="1"/>
      <c r="G149" s="1"/>
    </row>
    <row r="150" spans="1:7" x14ac:dyDescent="0.3">
      <c r="A150" s="5"/>
      <c r="B150" s="1"/>
      <c r="C150" s="5"/>
      <c r="D150" s="1"/>
      <c r="E150" s="1"/>
      <c r="F150" s="1"/>
      <c r="G150" s="1"/>
    </row>
    <row r="151" spans="1:7" x14ac:dyDescent="0.3">
      <c r="A151" s="5"/>
      <c r="B151" s="1"/>
      <c r="C151" s="5"/>
      <c r="D151" s="1"/>
      <c r="E151" s="1"/>
      <c r="F151" s="1"/>
      <c r="G151" s="1"/>
    </row>
    <row r="152" spans="1:7" x14ac:dyDescent="0.3">
      <c r="A152" s="5"/>
      <c r="B152" s="1"/>
      <c r="C152" s="5"/>
      <c r="D152" s="1"/>
      <c r="E152" s="1"/>
      <c r="F152" s="1"/>
      <c r="G152" s="1"/>
    </row>
    <row r="153" spans="1:7" x14ac:dyDescent="0.3">
      <c r="A153" s="5"/>
      <c r="B153" s="1"/>
      <c r="C153" s="5"/>
      <c r="D153" s="1"/>
      <c r="E153" s="1"/>
      <c r="F153" s="1"/>
      <c r="G153" s="1"/>
    </row>
    <row r="154" spans="1:7" x14ac:dyDescent="0.3">
      <c r="A154" s="5"/>
      <c r="B154" s="1"/>
      <c r="C154" s="5"/>
      <c r="D154" s="1"/>
      <c r="E154" s="1"/>
      <c r="F154" s="1"/>
      <c r="G154" s="1"/>
    </row>
    <row r="155" spans="1:7" x14ac:dyDescent="0.3">
      <c r="A155" s="5"/>
      <c r="B155" s="1"/>
      <c r="C155" s="5"/>
      <c r="D155" s="1"/>
      <c r="E155" s="1"/>
      <c r="F155" s="1"/>
      <c r="G155" s="1"/>
    </row>
    <row r="156" spans="1:7" x14ac:dyDescent="0.3">
      <c r="A156" s="5"/>
      <c r="B156" s="1"/>
      <c r="C156" s="5"/>
      <c r="D156" s="1"/>
      <c r="E156" s="1"/>
      <c r="F156" s="1"/>
      <c r="G156" s="1"/>
    </row>
    <row r="157" spans="1:7" x14ac:dyDescent="0.3">
      <c r="A157" s="5"/>
      <c r="B157" s="1"/>
      <c r="C157" s="5"/>
      <c r="D157" s="1"/>
      <c r="E157" s="1"/>
      <c r="F157" s="1"/>
      <c r="G157" s="1"/>
    </row>
    <row r="158" spans="1:7" x14ac:dyDescent="0.3">
      <c r="A158" s="5"/>
      <c r="B158" s="1"/>
      <c r="C158" s="5"/>
      <c r="D158" s="1"/>
      <c r="E158" s="1"/>
      <c r="F158" s="1"/>
      <c r="G158" s="1"/>
    </row>
    <row r="159" spans="1:7" x14ac:dyDescent="0.3">
      <c r="A159" s="5"/>
      <c r="B159" s="1"/>
      <c r="C159" s="5"/>
      <c r="D159" s="1"/>
      <c r="E159" s="1"/>
      <c r="F159" s="1"/>
      <c r="G159" s="1"/>
    </row>
    <row r="160" spans="1:7" x14ac:dyDescent="0.3">
      <c r="A160" s="5"/>
      <c r="B160" s="1"/>
      <c r="C160" s="5"/>
      <c r="D160" s="1"/>
      <c r="E160" s="1"/>
      <c r="F160" s="1"/>
      <c r="G160" s="1"/>
    </row>
    <row r="161" spans="1:7" x14ac:dyDescent="0.3">
      <c r="A161" s="5"/>
      <c r="B161" s="1"/>
      <c r="C161" s="5"/>
      <c r="D161" s="1"/>
      <c r="E161" s="1"/>
      <c r="F161" s="1"/>
      <c r="G161" s="1"/>
    </row>
    <row r="162" spans="1:7" x14ac:dyDescent="0.3">
      <c r="A162" s="5"/>
      <c r="B162" s="1"/>
      <c r="C162" s="5"/>
      <c r="D162" s="1"/>
      <c r="E162" s="1"/>
      <c r="F162" s="1"/>
      <c r="G162" s="1"/>
    </row>
    <row r="163" spans="1:7" x14ac:dyDescent="0.3">
      <c r="A163" s="5"/>
      <c r="B163" s="1"/>
      <c r="C163" s="5"/>
      <c r="D163" s="1"/>
      <c r="E163" s="1"/>
      <c r="F163" s="1"/>
      <c r="G163" s="1"/>
    </row>
    <row r="164" spans="1:7" x14ac:dyDescent="0.3">
      <c r="A164" s="5"/>
      <c r="B164" s="1"/>
      <c r="C164" s="5"/>
      <c r="D164" s="1"/>
      <c r="E164" s="1"/>
      <c r="F164" s="1"/>
      <c r="G164" s="1"/>
    </row>
    <row r="165" spans="1:7" x14ac:dyDescent="0.3">
      <c r="A165" s="5"/>
      <c r="B165" s="1"/>
      <c r="C165" s="5"/>
      <c r="D165" s="1"/>
      <c r="E165" s="1"/>
      <c r="F165" s="1"/>
      <c r="G165" s="1"/>
    </row>
    <row r="166" spans="1:7" x14ac:dyDescent="0.3">
      <c r="A166" s="5"/>
      <c r="B166" s="1"/>
      <c r="C166" s="5"/>
      <c r="D166" s="1"/>
      <c r="E166" s="1"/>
      <c r="F166" s="1"/>
      <c r="G166" s="1"/>
    </row>
    <row r="167" spans="1:7" x14ac:dyDescent="0.3">
      <c r="A167" s="5"/>
      <c r="B167" s="1"/>
      <c r="C167" s="5"/>
      <c r="D167" s="1"/>
      <c r="E167" s="1"/>
      <c r="F167" s="1"/>
      <c r="G167" s="1"/>
    </row>
    <row r="168" spans="1:7" x14ac:dyDescent="0.3">
      <c r="A168" s="5"/>
      <c r="B168" s="1"/>
      <c r="C168" s="5"/>
      <c r="D168" s="1"/>
      <c r="E168" s="1"/>
      <c r="F168" s="1"/>
      <c r="G168" s="1"/>
    </row>
    <row r="169" spans="1:7" x14ac:dyDescent="0.3">
      <c r="A169" s="5"/>
      <c r="B169" s="1"/>
      <c r="C169" s="5"/>
      <c r="D169" s="1"/>
      <c r="E169" s="1"/>
      <c r="F169" s="1"/>
      <c r="G169" s="1"/>
    </row>
    <row r="170" spans="1:7" x14ac:dyDescent="0.3">
      <c r="A170" s="5"/>
      <c r="B170" s="1"/>
      <c r="C170" s="5"/>
      <c r="D170" s="1"/>
      <c r="E170" s="1"/>
      <c r="F170" s="1"/>
      <c r="G170" s="1"/>
    </row>
    <row r="171" spans="1:7" x14ac:dyDescent="0.3">
      <c r="A171" s="5"/>
      <c r="B171" s="1"/>
      <c r="C171" s="5"/>
      <c r="D171" s="1"/>
      <c r="E171" s="1"/>
      <c r="F171" s="1"/>
      <c r="G171" s="1"/>
    </row>
    <row r="172" spans="1:7" x14ac:dyDescent="0.3">
      <c r="A172" s="5"/>
      <c r="B172" s="1"/>
      <c r="C172" s="5"/>
      <c r="D172" s="1"/>
      <c r="E172" s="1"/>
      <c r="F172" s="1"/>
      <c r="G172" s="1"/>
    </row>
    <row r="173" spans="1:7" x14ac:dyDescent="0.3">
      <c r="A173" s="5"/>
      <c r="B173" s="1"/>
      <c r="C173" s="5"/>
      <c r="D173" s="1"/>
      <c r="E173" s="1"/>
      <c r="F173" s="1"/>
      <c r="G173" s="1"/>
    </row>
    <row r="174" spans="1:7" x14ac:dyDescent="0.3">
      <c r="A174" s="5"/>
      <c r="B174" s="1"/>
      <c r="C174" s="5"/>
      <c r="D174" s="1"/>
      <c r="E174" s="1"/>
      <c r="F174" s="1"/>
      <c r="G174" s="1"/>
    </row>
    <row r="175" spans="1:7" x14ac:dyDescent="0.3">
      <c r="A175" s="5"/>
      <c r="B175" s="1"/>
      <c r="C175" s="5"/>
      <c r="D175" s="1"/>
      <c r="E175" s="1"/>
      <c r="F175" s="1"/>
      <c r="G175" s="1"/>
    </row>
    <row r="176" spans="1:7" x14ac:dyDescent="0.3">
      <c r="A176" s="5"/>
      <c r="B176" s="1"/>
      <c r="C176" s="5"/>
      <c r="D176" s="1"/>
      <c r="E176" s="1"/>
      <c r="F176" s="1"/>
      <c r="G176" s="1"/>
    </row>
    <row r="177" spans="1:7" x14ac:dyDescent="0.3">
      <c r="A177" s="5"/>
      <c r="B177" s="1"/>
      <c r="C177" s="5"/>
      <c r="D177" s="1"/>
      <c r="E177" s="1"/>
      <c r="F177" s="1"/>
      <c r="G177" s="1"/>
    </row>
    <row r="178" spans="1:7" x14ac:dyDescent="0.3">
      <c r="A178" s="5"/>
      <c r="B178" s="1"/>
      <c r="C178" s="5"/>
      <c r="D178" s="1"/>
      <c r="E178" s="1"/>
      <c r="F178" s="1"/>
      <c r="G178" s="1"/>
    </row>
    <row r="179" spans="1:7" x14ac:dyDescent="0.3">
      <c r="A179" s="5"/>
      <c r="B179" s="1"/>
      <c r="C179" s="5"/>
      <c r="D179" s="1"/>
      <c r="E179" s="1"/>
      <c r="F179" s="1"/>
      <c r="G179" s="1"/>
    </row>
    <row r="180" spans="1:7" x14ac:dyDescent="0.3">
      <c r="A180" s="5"/>
      <c r="B180" s="1"/>
      <c r="C180" s="5"/>
      <c r="D180" s="1"/>
      <c r="E180" s="1"/>
      <c r="F180" s="1"/>
      <c r="G180" s="1"/>
    </row>
    <row r="181" spans="1:7" x14ac:dyDescent="0.3">
      <c r="A181" s="5"/>
      <c r="B181" s="1"/>
      <c r="C181" s="5"/>
      <c r="D181" s="1"/>
      <c r="E181" s="1"/>
      <c r="F181" s="1"/>
      <c r="G181" s="1"/>
    </row>
    <row r="182" spans="1:7" x14ac:dyDescent="0.3">
      <c r="A182" s="5"/>
      <c r="B182" s="1"/>
      <c r="C182" s="5"/>
      <c r="D182" s="1"/>
      <c r="E182" s="1"/>
      <c r="F182" s="1"/>
      <c r="G182" s="1"/>
    </row>
    <row r="183" spans="1:7" x14ac:dyDescent="0.3">
      <c r="A183" s="5"/>
      <c r="B183" s="1"/>
      <c r="C183" s="5"/>
      <c r="D183" s="1"/>
      <c r="E183" s="1"/>
      <c r="F183" s="1"/>
      <c r="G183" s="1"/>
    </row>
    <row r="184" spans="1:7" x14ac:dyDescent="0.3">
      <c r="A184" s="5"/>
      <c r="B184" s="1"/>
      <c r="C184" s="5"/>
      <c r="D184" s="1"/>
      <c r="E184" s="1"/>
      <c r="F184" s="1"/>
      <c r="G184" s="1"/>
    </row>
    <row r="185" spans="1:7" x14ac:dyDescent="0.3">
      <c r="A185" s="5"/>
      <c r="B185" s="1"/>
      <c r="C185" s="5"/>
      <c r="D185" s="1"/>
      <c r="E185" s="1"/>
      <c r="F185" s="1"/>
      <c r="G185" s="1"/>
    </row>
    <row r="186" spans="1:7" x14ac:dyDescent="0.3">
      <c r="A186" s="5"/>
      <c r="B186" s="1"/>
      <c r="C186" s="5"/>
      <c r="D186" s="1"/>
      <c r="E186" s="1"/>
      <c r="F186" s="1"/>
      <c r="G186" s="1"/>
    </row>
    <row r="187" spans="1:7" x14ac:dyDescent="0.3">
      <c r="A187" s="5"/>
      <c r="B187" s="1"/>
      <c r="C187" s="5"/>
      <c r="D187" s="1"/>
      <c r="E187" s="1"/>
      <c r="F187" s="1"/>
      <c r="G187" s="1"/>
    </row>
    <row r="188" spans="1:7" x14ac:dyDescent="0.3">
      <c r="A188" s="5"/>
      <c r="B188" s="1"/>
      <c r="C188" s="5"/>
      <c r="D188" s="1"/>
      <c r="E188" s="1"/>
      <c r="F188" s="1"/>
      <c r="G188" s="1"/>
    </row>
    <row r="189" spans="1:7" x14ac:dyDescent="0.3">
      <c r="A189" s="5"/>
      <c r="B189" s="1"/>
      <c r="C189" s="5"/>
      <c r="D189" s="1"/>
      <c r="E189" s="1"/>
      <c r="F189" s="1"/>
      <c r="G189" s="1"/>
    </row>
    <row r="190" spans="1:7" x14ac:dyDescent="0.3">
      <c r="A190" s="5"/>
      <c r="B190" s="1"/>
      <c r="C190" s="5"/>
      <c r="D190" s="1"/>
      <c r="E190" s="1"/>
      <c r="F190" s="1"/>
      <c r="G190" s="1"/>
    </row>
    <row r="191" spans="1:7" x14ac:dyDescent="0.3">
      <c r="A191" s="5"/>
      <c r="B191" s="1"/>
      <c r="C191" s="5"/>
      <c r="D191" s="1"/>
      <c r="E191" s="1"/>
      <c r="F191" s="1"/>
      <c r="G191" s="1"/>
    </row>
    <row r="192" spans="1:7" x14ac:dyDescent="0.3">
      <c r="A192" s="5"/>
      <c r="B192" s="1"/>
      <c r="C192" s="5"/>
      <c r="D192" s="1"/>
      <c r="E192" s="1"/>
      <c r="F192" s="1"/>
      <c r="G192" s="1"/>
    </row>
    <row r="193" spans="1:7" x14ac:dyDescent="0.3">
      <c r="A193" s="5"/>
      <c r="B193" s="1"/>
      <c r="C193" s="5"/>
      <c r="D193" s="1"/>
      <c r="E193" s="1"/>
      <c r="F193" s="1"/>
      <c r="G193" s="1"/>
    </row>
    <row r="194" spans="1:7" x14ac:dyDescent="0.3">
      <c r="A194" s="5"/>
      <c r="B194" s="1"/>
      <c r="C194" s="5"/>
      <c r="D194" s="1"/>
      <c r="E194" s="1"/>
      <c r="F194" s="1"/>
      <c r="G194" s="1"/>
    </row>
    <row r="195" spans="1:7" x14ac:dyDescent="0.3">
      <c r="A195" s="5"/>
      <c r="B195" s="1"/>
      <c r="C195" s="5"/>
      <c r="D195" s="1"/>
      <c r="E195" s="1"/>
      <c r="F195" s="1"/>
      <c r="G195" s="1"/>
    </row>
    <row r="196" spans="1:7" x14ac:dyDescent="0.3">
      <c r="A196" s="5"/>
      <c r="B196" s="1"/>
      <c r="C196" s="5"/>
      <c r="D196" s="1"/>
      <c r="E196" s="1"/>
      <c r="F196" s="1"/>
      <c r="G196" s="1"/>
    </row>
    <row r="197" spans="1:7" x14ac:dyDescent="0.3">
      <c r="A197" s="5"/>
      <c r="B197" s="1"/>
      <c r="C197" s="5"/>
      <c r="D197" s="1"/>
      <c r="E197" s="1"/>
      <c r="F197" s="1"/>
      <c r="G197" s="1"/>
    </row>
    <row r="198" spans="1:7" x14ac:dyDescent="0.3">
      <c r="A198" s="5"/>
      <c r="B198" s="1"/>
      <c r="C198" s="5"/>
      <c r="D198" s="1"/>
      <c r="E198" s="1"/>
      <c r="F198" s="1"/>
      <c r="G198" s="1"/>
    </row>
    <row r="199" spans="1:7" x14ac:dyDescent="0.3">
      <c r="A199" s="5"/>
      <c r="B199" s="1"/>
      <c r="C199" s="5"/>
      <c r="D199" s="1"/>
      <c r="E199" s="1"/>
      <c r="F199" s="1"/>
      <c r="G199" s="1"/>
    </row>
    <row r="200" spans="1:7" x14ac:dyDescent="0.3">
      <c r="A200" s="5"/>
      <c r="B200" s="1"/>
      <c r="C200" s="5"/>
      <c r="D200" s="1"/>
      <c r="E200" s="1"/>
      <c r="F200" s="1"/>
      <c r="G200" s="1"/>
    </row>
    <row r="201" spans="1:7" x14ac:dyDescent="0.3">
      <c r="A201" s="5"/>
      <c r="B201" s="1"/>
      <c r="C201" s="5"/>
      <c r="D201" s="1"/>
      <c r="E201" s="1"/>
      <c r="F201" s="1"/>
      <c r="G201" s="1"/>
    </row>
    <row r="202" spans="1:7" x14ac:dyDescent="0.3">
      <c r="A202" s="5"/>
      <c r="B202" s="1"/>
      <c r="C202" s="5"/>
      <c r="D202" s="1"/>
      <c r="E202" s="1"/>
      <c r="F202" s="1"/>
      <c r="G202" s="1"/>
    </row>
    <row r="203" spans="1:7" x14ac:dyDescent="0.3">
      <c r="A203" s="5"/>
      <c r="B203" s="1"/>
      <c r="C203" s="5"/>
      <c r="D203" s="1"/>
      <c r="E203" s="1"/>
      <c r="F203" s="1"/>
      <c r="G203" s="1"/>
    </row>
    <row r="204" spans="1:7" x14ac:dyDescent="0.3">
      <c r="A204" s="5"/>
      <c r="B204" s="1"/>
      <c r="C204" s="5"/>
      <c r="D204" s="1"/>
      <c r="E204" s="1"/>
      <c r="F204" s="1"/>
      <c r="G204" s="1"/>
    </row>
    <row r="205" spans="1:7" x14ac:dyDescent="0.3">
      <c r="A205" s="5"/>
      <c r="B205" s="1"/>
      <c r="C205" s="5"/>
      <c r="D205" s="1"/>
      <c r="E205" s="1"/>
      <c r="F205" s="1"/>
      <c r="G205" s="1"/>
    </row>
    <row r="206" spans="1:7" x14ac:dyDescent="0.3">
      <c r="A206" s="5"/>
      <c r="B206" s="1"/>
      <c r="C206" s="5"/>
      <c r="D206" s="1"/>
      <c r="E206" s="1"/>
      <c r="F206" s="1"/>
      <c r="G206" s="1"/>
    </row>
    <row r="207" spans="1:7" x14ac:dyDescent="0.3">
      <c r="A207" s="5"/>
      <c r="B207" s="1"/>
      <c r="C207" s="5"/>
      <c r="D207" s="1"/>
      <c r="E207" s="1"/>
      <c r="F207" s="1"/>
      <c r="G207" s="1"/>
    </row>
    <row r="208" spans="1:7" x14ac:dyDescent="0.3">
      <c r="A208" s="5"/>
      <c r="B208" s="1"/>
      <c r="C208" s="5"/>
      <c r="D208" s="1"/>
      <c r="E208" s="1"/>
      <c r="F208" s="1"/>
      <c r="G208" s="1"/>
    </row>
    <row r="209" spans="1:7" x14ac:dyDescent="0.3">
      <c r="A209" s="5"/>
      <c r="B209" s="1"/>
      <c r="C209" s="5"/>
      <c r="D209" s="1"/>
      <c r="E209" s="1"/>
      <c r="F209" s="1"/>
      <c r="G209" s="1"/>
    </row>
    <row r="210" spans="1:7" x14ac:dyDescent="0.3">
      <c r="A210" s="5"/>
      <c r="B210" s="1"/>
      <c r="C210" s="5"/>
      <c r="D210" s="1"/>
      <c r="E210" s="1"/>
      <c r="F210" s="1"/>
      <c r="G210" s="1"/>
    </row>
    <row r="211" spans="1:7" x14ac:dyDescent="0.3">
      <c r="A211" s="5"/>
      <c r="B211" s="1"/>
      <c r="C211" s="5"/>
      <c r="D211" s="1"/>
      <c r="E211" s="1"/>
      <c r="F211" s="1"/>
      <c r="G211" s="1"/>
    </row>
    <row r="212" spans="1:7" x14ac:dyDescent="0.3">
      <c r="A212" s="5"/>
      <c r="B212" s="1"/>
      <c r="C212" s="5"/>
      <c r="D212" s="1"/>
      <c r="E212" s="1"/>
      <c r="F212" s="1"/>
      <c r="G212" s="1"/>
    </row>
    <row r="213" spans="1:7" x14ac:dyDescent="0.3">
      <c r="A213" s="5"/>
      <c r="B213" s="1"/>
      <c r="C213" s="5"/>
      <c r="D213" s="1"/>
      <c r="E213" s="1"/>
      <c r="F213" s="1"/>
      <c r="G213" s="1"/>
    </row>
    <row r="214" spans="1:7" x14ac:dyDescent="0.3">
      <c r="A214" s="5"/>
      <c r="B214" s="1"/>
      <c r="C214" s="5"/>
      <c r="D214" s="1"/>
      <c r="E214" s="1"/>
      <c r="F214" s="1"/>
      <c r="G214" s="1"/>
    </row>
    <row r="215" spans="1:7" x14ac:dyDescent="0.3">
      <c r="A215" s="5"/>
      <c r="B215" s="1"/>
      <c r="C215" s="5"/>
      <c r="D215" s="1"/>
      <c r="E215" s="1"/>
      <c r="F215" s="1"/>
      <c r="G215" s="1"/>
    </row>
    <row r="216" spans="1:7" x14ac:dyDescent="0.3">
      <c r="A216" s="5"/>
      <c r="B216" s="1"/>
      <c r="C216" s="5"/>
      <c r="D216" s="1"/>
      <c r="E216" s="1"/>
      <c r="F216" s="1"/>
      <c r="G216" s="1"/>
    </row>
    <row r="217" spans="1:7" x14ac:dyDescent="0.3">
      <c r="A217" s="5"/>
      <c r="B217" s="1"/>
      <c r="C217" s="5"/>
      <c r="D217" s="1"/>
      <c r="E217" s="1"/>
      <c r="F217" s="1"/>
      <c r="G217" s="1"/>
    </row>
    <row r="218" spans="1:7" x14ac:dyDescent="0.3">
      <c r="A218" s="5"/>
      <c r="B218" s="1"/>
      <c r="C218" s="5"/>
      <c r="D218" s="1"/>
      <c r="E218" s="1"/>
      <c r="F218" s="1"/>
      <c r="G218" s="1"/>
    </row>
    <row r="219" spans="1:7" x14ac:dyDescent="0.3">
      <c r="A219" s="5"/>
      <c r="B219" s="1"/>
      <c r="C219" s="5"/>
      <c r="D219" s="1"/>
      <c r="E219" s="1"/>
      <c r="F219" s="1"/>
      <c r="G219" s="1"/>
    </row>
    <row r="220" spans="1:7" x14ac:dyDescent="0.3">
      <c r="A220" s="5"/>
      <c r="B220" s="1"/>
      <c r="C220" s="5"/>
      <c r="D220" s="1"/>
      <c r="E220" s="1"/>
      <c r="F220" s="1"/>
      <c r="G220" s="1"/>
    </row>
    <row r="221" spans="1:7" x14ac:dyDescent="0.3">
      <c r="A221" s="5"/>
      <c r="B221" s="1"/>
      <c r="C221" s="5"/>
      <c r="D221" s="1"/>
      <c r="E221" s="1"/>
      <c r="F221" s="1"/>
      <c r="G221" s="1"/>
    </row>
    <row r="222" spans="1:7" x14ac:dyDescent="0.3">
      <c r="A222" s="5"/>
      <c r="B222" s="1"/>
      <c r="C222" s="5"/>
      <c r="D222" s="1"/>
      <c r="E222" s="1"/>
      <c r="F222" s="1"/>
      <c r="G222" s="1"/>
    </row>
    <row r="223" spans="1:7" x14ac:dyDescent="0.3">
      <c r="A223" s="5"/>
      <c r="B223" s="1"/>
      <c r="C223" s="5"/>
      <c r="D223" s="1"/>
      <c r="E223" s="1"/>
      <c r="F223" s="1"/>
      <c r="G223" s="1"/>
    </row>
    <row r="224" spans="1:7" x14ac:dyDescent="0.3">
      <c r="A224" s="5"/>
      <c r="B224" s="1"/>
      <c r="C224" s="5"/>
      <c r="D224" s="1"/>
      <c r="E224" s="1"/>
      <c r="F224" s="1"/>
      <c r="G224" s="1"/>
    </row>
    <row r="225" spans="1:7" x14ac:dyDescent="0.3">
      <c r="A225" s="5"/>
      <c r="B225" s="1"/>
      <c r="C225" s="5"/>
      <c r="D225" s="1"/>
      <c r="E225" s="1"/>
      <c r="F225" s="1"/>
      <c r="G225" s="1"/>
    </row>
    <row r="226" spans="1:7" x14ac:dyDescent="0.3">
      <c r="A226" s="5"/>
      <c r="B226" s="1"/>
      <c r="C226" s="5"/>
      <c r="D226" s="1"/>
      <c r="E226" s="1"/>
      <c r="F226" s="1"/>
      <c r="G226" s="1"/>
    </row>
    <row r="227" spans="1:7" x14ac:dyDescent="0.3">
      <c r="A227" s="5"/>
      <c r="B227" s="1"/>
      <c r="C227" s="5"/>
      <c r="D227" s="1"/>
      <c r="E227" s="1"/>
      <c r="F227" s="1"/>
      <c r="G227" s="1"/>
    </row>
    <row r="228" spans="1:7" x14ac:dyDescent="0.3">
      <c r="A228" s="5"/>
      <c r="B228" s="1"/>
      <c r="C228" s="5"/>
      <c r="D228" s="1"/>
      <c r="E228" s="1"/>
      <c r="F228" s="1"/>
      <c r="G228" s="1"/>
    </row>
    <row r="229" spans="1:7" x14ac:dyDescent="0.3">
      <c r="A229" s="5"/>
      <c r="B229" s="1"/>
      <c r="C229" s="5"/>
      <c r="D229" s="1"/>
      <c r="E229" s="1"/>
      <c r="F229" s="1"/>
      <c r="G229" s="1"/>
    </row>
    <row r="230" spans="1:7" x14ac:dyDescent="0.3">
      <c r="A230" s="5"/>
      <c r="B230" s="1"/>
      <c r="C230" s="5"/>
      <c r="D230" s="1"/>
      <c r="E230" s="1"/>
      <c r="F230" s="1"/>
      <c r="G230" s="1"/>
    </row>
    <row r="231" spans="1:7" x14ac:dyDescent="0.3">
      <c r="A231" s="5"/>
      <c r="B231" s="1"/>
      <c r="C231" s="5"/>
      <c r="D231" s="1"/>
      <c r="E231" s="1"/>
      <c r="F231" s="1"/>
      <c r="G231" s="1"/>
    </row>
    <row r="232" spans="1:7" x14ac:dyDescent="0.3">
      <c r="A232" s="5"/>
      <c r="B232" s="1"/>
      <c r="C232" s="5"/>
      <c r="D232" s="1"/>
      <c r="E232" s="1"/>
      <c r="F232" s="1"/>
      <c r="G232" s="1"/>
    </row>
    <row r="233" spans="1:7" x14ac:dyDescent="0.3">
      <c r="A233" s="5"/>
      <c r="B233" s="1"/>
      <c r="C233" s="5"/>
      <c r="D233" s="1"/>
      <c r="E233" s="1"/>
      <c r="F233" s="1"/>
      <c r="G233" s="1"/>
    </row>
    <row r="234" spans="1:7" x14ac:dyDescent="0.3">
      <c r="A234" s="5"/>
      <c r="B234" s="1"/>
      <c r="C234" s="5"/>
      <c r="D234" s="1"/>
      <c r="E234" s="1"/>
      <c r="F234" s="1"/>
      <c r="G234" s="1"/>
    </row>
    <row r="235" spans="1:7" x14ac:dyDescent="0.3">
      <c r="A235" s="5"/>
      <c r="B235" s="1"/>
      <c r="C235" s="5"/>
      <c r="D235" s="1"/>
      <c r="E235" s="1"/>
      <c r="F235" s="1"/>
      <c r="G235" s="1"/>
    </row>
    <row r="236" spans="1:7" x14ac:dyDescent="0.3">
      <c r="A236" s="5"/>
      <c r="B236" s="1"/>
      <c r="C236" s="5"/>
      <c r="D236" s="1"/>
      <c r="E236" s="1"/>
      <c r="F236" s="1"/>
      <c r="G236" s="1"/>
    </row>
    <row r="237" spans="1:7" x14ac:dyDescent="0.3">
      <c r="A237" s="5"/>
      <c r="B237" s="1"/>
      <c r="C237" s="5"/>
      <c r="D237" s="1"/>
      <c r="E237" s="1"/>
      <c r="F237" s="1"/>
      <c r="G237" s="1"/>
    </row>
    <row r="238" spans="1:7" x14ac:dyDescent="0.3">
      <c r="A238" s="5"/>
      <c r="B238" s="1"/>
      <c r="C238" s="5"/>
      <c r="D238" s="1"/>
      <c r="E238" s="1"/>
      <c r="F238" s="1"/>
      <c r="G238" s="1"/>
    </row>
    <row r="239" spans="1:7" x14ac:dyDescent="0.3">
      <c r="A239" s="5"/>
      <c r="B239" s="1"/>
      <c r="C239" s="5"/>
      <c r="D239" s="1"/>
      <c r="E239" s="1"/>
      <c r="F239" s="1"/>
      <c r="G239" s="1"/>
    </row>
    <row r="240" spans="1:7" x14ac:dyDescent="0.3">
      <c r="A240" s="5"/>
      <c r="B240" s="1"/>
      <c r="C240" s="5"/>
      <c r="D240" s="1"/>
      <c r="E240" s="1"/>
      <c r="F240" s="1"/>
      <c r="G240" s="1"/>
    </row>
    <row r="241" spans="1:7" x14ac:dyDescent="0.3">
      <c r="A241" s="5"/>
      <c r="B241" s="1"/>
      <c r="C241" s="5"/>
      <c r="D241" s="1"/>
      <c r="E241" s="1"/>
      <c r="F241" s="1"/>
      <c r="G241" s="1"/>
    </row>
    <row r="242" spans="1:7" x14ac:dyDescent="0.3">
      <c r="A242" s="5"/>
      <c r="B242" s="1"/>
      <c r="C242" s="5"/>
      <c r="D242" s="1"/>
      <c r="E242" s="1"/>
      <c r="F242" s="1"/>
      <c r="G242" s="1"/>
    </row>
    <row r="243" spans="1:7" x14ac:dyDescent="0.3">
      <c r="A243" s="5"/>
      <c r="B243" s="1"/>
      <c r="C243" s="5"/>
      <c r="D243" s="1"/>
      <c r="E243" s="1"/>
      <c r="F243" s="1"/>
      <c r="G243" s="1"/>
    </row>
    <row r="244" spans="1:7" x14ac:dyDescent="0.3">
      <c r="A244" s="5"/>
      <c r="B244" s="1"/>
      <c r="C244" s="5"/>
      <c r="D244" s="1"/>
      <c r="E244" s="1"/>
      <c r="F244" s="1"/>
      <c r="G244" s="1"/>
    </row>
    <row r="245" spans="1:7" x14ac:dyDescent="0.3">
      <c r="A245" s="5"/>
      <c r="B245" s="1"/>
      <c r="C245" s="5"/>
      <c r="D245" s="1"/>
      <c r="E245" s="1"/>
      <c r="F245" s="1"/>
      <c r="G245" s="1"/>
    </row>
    <row r="246" spans="1:7" x14ac:dyDescent="0.3">
      <c r="A246" s="5"/>
      <c r="B246" s="1"/>
      <c r="C246" s="5"/>
      <c r="D246" s="1"/>
      <c r="E246" s="1"/>
      <c r="F246" s="1"/>
      <c r="G246" s="1"/>
    </row>
    <row r="247" spans="1:7" x14ac:dyDescent="0.3">
      <c r="A247" s="5"/>
      <c r="B247" s="1"/>
      <c r="C247" s="5"/>
      <c r="D247" s="1"/>
      <c r="E247" s="1"/>
      <c r="F247" s="1"/>
      <c r="G247" s="1"/>
    </row>
    <row r="248" spans="1:7" x14ac:dyDescent="0.3">
      <c r="A248" s="5"/>
      <c r="B248" s="1"/>
      <c r="C248" s="5"/>
      <c r="D248" s="1"/>
      <c r="E248" s="1"/>
      <c r="F248" s="1"/>
      <c r="G248" s="1"/>
    </row>
    <row r="249" spans="1:7" x14ac:dyDescent="0.3">
      <c r="A249" s="5"/>
      <c r="B249" s="1"/>
      <c r="C249" s="5"/>
      <c r="D249" s="1"/>
      <c r="E249" s="1"/>
      <c r="F249" s="1"/>
      <c r="G249" s="1"/>
    </row>
    <row r="250" spans="1:7" x14ac:dyDescent="0.3">
      <c r="A250" s="5"/>
      <c r="B250" s="1"/>
      <c r="C250" s="5"/>
      <c r="D250" s="1"/>
      <c r="E250" s="1"/>
      <c r="F250" s="1"/>
      <c r="G250" s="1"/>
    </row>
    <row r="251" spans="1:7" x14ac:dyDescent="0.3">
      <c r="A251" s="5"/>
      <c r="B251" s="1"/>
      <c r="C251" s="5"/>
      <c r="D251" s="1"/>
      <c r="E251" s="1"/>
      <c r="F251" s="1"/>
      <c r="G251" s="1"/>
    </row>
    <row r="252" spans="1:7" x14ac:dyDescent="0.3">
      <c r="A252" s="5"/>
      <c r="B252" s="1"/>
      <c r="C252" s="5"/>
      <c r="D252" s="1"/>
      <c r="E252" s="1"/>
      <c r="F252" s="1"/>
      <c r="G252" s="1"/>
    </row>
    <row r="253" spans="1:7" x14ac:dyDescent="0.3">
      <c r="A253" s="5"/>
      <c r="B253" s="1"/>
      <c r="C253" s="5"/>
      <c r="D253" s="1"/>
      <c r="E253" s="1"/>
      <c r="F253" s="1"/>
      <c r="G253" s="1"/>
    </row>
    <row r="254" spans="1:7" x14ac:dyDescent="0.3">
      <c r="A254" s="5"/>
      <c r="B254" s="1"/>
      <c r="C254" s="5"/>
      <c r="D254" s="1"/>
      <c r="E254" s="1"/>
      <c r="F254" s="1"/>
      <c r="G254" s="1"/>
    </row>
    <row r="255" spans="1:7" x14ac:dyDescent="0.3">
      <c r="A255" s="5"/>
      <c r="B255" s="1"/>
      <c r="C255" s="5"/>
      <c r="D255" s="1"/>
      <c r="E255" s="1"/>
      <c r="F255" s="1"/>
      <c r="G255" s="1"/>
    </row>
    <row r="256" spans="1:7" x14ac:dyDescent="0.3">
      <c r="A256" s="5"/>
      <c r="B256" s="1"/>
      <c r="C256" s="5"/>
      <c r="D256" s="1"/>
      <c r="E256" s="1"/>
      <c r="F256" s="1"/>
      <c r="G256" s="1"/>
    </row>
    <row r="257" spans="1:7" x14ac:dyDescent="0.3">
      <c r="A257" s="5"/>
      <c r="B257" s="1"/>
      <c r="C257" s="5"/>
      <c r="D257" s="1"/>
      <c r="E257" s="1"/>
      <c r="F257" s="1"/>
      <c r="G257" s="1"/>
    </row>
    <row r="258" spans="1:7" x14ac:dyDescent="0.3">
      <c r="A258" s="5"/>
      <c r="B258" s="1"/>
      <c r="C258" s="5"/>
      <c r="D258" s="1"/>
      <c r="E258" s="1"/>
      <c r="F258" s="1"/>
      <c r="G258" s="1"/>
    </row>
    <row r="259" spans="1:7" x14ac:dyDescent="0.3">
      <c r="A259" s="5"/>
      <c r="B259" s="1"/>
      <c r="C259" s="5"/>
      <c r="D259" s="1"/>
      <c r="E259" s="1"/>
      <c r="F259" s="1"/>
      <c r="G259" s="1"/>
    </row>
    <row r="260" spans="1:7" x14ac:dyDescent="0.3">
      <c r="A260" s="5"/>
      <c r="B260" s="1"/>
      <c r="C260" s="5"/>
      <c r="D260" s="1"/>
      <c r="E260" s="1"/>
      <c r="F260" s="1"/>
      <c r="G260" s="1"/>
    </row>
    <row r="261" spans="1:7" x14ac:dyDescent="0.3">
      <c r="A261" s="5"/>
      <c r="B261" s="1"/>
      <c r="C261" s="5"/>
      <c r="D261" s="1"/>
      <c r="E261" s="1"/>
      <c r="F261" s="1"/>
      <c r="G261" s="1"/>
    </row>
    <row r="262" spans="1:7" x14ac:dyDescent="0.3">
      <c r="B262" s="1"/>
    </row>
    <row r="263" spans="1:7" x14ac:dyDescent="0.3">
      <c r="B263" s="1"/>
    </row>
    <row r="264" spans="1:7" x14ac:dyDescent="0.3">
      <c r="B264" s="1"/>
    </row>
    <row r="265" spans="1:7" x14ac:dyDescent="0.3">
      <c r="B265" s="1"/>
    </row>
    <row r="266" spans="1:7" x14ac:dyDescent="0.3">
      <c r="B266" s="1"/>
    </row>
    <row r="267" spans="1:7" x14ac:dyDescent="0.3">
      <c r="B267" s="1"/>
    </row>
    <row r="268" spans="1:7" x14ac:dyDescent="0.3">
      <c r="B268" s="1"/>
    </row>
    <row r="269" spans="1:7" x14ac:dyDescent="0.3">
      <c r="B269" s="1"/>
    </row>
    <row r="270" spans="1:7" x14ac:dyDescent="0.3">
      <c r="B270" s="1"/>
    </row>
    <row r="271" spans="1:7" x14ac:dyDescent="0.3">
      <c r="B271" s="1"/>
    </row>
    <row r="272" spans="1:7" x14ac:dyDescent="0.3">
      <c r="B272" s="1"/>
    </row>
    <row r="273" spans="2:2" x14ac:dyDescent="0.3">
      <c r="B273" s="1"/>
    </row>
    <row r="274" spans="2:2" x14ac:dyDescent="0.3">
      <c r="B274" s="1"/>
    </row>
    <row r="275" spans="2:2" x14ac:dyDescent="0.3">
      <c r="B275" s="1"/>
    </row>
    <row r="276" spans="2:2" x14ac:dyDescent="0.3">
      <c r="B276" s="1"/>
    </row>
    <row r="277" spans="2:2" x14ac:dyDescent="0.3">
      <c r="B277" s="1"/>
    </row>
    <row r="278" spans="2:2" x14ac:dyDescent="0.3">
      <c r="B278" s="1"/>
    </row>
    <row r="279" spans="2:2" x14ac:dyDescent="0.3">
      <c r="B279" s="1"/>
    </row>
    <row r="280" spans="2:2" x14ac:dyDescent="0.3">
      <c r="B280" s="1"/>
    </row>
    <row r="281" spans="2:2" x14ac:dyDescent="0.3">
      <c r="B281" s="1"/>
    </row>
    <row r="282" spans="2:2" x14ac:dyDescent="0.3">
      <c r="B282" s="1"/>
    </row>
    <row r="283" spans="2:2" x14ac:dyDescent="0.3">
      <c r="B283" s="1"/>
    </row>
    <row r="284" spans="2:2" x14ac:dyDescent="0.3">
      <c r="B284" s="1"/>
    </row>
    <row r="285" spans="2:2" x14ac:dyDescent="0.3">
      <c r="B285" s="1"/>
    </row>
    <row r="286" spans="2:2" x14ac:dyDescent="0.3">
      <c r="B286" s="1"/>
    </row>
    <row r="287" spans="2:2" x14ac:dyDescent="0.3">
      <c r="B287" s="1"/>
    </row>
    <row r="288" spans="2:2" x14ac:dyDescent="0.3">
      <c r="B288"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Comments_Output</vt:lpstr>
      <vt:lpstr>Comment types</vt:lpstr>
      <vt:lpstr>survey_codes_dict</vt:lpstr>
      <vt:lpstr>דמוגרפיה</vt:lpstr>
      <vt:lpstr>ישראל כללי</vt:lpstr>
      <vt:lpstr>עניין פוליטי</vt:lpstr>
      <vt:lpstr>ימין-שמאל</vt:lpstr>
      <vt:lpstr>זיקה רגשית</vt:lpstr>
      <vt:lpstr>תכונות</vt:lpstr>
      <vt:lpstr>הצבעה</vt:lpstr>
      <vt:lpstr>ציפיות</vt:lpstr>
      <vt:lpstr>סוגיות</vt:lpstr>
      <vt:lpstr>כלכלה-חברה</vt:lpstr>
      <vt:lpstr>דת ומדינה</vt:lpstr>
      <vt:lpstr>חוץ וביטחון</vt:lpstr>
      <vt:lpstr>שלום</vt:lpstr>
      <vt:lpstr>דמוקרטיה</vt:lpstr>
      <vt:lpstr>תקשורת</vt:lpstr>
      <vt:lpstr>ידע כללי</vt:lpstr>
      <vt:lpstr>מגדר</vt:lpstr>
      <vt:lpstr>ייצוגיות</vt:lpstr>
      <vt:lpstr>שחיתות</vt:lpstr>
      <vt:lpstr>ערבים בלבד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יניב שפירא</dc:creator>
  <cp:lastModifiedBy>Yochay Cohen Or</cp:lastModifiedBy>
  <dcterms:created xsi:type="dcterms:W3CDTF">2021-11-14T07:57:14Z</dcterms:created>
  <dcterms:modified xsi:type="dcterms:W3CDTF">2025-04-16T09:30:52Z</dcterms:modified>
</cp:coreProperties>
</file>